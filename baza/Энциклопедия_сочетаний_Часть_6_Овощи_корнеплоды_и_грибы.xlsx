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f7abf0a89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проекте" sheetId="1" r:id="Rc36288716eb24658"/>
    <x:sheet xmlns:r="http://schemas.openxmlformats.org/officeDocument/2006/relationships" name="Все сочетания" sheetId="2" r:id="Ra5f66e29b17942a0"/>
    <x:sheet xmlns:r="http://schemas.openxmlformats.org/officeDocument/2006/relationships" name="Корнеплоды и клубни" sheetId="3" r:id="R4a4ff7598512460b"/>
    <x:sheet xmlns:r="http://schemas.openxmlformats.org/officeDocument/2006/relationships" name="Плодовые и тыквенные" sheetId="4" r:id="Reb4068e269a24eaa"/>
    <x:sheet xmlns:r="http://schemas.openxmlformats.org/officeDocument/2006/relationships" name="Крестоцветные" sheetId="5" r:id="Rc82ad1a6a34c4f38"/>
    <x:sheet xmlns:r="http://schemas.openxmlformats.org/officeDocument/2006/relationships" name="Луковые" sheetId="6" r:id="Re48b87284d644e82"/>
    <x:sheet xmlns:r="http://schemas.openxmlformats.org/officeDocument/2006/relationships" name="Бобовые" sheetId="7" r:id="R9e3a4b22f943492c"/>
    <x:sheet xmlns:r="http://schemas.openxmlformats.org/officeDocument/2006/relationships" name="Грибы и стеблевые" sheetId="8" r:id="Rfd6799067ff44ec6"/>
    <x:sheet xmlns:r="http://schemas.openxmlformats.org/officeDocument/2006/relationships" name="Напитки" sheetId="9" r:id="R7770393a07cb4e89"/>
    <x:sheet xmlns:r="http://schemas.openxmlformats.org/officeDocument/2006/relationships" name="Еда" sheetId="10" r:id="R935caf1e852444da"/>
    <x:sheet xmlns:r="http://schemas.openxmlformats.org/officeDocument/2006/relationships" name="Десерты" sheetId="11" r:id="R4c19358a57334f29"/>
    <x:sheet xmlns:r="http://schemas.openxmlformats.org/officeDocument/2006/relationships" name="Соусы и маринады" sheetId="12" r:id="R761a2aa34a69416e"/>
    <x:sheet xmlns:r="http://schemas.openxmlformats.org/officeDocument/2006/relationships" name="Паспорта овощей" sheetId="13" r:id="R419f9d755ec84675"/>
    <x:sheet xmlns:r="http://schemas.openxmlformats.org/officeDocument/2006/relationships" name="ТОП партнёров" sheetId="14" r:id="Radaca5a45f1a457c"/>
    <x:sheet xmlns:r="http://schemas.openxmlformats.org/officeDocument/2006/relationships" name="Технологии обработки" sheetId="15" r:id="Rcd7b51f0325c429b"/>
    <x:sheet xmlns:r="http://schemas.openxmlformats.org/officeDocument/2006/relationships" name="Безопасность сырья" sheetId="16" r:id="Rb407341b9651475e"/>
    <x:sheet xmlns:r="http://schemas.openxmlformats.org/officeDocument/2006/relationships" name="Ингредиенты" sheetId="17" r:id="R1220a5702b1b4db6"/>
    <x:sheet xmlns:r="http://schemas.openxmlformats.org/officeDocument/2006/relationships" name="Молекулы" sheetId="18" r:id="R5c3c30b2b3ca45dc"/>
    <x:sheet xmlns:r="http://schemas.openxmlformats.org/officeDocument/2006/relationships" name="Методика" sheetId="19" r:id="Rc254286e6bb1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385246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233D32"/>
      <x:name val="Carlito"/>
    </x:font>
    <x:font>
      <x:b/>
      <x:sz val="11"/>
      <x:color rgb="FF233D32"/>
      <x:name val="Carlito"/>
    </x:font>
    <x:font>
      <x:sz val="9"/>
      <x:color rgb="FF40534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33D32"/>
      </x:patternFill>
    </x:fill>
    <x:fill>
      <x:patternFill patternType="solid">
        <x:fgColor rgb="FFEEF3EB"/>
      </x:patternFill>
    </x:fill>
    <x:fill>
      <x:patternFill patternType="solid">
        <x:fgColor rgb="FF476D57"/>
      </x:patternFill>
    </x:fill>
    <x:fill>
      <x:patternFill patternType="solid">
        <x:fgColor rgb="FFD6E3D7"/>
      </x:patternFill>
    </x:fill>
    <x:fill>
      <x:patternFill patternType="solid">
        <x:fgColor rgb="FFF7F9F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5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2d963a2844b59" /><Relationship Type="http://schemas.openxmlformats.org/officeDocument/2006/relationships/theme" Target="/xl/theme/theme1.xml" Id="R495fb445648a48be" /><Relationship Type="http://schemas.openxmlformats.org/officeDocument/2006/relationships/sharedStrings" Target="/xl/sharedStrings.xml" Id="Rd98feec771a9445a" /><Relationship Type="http://schemas.openxmlformats.org/officeDocument/2006/relationships/worksheet" Target="/xl/worksheets/sheet1.xml" Id="Rc36288716eb24658" /><Relationship Type="http://schemas.openxmlformats.org/officeDocument/2006/relationships/worksheet" Target="/xl/worksheets/sheet2.xml" Id="Ra5f66e29b17942a0" /><Relationship Type="http://schemas.openxmlformats.org/officeDocument/2006/relationships/worksheet" Target="/xl/worksheets/sheet3.xml" Id="R4a4ff7598512460b" /><Relationship Type="http://schemas.openxmlformats.org/officeDocument/2006/relationships/worksheet" Target="/xl/worksheets/sheet4.xml" Id="Reb4068e269a24eaa" /><Relationship Type="http://schemas.openxmlformats.org/officeDocument/2006/relationships/worksheet" Target="/xl/worksheets/sheet5.xml" Id="Rc82ad1a6a34c4f38" /><Relationship Type="http://schemas.openxmlformats.org/officeDocument/2006/relationships/worksheet" Target="/xl/worksheets/sheet6.xml" Id="Re48b87284d644e82" /><Relationship Type="http://schemas.openxmlformats.org/officeDocument/2006/relationships/worksheet" Target="/xl/worksheets/sheet7.xml" Id="R9e3a4b22f943492c" /><Relationship Type="http://schemas.openxmlformats.org/officeDocument/2006/relationships/worksheet" Target="/xl/worksheets/sheet8.xml" Id="Rfd6799067ff44ec6" /><Relationship Type="http://schemas.openxmlformats.org/officeDocument/2006/relationships/worksheet" Target="/xl/worksheets/sheet9.xml" Id="R7770393a07cb4e89" /><Relationship Type="http://schemas.openxmlformats.org/officeDocument/2006/relationships/worksheet" Target="/xl/worksheets/sheet10.xml" Id="R935caf1e852444da" /><Relationship Type="http://schemas.openxmlformats.org/officeDocument/2006/relationships/worksheet" Target="/xl/worksheets/sheet11.xml" Id="R4c19358a57334f29" /><Relationship Type="http://schemas.openxmlformats.org/officeDocument/2006/relationships/worksheet" Target="/xl/worksheets/sheet12.xml" Id="R761a2aa34a69416e" /><Relationship Type="http://schemas.openxmlformats.org/officeDocument/2006/relationships/worksheet" Target="/xl/worksheets/sheet13.xml" Id="R419f9d755ec84675" /><Relationship Type="http://schemas.openxmlformats.org/officeDocument/2006/relationships/worksheet" Target="/xl/worksheets/sheet14.xml" Id="Radaca5a45f1a457c" /><Relationship Type="http://schemas.openxmlformats.org/officeDocument/2006/relationships/worksheet" Target="/xl/worksheets/sheet15.xml" Id="Rcd7b51f0325c429b" /><Relationship Type="http://schemas.openxmlformats.org/officeDocument/2006/relationships/worksheet" Target="/xl/worksheets/sheet16.xml" Id="Rb407341b9651475e" /><Relationship Type="http://schemas.openxmlformats.org/officeDocument/2006/relationships/worksheet" Target="/xl/worksheets/sheet17.xml" Id="R1220a5702b1b4db6" /><Relationship Type="http://schemas.openxmlformats.org/officeDocument/2006/relationships/worksheet" Target="/xl/worksheets/sheet18.xml" Id="R5c3c30b2b3ca45dc" /><Relationship Type="http://schemas.openxmlformats.org/officeDocument/2006/relationships/worksheet" Target="/xl/worksheets/sheet19.xml" Id="Rc254286e6bb146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2b4f34148d41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Наиболее насыщенные разделы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пар</c:v>
          </c:tx>
          <c:cat>
            <c:strRef>
              <c:f>'О проекте'!$A$16:$A$30</c:f>
              <c:strCache>
                <c:ptCount val="0"/>
              </c:strCache>
            </c:strRef>
          </c:cat>
          <c:val>
            <c:numRef>
              <c:f>'О проекте'!$B$16:$B$30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2b4f34148d41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getablePairsTable" displayName="VegetablePairsTable" ref="A1:AF1129" headerRowCount="1">
  <x:tableColumns count="32">
    <x:tableColumn id="1" name="ID"/>
    <x:tableColumn id="2" name="Базовый ингредиент"/>
    <x:tableColumn id="3" name="Основной раздел"/>
    <x:tableColumn id="4" name="Ингредиент 1"/>
    <x:tableColumn id="5" name="Оригинал 1"/>
    <x:tableColumn id="6" name="Группа 1"/>
    <x:tableColumn id="7" name="Ингредиент 2"/>
    <x:tableColumn id="8" name="Оригинал 2"/>
    <x:tableColumn id="9" name="Группа 2"/>
    <x:tableColumn id="10" name="Аромапрофиль 1"/>
    <x:tableColumn id="11" name="Аромапрофиль 2"/>
    <x:tableColumn id="12" name="Ключевые соединения 1"/>
    <x:tableColumn id="13" name="Ключевые соединения 2"/>
    <x:tableColumn id="14" name="Общий ароматический мост"/>
    <x:tableColumn id="15" name="Общие соединения"/>
    <x:tableColumn id="16" name="Тип механизма"/>
    <x:tableColumn id="17" name="Вкусовое взаимодействие"/>
    <x:tableColumn id="18" name="Тройничный эффект"/>
    <x:tableColumn id="19" name="Матрица и растворимость"/>
    <x:tableColumn id="20" name="Влияние обработки"/>
    <x:tableColumn id="21" name="Подробное научное объяснение"/>
    <x:tableColumn id="22" name="Критические точки"/>
    <x:tableColumn id="23" name="Ингредиент-мост"/>
    <x:tableColumn id="24" name="Практическое применение"/>
    <x:tableColumn id="25" name="Теги применения"/>
    <x:tableColumn id="26" name="Уверенность"/>
    <x:tableColumn id="27" name="Источники"/>
    <x:tableColumn id="28" name="Страницы"/>
    <x:tableColumn id="29" name="Основание из источника"/>
    <x:tableColumn id="30" name="Число источников"/>
    <x:tableColumn id="31" name="Число записей"/>
    <x:tableColumn id="32" name="Балл"/>
  </x:tableColumns>
  <x:tableStyleInfo name="TableStyleMedium2" showRowStripes="1"/>
</x:table>
</file>

<file path=xl/tables/table2.xml><?xml version="1.0" encoding="utf-8"?>
<x:table xmlns:x="http://schemas.openxmlformats.org/spreadsheetml/2006/main" id="2" name="RootVegetablesTable" displayName="RootVegetablesTable" ref="A1:L442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3.xml><?xml version="1.0" encoding="utf-8"?>
<x:table xmlns:x="http://schemas.openxmlformats.org/spreadsheetml/2006/main" id="3" name="FruitVegetablesTable" displayName="FruitVegetablesTable" ref="A1:L292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4.xml><?xml version="1.0" encoding="utf-8"?>
<x:table xmlns:x="http://schemas.openxmlformats.org/spreadsheetml/2006/main" id="4" name="BrassicaTable" displayName="BrassicaTable" ref="A1:L66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5.xml><?xml version="1.0" encoding="utf-8"?>
<x:table xmlns:x="http://schemas.openxmlformats.org/spreadsheetml/2006/main" id="5" name="AlliumsTable" displayName="AlliumsTable" ref="A1:L153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6.xml><?xml version="1.0" encoding="utf-8"?>
<x:table xmlns:x="http://schemas.openxmlformats.org/spreadsheetml/2006/main" id="6" name="LegumesTable" displayName="LegumesTable" ref="A1:L32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7.xml><?xml version="1.0" encoding="utf-8"?>
<x:table xmlns:x="http://schemas.openxmlformats.org/spreadsheetml/2006/main" id="7" name="MushroomStemTable" displayName="MushroomStemTable" ref="A1:L149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8.xml><?xml version="1.0" encoding="utf-8"?>
<x:table xmlns:x="http://schemas.openxmlformats.org/spreadsheetml/2006/main" id="8" name="VegetableDrinksTable" displayName="VegetableDrinksTable" ref="A1:L49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Научное объяснение"/>
    <x:tableColumn id="7" name="Обработка"/>
    <x:tableColumn id="8" name="Критические точки"/>
    <x:tableColumn id="9" name="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9.xml><?xml version="1.0" encoding="utf-8"?>
<x:table xmlns:x="http://schemas.openxmlformats.org/spreadsheetml/2006/main" id="9" name="VegetableFoodTable" displayName="VegetableFoodTable" ref="A1:L629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Научное объяснение"/>
    <x:tableColumn id="7" name="Обработка"/>
    <x:tableColumn id="8" name="Критические точки"/>
    <x:tableColumn id="9" name="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10.xml><?xml version="1.0" encoding="utf-8"?>
<x:table xmlns:x="http://schemas.openxmlformats.org/spreadsheetml/2006/main" id="10" name="VegetableDessertsTable" displayName="VegetableDessertsTable" ref="A1:L271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Научное объяснение"/>
    <x:tableColumn id="7" name="Обработка"/>
    <x:tableColumn id="8" name="Критические точки"/>
    <x:tableColumn id="9" name="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11.xml><?xml version="1.0" encoding="utf-8"?>
<x:table xmlns:x="http://schemas.openxmlformats.org/spreadsheetml/2006/main" id="11" name="VegetableSaucesTable" displayName="VegetableSaucesTable" ref="A1:L632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Научное объяснение"/>
    <x:tableColumn id="7" name="Обработка"/>
    <x:tableColumn id="8" name="Критические точки"/>
    <x:tableColumn id="9" name="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12.xml><?xml version="1.0" encoding="utf-8"?>
<x:table xmlns:x="http://schemas.openxmlformats.org/spreadsheetml/2006/main" id="12" name="VegetablePassportsTable" displayName="VegetablePassportsTable" ref="A1:K29" headerRowCount="1">
  <x:tableColumns count="11">
    <x:tableColumn id="1" name="Ингредиент"/>
    <x:tableColumn id="2" name="Группа"/>
    <x:tableColumn id="3" name="Ароматический профиль"/>
    <x:tableColumn id="4" name="Характерные соединения"/>
    <x:tableColumn id="5" name="Вкус и баланс"/>
    <x:tableColumn id="6" name="Тройничный эффект"/>
    <x:tableColumn id="7" name="Матрица"/>
    <x:tableColumn id="8" name="Изменение при обработке"/>
    <x:tableColumn id="9" name="Рекомендуемые технологии"/>
    <x:tableColumn id="10" name="Критические точки"/>
    <x:tableColumn id="11" name="Количество пар"/>
  </x:tableColumns>
  <x:tableStyleInfo name="TableStyleMedium2" showRowStripes="1"/>
</x:table>
</file>

<file path=xl/tables/table13.xml><?xml version="1.0" encoding="utf-8"?>
<x:table xmlns:x="http://schemas.openxmlformats.org/spreadsheetml/2006/main" id="13" name="VegetableTopPartnersTable" displayName="VegetableTopPartnersTable" ref="A1:J485" headerRowCount="1">
  <x:tableColumns count="10">
    <x:tableColumn id="1" name="Базовый ингредиент"/>
    <x:tableColumn id="2" name="Место"/>
    <x:tableColumn id="3" name="Партнёр"/>
    <x:tableColumn id="4" name="Балл"/>
    <x:tableColumn id="5" name="Уверенность"/>
    <x:tableColumn id="6" name="Число источников"/>
    <x:tableColumn id="7" name="Тип механизма"/>
    <x:tableColumn id="8" name="Применение"/>
    <x:tableColumn id="9" name="Источники"/>
    <x:tableColumn id="10" name="Страницы"/>
  </x:tableColumns>
  <x:tableStyleInfo name="TableStyleMedium2" showRowStripes="1"/>
</x:table>
</file>

<file path=xl/tables/table14.xml><?xml version="1.0" encoding="utf-8"?>
<x:table xmlns:x="http://schemas.openxmlformats.org/spreadsheetml/2006/main" id="14" name="VegetableTechnologiesTable" displayName="VegetableTechnologiesTable" ref="A4:H14" headerRowCount="1">
  <x:tableColumns count="8">
    <x:tableColumn id="1" name="Технология"/>
    <x:tableColumn id="2" name="Подходит для"/>
    <x:tableColumn id="3" name="Основной механизм"/>
    <x:tableColumn id="4" name="Рабочий подход"/>
    <x:tableColumn id="5" name="Что раскрывается"/>
    <x:tableColumn id="6" name="Главный риск"/>
    <x:tableColumn id="7" name="Как контролировать"/>
    <x:tableColumn id="8" name="Пример применения"/>
  </x:tableColumns>
  <x:tableStyleInfo name="TableStyleMedium2" showRowStripes="1"/>
</x:table>
</file>

<file path=xl/tables/table15.xml><?xml version="1.0" encoding="utf-8"?>
<x:table xmlns:x="http://schemas.openxmlformats.org/spreadsheetml/2006/main" id="15" name="VegetableSafetyTable" displayName="VegetableSafetyTable" ref="A11:F18" headerRowCount="1">
  <x:tableColumns count="6">
    <x:tableColumn id="1" name="Риск"/>
    <x:tableColumn id="2" name="Где актуален"/>
    <x:tableColumn id="3" name="Почему это важно"/>
    <x:tableColumn id="4" name="Контроль на производстве"/>
    <x:tableColumn id="5" name="Сенсорный признак"/>
    <x:tableColumn id="6" name="Официальный источник"/>
  </x:tableColumns>
  <x:tableStyleInfo name="TableStyleMedium2" showRowStripes="1"/>
</x:table>
</file>

<file path=xl/tables/table16.xml><?xml version="1.0" encoding="utf-8"?>
<x:table xmlns:x="http://schemas.openxmlformats.org/spreadsheetml/2006/main" id="16" name="VegetableIngredientGlossaryTable" displayName="VegetableIngredientGlossaryTable" ref="A1:I390" headerRowCount="1">
  <x:tableColumns count="9">
    <x:tableColumn id="1" name="Ингредиент"/>
    <x:tableColumn id="2" name="Группа"/>
    <x:tableColumn id="3" name="Аромапрофиль"/>
    <x:tableColumn id="4" name="Характерные соединения"/>
    <x:tableColumn id="5" name="Вкус"/>
    <x:tableColumn id="6" name="Тройничный эффект"/>
    <x:tableColumn id="7" name="Матрица"/>
    <x:tableColumn id="8" name="Комментарий по обработке"/>
    <x:tableColumn id="9" name="Количество пар"/>
  </x:tableColumns>
  <x:tableStyleInfo name="TableStyleMedium2" showRowStripes="1"/>
</x:table>
</file>

<file path=xl/tables/table17.xml><?xml version="1.0" encoding="utf-8"?>
<x:table xmlns:x="http://schemas.openxmlformats.org/spreadsheetml/2006/main" id="17" name="VegetableMoleculeTable" displayName="VegetableMoleculeTable" ref="A1:F17" headerRowCount="1">
  <x:tableColumns count="6">
    <x:tableColumn id="1" name="Соединение / группа"/>
    <x:tableColumn id="2" name="Класс"/>
    <x:tableColumn id="3" name="Аромат / эффект"/>
    <x:tableColumn id="4" name="Поведение и растворимость"/>
    <x:tableColumn id="5" name="Роль в сочетаниях"/>
    <x:tableColumn id="6" name="Критическая точ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cae0647f2b4c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a017ad0cb94f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87fbde0abb46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520829492946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d5200b831c44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175243eebc45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01ac72825a4e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f8cf9bb28041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b50f18ef8043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9fa5ac4ff3b44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849954170e443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b8e49e250cc4d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a776079611645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f3d306bfb7945b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5d3a1fb3ac644e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7bc190da9a04ec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c4d905e8b024ac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f90191dfefc4c9c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7" hidden="0" customWidth="1"/>
    <x:col min="3" max="3" width="39" hidden="0" customWidth="1"/>
    <x:col min="4" max="4" width="24" hidden="0" customWidth="1"/>
    <x:col min="5" max="5" width="15" hidden="0" customWidth="1"/>
    <x:col min="6" max="6" width="3" hidden="0" customWidth="1"/>
    <x:col min="7" max="7" width="34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ЭНЦИКЛОПЕДИЯ СОЧЕТАНИЙ ВКУСОВ — ЧАСТЬ 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52" customHeight="1">
      <x:c r="A3" s="11" t="str">
        <x:v>Овощи, корнеплоды и грибы: грибы, баклажан, свёкла, картофель, батат, сельдерей, лук, чеснок, капуста, брюква, репа, редис, цветная капуста, брокколи, артишок, спаржа, горох, зелёная фасоль, болгарский перец, томат, морковь, тыква, пастернак, огурец, кабачок и фенхель. Все пары сведены из трёх PDF, очищены от дублей и снабжены научно-сенсорным объяснением, технологиями обработки и критическими точками.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52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20" t="str">
        <x:v>Показатель</x:v>
      </x:c>
      <x:c r="B6" s="20" t="str">
        <x:v>Значение</x:v>
      </x:c>
      <x:c r="D6" s="20" t="str">
        <x:v>Основной раздел</x:v>
      </x:c>
      <x:c r="E6" s="20" t="str">
        <x:v>Количество</x:v>
      </x:c>
      <x:c r="G6" s="20" t="str">
        <x:v>Источник</x:v>
      </x:c>
      <x:c r="H6" s="20" t="str">
        <x:v>Пар в базе</x:v>
      </x:c>
    </x:row>
    <x:row r="7">
      <x:c r="A7" s="32" t="str">
        <x:v>Уникальных сочетаний</x:v>
      </x:c>
      <x:c r="B7" s="28" t="n">
        <x:f>COUNTA('Все сочетания'!A:A)-1</x:f>
        <x:v>1128</x:v>
      </x:c>
      <x:c r="D7" s="28" t="str">
        <x:v>Напитки</x:v>
      </x:c>
      <x:c r="E7" s="28" t="n">
        <x:v>38</x:v>
      </x:c>
      <x:c r="G7" s="28" t="str">
        <x:v>Тезаурус вкусов</x:v>
      </x:c>
      <x:c r="H7" s="28" t="n">
        <x:v>372</x:v>
      </x:c>
    </x:row>
    <x:row r="8">
      <x:c r="A8" s="32" t="str">
        <x:v>Уникальных ингредиентов</x:v>
      </x:c>
      <x:c r="B8" s="28" t="n">
        <x:f>COUNTA('Ингредиенты'!A:A)-1</x:f>
        <x:v>389</x:v>
      </x:c>
      <x:c r="D8" s="28" t="str">
        <x:v>Еда и соусы</x:v>
      </x:c>
      <x:c r="E8" s="28" t="n">
        <x:v>290</x:v>
      </x:c>
      <x:c r="G8" s="28" t="str">
        <x:v>The Art &amp; Science of Foodpairing</x:v>
      </x:c>
      <x:c r="H8" s="28" t="n">
        <x:v>729</x:v>
      </x:c>
    </x:row>
    <x:row r="9">
      <x:c r="A9" s="32" t="str">
        <x:v>Исходных записей</x:v>
      </x:c>
      <x:c r="B9" s="28" t="n">
        <x:f>1707</x:f>
        <x:v>1707</x:v>
      </x:c>
      <x:c r="D9" s="28" t="str">
        <x:v>Десерты и выпечка</x:v>
      </x:c>
      <x:c r="E9" s="28" t="n">
        <x:v>270</x:v>
      </x:c>
      <x:c r="G9" s="28" t="str">
        <x:v>Таблица сочетаний</x:v>
      </x:c>
      <x:c r="H9" s="28" t="n">
        <x:v>89</x:v>
      </x:c>
    </x:row>
    <x:row r="10">
      <x:c r="A10" s="32" t="str">
        <x:v>Высокая уверенность</x:v>
      </x:c>
      <x:c r="B10" s="28" t="n">
        <x:f>COUNTIF('Все сочетания'!Z:Z,"Высокая")</x:f>
        <x:v>114</x:v>
      </x:c>
      <x:c r="D10" s="28" t="str">
        <x:v>Универсальные</x:v>
      </x:c>
      <x:c r="E10" s="28" t="n">
        <x:v>530</x:v>
      </x:c>
    </x:row>
    <x:row r="11">
      <x:c r="A11" s="32" t="str">
        <x:v>Средняя уверенность</x:v>
      </x:c>
      <x:c r="B11" s="28" t="n">
        <x:f>COUNTIF('Все сочетания'!Z:Z,"Средняя")</x:f>
        <x:v>949</x:v>
      </x:c>
    </x:row>
    <x:row r="12">
      <x:c r="A12" s="32" t="str">
        <x:v>Гипотеза / практическая</x:v>
      </x:c>
      <x:c r="B12" s="28" t="n">
        <x:f>COUNTIF('Все сочетания'!Z:Z,"Гипотеза / практическая")</x:f>
        <x:v>65</x:v>
      </x:c>
    </x:row>
    <x:row r="15">
      <x:c r="A15" s="20" t="str">
        <x:v>Базовый ингредиент</x:v>
      </x:c>
      <x:c r="B15" s="20" t="str">
        <x:v>Количество пар</x:v>
      </x:c>
    </x:row>
    <x:row r="16">
      <x:c r="A16" s="28" t="str">
        <x:v>чеснок</x:v>
      </x:c>
      <x:c r="B16" s="28" t="n">
        <x:v>122</x:v>
      </x:c>
    </x:row>
    <x:row r="17">
      <x:c r="A17" s="28" t="str">
        <x:v>картофель</x:v>
      </x:c>
      <x:c r="B17" s="28" t="n">
        <x:v>108</x:v>
      </x:c>
    </x:row>
    <x:row r="18">
      <x:c r="A18" s="28" t="str">
        <x:v>томат</x:v>
      </x:c>
      <x:c r="B18" s="28" t="n">
        <x:v>92</x:v>
      </x:c>
    </x:row>
    <x:row r="19">
      <x:c r="A19" s="28" t="str">
        <x:v>свёкла</x:v>
      </x:c>
      <x:c r="B19" s="28" t="n">
        <x:v>89</x:v>
      </x:c>
    </x:row>
    <x:row r="20">
      <x:c r="A20" s="28" t="str">
        <x:v>морковь</x:v>
      </x:c>
      <x:c r="B20" s="28" t="n">
        <x:v>82</x:v>
      </x:c>
    </x:row>
    <x:row r="21">
      <x:c r="A21" s="28" t="str">
        <x:v>батат</x:v>
      </x:c>
      <x:c r="B21" s="28" t="n">
        <x:v>64</x:v>
      </x:c>
    </x:row>
    <x:row r="22">
      <x:c r="A22" s="28" t="str">
        <x:v>огурец</x:v>
      </x:c>
      <x:c r="B22" s="28" t="n">
        <x:v>63</x:v>
      </x:c>
    </x:row>
    <x:row r="23">
      <x:c r="A23" s="28" t="str">
        <x:v>сельдерей корневой</x:v>
      </x:c>
      <x:c r="B23" s="28" t="n">
        <x:v>60</x:v>
      </x:c>
    </x:row>
    <x:row r="24">
      <x:c r="A24" s="28" t="str">
        <x:v>болгарский перец</x:v>
      </x:c>
      <x:c r="B24" s="28" t="n">
        <x:v>57</x:v>
      </x:c>
    </x:row>
    <x:row r="25">
      <x:c r="A25" s="28" t="str">
        <x:v>грибы</x:v>
      </x:c>
      <x:c r="B25" s="28" t="n">
        <x:v>53</x:v>
      </x:c>
    </x:row>
    <x:row r="26">
      <x:c r="A26" s="28" t="str">
        <x:v>лук</x:v>
      </x:c>
      <x:c r="B26" s="28" t="n">
        <x:v>30</x:v>
      </x:c>
    </x:row>
    <x:row r="27">
      <x:c r="A27" s="28" t="str">
        <x:v>капуста</x:v>
      </x:c>
      <x:c r="B27" s="28" t="n">
        <x:v>28</x:v>
      </x:c>
    </x:row>
    <x:row r="28">
      <x:c r="A28" s="28" t="str">
        <x:v>тыква</x:v>
      </x:c>
      <x:c r="B28" s="28" t="n">
        <x:v>28</x:v>
      </x:c>
    </x:row>
    <x:row r="29">
      <x:c r="A29" s="28" t="str">
        <x:v>артишок</x:v>
      </x:c>
      <x:c r="B29" s="28" t="n">
        <x:v>27</x:v>
      </x:c>
    </x:row>
    <x:row r="30">
      <x:c r="A30" s="28" t="str">
        <x:v>сельдерей</x:v>
      </x:c>
      <x:c r="B30" s="28" t="n">
        <x:v>25</x:v>
      </x:c>
    </x:row>
    <x:row r="31">
      <x:c r="A31" s="28" t="str">
        <x:v>спаржа</x:v>
      </x:c>
      <x:c r="B31" s="28" t="n">
        <x:v>25</x:v>
      </x:c>
    </x:row>
    <x:row r="32">
      <x:c r="A32" s="28" t="str">
        <x:v>тыква баттернат</x:v>
      </x:c>
      <x:c r="B32" s="28" t="n">
        <x:v>25</x:v>
      </x:c>
    </x:row>
    <x:row r="33">
      <x:c r="A33" s="28" t="str">
        <x:v>баклажан</x:v>
      </x:c>
      <x:c r="B33" s="28" t="n">
        <x:v>22</x:v>
      </x:c>
    </x:row>
    <x:row r="34">
      <x:c r="A34" s="28" t="str">
        <x:v>горох</x:v>
      </x:c>
      <x:c r="B34" s="28" t="n">
        <x:v>22</x:v>
      </x:c>
    </x:row>
    <x:row r="35">
      <x:c r="A35" s="28" t="str">
        <x:v>цветная капуста</x:v>
      </x:c>
      <x:c r="B35" s="28" t="n">
        <x:v>22</x:v>
      </x:c>
    </x:row>
    <x:row r="36">
      <x:c r="A36" s="28" t="str">
        <x:v>фенхель</x:v>
      </x:c>
      <x:c r="B36" s="28" t="n">
        <x:v>18</x:v>
      </x:c>
    </x:row>
    <x:row r="37">
      <x:c r="A37" s="28" t="str">
        <x:v>пастернак</x:v>
      </x:c>
      <x:c r="B37" s="28" t="n">
        <x:v>17</x:v>
      </x:c>
    </x:row>
    <x:row r="38">
      <x:c r="A38" s="28" t="str">
        <x:v>брокколи</x:v>
      </x:c>
      <x:c r="B38" s="28" t="n">
        <x:v>15</x:v>
      </x:c>
    </x:row>
    <x:row r="39">
      <x:c r="A39" s="28" t="str">
        <x:v>зелёная фасоль</x:v>
      </x:c>
      <x:c r="B39" s="28" t="n">
        <x:v>9</x:v>
      </x:c>
    </x:row>
    <x:row r="40">
      <x:c r="A40" s="28" t="str">
        <x:v>брюква</x:v>
      </x:c>
      <x:c r="B40" s="28" t="n">
        <x:v>8</x:v>
      </x:c>
    </x:row>
    <x:row r="41">
      <x:c r="A41" s="28" t="str">
        <x:v>редис</x:v>
      </x:c>
      <x:c r="B41" s="28" t="n">
        <x:v>7</x:v>
      </x:c>
    </x:row>
    <x:row r="42">
      <x:c r="A42" s="28" t="str">
        <x:v>репа</x:v>
      </x:c>
      <x:c r="B42" s="28" t="n">
        <x:v>6</x:v>
      </x:c>
    </x:row>
    <x:row r="43">
      <x:c r="A43" s="28" t="str">
        <x:v>кабачок</x:v>
      </x:c>
      <x:c r="B43" s="28" t="n">
        <x:v>4</x:v>
      </x:c>
    </x:row>
    <x:row r="47">
      <x:c r="A47" s="36" t="str">
        <x:v>КАК ЧИТАТЬ НАУЧНЫЕ ПОЛЯ</x:v>
      </x:c>
      <x:c r="B47" s="36"/>
      <x:c r="C47" s="36"/>
      <x:c r="D47" s="36"/>
      <x:c r="E47" s="36"/>
      <x:c r="F47" s="36"/>
      <x:c r="G47" s="36"/>
      <x:c r="H47" s="36"/>
      <x:c r="I47" s="36"/>
      <x:c r="J47" s="36"/>
    </x:row>
    <x:row r="48" ht="118" customHeight="1">
      <x:c r="A48" s="43" t="str">
        <x:v>• Конкретная общая молекула указывается только при совпадении рабочих профилей обоих ингредиентов. Если такого подтверждения нет, сочетание объясняется через ароматические семейства, базовые вкусы, тройничное восприятие, пищевую матрицу и способ обработки.
• Глутамат, нуклеотиды, глюкозинолаты, пигменты и крахмал важны для вкуса, цвета и текстуры, но не являются основными источниками запаха. Летучую ароматику формируют альдегиды, спирты, сернистые соединения, пиразины, фураны, терпены и другие одоранты.
• Высокая уверенность означает несколько источников либо прямую Classic/Potential pairing. Средняя — статья или pairing grid одного сильного источника. Практическая гипотеза — рекомендация компактной таблицы без достаточного аналитического разбора.</x:v>
      </x:c>
      <x:c r="B48" s="43"/>
      <x:c r="C48" s="43"/>
      <x:c r="D48" s="43"/>
      <x:c r="E48" s="43"/>
      <x:c r="F48" s="43"/>
      <x:c r="G48" s="43"/>
      <x:c r="H48" s="43"/>
      <x:c r="I48" s="43"/>
      <x:c r="J48" s="43"/>
    </x:row>
    <x:row r="49" ht="118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</x:row>
    <x:row r="50" ht="118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</x:row>
    <x:row r="51" ht="118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</x:row>
    <x:row r="52" ht="118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</x:row>
    <x:row r="53" ht="118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</x:row>
    <x:row r="54" ht="118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</x:row>
    <x:row r="55" ht="118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</x:row>
    <x:row r="56" ht="118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</x:row>
    <x:row r="57" ht="118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</x:row>
  </x:sheetData>
  <x:mergeCells>
    <x:mergeCell ref="A1:J2"/>
    <x:mergeCell ref="A3:J4"/>
    <x:mergeCell ref="A47:J47"/>
    <x:mergeCell ref="A48:J57"/>
  </x:mergeCells>
  <x:pageMargins left="0.7" right="0.7" top="0.75" bottom="0.75" header="0.3" footer="0.3"/>
  <x:drawing xmlns:r="http://schemas.openxmlformats.org/officeDocument/2006/relationships" r:id="Rfecae0647f2b4c6f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28" hidden="0" customWidth="1"/>
    <x:col min="5" max="5" width="30" hidden="0" customWidth="1"/>
    <x:col min="6" max="6" width="29" hidden="0" customWidth="1"/>
    <x:col min="7" max="7" width="32" hidden="0" customWidth="1"/>
    <x:col min="8" max="8" width="34" hidden="0" customWidth="1"/>
    <x:col min="9" max="9" width="30" hidden="0" customWidth="1"/>
    <x:col min="10" max="10" width="38" hidden="0" customWidth="1"/>
    <x:col min="11" max="11" width="38" hidden="0" customWidth="1"/>
    <x:col min="12" max="12" width="43" hidden="0" customWidth="1"/>
    <x:col min="13" max="13" width="43" hidden="0" customWidth="1"/>
    <x:col min="14" max="14" width="39" hidden="0" customWidth="1"/>
    <x:col min="15" max="15" width="43" hidden="0" customWidth="1"/>
    <x:col min="16" max="16" width="40" hidden="0" customWidth="1"/>
    <x:col min="17" max="17" width="51" hidden="0" customWidth="1"/>
    <x:col min="18" max="18" width="46" hidden="0" customWidth="1"/>
    <x:col min="19" max="19" width="55" hidden="0" customWidth="1"/>
    <x:col min="20" max="20" width="57" hidden="0" customWidth="1"/>
    <x:col min="21" max="21" width="72" hidden="0" customWidth="1"/>
    <x:col min="22" max="22" width="58" hidden="0" customWidth="1"/>
    <x:col min="23" max="23" width="35" hidden="0" customWidth="1"/>
    <x:col min="24" max="24" width="51" hidden="0" customWidth="1"/>
    <x:col min="25" max="25" width="28" hidden="0" customWidth="1"/>
    <x:col min="26" max="26" width="22" hidden="0" customWidth="1"/>
    <x:col min="27" max="27" width="41" hidden="0" customWidth="1"/>
    <x:col min="28" max="28" width="49" hidden="0" customWidth="1"/>
    <x:col min="29" max="29" width="60" hidden="0" customWidth="1"/>
    <x:col min="30" max="30" width="14" hidden="0" customWidth="1"/>
    <x:col min="31" max="31" width="14" hidden="0" customWidth="1"/>
    <x:col min="32" max="32" width="11" hidden="0" customWidth="1"/>
  </x:cols>
  <x:sheetData>
    <x:row r="1" ht="44" customHeight="1">
      <x:c r="A1" s="20" t="str">
        <x:v>ID</x:v>
      </x:c>
      <x:c r="B1" s="20" t="str">
        <x:v>Базовый ингредиент</x:v>
      </x:c>
      <x:c r="C1" s="20" t="str">
        <x:v>Основной раздел</x:v>
      </x:c>
      <x:c r="D1" s="20" t="str">
        <x:v>Ингредиент 1</x:v>
      </x:c>
      <x:c r="E1" s="20" t="str">
        <x:v>Оригинал 1</x:v>
      </x:c>
      <x:c r="F1" s="20" t="str">
        <x:v>Группа 1</x:v>
      </x:c>
      <x:c r="G1" s="20" t="str">
        <x:v>Ингредиент 2</x:v>
      </x:c>
      <x:c r="H1" s="20" t="str">
        <x:v>Оригинал 2</x:v>
      </x:c>
      <x:c r="I1" s="20" t="str">
        <x:v>Группа 2</x:v>
      </x:c>
      <x:c r="J1" s="20" t="str">
        <x:v>Аромапрофиль 1</x:v>
      </x:c>
      <x:c r="K1" s="20" t="str">
        <x:v>Аромапрофиль 2</x:v>
      </x:c>
      <x:c r="L1" s="20" t="str">
        <x:v>Ключевые соединения 1</x:v>
      </x:c>
      <x:c r="M1" s="20" t="str">
        <x:v>Ключевые соединения 2</x:v>
      </x:c>
      <x:c r="N1" s="20" t="str">
        <x:v>Общий ароматический мост</x:v>
      </x:c>
      <x:c r="O1" s="20" t="str">
        <x:v>Общие соединения</x:v>
      </x:c>
      <x:c r="P1" s="20" t="str">
        <x:v>Тип механизма</x:v>
      </x:c>
      <x:c r="Q1" s="20" t="str">
        <x:v>Вкусовое взаимодействие</x:v>
      </x:c>
      <x:c r="R1" s="20" t="str">
        <x:v>Тройничный эффект</x:v>
      </x:c>
      <x:c r="S1" s="20" t="str">
        <x:v>Матрица и растворимость</x:v>
      </x:c>
      <x:c r="T1" s="20" t="str">
        <x:v>Влияние обработки</x:v>
      </x:c>
      <x:c r="U1" s="20" t="str">
        <x:v>Подробное научное объяснение</x:v>
      </x:c>
      <x:c r="V1" s="20" t="str">
        <x:v>Критические точки</x:v>
      </x:c>
      <x:c r="W1" s="20" t="str">
        <x:v>Ингредиент-мост</x:v>
      </x:c>
      <x:c r="X1" s="20" t="str">
        <x:v>Практическое применение</x:v>
      </x:c>
      <x:c r="Y1" s="20" t="str">
        <x:v>Теги применения</x:v>
      </x:c>
      <x:c r="Z1" s="20" t="str">
        <x:v>Уверенность</x:v>
      </x:c>
      <x:c r="AA1" s="20" t="str">
        <x:v>Источники</x:v>
      </x:c>
      <x:c r="AB1" s="20" t="str">
        <x:v>Страницы</x:v>
      </x:c>
      <x:c r="AC1" s="20" t="str">
        <x:v>Основание из источника</x:v>
      </x:c>
      <x:c r="AD1" s="20" t="str">
        <x:v>Число источников</x:v>
      </x:c>
      <x:c r="AE1" s="20" t="str">
        <x:v>Число записей</x:v>
      </x:c>
      <x:c r="AF1" s="20" t="str">
        <x:v>Балл</x:v>
      </x:c>
    </x:row>
    <x:row r="2" ht="64" customHeight="1">
      <x:c r="A2" s="28" t="str">
        <x:v>VEG-0001</x:v>
      </x:c>
      <x:c r="B2" s="28" t="str">
        <x:v>артишок</x:v>
      </x:c>
      <x:c r="C2" s="28" t="str">
        <x:v>Универсальные</x:v>
      </x:c>
      <x:c r="D2" s="28" t="str">
        <x:v>артишок</x:v>
      </x:c>
      <x:c r="E2" s="28" t="str">
        <x:v>boiled artichoke</x:v>
      </x:c>
      <x:c r="F2" s="28" t="str">
        <x:v>Соцветия и стеблевые овощи</x:v>
      </x:c>
      <x:c r="G2" s="28" t="str">
        <x:v>арбуз</x:v>
      </x:c>
      <x:c r="H2" s="28" t="str">
        <x:v>watermelon</x:v>
      </x:c>
      <x:c r="I2" s="28" t="str">
        <x:v>Прочее</x:v>
      </x:c>
      <x:c r="J2" s="28" t="str">
        <x:v>зелёный, ореховый, травянистый и слегка цветочный</x:v>
      </x:c>
      <x:c r="K2" s="28" t="str">
        <x:v>профиль зависит от конкретного продукта</x:v>
      </x:c>
      <x:c r="L2" s="28" t="str">
        <x:v>цинарин, сесквитерпеновые лактоны, зелёные альдегиды</x:v>
      </x:c>
      <x:c r="M2" s="28" t="str">
        <x:v>конкретный молекулярный профиль не указан</x:v>
      </x:c>
      <x:c r="N2" s="28" t="str">
        <x:v>прямое пересечение семейств не подтверждено</x:v>
      </x:c>
      <x:c r="O2" s="28" t="str">
        <x:v>надёжная общая ключевая молекула не установлена</x:v>
      </x:c>
      <x:c r="P2" s="28" t="str">
        <x:v>сенсорная комплементарность</x:v>
      </x:c>
      <x:c r="Q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" s="28" t="str">
        <x:v>минимальный</x:v>
      </x:c>
      <x:c r="S2" s="28" t="str">
        <x:v>волокнистые листья и нежное сердце; фенолы быстро окисляются</x:v>
      </x:c>
      <x:c r="T2" s="28" t="str">
        <x:v>кислота ограничивает потемнение; варка и гриль смягчают горечь и усиливают ореховые ноты. </x:v>
      </x:c>
      <x:c r="U2" s="28" t="str">
        <x:v>Артишок имеет профиль «зелёный, ореховый, травянистый и слегка цветочный».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" s="28" t="str">
        <x:v>быстро темнеет; цинарин изменяет восприятие последующей сладости и может мешать винным сочетаниям</x:v>
      </x:c>
      <x:c r="W2" s="28" t="str">
        <x:v>соль, кислота или ароматический жир</x:v>
      </x:c>
      <x:c r="X2" s="28" t="str">
        <x:v>горячее блюдо, бульон, соус, пюре, ферментация или гарнир с арбуз</x:v>
      </x:c>
      <x:c r="Y2" s="28" t="str">
        <x:v>универсальное</x:v>
      </x:c>
      <x:c r="Z2" s="28" t="str">
        <x:v>Средняя</x:v>
      </x:c>
      <x:c r="AA2" s="28" t="str">
        <x:v>The Art &amp; Science of Foodpairing.pdf</x:v>
      </x:c>
      <x:c r="AB2" s="28" t="str">
        <x:v>The Art &amp; Science of Foodpairing.pdf: 78</x:v>
      </x:c>
      <x:c r="AC2" s="28" t="str">
        <x:v>связь из pairing grid, стр. 78</x:v>
      </x:c>
      <x:c r="AD2" s="28" t="n">
        <x:v>1</x:v>
      </x:c>
      <x:c r="AE2" s="28" t="n">
        <x:v>1</x:v>
      </x:c>
      <x:c r="AF2" s="28" t="n">
        <x:f>IF(Z2="Высокая",3,IF(Z2="Средняя",2,1))+AD2*2+MIN(AE2,3)</x:f>
        <x:v>5</x:v>
      </x:c>
    </x:row>
    <x:row r="3" ht="64" customHeight="1">
      <x:c r="A3" s="28" t="str">
        <x:v>VEG-0002</x:v>
      </x:c>
      <x:c r="B3" s="28" t="str">
        <x:v>артишок</x:v>
      </x:c>
      <x:c r="C3" s="28" t="str">
        <x:v>Десерты и выпечка</x:v>
      </x:c>
      <x:c r="D3" s="28" t="str">
        <x:v>артишок</x:v>
      </x:c>
      <x:c r="E3" s="28" t="str">
        <x:v>boiled artichoke</x:v>
      </x:c>
      <x:c r="F3" s="28" t="str">
        <x:v>Соцветия и стеблевые овощи</x:v>
      </x:c>
      <x:c r="G3" s="28" t="str">
        <x:v>банан</x:v>
      </x:c>
      <x:c r="H3" s="28" t="str">
        <x:v>banana</x:v>
      </x:c>
      <x:c r="I3" s="28" t="str">
        <x:v>Фрукты и ягоды</x:v>
      </x:c>
      <x:c r="J3" s="28" t="str">
        <x:v>зелёный, ореховый, травянистый и слегка цветочный</x:v>
      </x:c>
      <x:c r="K3" s="28" t="str">
        <x:v>фруктовый, цветочный и свежий</x:v>
      </x:c>
      <x:c r="L3" s="28" t="str">
        <x:v>цинарин, сесквитерпеновые лактоны, зелёные альдегиды</x:v>
      </x:c>
      <x:c r="M3" s="28" t="str">
        <x:v>альдегиды, эфиры</x:v>
      </x:c>
      <x:c r="N3" s="28" t="str">
        <x:v>цветочный</x:v>
      </x:c>
      <x:c r="O3" s="28" t="str">
        <x:v>надёжная общая ключевая молекула не установлена</x:v>
      </x:c>
      <x:c r="P3" s="28" t="str">
        <x:v>пересечение ароматических семейств; кислотно-сладкий баланс</x:v>
      </x:c>
      <x:c r="Q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" s="28" t="str">
        <x:v>минимальный</x:v>
      </x:c>
      <x:c r="S3" s="28" t="str">
        <x:v>волокнистые листья и нежное сердце; фенолы быстро окисляются Водная кислая фаза усиливает свежесть, но может разжижать пюре и нарушать молочную эмульсию.</x:v>
      </x:c>
      <x:c r="T3" s="28" t="str">
        <x:v>кислота ограничивает потемнение; варка и гриль смягчают горечь и усиливают ореховые ноты. </x:v>
      </x:c>
      <x:c r="U3" s="28" t="str">
        <x:v>Артишок имеет профиль «зелёный, ореховый, травянистый и слегка цветочный». Партнёр «банан» относится к группе «Фрукты и ягоды» и даёт фруктовый, цветочный и свежий. Профили пересекаются в семействах: цветочный.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W3" s="28" t="str">
        <x:v>цитрус, мёд или мягкая трава</x:v>
      </x:c>
      <x:c r="X3" s="28" t="str">
        <x:v>горячее блюдо, бульон, соус, пюре, ферментация или гарнир с банан</x:v>
      </x:c>
      <x:c r="Y3" s="28" t="str">
        <x:v>десерты</x:v>
      </x:c>
      <x:c r="Z3" s="28" t="str">
        <x:v>Средняя</x:v>
      </x:c>
      <x:c r="AA3" s="28" t="str">
        <x:v>The Art &amp; Science of Foodpairing.pdf</x:v>
      </x:c>
      <x:c r="AB3" s="28" t="str">
        <x:v>The Art &amp; Science of Foodpairing.pdf: 342</x:v>
      </x:c>
      <x:c r="AC3" s="28" t="str">
        <x:v>связь из pairing grid, стр. 342</x:v>
      </x:c>
      <x:c r="AD3" s="28" t="n">
        <x:v>1</x:v>
      </x:c>
      <x:c r="AE3" s="28" t="n">
        <x:v>1</x:v>
      </x:c>
      <x:c r="AF3" s="28" t="n">
        <x:f>IF(Z3="Высокая",3,IF(Z3="Средняя",2,1))+AD3*2+MIN(AE3,3)</x:f>
        <x:v>5</x:v>
      </x:c>
    </x:row>
    <x:row r="4" ht="64" customHeight="1">
      <x:c r="A4" s="28" t="str">
        <x:v>VEG-0003</x:v>
      </x:c>
      <x:c r="B4" s="28" t="str">
        <x:v>артишок</x:v>
      </x:c>
      <x:c r="C4" s="28" t="str">
        <x:v>Еда и соусы</x:v>
      </x:c>
      <x:c r="D4" s="28" t="str">
        <x:v>артишок</x:v>
      </x:c>
      <x:c r="E4" s="28" t="str">
        <x:v>Артишок | артишок</x:v>
      </x:c>
      <x:c r="F4" s="28" t="str">
        <x:v>Соцветия и стеблевые овощи</x:v>
      </x:c>
      <x:c r="G4" s="28" t="str">
        <x:v>баранина</x:v>
      </x:c>
      <x:c r="H4" s="28" t="str">
        <x:v>Баранина | баранина | баранина)</x:v>
      </x:c>
      <x:c r="I4" s="28" t="str">
        <x:v>Мясо и птица</x:v>
      </x:c>
      <x:c r="J4" s="28" t="str">
        <x:v>зелёный, ореховый, травянистый и слегка цветочный</x:v>
      </x:c>
      <x:c r="K4" s="28" t="str">
        <x:v>жареный, мясной и умами</x:v>
      </x:c>
      <x:c r="L4" s="28" t="str">
        <x:v>цинарин, сесквитерпеновые лактоны, зелёные альдегиды</x:v>
      </x:c>
      <x:c r="M4" s="28" t="str">
        <x:v>пиразины, сернистые соединения</x:v>
      </x:c>
      <x:c r="N4" s="28" t="str">
        <x:v>прямое пересечение семейств не подтверждено</x:v>
      </x:c>
      <x:c r="O4" s="28" t="str">
        <x:v>надёжная общая ключевая молекула не установлена</x:v>
      </x:c>
      <x:c r="P4" s="28" t="str">
        <x:v>умами и солёный контраст</x:v>
      </x:c>
      <x:c r="Q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" s="28" t="str">
        <x:v>минимальный</x:v>
      </x:c>
      <x:c r="S4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4" s="28" t="str">
        <x:v>кислота ограничивает потемнение; варка и гриль смягчают горечь и усиливают ореховые ноты. </x:v>
      </x:c>
      <x:c r="U4" s="28" t="str">
        <x:v>Артишок имеет профиль «зелёный, ореховый, травянистый и слегка цветочный».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4" s="28" t="str">
        <x:v>быстро темнеет; цинарин изменяет восприятие последующей сладости и может мешать винным сочетаниям</x:v>
      </x:c>
      <x:c r="W4" s="28" t="str">
        <x:v>сливочное масло, соевый соус или тимьян</x:v>
      </x:c>
      <x:c r="X4" s="28" t="str">
        <x:v>горячее блюдо, бульон, соус, пюре, ферментация или гарнир с баранина</x:v>
      </x:c>
      <x:c r="Y4" s="28" t="str">
        <x:v>еда, соусы/маринады</x:v>
      </x:c>
      <x:c r="Z4" s="28" t="str">
        <x:v>Средняя</x:v>
      </x:c>
      <x:c r="AA4" s="28" t="str">
        <x:v>Тезариус вкусов (Ники Сегнит)(1).pdf</x:v>
      </x:c>
      <x:c r="AB4" s="28" t="str">
        <x:v>Тезариус вкусов (Ники Сегнит)(1).pdf: 126, 335, 336</x:v>
      </x:c>
      <x:c r="AC4" s="28" t="str">
        <x:v>развёрнутая пара/статья, стр. 126; развёрнутая пара/статья, стр. 335; развёрнутая пара/статья, стр. 336</x:v>
      </x:c>
      <x:c r="AD4" s="28" t="n">
        <x:v>1</x:v>
      </x:c>
      <x:c r="AE4" s="28" t="n">
        <x:v>3</x:v>
      </x:c>
      <x:c r="AF4" s="28" t="n">
        <x:f>IF(Z4="Высокая",3,IF(Z4="Средняя",2,1))+AD4*2+MIN(AE4,3)</x:f>
        <x:v>7</x:v>
      </x:c>
    </x:row>
    <x:row r="5" ht="64" customHeight="1">
      <x:c r="A5" s="28" t="str">
        <x:v>VEG-0004</x:v>
      </x:c>
      <x:c r="B5" s="28" t="str">
        <x:v>артишок</x:v>
      </x:c>
      <x:c r="C5" s="28" t="str">
        <x:v>Еда и соусы</x:v>
      </x:c>
      <x:c r="D5" s="28" t="str">
        <x:v>артишок</x:v>
      </x:c>
      <x:c r="E5" s="28" t="str">
        <x:v>Артишок | артишок</x:v>
      </x:c>
      <x:c r="F5" s="28" t="str">
        <x:v>Соцветия и стеблевые овощи</x:v>
      </x:c>
      <x:c r="G5" s="28" t="str">
        <x:v>бекон</x:v>
      </x:c>
      <x:c r="H5" s="28" t="str">
        <x:v>Бекон | бекон</x:v>
      </x:c>
      <x:c r="I5" s="28" t="str">
        <x:v>Мясо и птица</x:v>
      </x:c>
      <x:c r="J5" s="28" t="str">
        <x:v>зелёный, ореховый, травянистый и слегка цветочный</x:v>
      </x:c>
      <x:c r="K5" s="28" t="str">
        <x:v>дымный, жареный, умами</x:v>
      </x:c>
      <x:c r="L5" s="28" t="str">
        <x:v>цинарин, сесквитерпеновые лактоны, зелёные альдегиды</x:v>
      </x:c>
      <x:c r="M5" s="28" t="str">
        <x:v>пиразины, фенолы</x:v>
      </x:c>
      <x:c r="N5" s="28" t="str">
        <x:v>прямое пересечение семейств не подтверждено</x:v>
      </x:c>
      <x:c r="O5" s="28" t="str">
        <x:v>надёжная общая ключевая молекула не установлена</x:v>
      </x:c>
      <x:c r="P5" s="28" t="str">
        <x:v>умами и солёный контраст</x:v>
      </x:c>
      <x:c r="Q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5" s="28" t="str">
        <x:v>минимальный</x:v>
      </x:c>
      <x:c r="S5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5" s="28" t="str">
        <x:v>кислота ограничивает потемнение; варка и гриль смягчают горечь и усиливают ореховые ноты. </x:v>
      </x:c>
      <x:c r="U5" s="28" t="str">
        <x:v>Артишок имеет профиль «зелёный, ореховый, травянистый и слегка цветочный».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" s="28" t="str">
        <x:v>быстро темнеет; цинарин изменяет восприятие последующей сладости и может мешать винным сочетаниям</x:v>
      </x:c>
      <x:c r="W5" s="28" t="str">
        <x:v>сливочное масло, соевый соус или тимьян</x:v>
      </x:c>
      <x:c r="X5" s="28" t="str">
        <x:v>горячее блюдо, бульон, соус, пюре, ферментация или гарнир с бекон</x:v>
      </x:c>
      <x:c r="Y5" s="28" t="str">
        <x:v>еда, соусы/маринады</x:v>
      </x:c>
      <x:c r="Z5" s="28" t="str">
        <x:v>Средняя</x:v>
      </x:c>
      <x:c r="AA5" s="28" t="str">
        <x:v>Тезариус вкусов (Ники Сегнит)(1).pdf</x:v>
      </x:c>
      <x:c r="AB5" s="28" t="str">
        <x:v>Тезариус вкусов (Ники Сегнит)(1).pdf: 337, 442</x:v>
      </x:c>
      <x:c r="AC5" s="28" t="str">
        <x:v>развёрнутая пара/статья, стр. 337; развёрнутая пара/статья, стр. 442</x:v>
      </x:c>
      <x:c r="AD5" s="28" t="n">
        <x:v>1</x:v>
      </x:c>
      <x:c r="AE5" s="28" t="n">
        <x:v>2</x:v>
      </x:c>
      <x:c r="AF5" s="28" t="n">
        <x:f>IF(Z5="Высокая",3,IF(Z5="Средняя",2,1))+AD5*2+MIN(AE5,3)</x:f>
        <x:v>6</x:v>
      </x:c>
    </x:row>
    <x:row r="6" ht="64" customHeight="1">
      <x:c r="A6" s="28" t="str">
        <x:v>VEG-0005</x:v>
      </x:c>
      <x:c r="B6" s="28" t="str">
        <x:v>артишок</x:v>
      </x:c>
      <x:c r="C6" s="28" t="str">
        <x:v>Еда и соусы</x:v>
      </x:c>
      <x:c r="D6" s="28" t="str">
        <x:v>артишок</x:v>
      </x:c>
      <x:c r="E6" s="28" t="str">
        <x:v>artichoke</x:v>
      </x:c>
      <x:c r="F6" s="28" t="str">
        <x:v>Соцветия и стеблевые овощи</x:v>
      </x:c>
      <x:c r="G6" s="28" t="str">
        <x:v>говядина</x:v>
      </x:c>
      <x:c r="H6" s="28" t="str">
        <x:v>grilled beef</x:v>
      </x:c>
      <x:c r="I6" s="28" t="str">
        <x:v>Мясо и птица</x:v>
      </x:c>
      <x:c r="J6" s="28" t="str">
        <x:v>зелёный, ореховый, травянистый и слегка цветочный</x:v>
      </x:c>
      <x:c r="K6" s="28" t="str">
        <x:v>жареный, мясной и умами</x:v>
      </x:c>
      <x:c r="L6" s="28" t="str">
        <x:v>цинарин, сесквитерпеновые лактоны, зелёные альдегиды</x:v>
      </x:c>
      <x:c r="M6" s="28" t="str">
        <x:v>пиразины, сернистые соединения</x:v>
      </x:c>
      <x:c r="N6" s="28" t="str">
        <x:v>прямое пересечение семейств не подтверждено</x:v>
      </x:c>
      <x:c r="O6" s="28" t="str">
        <x:v>надёжная общая ключевая молекула не установлена</x:v>
      </x:c>
      <x:c r="P6" s="28" t="str">
        <x:v>умами и солёный контраст</x:v>
      </x:c>
      <x:c r="Q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6" s="28" t="str">
        <x:v>минимальный</x:v>
      </x:c>
      <x:c r="S6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6" s="28" t="str">
        <x:v>кислота ограничивает потемнение; варка и гриль смягчают горечь и усиливают ореховые ноты. </x:v>
      </x:c>
      <x:c r="U6" s="28" t="str">
        <x:v>Артишок имеет профиль «зелёный, ореховый, травянистый и слегка цветочный».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6" s="28" t="str">
        <x:v>быстро темнеет; цинарин изменяет восприятие последующей сладости и может мешать винным сочетаниям</x:v>
      </x:c>
      <x:c r="W6" s="28" t="str">
        <x:v>сливочное масло, соевый соус или тимьян</x:v>
      </x:c>
      <x:c r="X6" s="28" t="str">
        <x:v>горячее блюдо, бульон, соус, пюре, ферментация или гарнир с говядина</x:v>
      </x:c>
      <x:c r="Y6" s="28" t="str">
        <x:v>еда, соусы/маринады</x:v>
      </x:c>
      <x:c r="Z6" s="28" t="str">
        <x:v>Высокая</x:v>
      </x:c>
      <x:c r="AA6" s="28" t="str">
        <x:v>The Art &amp; Science of Foodpairing.pdf</x:v>
      </x:c>
      <x:c r="AB6" s="28" t="str">
        <x:v>The Art &amp; Science of Foodpairing.pdf: 329</x:v>
      </x:c>
      <x:c r="AC6" s="28" t="str">
        <x:v>прямая Classic pairing, стр. 329</x:v>
      </x:c>
      <x:c r="AD6" s="28" t="n">
        <x:v>1</x:v>
      </x:c>
      <x:c r="AE6" s="28" t="n">
        <x:v>1</x:v>
      </x:c>
      <x:c r="AF6" s="28" t="n">
        <x:f>IF(Z6="Высокая",3,IF(Z6="Средняя",2,1))+AD6*2+MIN(AE6,3)</x:f>
        <x:v>6</x:v>
      </x:c>
    </x:row>
    <x:row r="7" ht="64" customHeight="1">
      <x:c r="A7" s="28" t="str">
        <x:v>VEG-0006</x:v>
      </x:c>
      <x:c r="B7" s="28" t="str">
        <x:v>артишок</x:v>
      </x:c>
      <x:c r="C7" s="28" t="str">
        <x:v>Еда и соусы</x:v>
      </x:c>
      <x:c r="D7" s="28" t="str">
        <x:v>артишок</x:v>
      </x:c>
      <x:c r="E7" s="28" t="str">
        <x:v>Артишок | артишок</x:v>
      </x:c>
      <x:c r="F7" s="28" t="str">
        <x:v>Соцветия и стеблевые овощи</x:v>
      </x:c>
      <x:c r="G7" s="28" t="str">
        <x:v>горох</x:v>
      </x:c>
      <x:c r="H7" s="28" t="str">
        <x:v>Горох | горох</x:v>
      </x:c>
      <x:c r="I7" s="28" t="str">
        <x:v>Бобовые</x:v>
      </x:c>
      <x:c r="J7" s="28" t="str">
        <x:v>зелёный, ореховый, травянистый и слегка цветочный</x:v>
      </x:c>
      <x:c r="K7" s="28" t="str">
        <x:v>зелёный, сладкий, бобовый и слегка цветочный</x:v>
      </x:c>
      <x:c r="L7" s="28" t="str">
        <x:v>цинарин, сесквитерпеновые лактоны, зелёные альдегиды</x:v>
      </x:c>
      <x:c r="M7" s="28" t="str">
        <x:v>гексаналь, метоксипиразины, цис-3-гексенол, эфиры</x:v>
      </x:c>
      <x:c r="N7" s="28" t="str">
        <x:v>зелёный</x:v>
      </x:c>
      <x:c r="O7" s="28" t="str">
        <x:v>надёжная общая ключевая молекула не установлена</x:v>
      </x:c>
      <x:c r="P7" s="28" t="str">
        <x:v>пересечение ароматических семейств</x:v>
      </x:c>
      <x:c r="Q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" s="28" t="str">
        <x:v>минимальный</x:v>
      </x:c>
      <x:c r="S7" s="28" t="str">
        <x:v>волокнистые листья и нежное сердце; фенолы быстро окисляются</x:v>
      </x:c>
      <x:c r="T7" s="28" t="str">
        <x:v>кислота ограничивает потемнение; варка и гриль смягчают горечь и усиливают ореховые ноты. </x:v>
      </x:c>
      <x:c r="U7" s="28" t="str">
        <x:v>Артишок имеет профиль «зелёный, ореховый, травянистый и слегка цветочный».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V7" s="28" t="str">
        <x:v>быстро темнеет; цинарин изменяет восприятие последующей сладости и может мешать винным сочетаниям</x:v>
      </x:c>
      <x:c r="W7" s="28" t="str">
        <x:v>соль, кислота или ароматический жир</x:v>
      </x:c>
      <x:c r="X7" s="28" t="str">
        <x:v>горячее блюдо, бульон, соус, пюре, ферментация или гарнир с горох</x:v>
      </x:c>
      <x:c r="Y7" s="28" t="str">
        <x:v>еда, соусы/маринады</x:v>
      </x:c>
      <x:c r="Z7" s="28" t="str">
        <x:v>Средняя</x:v>
      </x:c>
      <x:c r="AA7" s="28" t="str">
        <x:v>Тезариус вкусов (Ники Сегнит)(1).pdf</x:v>
      </x:c>
      <x:c r="AB7" s="28" t="str">
        <x:v>Тезариус вкусов (Ники Сегнит)(1).pdf: 338, 535</x:v>
      </x:c>
      <x:c r="AC7" s="28" t="str">
        <x:v>развёрнутая пара/статья, стр. 338; развёрнутая пара/статья, стр. 535</x:v>
      </x:c>
      <x:c r="AD7" s="28" t="n">
        <x:v>1</x:v>
      </x:c>
      <x:c r="AE7" s="28" t="n">
        <x:v>2</x:v>
      </x:c>
      <x:c r="AF7" s="28" t="n">
        <x:f>IF(Z7="Высокая",3,IF(Z7="Средняя",2,1))+AD7*2+MIN(AE7,3)</x:f>
        <x:v>6</x:v>
      </x:c>
    </x:row>
    <x:row r="8" ht="64" customHeight="1">
      <x:c r="A8" s="28" t="str">
        <x:v>VEG-0007</x:v>
      </x:c>
      <x:c r="B8" s="28" t="str">
        <x:v>артишок</x:v>
      </x:c>
      <x:c r="C8" s="28" t="str">
        <x:v>Универсальные</x:v>
      </x:c>
      <x:c r="D8" s="28" t="str">
        <x:v>артишок</x:v>
      </x:c>
      <x:c r="E8" s="28" t="str">
        <x:v>artichoke</x:v>
      </x:c>
      <x:c r="F8" s="28" t="str">
        <x:v>Соцветия и стеблевые овощи</x:v>
      </x:c>
      <x:c r="G8" s="28" t="str">
        <x:v>кардамон</x:v>
      </x:c>
      <x:c r="H8" s="28" t="str">
        <x:v>cardamom</x:v>
      </x:c>
      <x:c r="I8" s="28" t="str">
        <x:v>Специи</x:v>
      </x:c>
      <x:c r="J8" s="28" t="str">
        <x:v>зелёный, ореховый, травянистый и слегка цветочный</x:v>
      </x:c>
      <x:c r="K8" s="28" t="str">
        <x:v>камфорный, цветочный, цитрусовый</x:v>
      </x:c>
      <x:c r="L8" s="28" t="str">
        <x:v>цинарин, сесквитерпеновые лактоны, зелёные альдегиды</x:v>
      </x:c>
      <x:c r="M8" s="28" t="str">
        <x:v>1,8-цинеол, линалоол</x:v>
      </x:c>
      <x:c r="N8" s="28" t="str">
        <x:v>цветочный</x:v>
      </x:c>
      <x:c r="O8" s="28" t="str">
        <x:v>надёжная общая ключевая молекула не установлена</x:v>
      </x:c>
      <x:c r="P8" s="28" t="str">
        <x:v>пересечение ароматических семейств</x:v>
      </x:c>
      <x:c r="Q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" s="28" t="str">
        <x:v>минимальный</x:v>
      </x:c>
      <x:c r="S8" s="28" t="str">
        <x:v>волокнистые листья и нежное сердце; фенолы быстро окисляются</x:v>
      </x:c>
      <x:c r="T8" s="28" t="str">
        <x:v>кислота ограничивает потемнение; варка и гриль смягчают горечь и усиливают ореховые ноты. </x:v>
      </x:c>
      <x:c r="U8" s="28" t="str">
        <x:v>Артишок имеет профиль «зелёный, ореховый, травянистый и слегка цветочный». Партнёр «кардамон» относится к группе «Специи» и даёт камфорный, цветочный, цитрусовый. Профили пересекаются в семействах: цветочный.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" s="28" t="str">
        <x:v>быстро темнеет; цинарин изменяет восприятие последующей сладости и может мешать винным сочетаниям</x:v>
      </x:c>
      <x:c r="W8" s="28" t="str">
        <x:v>цитрус, йогурт или мёд</x:v>
      </x:c>
      <x:c r="X8" s="28" t="str">
        <x:v>горячее блюдо, бульон, соус, пюре, ферментация или гарнир с кардамон</x:v>
      </x:c>
      <x:c r="Y8" s="28" t="str">
        <x:v>универсальное</x:v>
      </x:c>
      <x:c r="Z8" s="28" t="str">
        <x:v>Средняя</x:v>
      </x:c>
      <x:c r="AA8" s="28" t="str">
        <x:v>The Art &amp; Science of Foodpairing.pdf</x:v>
      </x:c>
      <x:c r="AB8" s="28" t="str">
        <x:v>The Art &amp; Science of Foodpairing.pdf: 256</x:v>
      </x:c>
      <x:c r="AC8" s="28" t="str">
        <x:v>связь из pairing grid, стр. 256</x:v>
      </x:c>
      <x:c r="AD8" s="28" t="n">
        <x:v>1</x:v>
      </x:c>
      <x:c r="AE8" s="28" t="n">
        <x:v>1</x:v>
      </x:c>
      <x:c r="AF8" s="28" t="n">
        <x:f>IF(Z8="Высокая",3,IF(Z8="Средняя",2,1))+AD8*2+MIN(AE8,3)</x:f>
        <x:v>5</x:v>
      </x:c>
    </x:row>
    <x:row r="9" ht="64" customHeight="1">
      <x:c r="A9" s="28" t="str">
        <x:v>VEG-0008</x:v>
      </x:c>
      <x:c r="B9" s="28" t="str">
        <x:v>артишок</x:v>
      </x:c>
      <x:c r="C9" s="28" t="str">
        <x:v>Напитки</x:v>
      </x:c>
      <x:c r="D9" s="28" t="str">
        <x:v>артишок</x:v>
      </x:c>
      <x:c r="E9" s="28" t="str">
        <x:v>boiled Jerusalem artichoke</x:v>
      </x:c>
      <x:c r="F9" s="28" t="str">
        <x:v>Соцветия и стеблевые овощи</x:v>
      </x:c>
      <x:c r="G9" s="28" t="str">
        <x:v>коньяк</x:v>
      </x:c>
      <x:c r="H9" s="28" t="str">
        <x:v>cognac</x:v>
      </x:c>
      <x:c r="I9" s="28" t="str">
        <x:v>Алкогольные напитки</x:v>
      </x:c>
      <x:c r="J9" s="28" t="str">
        <x:v>зелёный, ореховый, травянистый и слегка цветочный</x:v>
      </x:c>
      <x:c r="K9" s="28" t="str">
        <x:v>спиртовой, фруктовый или древесный</x:v>
      </x:c>
      <x:c r="L9" s="28" t="str">
        <x:v>цинарин, сесквитерпеновые лактоны, зелёные альдегиды</x:v>
      </x:c>
      <x:c r="M9" s="28" t="str">
        <x:v>альдегиды, эфиры</x:v>
      </x:c>
      <x:c r="N9" s="28" t="str">
        <x:v>прямое пересечение семейств не подтверждено</x:v>
      </x:c>
      <x:c r="O9" s="28" t="str">
        <x:v>надёжная общая ключевая молекула не установлена</x:v>
      </x:c>
      <x:c r="P9" s="28" t="str">
        <x:v>сенсорная комплементарность</x:v>
      </x:c>
      <x:c r="Q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" s="28" t="str">
        <x:v>минимальный</x:v>
      </x:c>
      <x:c r="S9" s="28" t="str">
        <x:v>волокнистые листья и нежное сердце; фенолы быстро окисляются Этанол извлекает терпены и сернистые соединения эффективнее воды; время контакта ограничивать.</x:v>
      </x:c>
      <x:c r="T9" s="28" t="str">
        <x:v>кислота ограничивает потемнение; варка и гриль смягчают горечь и усиливают ореховые ноты. </x:v>
      </x:c>
      <x:c r="U9" s="28" t="str">
        <x:v>Артишок имеет профиль «зелёный, ореховый, травянистый и слегка цветочный».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" s="28" t="str">
        <x:v>быстро темнеет; цинарин изменяет восприятие последующей сладости и может мешать винным сочетаниям</x:v>
      </x:c>
      <x:c r="W9" s="28" t="str">
        <x:v>соль, кислота или ароматический жир</x:v>
      </x:c>
      <x:c r="X9" s="28" t="str">
        <x:v>горячее блюдо, бульон, соус, пюре, ферментация или гарнир с коньяк</x:v>
      </x:c>
      <x:c r="Y9" s="28" t="str">
        <x:v>напитки</x:v>
      </x:c>
      <x:c r="Z9" s="28" t="str">
        <x:v>Средняя</x:v>
      </x:c>
      <x:c r="AA9" s="28" t="str">
        <x:v>The Art &amp; Science of Foodpairing.pdf</x:v>
      </x:c>
      <x:c r="AB9" s="28" t="str">
        <x:v>The Art &amp; Science of Foodpairing.pdf: 123</x:v>
      </x:c>
      <x:c r="AC9" s="28" t="str">
        <x:v>связь из pairing grid, стр. 123</x:v>
      </x:c>
      <x:c r="AD9" s="28" t="n">
        <x:v>1</x:v>
      </x:c>
      <x:c r="AE9" s="28" t="n">
        <x:v>1</x:v>
      </x:c>
      <x:c r="AF9" s="28" t="n">
        <x:f>IF(Z9="Высокая",3,IF(Z9="Средняя",2,1))+AD9*2+MIN(AE9,3)</x:f>
        <x:v>5</x:v>
      </x:c>
    </x:row>
    <x:row r="10" ht="64" customHeight="1">
      <x:c r="A10" s="28" t="str">
        <x:v>VEG-0009</x:v>
      </x:c>
      <x:c r="B10" s="28" t="str">
        <x:v>артишок</x:v>
      </x:c>
      <x:c r="C10" s="28" t="str">
        <x:v>Десерты и выпечка</x:v>
      </x:c>
      <x:c r="D10" s="28" t="str">
        <x:v>артишок</x:v>
      </x:c>
      <x:c r="E10" s="28" t="str">
        <x:v>Артишок | артишок</x:v>
      </x:c>
      <x:c r="F10" s="28" t="str">
        <x:v>Соцветия и стеблевые овощи</x:v>
      </x:c>
      <x:c r="G10" s="28" t="str">
        <x:v>лимон</x:v>
      </x:c>
      <x:c r="H10" s="28" t="str">
        <x:v>Лимон | лимон</x:v>
      </x:c>
      <x:c r="I10" s="28" t="str">
        <x:v>Фрукты и ягоды</x:v>
      </x:c>
      <x:c r="J10" s="28" t="str">
        <x:v>зелёный, ореховый, травянистый и слегка цветочный</x:v>
      </x:c>
      <x:c r="K10" s="28" t="str">
        <x:v>кислый, свежий, цитрусовый</x:v>
      </x:c>
      <x:c r="L10" s="28" t="str">
        <x:v>цинарин, сесквитерпеновые лактоны, зелёные альдегиды</x:v>
      </x:c>
      <x:c r="M10" s="28" t="str">
        <x:v>лимонен, цитраль</x:v>
      </x:c>
      <x:c r="N10" s="28" t="str">
        <x:v>прямое пересечение семейств не подтверждено</x:v>
      </x:c>
      <x:c r="O10" s="28" t="str">
        <x:v>надёжная общая ключевая молекула не установлена</x:v>
      </x:c>
      <x:c r="P10" s="28" t="str">
        <x:v>кислотно-сладкий баланс</x:v>
      </x:c>
      <x:c r="Q1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0" s="28" t="str">
        <x:v>минимальный</x:v>
      </x:c>
      <x:c r="S10" s="28" t="str">
        <x:v>волокнистые листья и нежное сердце; фенолы быстро окисляются Водная кислая фаза усиливает свежесть, но может разжижать пюре и нарушать молочную эмульсию.</x:v>
      </x:c>
      <x:c r="T10" s="28" t="str">
        <x:v>кислота ограничивает потемнение; варка и гриль смягчают горечь и усиливают ореховые ноты. </x:v>
      </x:c>
      <x:c r="U10" s="28" t="str">
        <x:v>Артишок имеет профиль «зелёный, ореховый, травянистый и слегка цветочный».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10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W10" s="28" t="str">
        <x:v>цитрус, мёд или мягкая трава</x:v>
      </x:c>
      <x:c r="X10" s="28" t="str">
        <x:v>горячее блюдо, бульон, соус, пюре, ферментация или гарнир с лимон</x:v>
      </x:c>
      <x:c r="Y10" s="28" t="str">
        <x:v>десерты</x:v>
      </x:c>
      <x:c r="Z10" s="28" t="str">
        <x:v>Средняя</x:v>
      </x:c>
      <x:c r="AA10" s="28" t="str">
        <x:v>Тезариус вкусов (Ники Сегнит)(1).pdf</x:v>
      </x:c>
      <x:c r="AB10" s="28" t="str">
        <x:v>Тезариус вкусов (Ники Сегнит)(1).pdf: 339, 800</x:v>
      </x:c>
      <x:c r="AC10" s="28" t="str">
        <x:v>развёрнутая пара/статья, стр. 339; развёрнутая пара/статья, стр. 800</x:v>
      </x:c>
      <x:c r="AD10" s="28" t="n">
        <x:v>1</x:v>
      </x:c>
      <x:c r="AE10" s="28" t="n">
        <x:v>2</x:v>
      </x:c>
      <x:c r="AF10" s="28" t="n">
        <x:f>IF(Z10="Высокая",3,IF(Z10="Средняя",2,1))+AD10*2+MIN(AE10,3)</x:f>
        <x:v>6</x:v>
      </x:c>
    </x:row>
    <x:row r="11" ht="64" customHeight="1">
      <x:c r="A11" s="28" t="str">
        <x:v>VEG-0010</x:v>
      </x:c>
      <x:c r="B11" s="28" t="str">
        <x:v>артишок</x:v>
      </x:c>
      <x:c r="C11" s="28" t="str">
        <x:v>Еда и соусы</x:v>
      </x:c>
      <x:c r="D11" s="28" t="str">
        <x:v>артишок</x:v>
      </x:c>
      <x:c r="E11" s="28" t="str">
        <x:v>artichoke</x:v>
      </x:c>
      <x:c r="F11" s="28" t="str">
        <x:v>Соцветия и стеблевые овощи</x:v>
      </x:c>
      <x:c r="G11" s="28" t="str">
        <x:v>лосось</x:v>
      </x:c>
      <x:c r="H11" s="28" t="str">
        <x:v>poached salmon</x:v>
      </x:c>
      <x:c r="I11" s="28" t="str">
        <x:v>Рыба и морепродукты</x:v>
      </x:c>
      <x:c r="J11" s="28" t="str">
        <x:v>зелёный, ореховый, травянистый и слегка цветочный</x:v>
      </x:c>
      <x:c r="K11" s="28" t="str">
        <x:v>морской, солоноватый и умами</x:v>
      </x:c>
      <x:c r="L11" s="28" t="str">
        <x:v>цинарин, сесквитерпеновые лактоны, зелёные альдегиды</x:v>
      </x:c>
      <x:c r="M11" s="28" t="str">
        <x:v>альдегиды, амины</x:v>
      </x:c>
      <x:c r="N11" s="28" t="str">
        <x:v>прямое пересечение семейств не подтверждено</x:v>
      </x:c>
      <x:c r="O11" s="28" t="str">
        <x:v>надёжная общая ключевая молекула не установлена</x:v>
      </x:c>
      <x:c r="P11" s="28" t="str">
        <x:v>умами и солёный контраст</x:v>
      </x:c>
      <x:c r="Q1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1" s="28" t="str">
        <x:v>минимальный</x:v>
      </x:c>
      <x:c r="S11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11" s="28" t="str">
        <x:v>кислота ограничивает потемнение; варка и гриль смягчают горечь и усиливают ореховые ноты. </x:v>
      </x:c>
      <x:c r="U11" s="28" t="str">
        <x:v>Артишок имеет профиль «зелёный, ореховый, травянистый и слегка цветочный».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1" s="28" t="str">
        <x:v>быстро темнеет; цинарин изменяет восприятие последующей сладости и может мешать винным сочетаниям</x:v>
      </x:c>
      <x:c r="W11" s="28" t="str">
        <x:v>сливочное масло, соевый соус или тимьян</x:v>
      </x:c>
      <x:c r="X11" s="28" t="str">
        <x:v>горячее блюдо, бульон, соус, пюре, ферментация или гарнир с лосось</x:v>
      </x:c>
      <x:c r="Y11" s="28" t="str">
        <x:v>еда, соусы/маринады</x:v>
      </x:c>
      <x:c r="Z11" s="28" t="str">
        <x:v>Средняя</x:v>
      </x:c>
      <x:c r="AA11" s="28" t="str">
        <x:v>The Art &amp; Science of Foodpairing.pdf</x:v>
      </x:c>
      <x:c r="AB11" s="28" t="str">
        <x:v>The Art &amp; Science of Foodpairing.pdf: 328</x:v>
      </x:c>
      <x:c r="AC11" s="28" t="str">
        <x:v>связь из pairing grid, стр. 328</x:v>
      </x:c>
      <x:c r="AD11" s="28" t="n">
        <x:v>1</x:v>
      </x:c>
      <x:c r="AE11" s="28" t="n">
        <x:v>1</x:v>
      </x:c>
      <x:c r="AF11" s="28" t="n">
        <x:f>IF(Z11="Высокая",3,IF(Z11="Средняя",2,1))+AD11*2+MIN(AE11,3)</x:f>
        <x:v>5</x:v>
      </x:c>
    </x:row>
    <x:row r="12" ht="64" customHeight="1">
      <x:c r="A12" s="28" t="str">
        <x:v>VEG-0011</x:v>
      </x:c>
      <x:c r="B12" s="28" t="str">
        <x:v>артишок</x:v>
      </x:c>
      <x:c r="C12" s="28" t="str">
        <x:v>Десерты и выпечка</x:v>
      </x:c>
      <x:c r="D12" s="28" t="str">
        <x:v>артишок</x:v>
      </x:c>
      <x:c r="E12" s="28" t="str">
        <x:v>artichoke | boiled Jerusalem artichoke | boiled artichoke</x:v>
      </x:c>
      <x:c r="F12" s="28" t="str">
        <x:v>Соцветия и стеблевые овощи</x:v>
      </x:c>
      <x:c r="G12" s="28" t="str">
        <x:v>манго</x:v>
      </x:c>
      <x:c r="H12" s="28" t="str">
        <x:v>mango</x:v>
      </x:c>
      <x:c r="I12" s="28" t="str">
        <x:v>Фрукты и ягоды</x:v>
      </x:c>
      <x:c r="J12" s="28" t="str">
        <x:v>зелёный, ореховый, травянистый и слегка цветочный</x:v>
      </x:c>
      <x:c r="K12" s="28" t="str">
        <x:v>фруктовый, цветочный и свежий</x:v>
      </x:c>
      <x:c r="L12" s="28" t="str">
        <x:v>цинарин, сесквитерпеновые лактоны, зелёные альдегиды</x:v>
      </x:c>
      <x:c r="M12" s="28" t="str">
        <x:v>альдегиды, эфиры</x:v>
      </x:c>
      <x:c r="N12" s="28" t="str">
        <x:v>цветочный</x:v>
      </x:c>
      <x:c r="O12" s="28" t="str">
        <x:v>надёжная общая ключевая молекула не установлена</x:v>
      </x:c>
      <x:c r="P12" s="28" t="str">
        <x:v>пересечение ароматических семейств; кислотно-сладкий баланс</x:v>
      </x:c>
      <x:c r="Q1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2" s="28" t="str">
        <x:v>минимальный</x:v>
      </x:c>
      <x:c r="S12" s="28" t="str">
        <x:v>волокнистые листья и нежное сердце; фенолы быстро окисляются Водная кислая фаза усиливает свежесть, но может разжижать пюре и нарушать молочную эмульсию.</x:v>
      </x:c>
      <x:c r="T12" s="28" t="str">
        <x:v>кислота ограничивает потемнение; варка и гриль смягчают горечь и усиливают ореховые ноты. </x:v>
      </x:c>
      <x:c r="U12" s="28" t="str">
        <x:v>Артишок имеет профиль «зелёный, ореховый, травянистый и слегка цветочный». Партнёр «манго» относится к группе «Фрукты и ягоды» и даёт фруктовый, цветочный и свежий. Профили пересекаются в семействах: цветочный.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12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W12" s="28" t="str">
        <x:v>цитрус, мёд или мягкая трава</x:v>
      </x:c>
      <x:c r="X12" s="28" t="str">
        <x:v>горячее блюдо, бульон, соус, пюре, ферментация или гарнир с манго</x:v>
      </x:c>
      <x:c r="Y12" s="28" t="str">
        <x:v>десерты</x:v>
      </x:c>
      <x:c r="Z12" s="28" t="str">
        <x:v>Средняя</x:v>
      </x:c>
      <x:c r="AA12" s="28" t="str">
        <x:v>The Art &amp; Science of Foodpairing.pdf</x:v>
      </x:c>
      <x:c r="AB12" s="28" t="str">
        <x:v>The Art &amp; Science of Foodpairing.pdf: 312, 328</x:v>
      </x:c>
      <x:c r="AC12" s="28" t="str">
        <x:v>связь из pairing grid, стр. 312; связь из pairing grid, стр. 312; связь из pairing grid, стр. 328</x:v>
      </x:c>
      <x:c r="AD12" s="28" t="n">
        <x:v>1</x:v>
      </x:c>
      <x:c r="AE12" s="28" t="n">
        <x:v>3</x:v>
      </x:c>
      <x:c r="AF12" s="28" t="n">
        <x:f>IF(Z12="Высокая",3,IF(Z12="Средняя",2,1))+AD12*2+MIN(AE12,3)</x:f>
        <x:v>7</x:v>
      </x:c>
    </x:row>
    <x:row r="13" ht="64" customHeight="1">
      <x:c r="A13" s="28" t="str">
        <x:v>VEG-0012</x:v>
      </x:c>
      <x:c r="B13" s="28" t="str">
        <x:v>артишок</x:v>
      </x:c>
      <x:c r="C13" s="28" t="str">
        <x:v>Еда и соусы</x:v>
      </x:c>
      <x:c r="D13" s="28" t="str">
        <x:v>артишок</x:v>
      </x:c>
      <x:c r="E13" s="28" t="str">
        <x:v>Артишок | артишок</x:v>
      </x:c>
      <x:c r="F13" s="28" t="str">
        <x:v>Соцветия и стеблевые овощи</x:v>
      </x:c>
      <x:c r="G13" s="28" t="str">
        <x:v>моллюски</x:v>
      </x:c>
      <x:c r="H13" s="28" t="str">
        <x:v>Моллюски | моллюски</x:v>
      </x:c>
      <x:c r="I13" s="28" t="str">
        <x:v>Рыба и морепродукты</x:v>
      </x:c>
      <x:c r="J13" s="28" t="str">
        <x:v>зелёный, ореховый, травянистый и слегка цветочный</x:v>
      </x:c>
      <x:c r="K13" s="28" t="str">
        <x:v>морской, солоноватый и умами</x:v>
      </x:c>
      <x:c r="L13" s="28" t="str">
        <x:v>цинарин, сесквитерпеновые лактоны, зелёные альдегиды</x:v>
      </x:c>
      <x:c r="M13" s="28" t="str">
        <x:v>альдегиды, амины</x:v>
      </x:c>
      <x:c r="N13" s="28" t="str">
        <x:v>прямое пересечение семейств не подтверждено</x:v>
      </x:c>
      <x:c r="O13" s="28" t="str">
        <x:v>надёжная общая ключевая молекула не установлена</x:v>
      </x:c>
      <x:c r="P13" s="28" t="str">
        <x:v>умами и солёный контраст</x:v>
      </x:c>
      <x:c r="Q1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3" s="28" t="str">
        <x:v>минимальный</x:v>
      </x:c>
      <x:c r="S13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13" s="28" t="str">
        <x:v>кислота ограничивает потемнение; варка и гриль смягчают горечь и усиливают ореховые ноты. </x:v>
      </x:c>
      <x:c r="U13" s="28" t="str">
        <x:v>Артишок имеет профиль «зелёный, ореховый, травянистый и слегка цветочный».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3" s="28" t="str">
        <x:v>быстро темнеет; цинарин изменяет восприятие последующей сладости и может мешать винным сочетаниям</x:v>
      </x:c>
      <x:c r="W13" s="28" t="str">
        <x:v>сливочное масло, соевый соус или тимьян</x:v>
      </x:c>
      <x:c r="X13" s="28" t="str">
        <x:v>горячее блюдо, бульон, соус, пюре, ферментация или гарнир с моллюски</x:v>
      </x:c>
      <x:c r="Y13" s="28" t="str">
        <x:v>еда, соусы/маринады</x:v>
      </x:c>
      <x:c r="Z13" s="28" t="str">
        <x:v>Средняя</x:v>
      </x:c>
      <x:c r="AA13" s="28" t="str">
        <x:v>Тезариус вкусов (Ники Сегнит)(1).pdf</x:v>
      </x:c>
      <x:c r="AB13" s="28" t="str">
        <x:v>Тезариус вкусов (Ники Сегнит)(1).pdf: 340, 365</x:v>
      </x:c>
      <x:c r="AC13" s="28" t="str">
        <x:v>развёрнутая пара/статья, стр. 340; развёрнутая пара/статья, стр. 365</x:v>
      </x:c>
      <x:c r="AD13" s="28" t="n">
        <x:v>1</x:v>
      </x:c>
      <x:c r="AE13" s="28" t="n">
        <x:v>2</x:v>
      </x:c>
      <x:c r="AF13" s="28" t="n">
        <x:f>IF(Z13="Высокая",3,IF(Z13="Средняя",2,1))+AD13*2+MIN(AE13,3)</x:f>
        <x:v>6</x:v>
      </x:c>
    </x:row>
    <x:row r="14" ht="64" customHeight="1">
      <x:c r="A14" s="28" t="str">
        <x:v>VEG-0013</x:v>
      </x:c>
      <x:c r="B14" s="28" t="str">
        <x:v>артишок</x:v>
      </x:c>
      <x:c r="C14" s="28" t="str">
        <x:v>Универсальные</x:v>
      </x:c>
      <x:c r="D14" s="28" t="str">
        <x:v>артишок</x:v>
      </x:c>
      <x:c r="E14" s="28" t="str">
        <x:v>Артишок | артишок</x:v>
      </x:c>
      <x:c r="F14" s="28" t="str">
        <x:v>Соцветия и стеблевые овощи</x:v>
      </x:c>
      <x:c r="G14" s="28" t="str">
        <x:v>мята</x:v>
      </x:c>
      <x:c r="H14" s="28" t="str">
        <x:v>Мята | мята</x:v>
      </x:c>
      <x:c r="I14" s="28" t="str">
        <x:v>Травы, цветы и листья</x:v>
      </x:c>
      <x:c r="J14" s="28" t="str">
        <x:v>зелёный, ореховый, травянистый и слегка цветочный</x:v>
      </x:c>
      <x:c r="K14" s="28" t="str">
        <x:v>зелёный, холодящий</x:v>
      </x:c>
      <x:c r="L14" s="28" t="str">
        <x:v>цинарин, сесквитерпеновые лактоны, зелёные альдегиды</x:v>
      </x:c>
      <x:c r="M14" s="28" t="str">
        <x:v>ментол</x:v>
      </x:c>
      <x:c r="N14" s="28" t="str">
        <x:v>зелёный</x:v>
      </x:c>
      <x:c r="O14" s="28" t="str">
        <x:v>надёжная общая ключевая молекула не установлена</x:v>
      </x:c>
      <x:c r="P14" s="28" t="str">
        <x:v>пересечение ароматических семейств</x:v>
      </x:c>
      <x:c r="Q1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4" s="28" t="str">
        <x:v>минимальный</x:v>
      </x:c>
      <x:c r="S14" s="28" t="str">
        <x:v>волокнистые листья и нежное сердце; фенолы быстро окисляются</x:v>
      </x:c>
      <x:c r="T14" s="28" t="str">
        <x:v>кислота ограничивает потемнение; варка и гриль смягчают горечь и усиливают ореховые ноты. </x:v>
      </x:c>
      <x:c r="U14" s="28" t="str">
        <x:v>Артишок имеет профиль «зелёный, ореховый, травянистый и слегка цветочный».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14" s="28" t="str">
        <x:v>быстро темнеет; цинарин изменяет восприятие последующей сладости и может мешать винным сочетаниям; длительный нагрев уносит свежие терпены и зелёные альдегиды</x:v>
      </x:c>
      <x:c r="W14" s="28" t="str">
        <x:v>оливковое масло, лимон или сыр</x:v>
      </x:c>
      <x:c r="X14" s="28" t="str">
        <x:v>горячее блюдо, бульон, соус, пюре, ферментация или гарнир с мята</x:v>
      </x:c>
      <x:c r="Y14" s="28" t="str">
        <x:v>универсальное</x:v>
      </x:c>
      <x:c r="Z14" s="28" t="str">
        <x:v>Средняя</x:v>
      </x:c>
      <x:c r="AA14" s="28" t="str">
        <x:v>Тезариус вкусов (Ники Сегнит)(1).pdf</x:v>
      </x:c>
      <x:c r="AB14" s="28" t="str">
        <x:v>Тезариус вкусов (Ники Сегнит)(1).pdf: 340, 866</x:v>
      </x:c>
      <x:c r="AC14" s="28" t="str">
        <x:v>развёрнутая пара/статья, стр. 340; развёрнутая пара/статья, стр. 866</x:v>
      </x:c>
      <x:c r="AD14" s="28" t="n">
        <x:v>1</x:v>
      </x:c>
      <x:c r="AE14" s="28" t="n">
        <x:v>2</x:v>
      </x:c>
      <x:c r="AF14" s="28" t="n">
        <x:f>IF(Z14="Высокая",3,IF(Z14="Средняя",2,1))+AD14*2+MIN(AE14,3)</x:f>
        <x:v>6</x:v>
      </x:c>
    </x:row>
    <x:row r="15" ht="64" customHeight="1">
      <x:c r="A15" s="28" t="str">
        <x:v>VEG-0014</x:v>
      </x:c>
      <x:c r="B15" s="28" t="str">
        <x:v>артишок</x:v>
      </x:c>
      <x:c r="C15" s="28" t="str">
        <x:v>Десерты и выпечка</x:v>
      </x:c>
      <x:c r="D15" s="28" t="str">
        <x:v>артишок</x:v>
      </x:c>
      <x:c r="E15" s="28" t="str">
        <x:v>artichoke</x:v>
      </x:c>
      <x:c r="F15" s="28" t="str">
        <x:v>Соцветия и стеблевые овощи</x:v>
      </x:c>
      <x:c r="G15" s="28" t="str">
        <x:v>паста</x:v>
      </x:c>
      <x:c r="H15" s="28" t="str">
        <x:v>pasta</x:v>
      </x:c>
      <x:c r="I15" s="28" t="str">
        <x:v>Выпечка, крупы, сахара и десерты</x:v>
      </x:c>
      <x:c r="J15" s="28" t="str">
        <x:v>зелёный, ореховый, травянистый и слегка цветочный</x:v>
      </x:c>
      <x:c r="K15" s="28" t="str">
        <x:v>сладкий, карамельный и жареный</x:v>
      </x:c>
      <x:c r="L15" s="28" t="str">
        <x:v>цинарин, сесквитерпеновые лактоны, зелёные альдегиды</x:v>
      </x:c>
      <x:c r="M15" s="28" t="str">
        <x:v>мальтол, пиразины, фураны</x:v>
      </x:c>
      <x:c r="N15" s="28" t="str">
        <x:v>прямое пересечение семейств не подтверждено</x:v>
      </x:c>
      <x:c r="O15" s="28" t="str">
        <x:v>надёжная общая ключевая молекула не установлена</x:v>
      </x:c>
      <x:c r="P15" s="28" t="str">
        <x:v>сенсорная комплементарность</x:v>
      </x:c>
      <x:c r="Q1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5" s="28" t="str">
        <x:v>минимальный</x:v>
      </x:c>
      <x:c r="S15" s="28" t="str">
        <x:v>волокнистые листья и нежное сердце; фенолы быстро окисляются</x:v>
      </x:c>
      <x:c r="T15" s="28" t="str">
        <x:v>кислота ограничивает потемнение; варка и гриль смягчают горечь и усиливают ореховые ноты. </x:v>
      </x:c>
      <x:c r="U15" s="28" t="str">
        <x:v>Артишок имеет профиль «зелёный, ореховый, травянистый и слегка цветочный». Партнёр «паста»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15" s="28" t="str">
        <x:v>быстро темнеет; цинарин изменяет восприятие последующей сладости и может мешать винным сочетаниям</x:v>
      </x:c>
      <x:c r="W15" s="28" t="str">
        <x:v>соль, кислота или ароматический жир</x:v>
      </x:c>
      <x:c r="X15" s="28" t="str">
        <x:v>горячее блюдо, бульон, соус, пюре, ферментация или гарнир с паста</x:v>
      </x:c>
      <x:c r="Y15" s="28" t="str">
        <x:v>десерты</x:v>
      </x:c>
      <x:c r="Z15" s="28" t="str">
        <x:v>Высокая</x:v>
      </x:c>
      <x:c r="AA15" s="28" t="str">
        <x:v>The Art &amp; Science of Foodpairing.pdf</x:v>
      </x:c>
      <x:c r="AB15" s="28" t="str">
        <x:v>The Art &amp; Science of Foodpairing.pdf: 325</x:v>
      </x:c>
      <x:c r="AC15" s="28" t="str">
        <x:v>прямая Classic pairing, стр. 325</x:v>
      </x:c>
      <x:c r="AD15" s="28" t="n">
        <x:v>1</x:v>
      </x:c>
      <x:c r="AE15" s="28" t="n">
        <x:v>1</x:v>
      </x:c>
      <x:c r="AF15" s="28" t="n">
        <x:f>IF(Z15="Высокая",3,IF(Z15="Средняя",2,1))+AD15*2+MIN(AE15,3)</x:f>
        <x:v>6</x:v>
      </x:c>
    </x:row>
    <x:row r="16" ht="64" customHeight="1">
      <x:c r="A16" s="28" t="str">
        <x:v>VEG-0015</x:v>
      </x:c>
      <x:c r="B16" s="28" t="str">
        <x:v>артишок</x:v>
      </x:c>
      <x:c r="C16" s="28" t="str">
        <x:v>Еда и соусы</x:v>
      </x:c>
      <x:c r="D16" s="28" t="str">
        <x:v>артишок</x:v>
      </x:c>
      <x:c r="E16" s="28" t="str">
        <x:v>Артишок | артишок</x:v>
      </x:c>
      <x:c r="F16" s="28" t="str">
        <x:v>Соцветия и стеблевые овощи</x:v>
      </x:c>
      <x:c r="G16" s="28" t="str">
        <x:v>прошутто</x:v>
      </x:c>
      <x:c r="H16" s="28" t="str">
        <x:v>Прошутто | прошутто</x:v>
      </x:c>
      <x:c r="I16" s="28" t="str">
        <x:v>Мясо и птица</x:v>
      </x:c>
      <x:c r="J16" s="28" t="str">
        <x:v>зелёный, ореховый, травянистый и слегка цветочный</x:v>
      </x:c>
      <x:c r="K16" s="28" t="str">
        <x:v>жареный, мясной и умами</x:v>
      </x:c>
      <x:c r="L16" s="28" t="str">
        <x:v>цинарин, сесквитерпеновые лактоны, зелёные альдегиды</x:v>
      </x:c>
      <x:c r="M16" s="28" t="str">
        <x:v>пиразины, сернистые соединения</x:v>
      </x:c>
      <x:c r="N16" s="28" t="str">
        <x:v>прямое пересечение семейств не подтверждено</x:v>
      </x:c>
      <x:c r="O16" s="28" t="str">
        <x:v>надёжная общая ключевая молекула не установлена</x:v>
      </x:c>
      <x:c r="P16" s="28" t="str">
        <x:v>умами и солёный контраст</x:v>
      </x:c>
      <x:c r="Q1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6" s="28" t="str">
        <x:v>минимальный</x:v>
      </x:c>
      <x:c r="S16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16" s="28" t="str">
        <x:v>кислота ограничивает потемнение; варка и гриль смягчают горечь и усиливают ореховые ноты. </x:v>
      </x:c>
      <x:c r="U16" s="28" t="str">
        <x:v>Артишок имеет профиль «зелёный, ореховый, травянистый и слегка цветочный».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6" s="28" t="str">
        <x:v>быстро темнеет; цинарин изменяет восприятие последующей сладости и может мешать винным сочетаниям</x:v>
      </x:c>
      <x:c r="W16" s="28" t="str">
        <x:v>сливочное масло, соевый соус или тимьян</x:v>
      </x:c>
      <x:c r="X16" s="28" t="str">
        <x:v>горячее блюдо, бульон, соус, пюре, ферментация или гарнир с прошутто</x:v>
      </x:c>
      <x:c r="Y16" s="28" t="str">
        <x:v>еда, соусы/маринады</x:v>
      </x:c>
      <x:c r="Z16" s="28" t="str">
        <x:v>Средняя</x:v>
      </x:c>
      <x:c r="AA16" s="28" t="str">
        <x:v>Тезариус вкусов (Ники Сегнит)(1).pdf</x:v>
      </x:c>
      <x:c r="AB16" s="28" t="str">
        <x:v>Тезариус вкусов (Ники Сегнит)(1).pdf: 341, 454</x:v>
      </x:c>
      <x:c r="AC16" s="28" t="str">
        <x:v>развёрнутая пара/статья, стр. 341; развёрнутая пара/статья, стр. 454</x:v>
      </x:c>
      <x:c r="AD16" s="28" t="n">
        <x:v>1</x:v>
      </x:c>
      <x:c r="AE16" s="28" t="n">
        <x:v>2</x:v>
      </x:c>
      <x:c r="AF16" s="28" t="n">
        <x:f>IF(Z16="Высокая",3,IF(Z16="Средняя",2,1))+AD16*2+MIN(AE16,3)</x:f>
        <x:v>6</x:v>
      </x:c>
    </x:row>
    <x:row r="17" ht="64" customHeight="1">
      <x:c r="A17" s="28" t="str">
        <x:v>VEG-0016</x:v>
      </x:c>
      <x:c r="B17" s="28" t="str">
        <x:v>артишок</x:v>
      </x:c>
      <x:c r="C17" s="28" t="str">
        <x:v>Еда и соусы</x:v>
      </x:c>
      <x:c r="D17" s="28" t="str">
        <x:v>артишок</x:v>
      </x:c>
      <x:c r="E17" s="28" t="str">
        <x:v>Артишок | артишок</x:v>
      </x:c>
      <x:c r="F17" s="28" t="str">
        <x:v>Соцветия и стеблевые овощи</x:v>
      </x:c>
      <x:c r="G17" s="28" t="str">
        <x:v>свинина</x:v>
      </x:c>
      <x:c r="H17" s="28" t="str">
        <x:v>Свинина | свинина</x:v>
      </x:c>
      <x:c r="I17" s="28" t="str">
        <x:v>Мясо и птица</x:v>
      </x:c>
      <x:c r="J17" s="28" t="str">
        <x:v>зелёный, ореховый, травянистый и слегка цветочный</x:v>
      </x:c>
      <x:c r="K17" s="28" t="str">
        <x:v>жареный, мясной и умами</x:v>
      </x:c>
      <x:c r="L17" s="28" t="str">
        <x:v>цинарин, сесквитерпеновые лактоны, зелёные альдегиды</x:v>
      </x:c>
      <x:c r="M17" s="28" t="str">
        <x:v>пиразины, сернистые соединения</x:v>
      </x:c>
      <x:c r="N17" s="28" t="str">
        <x:v>прямое пересечение семейств не подтверждено</x:v>
      </x:c>
      <x:c r="O17" s="28" t="str">
        <x:v>надёжная общая ключевая молекула не установлена</x:v>
      </x:c>
      <x:c r="P17" s="28" t="str">
        <x:v>умами и солёный контраст</x:v>
      </x:c>
      <x:c r="Q1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7" s="28" t="str">
        <x:v>минимальный</x:v>
      </x:c>
      <x:c r="S17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17" s="28" t="str">
        <x:v>кислота ограничивает потемнение; варка и гриль смягчают горечь и усиливают ореховые ноты. </x:v>
      </x:c>
      <x:c r="U17" s="28" t="str">
        <x:v>Артишок имеет профиль «зелёный, ореховый, травянистый и слегка цветочный».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7" s="28" t="str">
        <x:v>быстро темнеет; цинарин изменяет восприятие последующей сладости и может мешать винным сочетаниям</x:v>
      </x:c>
      <x:c r="W17" s="28" t="str">
        <x:v>сливочное масло, соевый соус или тимьян</x:v>
      </x:c>
      <x:c r="X17" s="28" t="str">
        <x:v>горячее блюдо, бульон, соус, пюре, ферментация или гарнир с свинина</x:v>
      </x:c>
      <x:c r="Y17" s="28" t="str">
        <x:v>еда, соусы/маринады</x:v>
      </x:c>
      <x:c r="Z17" s="28" t="str">
        <x:v>Средняя</x:v>
      </x:c>
      <x:c r="AA17" s="28" t="str">
        <x:v>Тезариус вкусов (Ники Сегнит)(1).pdf</x:v>
      </x:c>
      <x:c r="AB17" s="28" t="str">
        <x:v>Тезариус вкусов (Ники Сегнит)(1).pdf: 79, 341</x:v>
      </x:c>
      <x:c r="AC17" s="28" t="str">
        <x:v>развёрнутая пара/статья, стр. 79; развёрнутая пара/статья, стр. 341</x:v>
      </x:c>
      <x:c r="AD17" s="28" t="n">
        <x:v>1</x:v>
      </x:c>
      <x:c r="AE17" s="28" t="n">
        <x:v>2</x:v>
      </x:c>
      <x:c r="AF17" s="28" t="n">
        <x:f>IF(Z17="Высокая",3,IF(Z17="Средняя",2,1))+AD17*2+MIN(AE17,3)</x:f>
        <x:v>6</x:v>
      </x:c>
    </x:row>
    <x:row r="18" ht="64" customHeight="1">
      <x:c r="A18" s="28" t="str">
        <x:v>VEG-0017</x:v>
      </x:c>
      <x:c r="B18" s="28" t="str">
        <x:v>артишок</x:v>
      </x:c>
      <x:c r="C18" s="28" t="str">
        <x:v>Десерты и выпечка</x:v>
      </x:c>
      <x:c r="D18" s="28" t="str">
        <x:v>артишок</x:v>
      </x:c>
      <x:c r="E18" s="28" t="str">
        <x:v>Артишок | артишок</x:v>
      </x:c>
      <x:c r="F18" s="28" t="str">
        <x:v>Соцветия и стеблевые овощи</x:v>
      </x:c>
      <x:c r="G18" s="28" t="str">
        <x:v>твердый сыр</x:v>
      </x:c>
      <x:c r="H18" s="28" t="str">
        <x:v>Твердый сыр | твердый сыр</x:v>
      </x:c>
      <x:c r="I18" s="28" t="str">
        <x:v>Молочные продукты и сыры</x:v>
      </x:c>
      <x:c r="J18" s="28" t="str">
        <x:v>зелёный, ореховый, травянистый и слегка цветочный</x:v>
      </x:c>
      <x:c r="K18" s="28" t="str">
        <x:v>молочный, умами, ферментированный</x:v>
      </x:c>
      <x:c r="L18" s="28" t="str">
        <x:v>цинарин, сесквитерпеновые лактоны, зелёные альдегиды</x:v>
      </x:c>
      <x:c r="M18" s="28" t="str">
        <x:v>диацетил, жирные кислоты</x:v>
      </x:c>
      <x:c r="N18" s="28" t="str">
        <x:v>прямое пересечение семейств не подтверждено</x:v>
      </x:c>
      <x:c r="O18" s="28" t="str">
        <x:v>надёжная общая ключевая молекула не установлена</x:v>
      </x:c>
      <x:c r="P18" s="28" t="str">
        <x:v>жировая матрица</x:v>
      </x:c>
      <x:c r="Q1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8" s="28" t="str">
        <x:v>минимальный</x:v>
      </x:c>
      <x:c r="S18" s="28" t="str">
        <x:v>волокнистые листья и нежное сердце; фенолы быстро окисляются Жировая фаза удерживает гидрофобные молекулы, но может сделать вкус тяжёлым.</x:v>
      </x:c>
      <x:c r="T18" s="28" t="str">
        <x:v>кислота ограничивает потемнение; варка и гриль смягчают горечь и усиливают ореховые ноты. </x:v>
      </x:c>
      <x:c r="U18" s="28" t="str">
        <x:v>Артишок имеет профиль «зелёный, ореховый, травянистый и слегка цветочный».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18" s="28" t="str">
        <x:v>быстро темнеет; цинарин изменяет восприятие последующей сладости и может мешать винным сочетаниям; жир способен приглушить свежую зелёную ароматику</x:v>
      </x:c>
      <x:c r="W18" s="28" t="str">
        <x:v>кислота, зелень или жареный орех</x:v>
      </x:c>
      <x:c r="X18" s="28" t="str">
        <x:v>горячее блюдо, бульон, соус, пюре, ферментация или гарнир с твердый сыр</x:v>
      </x:c>
      <x:c r="Y18" s="28" t="str">
        <x:v>десерты</x:v>
      </x:c>
      <x:c r="Z18" s="28" t="str">
        <x:v>Средняя</x:v>
      </x:c>
      <x:c r="AA18" s="28" t="str">
        <x:v>Тезариус вкусов (Ники Сегнит)(1).pdf</x:v>
      </x:c>
      <x:c r="AB18" s="28" t="str">
        <x:v>Тезариус вкусов (Ники Сегнит)(1).pdf: 165, 341</x:v>
      </x:c>
      <x:c r="AC18" s="28" t="str">
        <x:v>развёрнутая пара/статья, стр. 165; развёрнутая пара/статья, стр. 341</x:v>
      </x:c>
      <x:c r="AD18" s="28" t="n">
        <x:v>1</x:v>
      </x:c>
      <x:c r="AE18" s="28" t="n">
        <x:v>2</x:v>
      </x:c>
      <x:c r="AF18" s="28" t="n">
        <x:f>IF(Z18="Высокая",3,IF(Z18="Средняя",2,1))+AD18*2+MIN(AE18,3)</x:f>
        <x:v>6</x:v>
      </x:c>
    </x:row>
    <x:row r="19" ht="64" customHeight="1">
      <x:c r="A19" s="28" t="str">
        <x:v>VEG-0018</x:v>
      </x:c>
      <x:c r="B19" s="28" t="str">
        <x:v>артишок</x:v>
      </x:c>
      <x:c r="C19" s="28" t="str">
        <x:v>Универсальные</x:v>
      </x:c>
      <x:c r="D19" s="28" t="str">
        <x:v>артишок</x:v>
      </x:c>
      <x:c r="E19" s="28" t="str">
        <x:v>boiled artichoke</x:v>
      </x:c>
      <x:c r="F19" s="28" t="str">
        <x:v>Соцветия и стеблевые овощи</x:v>
      </x:c>
      <x:c r="G19" s="28" t="str">
        <x:v>томат</x:v>
      </x:c>
      <x:c r="H19" s="28" t="str">
        <x:v>tomato and tomato puree</x:v>
      </x:c>
      <x:c r="I19" s="28" t="str">
        <x:v>Плодовые овощи</x:v>
      </x:c>
      <x:c r="J19" s="28" t="str">
        <x:v>зелёный, ореховый, травянистый и слегка цветочный</x:v>
      </x:c>
      <x:c r="K19" s="28" t="str">
        <x:v>зелёный, фруктовый, листовой, сернистый и умами</x:v>
      </x:c>
      <x:c r="L19" s="28" t="str">
        <x:v>цинарин, сесквитерпеновые лактоны, зелёные альдегиды</x:v>
      </x:c>
      <x:c r="M19" s="28" t="str">
        <x:v>β-ионон, гексаналь, глутамат, метиональ, цис-3-гексеналь</x:v>
      </x:c>
      <x:c r="N19" s="28" t="str">
        <x:v>зелёный</x:v>
      </x:c>
      <x:c r="O19" s="28" t="str">
        <x:v>надёжная общая ключевая молекула не установлена</x:v>
      </x:c>
      <x:c r="P19" s="28" t="str">
        <x:v>пересечение ароматических семейств</x:v>
      </x:c>
      <x:c r="Q1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19" s="28" t="str">
        <x:v>минимальный</x:v>
      </x:c>
      <x:c r="S19" s="28" t="str">
        <x:v>волокнистые листья и нежное сердце; фенолы быстро окисляются</x:v>
      </x:c>
      <x:c r="T19" s="28" t="str">
        <x:v>кислота ограничивает потемнение; варка и гриль смягчают горечь и усиливают ореховые ноты. </x:v>
      </x:c>
      <x:c r="U19" s="28" t="str">
        <x:v>Артишок имеет профиль «зелёный, ореховый, травянистый и слегка цветочный».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V19" s="28" t="str">
        <x:v>быстро темнеет; цинарин изменяет восприятие последующей сладости и может мешать винным сочетаниям</x:v>
      </x:c>
      <x:c r="W19" s="28" t="str">
        <x:v>соль, кислота или ароматический жир</x:v>
      </x:c>
      <x:c r="X19" s="28" t="str">
        <x:v>горячее блюдо, бульон, соус, пюре, ферментация или гарнир с томат</x:v>
      </x:c>
      <x:c r="Y19" s="28" t="str">
        <x:v>универсальное</x:v>
      </x:c>
      <x:c r="Z19" s="28" t="str">
        <x:v>Средняя</x:v>
      </x:c>
      <x:c r="AA19" s="28" t="str">
        <x:v>The Art &amp; Science of Foodpairing.pdf</x:v>
      </x:c>
      <x:c r="AB19" s="28" t="str">
        <x:v>The Art &amp; Science of Foodpairing.pdf: 161</x:v>
      </x:c>
      <x:c r="AC19" s="28" t="str">
        <x:v>связь из pairing grid, стр. 161</x:v>
      </x:c>
      <x:c r="AD19" s="28" t="n">
        <x:v>1</x:v>
      </x:c>
      <x:c r="AE19" s="28" t="n">
        <x:v>1</x:v>
      </x:c>
      <x:c r="AF19" s="28" t="n">
        <x:f>IF(Z19="Высокая",3,IF(Z19="Средняя",2,1))+AD19*2+MIN(AE19,3)</x:f>
        <x:v>5</x:v>
      </x:c>
    </x:row>
    <x:row r="20" ht="64" customHeight="1">
      <x:c r="A20" s="28" t="str">
        <x:v>VEG-0019</x:v>
      </x:c>
      <x:c r="B20" s="28" t="str">
        <x:v>артишок</x:v>
      </x:c>
      <x:c r="C20" s="28" t="str">
        <x:v>Еда и соусы</x:v>
      </x:c>
      <x:c r="D20" s="28" t="str">
        <x:v>артишок</x:v>
      </x:c>
      <x:c r="E20" s="28" t="str">
        <x:v>Артишок | артишок</x:v>
      </x:c>
      <x:c r="F20" s="28" t="str">
        <x:v>Соцветия и стеблевые овощи</x:v>
      </x:c>
      <x:c r="G20" s="28" t="str">
        <x:v>трюфель</x:v>
      </x:c>
      <x:c r="H20" s="28" t="str">
        <x:v>Трюфель | трюфель</x:v>
      </x:c>
      <x:c r="I20" s="28" t="str">
        <x:v>Грибы</x:v>
      </x:c>
      <x:c r="J20" s="28" t="str">
        <x:v>зелёный, ореховый, травянистый и слегка цветочный</x:v>
      </x:c>
      <x:c r="K20" s="28" t="str">
        <x:v>землистый, грибной и умами</x:v>
      </x:c>
      <x:c r="L20" s="28" t="str">
        <x:v>цинарин, сесквитерпеновые лактоны, зелёные альдегиды</x:v>
      </x:c>
      <x:c r="M20" s="28" t="str">
        <x:v>1-октен-3-ол, сернистые соединения</x:v>
      </x:c>
      <x:c r="N20" s="28" t="str">
        <x:v>прямое пересечение семейств не подтверждено</x:v>
      </x:c>
      <x:c r="O20" s="28" t="str">
        <x:v>надёжная общая ключевая молекула не установлена</x:v>
      </x:c>
      <x:c r="P20" s="28" t="str">
        <x:v>умами и солёный контраст</x:v>
      </x:c>
      <x:c r="Q2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0" s="28" t="str">
        <x:v>минимальный</x:v>
      </x:c>
      <x:c r="S20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20" s="28" t="str">
        <x:v>кислота ограничивает потемнение; варка и гриль смягчают горечь и усиливают ореховые ноты. </x:v>
      </x:c>
      <x:c r="U20" s="28" t="str">
        <x:v>Артишок имеет профиль «зелёный, ореховый, травянистый и слегка цветочный».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0" s="28" t="str">
        <x:v>быстро темнеет; цинарин изменяет восприятие последующей сладости и может мешать винным сочетаниям</x:v>
      </x:c>
      <x:c r="W20" s="28" t="str">
        <x:v>соль, кислота или ароматический жир</x:v>
      </x:c>
      <x:c r="X20" s="28" t="str">
        <x:v>горячее блюдо, бульон, соус, пюре, ферментация или гарнир с трюфель</x:v>
      </x:c>
      <x:c r="Y20" s="28" t="str">
        <x:v>еда, соусы/маринады</x:v>
      </x:c>
      <x:c r="Z20" s="28" t="str">
        <x:v>Средняя</x:v>
      </x:c>
      <x:c r="AA20" s="28" t="str">
        <x:v>Тезариус вкусов (Ники Сегнит)(1).pdf</x:v>
      </x:c>
      <x:c r="AB20" s="28" t="str">
        <x:v>Тезариус вкусов (Ники Сегнит)(1).pdf: 301, 342</x:v>
      </x:c>
      <x:c r="AC20" s="28" t="str">
        <x:v>развёрнутая пара/статья, стр. 301; развёрнутая пара/статья, стр. 342</x:v>
      </x:c>
      <x:c r="AD20" s="28" t="n">
        <x:v>1</x:v>
      </x:c>
      <x:c r="AE20" s="28" t="n">
        <x:v>2</x:v>
      </x:c>
      <x:c r="AF20" s="28" t="n">
        <x:f>IF(Z20="Высокая",3,IF(Z20="Средняя",2,1))+AD20*2+MIN(AE20,3)</x:f>
        <x:v>6</x:v>
      </x:c>
    </x:row>
    <x:row r="21" ht="64" customHeight="1">
      <x:c r="A21" s="28" t="str">
        <x:v>VEG-0020</x:v>
      </x:c>
      <x:c r="B21" s="28" t="str">
        <x:v>артишок</x:v>
      </x:c>
      <x:c r="C21" s="28" t="str">
        <x:v>Еда и соусы</x:v>
      </x:c>
      <x:c r="D21" s="28" t="str">
        <x:v>артишок</x:v>
      </x:c>
      <x:c r="E21" s="28" t="str">
        <x:v>Артишок | артишок</x:v>
      </x:c>
      <x:c r="F21" s="28" t="str">
        <x:v>Соцветия и стеблевые овощи</x:v>
      </x:c>
      <x:c r="G21" s="28" t="str">
        <x:v>устрицы</x:v>
      </x:c>
      <x:c r="H21" s="28" t="str">
        <x:v>Устрицы | устрицы</x:v>
      </x:c>
      <x:c r="I21" s="28" t="str">
        <x:v>Рыба и морепродукты</x:v>
      </x:c>
      <x:c r="J21" s="28" t="str">
        <x:v>зелёный, ореховый, травянистый и слегка цветочный</x:v>
      </x:c>
      <x:c r="K21" s="28" t="str">
        <x:v>морской, солоноватый и умами</x:v>
      </x:c>
      <x:c r="L21" s="28" t="str">
        <x:v>цинарин, сесквитерпеновые лактоны, зелёные альдегиды</x:v>
      </x:c>
      <x:c r="M21" s="28" t="str">
        <x:v>альдегиды, амины</x:v>
      </x:c>
      <x:c r="N21" s="28" t="str">
        <x:v>прямое пересечение семейств не подтверждено</x:v>
      </x:c>
      <x:c r="O21" s="28" t="str">
        <x:v>надёжная общая ключевая молекула не установлена</x:v>
      </x:c>
      <x:c r="P21" s="28" t="str">
        <x:v>умами и солёный контраст</x:v>
      </x:c>
      <x:c r="Q2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1" s="28" t="str">
        <x:v>минимальный</x:v>
      </x:c>
      <x:c r="S21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21" s="28" t="str">
        <x:v>кислота ограничивает потемнение; варка и гриль смягчают горечь и усиливают ореховые ноты. </x:v>
      </x:c>
      <x:c r="U21" s="28" t="str">
        <x:v>Артишок имеет профиль «зелёный, ореховый, травянистый и слегка цветочный».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1" s="28" t="str">
        <x:v>быстро темнеет; цинарин изменяет восприятие последующей сладости и может мешать винным сочетаниям</x:v>
      </x:c>
      <x:c r="W21" s="28" t="str">
        <x:v>сливочное масло, соевый соус или тимьян</x:v>
      </x:c>
      <x:c r="X21" s="28" t="str">
        <x:v>горячее блюдо, бульон, соус, пюре, ферментация или гарнир с устрицы</x:v>
      </x:c>
      <x:c r="Y21" s="28" t="str">
        <x:v>еда, соусы/маринады</x:v>
      </x:c>
      <x:c r="Z21" s="28" t="str">
        <x:v>Средняя</x:v>
      </x:c>
      <x:c r="AA21" s="28" t="str">
        <x:v>Тезариус вкусов (Ники Сегнит)(1).pdf</x:v>
      </x:c>
      <x:c r="AB21" s="28" t="str">
        <x:v>Тезариус вкусов (Ники Сегнит)(1).pdf: 342, 396</x:v>
      </x:c>
      <x:c r="AC21" s="28" t="str">
        <x:v>развёрнутая пара/статья, стр. 342; развёрнутая пара/статья, стр. 396</x:v>
      </x:c>
      <x:c r="AD21" s="28" t="n">
        <x:v>1</x:v>
      </x:c>
      <x:c r="AE21" s="28" t="n">
        <x:v>2</x:v>
      </x:c>
      <x:c r="AF21" s="28" t="n">
        <x:f>IF(Z21="Высокая",3,IF(Z21="Средняя",2,1))+AD21*2+MIN(AE21,3)</x:f>
        <x:v>6</x:v>
      </x:c>
    </x:row>
    <x:row r="22" ht="64" customHeight="1">
      <x:c r="A22" s="28" t="str">
        <x:v>VEG-0021</x:v>
      </x:c>
      <x:c r="B22" s="28" t="str">
        <x:v>артишок</x:v>
      </x:c>
      <x:c r="C22" s="28" t="str">
        <x:v>Десерты и выпечка</x:v>
      </x:c>
      <x:c r="D22" s="28" t="str">
        <x:v>артишок</x:v>
      </x:c>
      <x:c r="E22" s="28" t="str">
        <x:v>artichoke, ray wing</x:v>
      </x:c>
      <x:c r="F22" s="28" t="str">
        <x:v>Соцветия и стеблевые овощи</x:v>
      </x:c>
      <x:c r="G22" s="28" t="str">
        <x:v>фундук</x:v>
      </x:c>
      <x:c r="H22" s="28" t="str">
        <x:v>hazelnut</x:v>
      </x:c>
      <x:c r="I22" s="28" t="str">
        <x:v>Орехи и семена</x:v>
      </x:c>
      <x:c r="J22" s="28" t="str">
        <x:v>зелёный, ореховый, травянистый и слегка цветочный</x:v>
      </x:c>
      <x:c r="K22" s="28" t="str">
        <x:v>жареный, какаовый, ореховый</x:v>
      </x:c>
      <x:c r="L22" s="28" t="str">
        <x:v>цинарин, сесквитерпеновые лактоны, зелёные альдегиды</x:v>
      </x:c>
      <x:c r="M22" s="28" t="str">
        <x:v>пиразины, фильбертон</x:v>
      </x:c>
      <x:c r="N22" s="28" t="str">
        <x:v>ореховый</x:v>
      </x:c>
      <x:c r="O22" s="28" t="str">
        <x:v>надёжная общая ключевая молекула не установлена</x:v>
      </x:c>
      <x:c r="P22" s="28" t="str">
        <x:v>пересечение ароматических семейств</x:v>
      </x:c>
      <x:c r="Q2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2" s="28" t="str">
        <x:v>минимальный</x:v>
      </x:c>
      <x:c r="S22" s="28" t="str">
        <x:v>волокнистые листья и нежное сердце; фенолы быстро окисляются</x:v>
      </x:c>
      <x:c r="T22" s="28" t="str">
        <x:v>кислота ограничивает потемнение; варка и гриль смягчают горечь и усиливают ореховые ноты. </x:v>
      </x:c>
      <x:c r="U22" s="28" t="str">
        <x:v>Артишок имеет профиль «зелёный, ореховый, травянистый и слегка цветочный».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V22" s="28" t="str">
        <x:v>быстро темнеет; цинарин изменяет восприятие последующей сладости и может мешать винным сочетаниям</x:v>
      </x:c>
      <x:c r="W22" s="28" t="str">
        <x:v>соль, кислота или ароматический жир</x:v>
      </x:c>
      <x:c r="X22" s="28" t="str">
        <x:v>горячее блюдо, бульон, соус, пюре, ферментация или гарнир с фундук</x:v>
      </x:c>
      <x:c r="Y22" s="28" t="str">
        <x:v>десерты</x:v>
      </x:c>
      <x:c r="Z22" s="28" t="str">
        <x:v>Высокая</x:v>
      </x:c>
      <x:c r="AA22" s="28" t="str">
        <x:v>The Art &amp; Science of Foodpairing.pdf</x:v>
      </x:c>
      <x:c r="AB22" s="28" t="str">
        <x:v>The Art &amp; Science of Foodpairing.pdf: 329</x:v>
      </x:c>
      <x:c r="AC22" s="28" t="str">
        <x:v>прямая Potential pairing, стр. 329</x:v>
      </x:c>
      <x:c r="AD22" s="28" t="n">
        <x:v>1</x:v>
      </x:c>
      <x:c r="AE22" s="28" t="n">
        <x:v>1</x:v>
      </x:c>
      <x:c r="AF22" s="28" t="n">
        <x:f>IF(Z22="Высокая",3,IF(Z22="Средняя",2,1))+AD22*2+MIN(AE22,3)</x:f>
        <x:v>6</x:v>
      </x:c>
    </x:row>
    <x:row r="23" ht="64" customHeight="1">
      <x:c r="A23" s="28" t="str">
        <x:v>VEG-0022</x:v>
      </x:c>
      <x:c r="B23" s="28" t="str">
        <x:v>артишок</x:v>
      </x:c>
      <x:c r="C23" s="28" t="str">
        <x:v>Еда и соусы</x:v>
      </x:c>
      <x:c r="D23" s="28" t="str">
        <x:v>артишок</x:v>
      </x:c>
      <x:c r="E23" s="28" t="str">
        <x:v>boiled artichoke</x:v>
      </x:c>
      <x:c r="F23" s="28" t="str">
        <x:v>Соцветия и стеблевые овощи</x:v>
      </x:c>
      <x:c r="G23" s="28" t="str">
        <x:v>хамон иберико</x:v>
      </x:c>
      <x:c r="H23" s="28" t="str">
        <x:v>lberico ham</x:v>
      </x:c>
      <x:c r="I23" s="28" t="str">
        <x:v>Мясо и птица</x:v>
      </x:c>
      <x:c r="J23" s="28" t="str">
        <x:v>зелёный, ореховый, травянистый и слегка цветочный</x:v>
      </x:c>
      <x:c r="K23" s="28" t="str">
        <x:v>жареный, мясной и умами</x:v>
      </x:c>
      <x:c r="L23" s="28" t="str">
        <x:v>цинарин, сесквитерпеновые лактоны, зелёные альдегиды</x:v>
      </x:c>
      <x:c r="M23" s="28" t="str">
        <x:v>пиразины, сернистые соединения</x:v>
      </x:c>
      <x:c r="N23" s="28" t="str">
        <x:v>прямое пересечение семейств не подтверждено</x:v>
      </x:c>
      <x:c r="O23" s="28" t="str">
        <x:v>надёжная общая ключевая молекула не установлена</x:v>
      </x:c>
      <x:c r="P23" s="28" t="str">
        <x:v>умами и солёный контраст</x:v>
      </x:c>
      <x:c r="Q2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3" s="28" t="str">
        <x:v>минимальный</x:v>
      </x:c>
      <x:c r="S23" s="28" t="str">
        <x:v>волокнистые листья и нежное сердце; фенолы быстро окисляются Белок и жир требуют контроля воды: для жареной ароматики поверхность должна подсохнуть.</x:v>
      </x:c>
      <x:c r="T23" s="28" t="str">
        <x:v>кислота ограничивает потемнение; варка и гриль смягчают горечь и усиливают ореховые ноты. </x:v>
      </x:c>
      <x:c r="U23" s="28" t="str">
        <x:v>Артишок имеет профиль «зелёный, ореховый, травянистый и слегка цветочный».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3" s="28" t="str">
        <x:v>быстро темнеет; цинарин изменяет восприятие последующей сладости и может мешать винным сочетаниям</x:v>
      </x:c>
      <x:c r="W23" s="28" t="str">
        <x:v>сливочное масло, соевый соус или тимьян</x:v>
      </x:c>
      <x:c r="X23" s="28" t="str">
        <x:v>горячее блюдо, бульон, соус, пюре, ферментация или гарнир с хамон иберико</x:v>
      </x:c>
      <x:c r="Y23" s="28" t="str">
        <x:v>еда, соусы/маринады</x:v>
      </x:c>
      <x:c r="Z23" s="28" t="str">
        <x:v>Средняя</x:v>
      </x:c>
      <x:c r="AA23" s="28" t="str">
        <x:v>The Art &amp; Science of Foodpairing.pdf</x:v>
      </x:c>
      <x:c r="AB23" s="28" t="str">
        <x:v>The Art &amp; Science of Foodpairing.pdf: 278</x:v>
      </x:c>
      <x:c r="AC23" s="28" t="str">
        <x:v>связь из pairing grid, стр. 278</x:v>
      </x:c>
      <x:c r="AD23" s="28" t="n">
        <x:v>1</x:v>
      </x:c>
      <x:c r="AE23" s="28" t="n">
        <x:v>1</x:v>
      </x:c>
      <x:c r="AF23" s="28" t="n">
        <x:f>IF(Z23="Высокая",3,IF(Z23="Средняя",2,1))+AD23*2+MIN(AE23,3)</x:f>
        <x:v>5</x:v>
      </x:c>
    </x:row>
    <x:row r="24" ht="64" customHeight="1">
      <x:c r="A24" s="28" t="str">
        <x:v>VEG-0023</x:v>
      </x:c>
      <x:c r="B24" s="28" t="str">
        <x:v>артишок</x:v>
      </x:c>
      <x:c r="C24" s="28" t="str">
        <x:v>Десерты и выпечка</x:v>
      </x:c>
      <x:c r="D24" s="28" t="str">
        <x:v>артишок</x:v>
      </x:c>
      <x:c r="E24" s="28" t="str">
        <x:v>artichoke</x:v>
      </x:c>
      <x:c r="F24" s="28" t="str">
        <x:v>Соцветия и стеблевые овощи</x:v>
      </x:c>
      <x:c r="G24" s="28" t="str">
        <x:v>хлеб</x:v>
      </x:c>
      <x:c r="H24" s="28" t="str">
        <x:v>that have been stuffed with mixture of breadcrumbs, Parmigiano</x:v>
      </x:c>
      <x:c r="I24" s="28" t="str">
        <x:v>Выпечка, крупы, сахара и десерты</x:v>
      </x:c>
      <x:c r="J24" s="28" t="str">
        <x:v>зелёный, ореховый, травянистый и слегка цветочный</x:v>
      </x:c>
      <x:c r="K24" s="28" t="str">
        <x:v>жареный, зерновой</x:v>
      </x:c>
      <x:c r="L24" s="28" t="str">
        <x:v>цинарин, сесквитерпеновые лактоны, зелёные альдегиды</x:v>
      </x:c>
      <x:c r="M24" s="28" t="str">
        <x:v>3-метилбутаналь, пиразины, фураны</x:v>
      </x:c>
      <x:c r="N24" s="28" t="str">
        <x:v>прямое пересечение семейств не подтверждено</x:v>
      </x:c>
      <x:c r="O24" s="28" t="str">
        <x:v>надёжная общая ключевая молекула не установлена</x:v>
      </x:c>
      <x:c r="P24" s="28" t="str">
        <x:v>сенсорная комплементарность</x:v>
      </x:c>
      <x:c r="Q2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4" s="28" t="str">
        <x:v>минимальный</x:v>
      </x:c>
      <x:c r="S24" s="28" t="str">
        <x:v>волокнистые листья и нежное сердце; фенолы быстро окисляются</x:v>
      </x:c>
      <x:c r="T24" s="28" t="str">
        <x:v>кислота ограничивает потемнение; варка и гриль смягчают горечь и усиливают ореховые ноты. </x:v>
      </x:c>
      <x:c r="U24" s="28" t="str">
        <x:v>Артишок имеет профиль «зелёный, ореховый, травянистый и слегка цветочный».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24" s="28" t="str">
        <x:v>быстро темнеет; цинарин изменяет восприятие последующей сладости и может мешать винным сочетаниям</x:v>
      </x:c>
      <x:c r="W24" s="28" t="str">
        <x:v>соль, кислота или ароматический жир</x:v>
      </x:c>
      <x:c r="X24" s="28" t="str">
        <x:v>горячее блюдо, бульон, соус, пюре, ферментация или гарнир с хлеб</x:v>
      </x:c>
      <x:c r="Y24" s="28" t="str">
        <x:v>десерты</x:v>
      </x:c>
      <x:c r="Z24" s="28" t="str">
        <x:v>Средняя</x:v>
      </x:c>
      <x:c r="AA24" s="28" t="str">
        <x:v>The Art &amp; Science of Foodpairing.pdf</x:v>
      </x:c>
      <x:c r="AB24" s="28" t="str">
        <x:v>The Art &amp; Science of Foodpairing.pdf: 328</x:v>
      </x:c>
      <x:c r="AC24" s="28" t="str">
        <x:v>связь из pairing grid, стр. 328</x:v>
      </x:c>
      <x:c r="AD24" s="28" t="n">
        <x:v>1</x:v>
      </x:c>
      <x:c r="AE24" s="28" t="n">
        <x:v>1</x:v>
      </x:c>
      <x:c r="AF24" s="28" t="n">
        <x:f>IF(Z24="Высокая",3,IF(Z24="Средняя",2,1))+AD24*2+MIN(AE24,3)</x:f>
        <x:v>5</x:v>
      </x:c>
    </x:row>
    <x:row r="25" ht="64" customHeight="1">
      <x:c r="A25" s="28" t="str">
        <x:v>VEG-0024</x:v>
      </x:c>
      <x:c r="B25" s="28" t="str">
        <x:v>артишок</x:v>
      </x:c>
      <x:c r="C25" s="28" t="str">
        <x:v>Напитки</x:v>
      </x:c>
      <x:c r="D25" s="28" t="str">
        <x:v>артишок</x:v>
      </x:c>
      <x:c r="E25" s="28" t="str">
        <x:v>boiled artichoke</x:v>
      </x:c>
      <x:c r="F25" s="28" t="str">
        <x:v>Соцветия и стеблевые овощи</x:v>
      </x:c>
      <x:c r="G25" s="28" t="str">
        <x:v>чай</x:v>
      </x:c>
      <x:c r="H25" s="28" t="str">
        <x:v>tea</x:v>
      </x:c>
      <x:c r="I25" s="28" t="str">
        <x:v>Чай</x:v>
      </x:c>
      <x:c r="J25" s="28" t="str">
        <x:v>зелёный, ореховый, травянистый и слегка цветочный</x:v>
      </x:c>
      <x:c r="K25" s="28" t="str">
        <x:v>цветочный, древесный или зелёный</x:v>
      </x:c>
      <x:c r="L25" s="28" t="str">
        <x:v>цинарин, сесквитерпеновые лактоны, зелёные альдегиды</x:v>
      </x:c>
      <x:c r="M25" s="28" t="str">
        <x:v>линалоол, полифенолы</x:v>
      </x:c>
      <x:c r="N25" s="28" t="str">
        <x:v>зелёный, цветочный</x:v>
      </x:c>
      <x:c r="O25" s="28" t="str">
        <x:v>надёжная общая ключевая молекула не установлена</x:v>
      </x:c>
      <x:c r="P25" s="28" t="str">
        <x:v>пересечение ароматических семейств</x:v>
      </x:c>
      <x:c r="Q2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5" s="28" t="str">
        <x:v>минимальный</x:v>
      </x:c>
      <x:c r="S25" s="28" t="str">
        <x:v>волокнистые листья и нежное сердце; фенолы быстро окисляются</x:v>
      </x:c>
      <x:c r="T25" s="28" t="str">
        <x:v>кислота ограничивает потемнение; варка и гриль смягчают горечь и усиливают ореховые ноты. </x:v>
      </x:c>
      <x:c r="U25" s="28" t="str">
        <x:v>Артишок имеет профиль «зелёный, ореховый, травянистый и слегка цветочный». Партнёр «чай» относится к группе «Чай» и даёт цветочный, древесный или зелёный. Профили пересекаются в семействах: зелёный, цветочный. Совместимость формируется за счёт баланса сладости, кислотности, горечи, умами и текстуры.</x:v>
      </x:c>
      <x:c r="V25" s="28" t="str">
        <x:v>быстро темнеет; цинарин изменяет восприятие последующей сладости и может мешать винным сочетаниям</x:v>
      </x:c>
      <x:c r="W25" s="28" t="str">
        <x:v>соль, кислота или ароматический жир</x:v>
      </x:c>
      <x:c r="X25" s="28" t="str">
        <x:v>горячее блюдо, бульон, соус, пюре, ферментация или гарнир с чай</x:v>
      </x:c>
      <x:c r="Y25" s="28" t="str">
        <x:v>напитки</x:v>
      </x:c>
      <x:c r="Z25" s="28" t="str">
        <x:v>Средняя</x:v>
      </x:c>
      <x:c r="AA25" s="28" t="str">
        <x:v>The Art &amp; Science of Foodpairing.pdf</x:v>
      </x:c>
      <x:c r="AB25" s="28" t="str">
        <x:v>The Art &amp; Science of Foodpairing.pdf: 364</x:v>
      </x:c>
      <x:c r="AC25" s="28" t="str">
        <x:v>связь из pairing grid, стр. 364</x:v>
      </x:c>
      <x:c r="AD25" s="28" t="n">
        <x:v>1</x:v>
      </x:c>
      <x:c r="AE25" s="28" t="n">
        <x:v>1</x:v>
      </x:c>
      <x:c r="AF25" s="28" t="n">
        <x:f>IF(Z25="Высокая",3,IF(Z25="Средняя",2,1))+AD25*2+MIN(AE25,3)</x:f>
        <x:v>5</x:v>
      </x:c>
    </x:row>
    <x:row r="26" ht="64" customHeight="1">
      <x:c r="A26" s="28" t="str">
        <x:v>VEG-0025</x:v>
      </x:c>
      <x:c r="B26" s="28" t="str">
        <x:v>артишок</x:v>
      </x:c>
      <x:c r="C26" s="28" t="str">
        <x:v>Универсальные</x:v>
      </x:c>
      <x:c r="D26" s="28" t="str">
        <x:v>артишок</x:v>
      </x:c>
      <x:c r="E26" s="28" t="str">
        <x:v>boiled artichoke</x:v>
      </x:c>
      <x:c r="F26" s="28" t="str">
        <x:v>Соцветия и стеблевые овощи</x:v>
      </x:c>
      <x:c r="G26" s="28" t="str">
        <x:v>чили</x:v>
      </x:c>
      <x:c r="H26" s="28" t="str">
        <x:v>chilli peppers</x:v>
      </x:c>
      <x:c r="I26" s="28" t="str">
        <x:v>Специи</x:v>
      </x:c>
      <x:c r="J26" s="28" t="str">
        <x:v>зелёный, ореховый, травянистый и слегка цветочный</x:v>
      </x:c>
      <x:c r="K26" s="28" t="str">
        <x:v>пряный и древесный</x:v>
      </x:c>
      <x:c r="L26" s="28" t="str">
        <x:v>цинарин, сесквитерпеновые лактоны, зелёные альдегиды</x:v>
      </x:c>
      <x:c r="M26" s="28" t="str">
        <x:v>терпены, фенилпропаноиды</x:v>
      </x:c>
      <x:c r="N26" s="28" t="str">
        <x:v>прямое пересечение семейств не подтверждено</x:v>
      </x:c>
      <x:c r="O26" s="28" t="str">
        <x:v>надёжная общая ключевая молекула не установлена</x:v>
      </x:c>
      <x:c r="P26" s="28" t="str">
        <x:v>сенсорная комплементарность</x:v>
      </x:c>
      <x:c r="Q2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6" s="28" t="str">
        <x:v>минимальный</x:v>
      </x:c>
      <x:c r="S26" s="28" t="str">
        <x:v>волокнистые листья и нежное сердце; фенолы быстро окисляются</x:v>
      </x:c>
      <x:c r="T26" s="28" t="str">
        <x:v>кислота ограничивает потемнение; варка и гриль смягчают горечь и усиливают ореховые ноты. </x:v>
      </x:c>
      <x:c r="U26" s="28" t="str">
        <x:v>Артишок имеет профиль «зелёный, ореховый, травянистый и слегка цветочный».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26" s="28" t="str">
        <x:v>быстро темнеет; цинарин изменяет восприятие последующей сладости и может мешать винным сочетаниям</x:v>
      </x:c>
      <x:c r="W26" s="28" t="str">
        <x:v>цитрус, йогурт или мёд</x:v>
      </x:c>
      <x:c r="X26" s="28" t="str">
        <x:v>горячее блюдо, бульон, соус, пюре, ферментация или гарнир с чили</x:v>
      </x:c>
      <x:c r="Y26" s="28" t="str">
        <x:v>универсальное</x:v>
      </x:c>
      <x:c r="Z26" s="28" t="str">
        <x:v>Средняя</x:v>
      </x:c>
      <x:c r="AA26" s="28" t="str">
        <x:v>The Art &amp; Science of Foodpairing.pdf</x:v>
      </x:c>
      <x:c r="AB26" s="28" t="str">
        <x:v>The Art &amp; Science of Foodpairing.pdf: 94</x:v>
      </x:c>
      <x:c r="AC26" s="28" t="str">
        <x:v>связь из pairing grid, стр. 94</x:v>
      </x:c>
      <x:c r="AD26" s="28" t="n">
        <x:v>1</x:v>
      </x:c>
      <x:c r="AE26" s="28" t="n">
        <x:v>1</x:v>
      </x:c>
      <x:c r="AF26" s="28" t="n">
        <x:f>IF(Z26="Высокая",3,IF(Z26="Средняя",2,1))+AD26*2+MIN(AE26,3)</x:f>
        <x:v>5</x:v>
      </x:c>
    </x:row>
    <x:row r="27" ht="64" customHeight="1">
      <x:c r="A27" s="28" t="str">
        <x:v>VEG-0026</x:v>
      </x:c>
      <x:c r="B27" s="28" t="str">
        <x:v>артишок</x:v>
      </x:c>
      <x:c r="C27" s="28" t="str">
        <x:v>Универсальные</x:v>
      </x:c>
      <x:c r="D27" s="28" t="str">
        <x:v>артишок</x:v>
      </x:c>
      <x:c r="E27" s="28" t="str">
        <x:v>artichoke</x:v>
      </x:c>
      <x:c r="F27" s="28" t="str">
        <x:v>Соцветия и стеблевые овощи</x:v>
      </x:c>
      <x:c r="G27" s="28" t="str">
        <x:v>чили ахи мирасоль</x:v>
      </x:c>
      <x:c r="H27" s="28" t="str">
        <x:v>aji mirasol chilli</x:v>
      </x:c>
      <x:c r="I27" s="28" t="str">
        <x:v>Специи</x:v>
      </x:c>
      <x:c r="J27" s="28" t="str">
        <x:v>зелёный, ореховый, травянистый и слегка цветочный</x:v>
      </x:c>
      <x:c r="K27" s="28" t="str">
        <x:v>пряный и древесный</x:v>
      </x:c>
      <x:c r="L27" s="28" t="str">
        <x:v>цинарин, сесквитерпеновые лактоны, зелёные альдегиды</x:v>
      </x:c>
      <x:c r="M27" s="28" t="str">
        <x:v>терпены, фенилпропаноиды</x:v>
      </x:c>
      <x:c r="N27" s="28" t="str">
        <x:v>прямое пересечение семейств не подтверждено</x:v>
      </x:c>
      <x:c r="O27" s="28" t="str">
        <x:v>надёжная общая ключевая молекула не установлена</x:v>
      </x:c>
      <x:c r="P27" s="28" t="str">
        <x:v>сенсорная комплементарность</x:v>
      </x:c>
      <x:c r="Q2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7" s="28" t="str">
        <x:v>минимальный</x:v>
      </x:c>
      <x:c r="S27" s="28" t="str">
        <x:v>волокнистые листья и нежное сердце; фенолы быстро окисляются</x:v>
      </x:c>
      <x:c r="T27" s="28" t="str">
        <x:v>кислота ограничивает потемнение; варка и гриль смягчают горечь и усиливают ореховые ноты. </x:v>
      </x:c>
      <x:c r="U27" s="28" t="str">
        <x:v>Артишок имеет профиль «зелёный, ореховый, травянистый и слегка цветочный». Партнёр «чили ахи мирасоль»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27" s="28" t="str">
        <x:v>быстро темнеет; цинарин изменяет восприятие последующей сладости и может мешать винным сочетаниям</x:v>
      </x:c>
      <x:c r="W27" s="28" t="str">
        <x:v>цитрус, йогурт или мёд</x:v>
      </x:c>
      <x:c r="X27" s="28" t="str">
        <x:v>горячее блюдо, бульон, соус, пюре, ферментация или гарнир с чили ахи мирасоль</x:v>
      </x:c>
      <x:c r="Y27" s="28" t="str">
        <x:v>универсальное</x:v>
      </x:c>
      <x:c r="Z27" s="28" t="str">
        <x:v>Средняя</x:v>
      </x:c>
      <x:c r="AA27" s="28" t="str">
        <x:v>The Art &amp; Science of Foodpairing.pdf</x:v>
      </x:c>
      <x:c r="AB27" s="28" t="str">
        <x:v>The Art &amp; Science of Foodpairing.pdf: 328</x:v>
      </x:c>
      <x:c r="AC27" s="28" t="str">
        <x:v>связь из pairing grid, стр. 328</x:v>
      </x:c>
      <x:c r="AD27" s="28" t="n">
        <x:v>1</x:v>
      </x:c>
      <x:c r="AE27" s="28" t="n">
        <x:v>1</x:v>
      </x:c>
      <x:c r="AF27" s="28" t="n">
        <x:f>IF(Z27="Высокая",3,IF(Z27="Средняя",2,1))+AD27*2+MIN(AE27,3)</x:f>
        <x:v>5</x:v>
      </x:c>
    </x:row>
    <x:row r="28" ht="64" customHeight="1">
      <x:c r="A28" s="28" t="str">
        <x:v>VEG-0027</x:v>
      </x:c>
      <x:c r="B28" s="28" t="str">
        <x:v>артишок</x:v>
      </x:c>
      <x:c r="C28" s="28" t="str">
        <x:v>Универсальные</x:v>
      </x:c>
      <x:c r="D28" s="28" t="str">
        <x:v>артишок</x:v>
      </x:c>
      <x:c r="E28" s="28" t="str">
        <x:v>boiled artichoke</x:v>
      </x:c>
      <x:c r="F28" s="28" t="str">
        <x:v>Соцветия и стеблевые овощи</x:v>
      </x:c>
      <x:c r="G28" s="28" t="str">
        <x:v>чёрный перец</x:v>
      </x:c>
      <x:c r="H28" s="28" t="str">
        <x:v>peppercorns</x:v>
      </x:c>
      <x:c r="I28" s="28" t="str">
        <x:v>Специи</x:v>
      </x:c>
      <x:c r="J28" s="28" t="str">
        <x:v>зелёный, ореховый, травянистый и слегка цветочный</x:v>
      </x:c>
      <x:c r="K28" s="28" t="str">
        <x:v>древесный, пряный, цитрусовый</x:v>
      </x:c>
      <x:c r="L28" s="28" t="str">
        <x:v>цинарин, сесквитерпеновые лактоны, зелёные альдегиды</x:v>
      </x:c>
      <x:c r="M28" s="28" t="str">
        <x:v>лимонен, пинен, пиперин</x:v>
      </x:c>
      <x:c r="N28" s="28" t="str">
        <x:v>прямое пересечение семейств не подтверждено</x:v>
      </x:c>
      <x:c r="O28" s="28" t="str">
        <x:v>надёжная общая ключевая молекула не установлена</x:v>
      </x:c>
      <x:c r="P28" s="28" t="str">
        <x:v>сенсорная комплементарность</x:v>
      </x:c>
      <x:c r="Q2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8" s="28" t="str">
        <x:v>минимальный</x:v>
      </x:c>
      <x:c r="S28" s="28" t="str">
        <x:v>волокнистые листья и нежное сердце; фенолы быстро окисляются</x:v>
      </x:c>
      <x:c r="T28" s="28" t="str">
        <x:v>кислота ограничивает потемнение; варка и гриль смягчают горечь и усиливают ореховые ноты. </x:v>
      </x:c>
      <x:c r="U28" s="28" t="str">
        <x:v>Артишок имеет профиль «зелёный, ореховый, травянистый и слегка цветочный».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28" s="28" t="str">
        <x:v>быстро темнеет; цинарин изменяет восприятие последующей сладости и может мешать винным сочетаниям</x:v>
      </x:c>
      <x:c r="W28" s="28" t="str">
        <x:v>цитрус, йогурт или мёд</x:v>
      </x:c>
      <x:c r="X28" s="28" t="str">
        <x:v>горячее блюдо, бульон, соус, пюре, ферментация или гарнир с чёрный перец</x:v>
      </x:c>
      <x:c r="Y28" s="28" t="str">
        <x:v>универсальное</x:v>
      </x:c>
      <x:c r="Z28" s="28" t="str">
        <x:v>Средняя</x:v>
      </x:c>
      <x:c r="AA28" s="28" t="str">
        <x:v>The Art &amp; Science of Foodpairing.pdf</x:v>
      </x:c>
      <x:c r="AB28" s="28" t="str">
        <x:v>The Art &amp; Science of Foodpairing.pdf: 273</x:v>
      </x:c>
      <x:c r="AC28" s="28" t="str">
        <x:v>связь из pairing grid, стр. 273</x:v>
      </x:c>
      <x:c r="AD28" s="28" t="n">
        <x:v>1</x:v>
      </x:c>
      <x:c r="AE28" s="28" t="n">
        <x:v>1</x:v>
      </x:c>
      <x:c r="AF28" s="28" t="n">
        <x:f>IF(Z28="Высокая",3,IF(Z28="Средняя",2,1))+AD28*2+MIN(AE28,3)</x:f>
        <x:v>5</x:v>
      </x:c>
    </x:row>
    <x:row r="29" ht="64" customHeight="1">
      <x:c r="A29" s="28" t="str">
        <x:v>VEG-0028</x:v>
      </x:c>
      <x:c r="B29" s="28" t="str">
        <x:v>баклажан</x:v>
      </x:c>
      <x:c r="C29" s="28" t="str">
        <x:v>Универсальные</x:v>
      </x:c>
      <x:c r="D29" s="28" t="str">
        <x:v>баклажан</x:v>
      </x:c>
      <x:c r="E29" s="28" t="str">
        <x:v>boiled aubergine</x:v>
      </x:c>
      <x:c r="F29" s="28" t="str">
        <x:v>Плодовые овощи</x:v>
      </x:c>
      <x:c r="G29" s="28" t="str">
        <x:v>базилик</x:v>
      </x:c>
      <x:c r="H29" s="28" t="str">
        <x:v>basil</x:v>
      </x:c>
      <x:c r="I29" s="28" t="str">
        <x:v>Травы, цветы и листья</x:v>
      </x:c>
      <x:c r="J29" s="28" t="str">
        <x:v>зелёный, землистый, слегка грибной и дымный после жарки</x:v>
      </x:c>
      <x:c r="K29" s="28" t="str">
        <x:v>зелёный, пряный, цветочный</x:v>
      </x:c>
      <x:c r="L29" s="28" t="str">
        <x:v>гексаналь, 1-гексен-3-ол, пиразины, фенольные соединения</x:v>
      </x:c>
      <x:c r="M29" s="28" t="str">
        <x:v>линалоол, эвгенол</x:v>
      </x:c>
      <x:c r="N29" s="28" t="str">
        <x:v>зелёный</x:v>
      </x:c>
      <x:c r="O29" s="28" t="str">
        <x:v>надёжная общая ключевая молекула не установлена</x:v>
      </x:c>
      <x:c r="P29" s="28" t="str">
        <x:v>пересечение ароматических семейств</x:v>
      </x:c>
      <x:c r="Q2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29" s="28" t="str">
        <x:v>минимальный</x:v>
      </x:c>
      <x:c r="S29" s="28" t="str">
        <x:v>водная пористая мякоть, быстро впитывающая масло и соусы</x:v>
      </x:c>
      <x:c r="T29" s="28" t="str">
        <x:v>гриль и жарка формируют дымные и жареные ноты; соль и нагрев смягчают горечь. </x:v>
      </x:c>
      <x:c r="U29" s="28" t="str">
        <x:v>Баклажан имеет профиль «зелёный, землистый, слегка грибной и дымный после жарки».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29" s="28" t="str">
        <x:v>избыток масла делает продукт тяжёлым; недоготовленная мякоть остаётся губчатой; длительный нагрев уносит свежие терпены и зелёные альдегиды</x:v>
      </x:c>
      <x:c r="W29" s="28" t="str">
        <x:v>оливковое масло, лимон или сыр</x:v>
      </x:c>
      <x:c r="X29" s="28" t="str">
        <x:v>салат, гарнир, суп, соус, маринад, ферментация или напиток с базилик</x:v>
      </x:c>
      <x:c r="Y29" s="28" t="str">
        <x:v>универсальное</x:v>
      </x:c>
      <x:c r="Z29" s="28" t="str">
        <x:v>Средняя</x:v>
      </x:c>
      <x:c r="AA29" s="28" t="str">
        <x:v>The Art &amp; Science of Foodpairing.pdf</x:v>
      </x:c>
      <x:c r="AB29" s="28" t="str">
        <x:v>The Art &amp; Science of Foodpairing.pdf: 74</x:v>
      </x:c>
      <x:c r="AC29" s="28" t="str">
        <x:v>связь из pairing grid, стр. 74</x:v>
      </x:c>
      <x:c r="AD29" s="28" t="n">
        <x:v>1</x:v>
      </x:c>
      <x:c r="AE29" s="28" t="n">
        <x:v>1</x:v>
      </x:c>
      <x:c r="AF29" s="28" t="n">
        <x:f>IF(Z29="Высокая",3,IF(Z29="Средняя",2,1))+AD29*2+MIN(AE29,3)</x:f>
        <x:v>5</x:v>
      </x:c>
    </x:row>
    <x:row r="30" ht="64" customHeight="1">
      <x:c r="A30" s="28" t="str">
        <x:v>VEG-0029</x:v>
      </x:c>
      <x:c r="B30" s="28" t="str">
        <x:v>баклажан</x:v>
      </x:c>
      <x:c r="C30" s="28" t="str">
        <x:v>Еда и соусы</x:v>
      </x:c>
      <x:c r="D30" s="28" t="str">
        <x:v>баклажан</x:v>
      </x:c>
      <x:c r="E30" s="28" t="str">
        <x:v>Баклажан | баклажан</x:v>
      </x:c>
      <x:c r="F30" s="28" t="str">
        <x:v>Плодовые овощи</x:v>
      </x:c>
      <x:c r="G30" s="28" t="str">
        <x:v>баранина</x:v>
      </x:c>
      <x:c r="H30" s="28" t="str">
        <x:v>Баранина | баранина</x:v>
      </x:c>
      <x:c r="I30" s="28" t="str">
        <x:v>Мясо и птица</x:v>
      </x:c>
      <x:c r="J30" s="28" t="str">
        <x:v>зелёный, землистый, слегка грибной и дымный после жарки</x:v>
      </x:c>
      <x:c r="K30" s="28" t="str">
        <x:v>жареный, мясной и умами</x:v>
      </x:c>
      <x:c r="L30" s="28" t="str">
        <x:v>гексаналь, 1-гексен-3-ол, пиразины, фенольные соединения</x:v>
      </x:c>
      <x:c r="M30" s="28" t="str">
        <x:v>пиразины, сернистые соединения</x:v>
      </x:c>
      <x:c r="N30" s="28" t="str">
        <x:v>жареный</x:v>
      </x:c>
      <x:c r="O30" s="28" t="str">
        <x:v>пиразины</x:v>
      </x:c>
      <x:c r="P30" s="28" t="str">
        <x:v>общие характерные молекулы; пересечение ароматических семейств; умами и солёный контраст</x:v>
      </x:c>
      <x:c r="Q3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0" s="28" t="str">
        <x:v>минимальный</x:v>
      </x:c>
      <x:c r="S30" s="28" t="str">
        <x:v>водная пористая мякоть, быстро впитывающая масло и соусы Белок и жир требуют контроля воды: для жареной ароматики поверхность должна подсохнуть.</x:v>
      </x:c>
      <x:c r="T30" s="28" t="str">
        <x:v>гриль и жарка формируют дымные и жареные ноты; соль и нагрев смягчают горечь. </x:v>
      </x:c>
      <x:c r="U30" s="28" t="str">
        <x:v>Баклажан имеет профиль «зелёный, землистый, слегка грибной и дымный после жарки». Партнёр «баранина»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0" s="28" t="str">
        <x:v>избыток масла делает продукт тяжёлым; недоготовленная мякоть остаётся губчатой</x:v>
      </x:c>
      <x:c r="W30" s="28" t="str">
        <x:v>сливочное масло, соевый соус или тимьян</x:v>
      </x:c>
      <x:c r="X30" s="28" t="str">
        <x:v>салат, гарнир, суп, соус, маринад, ферментация или напиток с баранина</x:v>
      </x:c>
      <x:c r="Y30" s="28" t="str">
        <x:v>еда, соусы/маринады</x:v>
      </x:c>
      <x:c r="Z30" s="28" t="str">
        <x:v>Средняя</x:v>
      </x:c>
      <x:c r="AA30" s="28" t="str">
        <x:v>Тезариус вкусов (Ники Сегнит)(1).pdf</x:v>
      </x:c>
      <x:c r="AB30" s="28" t="str">
        <x:v>Тезариус вкусов (Ники Сегнит)(1).pdf: 126, 209</x:v>
      </x:c>
      <x:c r="AC30" s="28" t="str">
        <x:v>развёрнутая пара/статья, стр. 126; развёрнутая пара/статья, стр. 209</x:v>
      </x:c>
      <x:c r="AD30" s="28" t="n">
        <x:v>1</x:v>
      </x:c>
      <x:c r="AE30" s="28" t="n">
        <x:v>2</x:v>
      </x:c>
      <x:c r="AF30" s="28" t="n">
        <x:f>IF(Z30="Высокая",3,IF(Z30="Средняя",2,1))+AD30*2+MIN(AE30,3)</x:f>
        <x:v>6</x:v>
      </x:c>
    </x:row>
    <x:row r="31" ht="64" customHeight="1">
      <x:c r="A31" s="28" t="str">
        <x:v>VEG-0030</x:v>
      </x:c>
      <x:c r="B31" s="28" t="str">
        <x:v>баклажан</x:v>
      </x:c>
      <x:c r="C31" s="28" t="str">
        <x:v>Еда и соусы</x:v>
      </x:c>
      <x:c r="D31" s="28" t="str">
        <x:v>баклажан</x:v>
      </x:c>
      <x:c r="E31" s="28" t="str">
        <x:v>boiled aubergine</x:v>
      </x:c>
      <x:c r="F31" s="28" t="str">
        <x:v>Плодовые овощи</x:v>
      </x:c>
      <x:c r="G31" s="28" t="str">
        <x:v>батат</x:v>
      </x:c>
      <x:c r="H31" s="28" t="str">
        <x:v>sweet potato</x:v>
      </x:c>
      <x:c r="I31" s="28" t="str">
        <x:v>Корнеплоды и клубни</x:v>
      </x:c>
      <x:c r="J31" s="28" t="str">
        <x:v>зелёный, землистый, слегка грибной и дымный после жарки</x:v>
      </x:c>
      <x:c r="K31" s="28" t="str">
        <x:v>сладкий, крахмалистый, цветочный, карамельный и ореховый после запекания</x:v>
      </x:c>
      <x:c r="L31" s="28" t="str">
        <x:v>гексаналь, 1-гексен-3-ол, пиразины, фенольные соединения</x:v>
      </x:c>
      <x:c r="M31" s="28" t="str">
        <x:v>мальтол, норизопреноиды, пиразины, фураны</x:v>
      </x:c>
      <x:c r="N31" s="28" t="str">
        <x:v>жареный</x:v>
      </x:c>
      <x:c r="O31" s="28" t="str">
        <x:v>пиразины</x:v>
      </x:c>
      <x:c r="P31" s="28" t="str">
        <x:v>общие характерные молекулы; пересечение ароматических семейств</x:v>
      </x:c>
      <x:c r="Q3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" s="28" t="str">
        <x:v>минимальный</x:v>
      </x:c>
      <x:c r="S31" s="28" t="str">
        <x:v>водная пористая мякоть, быстро впитывающая масло и соусы</x:v>
      </x:c>
      <x:c r="T31" s="28" t="str">
        <x:v>гриль и жарка формируют дымные и жареные ноты; соль и нагрев смягчают горечь. </x:v>
      </x:c>
      <x:c r="U31" s="28" t="str">
        <x:v>Баклажан имеет профиль «зелёный, землистый, слегка грибной и дымный после жарки».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V31" s="28" t="str">
        <x:v>избыток масла делает продукт тяжёлым; недоготовленная мякоть остаётся губчатой</x:v>
      </x:c>
      <x:c r="W31" s="28" t="str">
        <x:v>соль, кислота или ароматический жир</x:v>
      </x:c>
      <x:c r="X31" s="28" t="str">
        <x:v>салат, гарнир, суп, соус, маринад, ферментация или напиток с батат</x:v>
      </x:c>
      <x:c r="Y31" s="28" t="str">
        <x:v>еда, соусы/маринады</x:v>
      </x:c>
      <x:c r="Z31" s="28" t="str">
        <x:v>Средняя</x:v>
      </x:c>
      <x:c r="AA31" s="28" t="str">
        <x:v>The Art &amp; Science of Foodpairing.pdf</x:v>
      </x:c>
      <x:c r="AB31" s="28" t="str">
        <x:v>The Art &amp; Science of Foodpairing.pdf: 119</x:v>
      </x:c>
      <x:c r="AC31" s="28" t="str">
        <x:v>связь из pairing grid, стр. 119</x:v>
      </x:c>
      <x:c r="AD31" s="28" t="n">
        <x:v>1</x:v>
      </x:c>
      <x:c r="AE31" s="28" t="n">
        <x:v>1</x:v>
      </x:c>
      <x:c r="AF31" s="28" t="n">
        <x:f>IF(Z31="Высокая",3,IF(Z31="Средняя",2,1))+AD31*2+MIN(AE31,3)</x:f>
        <x:v>5</x:v>
      </x:c>
    </x:row>
    <x:row r="32" ht="64" customHeight="1">
      <x:c r="A32" s="28" t="str">
        <x:v>VEG-0031</x:v>
      </x:c>
      <x:c r="B32" s="28" t="str">
        <x:v>баклажан</x:v>
      </x:c>
      <x:c r="C32" s="28" t="str">
        <x:v>Универсальные</x:v>
      </x:c>
      <x:c r="D32" s="28" t="str">
        <x:v>баклажан</x:v>
      </x:c>
      <x:c r="E32" s="28" t="str">
        <x:v>Баклажан | баклажан</x:v>
      </x:c>
      <x:c r="F32" s="28" t="str">
        <x:v>Плодовые овощи</x:v>
      </x:c>
      <x:c r="G32" s="28" t="str">
        <x:v>болгарский перец</x:v>
      </x:c>
      <x:c r="H32" s="28" t="str">
        <x:v>Болгарский перец | болгарский перец</x:v>
      </x:c>
      <x:c r="I32" s="28" t="str">
        <x:v>Плодовые овощи</x:v>
      </x:c>
      <x:c r="J32" s="28" t="str">
        <x:v>зелёный, землистый, слегка грибной и дымный после жарки</x:v>
      </x:c>
      <x:c r="K32" s="28" t="str">
        <x:v>зелёный, травянистый, фруктовый; у красного — сладкий и жареный</x:v>
      </x:c>
      <x:c r="L32" s="28" t="str">
        <x:v>гексаналь, 1-гексен-3-ол, пиразины, фенольные соединения</x:v>
      </x:c>
      <x:c r="M32" s="28" t="str">
        <x:v>2-изобутил-3-метоксипиразин, гексаналь, лимонен, эфиры</x:v>
      </x:c>
      <x:c r="N32" s="28" t="str">
        <x:v>зелёный</x:v>
      </x:c>
      <x:c r="O32" s="28" t="str">
        <x:v>гексаналь</x:v>
      </x:c>
      <x:c r="P32" s="28" t="str">
        <x:v>общие характерные молекулы; пересечение ароматических семейств</x:v>
      </x:c>
      <x:c r="Q3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" s="28" t="str">
        <x:v>минимальный</x:v>
      </x:c>
      <x:c r="S32" s="28" t="str">
        <x:v>водная пористая мякоть, быстро впитывающая масло и соусы</x:v>
      </x:c>
      <x:c r="T32" s="28" t="str">
        <x:v>гриль и жарка формируют дымные и жареные ноты; соль и нагрев смягчают горечь. </x:v>
      </x:c>
      <x:c r="U32" s="28" t="str">
        <x:v>Баклажан имеет профиль «зелёный, землистый, слегка грибной и дымный после жарки». Партнёр «болгарский перец» относится к группе «Плодовые овощи» и даёт зелёный, травянистый, фруктовый; у красного — сладкий и жареный. Вероятный молекулярный мост: гексаналь. Совместимость формируется за счёт баланса сладости, кислотности, горечи, умами и текстуры.</x:v>
      </x:c>
      <x:c r="V32" s="28" t="str">
        <x:v>избыток масла делает продукт тяжёлым; недоготовленная мякоть остаётся губчатой</x:v>
      </x:c>
      <x:c r="W32" s="28" t="str">
        <x:v>соль, кислота или ароматический жир</x:v>
      </x:c>
      <x:c r="X32" s="28" t="str">
        <x:v>салат, гарнир, суп, соус, маринад, ферментация или напиток с болгарский перец</x:v>
      </x:c>
      <x:c r="Y32" s="28" t="str">
        <x:v>универсальное</x:v>
      </x:c>
      <x:c r="Z32" s="28" t="str">
        <x:v>Средняя</x:v>
      </x:c>
      <x:c r="AA32" s="28" t="str">
        <x:v>Тезариус вкусов (Ники Сегнит)(1).pdf</x:v>
      </x:c>
      <x:c r="AB32" s="28" t="str">
        <x:v>Тезариус вкусов (Ники Сегнит)(1).pdf: 209, 545</x:v>
      </x:c>
      <x:c r="AC32" s="28" t="str">
        <x:v>развёрнутая пара/статья, стр. 209; развёрнутая пара/статья, стр. 545</x:v>
      </x:c>
      <x:c r="AD32" s="28" t="n">
        <x:v>1</x:v>
      </x:c>
      <x:c r="AE32" s="28" t="n">
        <x:v>2</x:v>
      </x:c>
      <x:c r="AF32" s="28" t="n">
        <x:f>IF(Z32="Высокая",3,IF(Z32="Средняя",2,1))+AD32*2+MIN(AE32,3)</x:f>
        <x:v>6</x:v>
      </x:c>
    </x:row>
    <x:row r="33" ht="64" customHeight="1">
      <x:c r="A33" s="28" t="str">
        <x:v>VEG-0032</x:v>
      </x:c>
      <x:c r="B33" s="28" t="str">
        <x:v>баклажан</x:v>
      </x:c>
      <x:c r="C33" s="28" t="str">
        <x:v>Десерты и выпечка</x:v>
      </x:c>
      <x:c r="D33" s="28" t="str">
        <x:v>баклажан</x:v>
      </x:c>
      <x:c r="E33" s="28" t="str">
        <x:v>Баклажан | баклажан</x:v>
      </x:c>
      <x:c r="F33" s="28" t="str">
        <x:v>Плодовые овощи</x:v>
      </x:c>
      <x:c r="G33" s="28" t="str">
        <x:v>грецкий орех</x:v>
      </x:c>
      <x:c r="H33" s="28" t="str">
        <x:v>Грецкий орех | грецкий орех</x:v>
      </x:c>
      <x:c r="I33" s="28" t="str">
        <x:v>Орехи и семена</x:v>
      </x:c>
      <x:c r="J33" s="28" t="str">
        <x:v>зелёный, землистый, слегка грибной и дымный после жарки</x:v>
      </x:c>
      <x:c r="K33" s="28" t="str">
        <x:v>древесный, землистый, ореховый</x:v>
      </x:c>
      <x:c r="L33" s="28" t="str">
        <x:v>гексаналь, 1-гексен-3-ол, пиразины, фенольные соединения</x:v>
      </x:c>
      <x:c r="M33" s="28" t="str">
        <x:v>альдегиды, пиразины</x:v>
      </x:c>
      <x:c r="N33" s="28" t="str">
        <x:v>землистый</x:v>
      </x:c>
      <x:c r="O33" s="28" t="str">
        <x:v>пиразины</x:v>
      </x:c>
      <x:c r="P33" s="28" t="str">
        <x:v>общие характерные молекулы; пересечение ароматических семейств</x:v>
      </x:c>
      <x:c r="Q3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" s="28" t="str">
        <x:v>минимальный</x:v>
      </x:c>
      <x:c r="S33" s="28" t="str">
        <x:v>водная пористая мякоть, быстро впитывающая масло и соусы</x:v>
      </x:c>
      <x:c r="T33" s="28" t="str">
        <x:v>гриль и жарка формируют дымные и жареные ноты; соль и нагрев смягчают горечь. </x:v>
      </x:c>
      <x:c r="U33" s="28" t="str">
        <x:v>Баклажан имеет профиль «зелёный, землистый, слегка грибной и дымный после жарки».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33" s="28" t="str">
        <x:v>избыток масла делает продукт тяжёлым; недоготовленная мякоть остаётся губчатой</x:v>
      </x:c>
      <x:c r="W33" s="28" t="str">
        <x:v>соль, кислота или ароматический жир</x:v>
      </x:c>
      <x:c r="X33" s="28" t="str">
        <x:v>салат, гарнир, суп, соус, маринад, ферментация или напиток с грецкий орех</x:v>
      </x:c>
      <x:c r="Y33" s="28" t="str">
        <x:v>десерты</x:v>
      </x:c>
      <x:c r="Z33" s="28" t="str">
        <x:v>Средняя</x:v>
      </x:c>
      <x:c r="AA33" s="28" t="str">
        <x:v>Тезариус вкусов (Ники Сегнит)(1).pdf</x:v>
      </x:c>
      <x:c r="AB33" s="28" t="str">
        <x:v>Тезариус вкусов (Ники Сегнит)(1).pdf: 210, 623</x:v>
      </x:c>
      <x:c r="AC33" s="28" t="str">
        <x:v>развёрнутая пара/статья, стр. 210; развёрнутая пара/статья, стр. 623</x:v>
      </x:c>
      <x:c r="AD33" s="28" t="n">
        <x:v>1</x:v>
      </x:c>
      <x:c r="AE33" s="28" t="n">
        <x:v>2</x:v>
      </x:c>
      <x:c r="AF33" s="28" t="n">
        <x:f>IF(Z33="Высокая",3,IF(Z33="Средняя",2,1))+AD33*2+MIN(AE33,3)</x:f>
        <x:v>6</x:v>
      </x:c>
    </x:row>
    <x:row r="34" ht="64" customHeight="1">
      <x:c r="A34" s="28" t="str">
        <x:v>VEG-0033</x:v>
      </x:c>
      <x:c r="B34" s="28" t="str">
        <x:v>баклажан</x:v>
      </x:c>
      <x:c r="C34" s="28" t="str">
        <x:v>Напитки</x:v>
      </x:c>
      <x:c r="D34" s="28" t="str">
        <x:v>баклажан</x:v>
      </x:c>
      <x:c r="E34" s="28" t="str">
        <x:v>boiled aubergine</x:v>
      </x:c>
      <x:c r="F34" s="28" t="str">
        <x:v>Плодовые овощи</x:v>
      </x:c>
      <x:c r="G34" s="28" t="str">
        <x:v>джин</x:v>
      </x:c>
      <x:c r="H34" s="28" t="str">
        <x:v>gin</x:v>
      </x:c>
      <x:c r="I34" s="28" t="str">
        <x:v>Алкогольные напитки</x:v>
      </x:c>
      <x:c r="J34" s="28" t="str">
        <x:v>зелёный, землистый, слегка грибной и дымный после жарки</x:v>
      </x:c>
      <x:c r="K34" s="28" t="str">
        <x:v>спиртовой, фруктовый или древесный</x:v>
      </x:c>
      <x:c r="L34" s="28" t="str">
        <x:v>гексаналь, 1-гексен-3-ол, пиразины, фенольные соединения</x:v>
      </x:c>
      <x:c r="M34" s="28" t="str">
        <x:v>альдегиды, эфиры</x:v>
      </x:c>
      <x:c r="N34" s="28" t="str">
        <x:v>прямое пересечение семейств не подтверждено</x:v>
      </x:c>
      <x:c r="O34" s="28" t="str">
        <x:v>надёжная общая ключевая молекула не установлена</x:v>
      </x:c>
      <x:c r="P34" s="28" t="str">
        <x:v>сенсорная комплементарность</x:v>
      </x:c>
      <x:c r="Q3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" s="28" t="str">
        <x:v>минимальный</x:v>
      </x:c>
      <x:c r="S34" s="28" t="str">
        <x:v>водная пористая мякоть, быстро впитывающая масло и соусы Этанол извлекает терпены и сернистые соединения эффективнее воды; время контакта ограничивать.</x:v>
      </x:c>
      <x:c r="T34" s="28" t="str">
        <x:v>гриль и жарка формируют дымные и жареные ноты; соль и нагрев смягчают горечь. </x:v>
      </x:c>
      <x:c r="U34" s="28" t="str">
        <x:v>Баклажан имеет профиль «зелёный, землистый, слегка грибной и дымный после жарки».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4" s="28" t="str">
        <x:v>избыток масла делает продукт тяжёлым; недоготовленная мякоть остаётся губчатой</x:v>
      </x:c>
      <x:c r="W34" s="28" t="str">
        <x:v>соль, кислота или ароматический жир</x:v>
      </x:c>
      <x:c r="X34" s="28" t="str">
        <x:v>салат, гарнир, суп, соус, маринад, ферментация или напиток с джин</x:v>
      </x:c>
      <x:c r="Y34" s="28" t="str">
        <x:v>напитки</x:v>
      </x:c>
      <x:c r="Z34" s="28" t="str">
        <x:v>Средняя</x:v>
      </x:c>
      <x:c r="AA34" s="28" t="str">
        <x:v>The Art &amp; Science of Foodpairing.pdf</x:v>
      </x:c>
      <x:c r="AB34" s="28" t="str">
        <x:v>The Art &amp; Science of Foodpairing.pdf: 215</x:v>
      </x:c>
      <x:c r="AC34" s="28" t="str">
        <x:v>связь из pairing grid, стр. 215</x:v>
      </x:c>
      <x:c r="AD34" s="28" t="n">
        <x:v>1</x:v>
      </x:c>
      <x:c r="AE34" s="28" t="n">
        <x:v>1</x:v>
      </x:c>
      <x:c r="AF34" s="28" t="n">
        <x:f>IF(Z34="Высокая",3,IF(Z34="Средняя",2,1))+AD34*2+MIN(AE34,3)</x:f>
        <x:v>5</x:v>
      </x:c>
    </x:row>
    <x:row r="35" ht="64" customHeight="1">
      <x:c r="A35" s="28" t="str">
        <x:v>VEG-0034</x:v>
      </x:c>
      <x:c r="B35" s="28" t="str">
        <x:v>баклажан</x:v>
      </x:c>
      <x:c r="C35" s="28" t="str">
        <x:v>Универсальные</x:v>
      </x:c>
      <x:c r="D35" s="28" t="str">
        <x:v>баклажан</x:v>
      </x:c>
      <x:c r="E35" s="28" t="str">
        <x:v>Баклажан | баклажан</x:v>
      </x:c>
      <x:c r="F35" s="28" t="str">
        <x:v>Плодовые овощи</x:v>
      </x:c>
      <x:c r="G35" s="28" t="str">
        <x:v>имбирь</x:v>
      </x:c>
      <x:c r="H35" s="28" t="str">
        <x:v>Имбирь | имбирь</x:v>
      </x:c>
      <x:c r="I35" s="28" t="str">
        <x:v>Специи</x:v>
      </x:c>
      <x:c r="J35" s="28" t="str">
        <x:v>зелёный, землистый, слегка грибной и дымный после жарки</x:v>
      </x:c>
      <x:c r="K35" s="28" t="str">
        <x:v>пряный, тёплый, цитрусовый</x:v>
      </x:c>
      <x:c r="L35" s="28" t="str">
        <x:v>гексаналь, 1-гексен-3-ол, пиразины, фенольные соединения</x:v>
      </x:c>
      <x:c r="M35" s="28" t="str">
        <x:v>гингеролы, цитраль</x:v>
      </x:c>
      <x:c r="N35" s="28" t="str">
        <x:v>прямое пересечение семейств не подтверждено</x:v>
      </x:c>
      <x:c r="O35" s="28" t="str">
        <x:v>надёжная общая ключевая молекула не установлена</x:v>
      </x:c>
      <x:c r="P35" s="28" t="str">
        <x:v>сенсорная комплементарность</x:v>
      </x:c>
      <x:c r="Q3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" s="28" t="str">
        <x:v>минимальный</x:v>
      </x:c>
      <x:c r="S35" s="28" t="str">
        <x:v>водная пористая мякоть, быстро впитывающая масло и соусы</x:v>
      </x:c>
      <x:c r="T35" s="28" t="str">
        <x:v>гриль и жарка формируют дымные и жареные ноты; соль и нагрев смягчают горечь. </x:v>
      </x:c>
      <x:c r="U35" s="28" t="str">
        <x:v>Баклажан имеет профиль «зелёный, землистый, слегка грибной и дымный после жарки».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35" s="28" t="str">
        <x:v>избыток масла делает продукт тяжёлым; недоготовленная мякоть остаётся губчатой</x:v>
      </x:c>
      <x:c r="W35" s="28" t="str">
        <x:v>цитрус, йогурт или мёд</x:v>
      </x:c>
      <x:c r="X35" s="28" t="str">
        <x:v>салат, гарнир, суп, соус, маринад, ферментация или напиток с имбирь</x:v>
      </x:c>
      <x:c r="Y35" s="28" t="str">
        <x:v>универсальное</x:v>
      </x:c>
      <x:c r="Z35" s="28" t="str">
        <x:v>Средняя</x:v>
      </x:c>
      <x:c r="AA35" s="28" t="str">
        <x:v>Тезариус вкусов (Ники Сегнит)(1).pdf</x:v>
      </x:c>
      <x:c r="AB35" s="28" t="str">
        <x:v>Тезариус вкусов (Ники Сегнит)(1).pdf: 210, 813</x:v>
      </x:c>
      <x:c r="AC35" s="28" t="str">
        <x:v>развёрнутая пара/статья, стр. 210; развёрнутая пара/статья, стр. 813</x:v>
      </x:c>
      <x:c r="AD35" s="28" t="n">
        <x:v>1</x:v>
      </x:c>
      <x:c r="AE35" s="28" t="n">
        <x:v>2</x:v>
      </x:c>
      <x:c r="AF35" s="28" t="n">
        <x:f>IF(Z35="Высокая",3,IF(Z35="Средняя",2,1))+AD35*2+MIN(AE35,3)</x:f>
        <x:v>6</x:v>
      </x:c>
    </x:row>
    <x:row r="36" ht="64" customHeight="1">
      <x:c r="A36" s="28" t="str">
        <x:v>VEG-0035</x:v>
      </x:c>
      <x:c r="B36" s="28" t="str">
        <x:v>баклажан</x:v>
      </x:c>
      <x:c r="C36" s="28" t="str">
        <x:v>Универсальные</x:v>
      </x:c>
      <x:c r="D36" s="28" t="str">
        <x:v>баклажан</x:v>
      </x:c>
      <x:c r="E36" s="28" t="str">
        <x:v>boiled aubergine</x:v>
      </x:c>
      <x:c r="F36" s="28" t="str">
        <x:v>Плодовые овощи</x:v>
      </x:c>
      <x:c r="G36" s="28" t="str">
        <x:v>кардамон</x:v>
      </x:c>
      <x:c r="H36" s="28" t="str">
        <x:v>cardamom</x:v>
      </x:c>
      <x:c r="I36" s="28" t="str">
        <x:v>Специи</x:v>
      </x:c>
      <x:c r="J36" s="28" t="str">
        <x:v>зелёный, землистый, слегка грибной и дымный после жарки</x:v>
      </x:c>
      <x:c r="K36" s="28" t="str">
        <x:v>камфорный, цветочный, цитрусовый</x:v>
      </x:c>
      <x:c r="L36" s="28" t="str">
        <x:v>гексаналь, 1-гексен-3-ол, пиразины, фенольные соединения</x:v>
      </x:c>
      <x:c r="M36" s="28" t="str">
        <x:v>1,8-цинеол, линалоол</x:v>
      </x:c>
      <x:c r="N36" s="28" t="str">
        <x:v>прямое пересечение семейств не подтверждено</x:v>
      </x:c>
      <x:c r="O36" s="28" t="str">
        <x:v>надёжная общая ключевая молекула не установлена</x:v>
      </x:c>
      <x:c r="P36" s="28" t="str">
        <x:v>сенсорная комплементарность</x:v>
      </x:c>
      <x:c r="Q3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" s="28" t="str">
        <x:v>минимальный</x:v>
      </x:c>
      <x:c r="S36" s="28" t="str">
        <x:v>водная пористая мякоть, быстро впитывающая масло и соусы</x:v>
      </x:c>
      <x:c r="T36" s="28" t="str">
        <x:v>гриль и жарка формируют дымные и жареные ноты; соль и нагрев смягчают горечь. </x:v>
      </x:c>
      <x:c r="U36" s="28" t="str">
        <x:v>Баклажан имеет профиль «зелёный, землистый, слегка грибной и дымный после жарки».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36" s="28" t="str">
        <x:v>избыток масла делает продукт тяжёлым; недоготовленная мякоть остаётся губчатой</x:v>
      </x:c>
      <x:c r="W36" s="28" t="str">
        <x:v>цитрус, йогурт или мёд</x:v>
      </x:c>
      <x:c r="X36" s="28" t="str">
        <x:v>салат, гарнир, суп, соус, маринад, ферментация или напиток с кардамон</x:v>
      </x:c>
      <x:c r="Y36" s="28" t="str">
        <x:v>универсальное</x:v>
      </x:c>
      <x:c r="Z36" s="28" t="str">
        <x:v>Средняя</x:v>
      </x:c>
      <x:c r="AA36" s="28" t="str">
        <x:v>The Art &amp; Science of Foodpairing.pdf</x:v>
      </x:c>
      <x:c r="AB36" s="28" t="str">
        <x:v>The Art &amp; Science of Foodpairing.pdf: 256</x:v>
      </x:c>
      <x:c r="AC36" s="28" t="str">
        <x:v>связь из pairing grid, стр. 256; связь из pairing grid, стр. 256</x:v>
      </x:c>
      <x:c r="AD36" s="28" t="n">
        <x:v>1</x:v>
      </x:c>
      <x:c r="AE36" s="28" t="n">
        <x:v>2</x:v>
      </x:c>
      <x:c r="AF36" s="28" t="n">
        <x:f>IF(Z36="Высокая",3,IF(Z36="Средняя",2,1))+AD36*2+MIN(AE36,3)</x:f>
        <x:v>6</x:v>
      </x:c>
    </x:row>
    <x:row r="37" ht="64" customHeight="1">
      <x:c r="A37" s="28" t="str">
        <x:v>VEG-0036</x:v>
      </x:c>
      <x:c r="B37" s="28" t="str">
        <x:v>баклажан</x:v>
      </x:c>
      <x:c r="C37" s="28" t="str">
        <x:v>Десерты и выпечка</x:v>
      </x:c>
      <x:c r="D37" s="28" t="str">
        <x:v>баклажан</x:v>
      </x:c>
      <x:c r="E37" s="28" t="str">
        <x:v>grilled aubergine</x:v>
      </x:c>
      <x:c r="F37" s="28" t="str">
        <x:v>Плодовые овощи</x:v>
      </x:c>
      <x:c r="G37" s="28" t="str">
        <x:v>козий сыр и молоко</x:v>
      </x:c>
      <x:c r="H37" s="28" t="str">
        <x:v>goats' cheese and milk</x:v>
      </x:c>
      <x:c r="I37" s="28" t="str">
        <x:v>Молочные продукты и сыры</x:v>
      </x:c>
      <x:c r="J37" s="28" t="str">
        <x:v>зелёный, землистый, слегка грибной и дымный после жарки</x:v>
      </x:c>
      <x:c r="K37" s="28" t="str">
        <x:v>молочный, умами, ферментированный</x:v>
      </x:c>
      <x:c r="L37" s="28" t="str">
        <x:v>гексаналь, 1-гексен-3-ол, пиразины, фенольные соединения</x:v>
      </x:c>
      <x:c r="M37" s="28" t="str">
        <x:v>диацетил, жирные кислоты</x:v>
      </x:c>
      <x:c r="N37" s="28" t="str">
        <x:v>прямое пересечение семейств не подтверждено</x:v>
      </x:c>
      <x:c r="O37" s="28" t="str">
        <x:v>надёжная общая ключевая молекула не установлена</x:v>
      </x:c>
      <x:c r="P37" s="28" t="str">
        <x:v>жировая матрица</x:v>
      </x:c>
      <x:c r="Q3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" s="28" t="str">
        <x:v>минимальный</x:v>
      </x:c>
      <x:c r="S37" s="28" t="str">
        <x:v>водная пористая мякоть, быстро впитывающая масло и соусы Жировая фаза удерживает гидрофобные молекулы, но может сделать вкус тяжёлым.</x:v>
      </x:c>
      <x:c r="T37" s="28" t="str">
        <x:v>гриль и жарка формируют дымные и жареные ноты; соль и нагрев смягчают горечь. </x:v>
      </x:c>
      <x:c r="U37" s="28" t="str">
        <x:v>Баклажан имеет профиль «зелёный, землистый, слегка грибной и дымный после жарки». Партнёр «козий сыр и молоко»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37" s="28" t="str">
        <x:v>избыток масла делает продукт тяжёлым; недоготовленная мякоть остаётся губчатой; жир способен приглушить свежую зелёную ароматику</x:v>
      </x:c>
      <x:c r="W37" s="28" t="str">
        <x:v>кислота, зелень или жареный орех</x:v>
      </x:c>
      <x:c r="X37" s="28" t="str">
        <x:v>салат, гарнир, суп, соус, маринад, ферментация или напиток с козий сыр и молоко</x:v>
      </x:c>
      <x:c r="Y37" s="28" t="str">
        <x:v>десерты</x:v>
      </x:c>
      <x:c r="Z37" s="28" t="str">
        <x:v>Средняя</x:v>
      </x:c>
      <x:c r="AA37" s="28" t="str">
        <x:v>The Art &amp; Science of Foodpairing.pdf</x:v>
      </x:c>
      <x:c r="AB37" s="28" t="str">
        <x:v>The Art &amp; Science of Foodpairing.pdf: 200</x:v>
      </x:c>
      <x:c r="AC37" s="28" t="str">
        <x:v>связь из pairing grid, стр. 200</x:v>
      </x:c>
      <x:c r="AD37" s="28" t="n">
        <x:v>1</x:v>
      </x:c>
      <x:c r="AE37" s="28" t="n">
        <x:v>1</x:v>
      </x:c>
      <x:c r="AF37" s="28" t="n">
        <x:f>IF(Z37="Высокая",3,IF(Z37="Средняя",2,1))+AD37*2+MIN(AE37,3)</x:f>
        <x:v>5</x:v>
      </x:c>
    </x:row>
    <x:row r="38" ht="64" customHeight="1">
      <x:c r="A38" s="28" t="str">
        <x:v>VEG-0037</x:v>
      </x:c>
      <x:c r="B38" s="28" t="str">
        <x:v>баклажан</x:v>
      </x:c>
      <x:c r="C38" s="28" t="str">
        <x:v>Напитки</x:v>
      </x:c>
      <x:c r="D38" s="28" t="str">
        <x:v>баклажан</x:v>
      </x:c>
      <x:c r="E38" s="28" t="str">
        <x:v>boiled aubergine</x:v>
      </x:c>
      <x:c r="F38" s="28" t="str">
        <x:v>Плодовые овощи</x:v>
      </x:c>
      <x:c r="G38" s="28" t="str">
        <x:v>коньяк</x:v>
      </x:c>
      <x:c r="H38" s="28" t="str">
        <x:v>cognac</x:v>
      </x:c>
      <x:c r="I38" s="28" t="str">
        <x:v>Алкогольные напитки</x:v>
      </x:c>
      <x:c r="J38" s="28" t="str">
        <x:v>зелёный, землистый, слегка грибной и дымный после жарки</x:v>
      </x:c>
      <x:c r="K38" s="28" t="str">
        <x:v>спиртовой, фруктовый или древесный</x:v>
      </x:c>
      <x:c r="L38" s="28" t="str">
        <x:v>гексаналь, 1-гексен-3-ол, пиразины, фенольные соединения</x:v>
      </x:c>
      <x:c r="M38" s="28" t="str">
        <x:v>альдегиды, эфиры</x:v>
      </x:c>
      <x:c r="N38" s="28" t="str">
        <x:v>прямое пересечение семейств не подтверждено</x:v>
      </x:c>
      <x:c r="O38" s="28" t="str">
        <x:v>надёжная общая ключевая молекула не установлена</x:v>
      </x:c>
      <x:c r="P38" s="28" t="str">
        <x:v>сенсорная комплементарность</x:v>
      </x:c>
      <x:c r="Q3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" s="28" t="str">
        <x:v>минимальный</x:v>
      </x:c>
      <x:c r="S38" s="28" t="str">
        <x:v>водная пористая мякоть, быстро впитывающая масло и соусы Этанол извлекает терпены и сернистые соединения эффективнее воды; время контакта ограничивать.</x:v>
      </x:c>
      <x:c r="T38" s="28" t="str">
        <x:v>гриль и жарка формируют дымные и жареные ноты; соль и нагрев смягчают горечь. </x:v>
      </x:c>
      <x:c r="U38" s="28" t="str">
        <x:v>Баклажан имеет профиль «зелёный, землистый, слегка грибной и дымный после жарки».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8" s="28" t="str">
        <x:v>избыток масла делает продукт тяжёлым; недоготовленная мякоть остаётся губчатой</x:v>
      </x:c>
      <x:c r="W38" s="28" t="str">
        <x:v>соль, кислота или ароматический жир</x:v>
      </x:c>
      <x:c r="X38" s="28" t="str">
        <x:v>салат, гарнир, суп, соус, маринад, ферментация или напиток с коньяк</x:v>
      </x:c>
      <x:c r="Y38" s="28" t="str">
        <x:v>напитки</x:v>
      </x:c>
      <x:c r="Z38" s="28" t="str">
        <x:v>Средняя</x:v>
      </x:c>
      <x:c r="AA38" s="28" t="str">
        <x:v>The Art &amp; Science of Foodpairing.pdf</x:v>
      </x:c>
      <x:c r="AB38" s="28" t="str">
        <x:v>The Art &amp; Science of Foodpairing.pdf: 123</x:v>
      </x:c>
      <x:c r="AC38" s="28" t="str">
        <x:v>связь из pairing grid, стр. 123</x:v>
      </x:c>
      <x:c r="AD38" s="28" t="n">
        <x:v>1</x:v>
      </x:c>
      <x:c r="AE38" s="28" t="n">
        <x:v>1</x:v>
      </x:c>
      <x:c r="AF38" s="28" t="n">
        <x:f>IF(Z38="Высокая",3,IF(Z38="Средняя",2,1))+AD38*2+MIN(AE38,3)</x:f>
        <x:v>5</x:v>
      </x:c>
    </x:row>
    <x:row r="39" ht="64" customHeight="1">
      <x:c r="A39" s="28" t="str">
        <x:v>VEG-0038</x:v>
      </x:c>
      <x:c r="B39" s="28" t="str">
        <x:v>баклажан</x:v>
      </x:c>
      <x:c r="C39" s="28" t="str">
        <x:v>Десерты и выпечка</x:v>
      </x:c>
      <x:c r="D39" s="28" t="str">
        <x:v>баклажан</x:v>
      </x:c>
      <x:c r="E39" s="28" t="str">
        <x:v>aubergine</x:v>
      </x:c>
      <x:c r="F39" s="28" t="str">
        <x:v>Плодовые овощи</x:v>
      </x:c>
      <x:c r="G39" s="28" t="str">
        <x:v>кунжут, халва и тахини</x:v>
      </x:c>
      <x:c r="H39" s="28" t="str">
        <x:v>sesame seeds, halva and tahini</x:v>
      </x:c>
      <x:c r="I39" s="28" t="str">
        <x:v>Орехи и семена</x:v>
      </x:c>
      <x:c r="J39" s="28" t="str">
        <x:v>зелёный, землистый, слегка грибной и дымный после жарки</x:v>
      </x:c>
      <x:c r="K39" s="28" t="str">
        <x:v>ореховый, жареный и жирный</x:v>
      </x:c>
      <x:c r="L39" s="28" t="str">
        <x:v>гексаналь, 1-гексен-3-ол, пиразины, фенольные соединения</x:v>
      </x:c>
      <x:c r="M39" s="28" t="str">
        <x:v>альдегиды, пиразины, фураны</x:v>
      </x:c>
      <x:c r="N39" s="28" t="str">
        <x:v>жареный</x:v>
      </x:c>
      <x:c r="O39" s="28" t="str">
        <x:v>пиразины</x:v>
      </x:c>
      <x:c r="P39" s="28" t="str">
        <x:v>общие характерные молекулы; пересечение ароматических семейств</x:v>
      </x:c>
      <x:c r="Q3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" s="28" t="str">
        <x:v>минимальный</x:v>
      </x:c>
      <x:c r="S39" s="28" t="str">
        <x:v>водная пористая мякоть, быстро впитывающая масло и соусы</x:v>
      </x:c>
      <x:c r="T39" s="28" t="str">
        <x:v>гриль и жарка формируют дымные и жареные ноты; соль и нагрев смягчают горечь. </x:v>
      </x:c>
      <x:c r="U39" s="28" t="str">
        <x:v>Баклажан имеет профиль «зелёный, землистый, слегка грибной и дымный после жарки». Партнёр «кунжут, халва и тахини»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39" s="28" t="str">
        <x:v>избыток масла делает продукт тяжёлым; недоготовленная мякоть остаётся губчатой</x:v>
      </x:c>
      <x:c r="W39" s="28" t="str">
        <x:v>соль, кислота или ароматический жир</x:v>
      </x:c>
      <x:c r="X39" s="28" t="str">
        <x:v>салат, гарнир, суп, соус, маринад, ферментация или напиток с кунжут, халва и тахини</x:v>
      </x:c>
      <x:c r="Y39" s="28" t="str">
        <x:v>десерты</x:v>
      </x:c>
      <x:c r="Z39" s="28" t="str">
        <x:v>Средняя</x:v>
      </x:c>
      <x:c r="AA39" s="28" t="str">
        <x:v>The Art &amp; Science of Foodpairing.pdf</x:v>
      </x:c>
      <x:c r="AB39" s="28" t="str">
        <x:v>The Art &amp; Science of Foodpairing.pdf: 308</x:v>
      </x:c>
      <x:c r="AC39" s="28" t="str">
        <x:v>связь из pairing grid, стр. 308</x:v>
      </x:c>
      <x:c r="AD39" s="28" t="n">
        <x:v>1</x:v>
      </x:c>
      <x:c r="AE39" s="28" t="n">
        <x:v>1</x:v>
      </x:c>
      <x:c r="AF39" s="28" t="n">
        <x:f>IF(Z39="Высокая",3,IF(Z39="Средняя",2,1))+AD39*2+MIN(AE39,3)</x:f>
        <x:v>5</x:v>
      </x:c>
    </x:row>
    <x:row r="40" ht="64" customHeight="1">
      <x:c r="A40" s="28" t="str">
        <x:v>VEG-0039</x:v>
      </x:c>
      <x:c r="B40" s="28" t="str">
        <x:v>баклажан</x:v>
      </x:c>
      <x:c r="C40" s="28" t="str">
        <x:v>Универсальные</x:v>
      </x:c>
      <x:c r="D40" s="28" t="str">
        <x:v>баклажан</x:v>
      </x:c>
      <x:c r="E40" s="28" t="str">
        <x:v>grilled aubergine</x:v>
      </x:c>
      <x:c r="F40" s="28" t="str">
        <x:v>Плодовые овощи</x:v>
      </x:c>
      <x:c r="G40" s="28" t="str">
        <x:v>маниок</x:v>
      </x:c>
      <x:c r="H40" s="28" t="str">
        <x:v>cassava</x:v>
      </x:c>
      <x:c r="I40" s="28" t="str">
        <x:v>Прочее</x:v>
      </x:c>
      <x:c r="J40" s="28" t="str">
        <x:v>зелёный, землистый, слегка грибной и дымный после жарки</x:v>
      </x:c>
      <x:c r="K40" s="28" t="str">
        <x:v>профиль зависит от конкретного продукта</x:v>
      </x:c>
      <x:c r="L40" s="28" t="str">
        <x:v>гексаналь, 1-гексен-3-ол, пиразины, фенольные соединения</x:v>
      </x:c>
      <x:c r="M40" s="28" t="str">
        <x:v>конкретный молекулярный профиль не указан</x:v>
      </x:c>
      <x:c r="N40" s="28" t="str">
        <x:v>прямое пересечение семейств не подтверждено</x:v>
      </x:c>
      <x:c r="O40" s="28" t="str">
        <x:v>надёжная общая ключевая молекула не установлена</x:v>
      </x:c>
      <x:c r="P40" s="28" t="str">
        <x:v>сенсорная комплементарность</x:v>
      </x:c>
      <x:c r="Q4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" s="28" t="str">
        <x:v>минимальный</x:v>
      </x:c>
      <x:c r="S40" s="28" t="str">
        <x:v>водная пористая мякоть, быстро впитывающая масло и соусы</x:v>
      </x:c>
      <x:c r="T40" s="28" t="str">
        <x:v>гриль и жарка формируют дымные и жареные ноты; соль и нагрев смягчают горечь. </x:v>
      </x:c>
      <x:c r="U40" s="28" t="str">
        <x:v>Баклажан имеет профиль «зелёный, землистый, слегка грибной и дымный после жарки».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40" s="28" t="str">
        <x:v>избыток масла делает продукт тяжёлым; недоготовленная мякоть остаётся губчатой</x:v>
      </x:c>
      <x:c r="W40" s="28" t="str">
        <x:v>соль, кислота или ароматический жир</x:v>
      </x:c>
      <x:c r="X40" s="28" t="str">
        <x:v>салат, гарнир, суп, соус, маринад, ферментация или напиток с маниок</x:v>
      </x:c>
      <x:c r="Y40" s="28" t="str">
        <x:v>универсальное</x:v>
      </x:c>
      <x:c r="Z40" s="28" t="str">
        <x:v>Средняя</x:v>
      </x:c>
      <x:c r="AA40" s="28" t="str">
        <x:v>The Art &amp; Science of Foodpairing.pdf</x:v>
      </x:c>
      <x:c r="AB40" s="28" t="str">
        <x:v>The Art &amp; Science of Foodpairing.pdf: 251</x:v>
      </x:c>
      <x:c r="AC40" s="28" t="str">
        <x:v>связь из pairing grid, стр. 251</x:v>
      </x:c>
      <x:c r="AD40" s="28" t="n">
        <x:v>1</x:v>
      </x:c>
      <x:c r="AE40" s="28" t="n">
        <x:v>1</x:v>
      </x:c>
      <x:c r="AF40" s="28" t="n">
        <x:f>IF(Z40="Высокая",3,IF(Z40="Средняя",2,1))+AD40*2+MIN(AE40,3)</x:f>
        <x:v>5</x:v>
      </x:c>
    </x:row>
    <x:row r="41" ht="64" customHeight="1">
      <x:c r="A41" s="28" t="str">
        <x:v>VEG-0040</x:v>
      </x:c>
      <x:c r="B41" s="28" t="str">
        <x:v>баклажан</x:v>
      </x:c>
      <x:c r="C41" s="28" t="str">
        <x:v>Еда и соусы</x:v>
      </x:c>
      <x:c r="D41" s="28" t="str">
        <x:v>баклажан</x:v>
      </x:c>
      <x:c r="E41" s="28" t="str">
        <x:v>Баклажан | баклажан</x:v>
      </x:c>
      <x:c r="F41" s="28" t="str">
        <x:v>Плодовые овощи</x:v>
      </x:c>
      <x:c r="G41" s="28" t="str">
        <x:v>мускатный орех</x:v>
      </x:c>
      <x:c r="H41" s="28" t="str">
        <x:v>Мускатный орех | мускатный орех</x:v>
      </x:c>
      <x:c r="I41" s="28" t="str">
        <x:v>Рыба и морепродукты</x:v>
      </x:c>
      <x:c r="J41" s="28" t="str">
        <x:v>зелёный, землистый, слегка грибной и дымный после жарки</x:v>
      </x:c>
      <x:c r="K41" s="28" t="str">
        <x:v>камфорный, ореховый, пряный</x:v>
      </x:c>
      <x:c r="L41" s="28" t="str">
        <x:v>гексаналь, 1-гексен-3-ол, пиразины, фенольные соединения</x:v>
      </x:c>
      <x:c r="M41" s="28" t="str">
        <x:v>пинены, сабинен</x:v>
      </x:c>
      <x:c r="N41" s="28" t="str">
        <x:v>прямое пересечение семейств не подтверждено</x:v>
      </x:c>
      <x:c r="O41" s="28" t="str">
        <x:v>надёжная общая ключевая молекула не установлена</x:v>
      </x:c>
      <x:c r="P41" s="28" t="str">
        <x:v>умами и солёный контраст</x:v>
      </x:c>
      <x:c r="Q4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" s="28" t="str">
        <x:v>минимальный</x:v>
      </x:c>
      <x:c r="S41" s="28" t="str">
        <x:v>водная пористая мякоть, быстро впитывающая масло и соусы Белок и жир требуют контроля воды: для жареной ароматики поверхность должна подсохнуть.</x:v>
      </x:c>
      <x:c r="T41" s="28" t="str">
        <x:v>гриль и жарка формируют дымные и жареные ноты; соль и нагрев смягчают горечь. </x:v>
      </x:c>
      <x:c r="U41" s="28" t="str">
        <x:v>Баклажан имеет профиль «зелёный, землистый, слегка грибной и дымный после жарки».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41" s="28" t="str">
        <x:v>избыток масла делает продукт тяжёлым; недоготовленная мякоть остаётся губчатой</x:v>
      </x:c>
      <x:c r="W41" s="28" t="str">
        <x:v>сливочное масло, соевый соус или тимьян</x:v>
      </x:c>
      <x:c r="X41" s="28" t="str">
        <x:v>салат, гарнир, суп, соус, маринад, ферментация или напиток с мускатный орех</x:v>
      </x:c>
      <x:c r="Y41" s="28" t="str">
        <x:v>еда, соусы/маринады</x:v>
      </x:c>
      <x:c r="Z41" s="28" t="str">
        <x:v>Средняя</x:v>
      </x:c>
      <x:c r="AA41" s="28" t="str">
        <x:v>Тезариус вкусов (Ники Сегнит)(1).pdf</x:v>
      </x:c>
      <x:c r="AB41" s="28" t="str">
        <x:v>Тезариус вкусов (Ники Сегнит)(1).pdf: 211, 587</x:v>
      </x:c>
      <x:c r="AC41" s="28" t="str">
        <x:v>развёрнутая пара/статья, стр. 211; развёрнутая пара/статья, стр. 587</x:v>
      </x:c>
      <x:c r="AD41" s="28" t="n">
        <x:v>1</x:v>
      </x:c>
      <x:c r="AE41" s="28" t="n">
        <x:v>2</x:v>
      </x:c>
      <x:c r="AF41" s="28" t="n">
        <x:f>IF(Z41="Высокая",3,IF(Z41="Средняя",2,1))+AD41*2+MIN(AE41,3)</x:f>
        <x:v>6</x:v>
      </x:c>
    </x:row>
    <x:row r="42" ht="64" customHeight="1">
      <x:c r="A42" s="28" t="str">
        <x:v>VEG-0041</x:v>
      </x:c>
      <x:c r="B42" s="28" t="str">
        <x:v>баклажан</x:v>
      </x:c>
      <x:c r="C42" s="28" t="str">
        <x:v>Десерты и выпечка</x:v>
      </x:c>
      <x:c r="D42" s="28" t="str">
        <x:v>баклажан</x:v>
      </x:c>
      <x:c r="E42" s="28" t="str">
        <x:v>Баклажан | баклажан</x:v>
      </x:c>
      <x:c r="F42" s="28" t="str">
        <x:v>Плодовые овощи</x:v>
      </x:c>
      <x:c r="G42" s="28" t="str">
        <x:v>мягкий сыр</x:v>
      </x:c>
      <x:c r="H42" s="28" t="str">
        <x:v>Мягкий сыр | мягкий сыр</x:v>
      </x:c>
      <x:c r="I42" s="28" t="str">
        <x:v>Молочные продукты и сыры</x:v>
      </x:c>
      <x:c r="J42" s="28" t="str">
        <x:v>зелёный, землистый, слегка грибной и дымный после жарки</x:v>
      </x:c>
      <x:c r="K42" s="28" t="str">
        <x:v>молочный, умами, ферментированный</x:v>
      </x:c>
      <x:c r="L42" s="28" t="str">
        <x:v>гексаналь, 1-гексен-3-ол, пиразины, фенольные соединения</x:v>
      </x:c>
      <x:c r="M42" s="28" t="str">
        <x:v>диацетил, жирные кислоты</x:v>
      </x:c>
      <x:c r="N42" s="28" t="str">
        <x:v>прямое пересечение семейств не подтверждено</x:v>
      </x:c>
      <x:c r="O42" s="28" t="str">
        <x:v>надёжная общая ключевая молекула не установлена</x:v>
      </x:c>
      <x:c r="P42" s="28" t="str">
        <x:v>жировая матрица</x:v>
      </x:c>
      <x:c r="Q4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2" s="28" t="str">
        <x:v>минимальный</x:v>
      </x:c>
      <x:c r="S42" s="28" t="str">
        <x:v>водная пористая мякоть, быстро впитывающая масло и соусы Жировая фаза удерживает гидрофобные молекулы, но может сделать вкус тяжёлым.</x:v>
      </x:c>
      <x:c r="T42" s="28" t="str">
        <x:v>гриль и жарка формируют дымные и жареные ноты; соль и нагрев смягчают горечь. </x:v>
      </x:c>
      <x:c r="U42" s="28" t="str">
        <x:v>Баклажан имеет профиль «зелёный, землистый, слегка грибной и дымный после жарки».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42" s="28" t="str">
        <x:v>избыток масла делает продукт тяжёлым; недоготовленная мякоть остаётся губчатой; жир способен приглушить свежую зелёную ароматику</x:v>
      </x:c>
      <x:c r="W42" s="28" t="str">
        <x:v>кислота, зелень или жареный орех</x:v>
      </x:c>
      <x:c r="X42" s="28" t="str">
        <x:v>салат, гарнир, суп, соус, маринад, ферментация или напиток с мягкий сыр</x:v>
      </x:c>
      <x:c r="Y42" s="28" t="str">
        <x:v>десерты</x:v>
      </x:c>
      <x:c r="Z42" s="28" t="str">
        <x:v>Средняя</x:v>
      </x:c>
      <x:c r="AA42" s="28" t="str">
        <x:v>Тезариус вкусов (Ники Сегнит)(1).pdf</x:v>
      </x:c>
      <x:c r="AB42" s="28" t="str">
        <x:v>Тезариус вкусов (Ники Сегнит)(1).pdf: 181, 211</x:v>
      </x:c>
      <x:c r="AC42" s="28" t="str">
        <x:v>развёрнутая пара/статья, стр. 181; развёрнутая пара/статья, стр. 211</x:v>
      </x:c>
      <x:c r="AD42" s="28" t="n">
        <x:v>1</x:v>
      </x:c>
      <x:c r="AE42" s="28" t="n">
        <x:v>2</x:v>
      </x:c>
      <x:c r="AF42" s="28" t="n">
        <x:f>IF(Z42="Высокая",3,IF(Z42="Средняя",2,1))+AD42*2+MIN(AE42,3)</x:f>
        <x:v>6</x:v>
      </x:c>
    </x:row>
    <x:row r="43" ht="64" customHeight="1">
      <x:c r="A43" s="28" t="str">
        <x:v>VEG-0042</x:v>
      </x:c>
      <x:c r="B43" s="28" t="str">
        <x:v>баклажан</x:v>
      </x:c>
      <x:c r="C43" s="28" t="str">
        <x:v>Еда и соусы</x:v>
      </x:c>
      <x:c r="D43" s="28" t="str">
        <x:v>баклажан</x:v>
      </x:c>
      <x:c r="E43" s="28" t="str">
        <x:v>aubergine | boiled aubergine</x:v>
      </x:c>
      <x:c r="F43" s="28" t="str">
        <x:v>Плодовые овощи</x:v>
      </x:c>
      <x:c r="G43" s="28" t="str">
        <x:v>мясо</x:v>
      </x:c>
      <x:c r="H43" s="28" t="str">
        <x:v>meat</x:v>
      </x:c>
      <x:c r="I43" s="28" t="str">
        <x:v>Мясо и птица</x:v>
      </x:c>
      <x:c r="J43" s="28" t="str">
        <x:v>зелёный, землистый, слегка грибной и дымный после жарки</x:v>
      </x:c>
      <x:c r="K43" s="28" t="str">
        <x:v>жареный, жирный, умами</x:v>
      </x:c>
      <x:c r="L43" s="28" t="str">
        <x:v>гексаналь, 1-гексен-3-ол, пиразины, фенольные соединения</x:v>
      </x:c>
      <x:c r="M43" s="28" t="str">
        <x:v>пиразины, сернистые соединения</x:v>
      </x:c>
      <x:c r="N43" s="28" t="str">
        <x:v>жареный</x:v>
      </x:c>
      <x:c r="O43" s="28" t="str">
        <x:v>пиразины</x:v>
      </x:c>
      <x:c r="P43" s="28" t="str">
        <x:v>общие характерные молекулы; пересечение ароматических семейств; умами и солёный контраст</x:v>
      </x:c>
      <x:c r="Q4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3" s="28" t="str">
        <x:v>минимальный</x:v>
      </x:c>
      <x:c r="S43" s="28" t="str">
        <x:v>водная пористая мякоть, быстро впитывающая масло и соусы Белок и жир требуют контроля воды: для жареной ароматики поверхность должна подсохнуть.</x:v>
      </x:c>
      <x:c r="T43" s="28" t="str">
        <x:v>гриль и жарка формируют дымные и жареные ноты; соль и нагрев смягчают горечь. </x:v>
      </x:c>
      <x:c r="U43" s="28" t="str">
        <x:v>Баклажан имеет профиль «зелёный, землистый, слегка грибной и дымный после жарки».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43" s="28" t="str">
        <x:v>избыток масла делает продукт тяжёлым; недоготовленная мякоть остаётся губчатой</x:v>
      </x:c>
      <x:c r="W43" s="28" t="str">
        <x:v>сливочное масло, соевый соус или тимьян</x:v>
      </x:c>
      <x:c r="X43" s="28" t="str">
        <x:v>салат, гарнир, суп, соус, маринад, ферментация или напиток с мясо</x:v>
      </x:c>
      <x:c r="Y43" s="28" t="str">
        <x:v>еда, соусы/маринады</x:v>
      </x:c>
      <x:c r="Z43" s="28" t="str">
        <x:v>Средняя</x:v>
      </x:c>
      <x:c r="AA43" s="28" t="str">
        <x:v>The Art &amp; Science of Foodpairing.pdf</x:v>
      </x:c>
      <x:c r="AB43" s="28" t="str">
        <x:v>The Art &amp; Science of Foodpairing.pdf: 186</x:v>
      </x:c>
      <x:c r="AC43" s="28" t="str">
        <x:v>связь из pairing grid, стр. 186; связь из pairing grid, стр. 186</x:v>
      </x:c>
      <x:c r="AD43" s="28" t="n">
        <x:v>1</x:v>
      </x:c>
      <x:c r="AE43" s="28" t="n">
        <x:v>2</x:v>
      </x:c>
      <x:c r="AF43" s="28" t="n">
        <x:f>IF(Z43="Высокая",3,IF(Z43="Средняя",2,1))+AD43*2+MIN(AE43,3)</x:f>
        <x:v>6</x:v>
      </x:c>
    </x:row>
    <x:row r="44" ht="64" customHeight="1">
      <x:c r="A44" s="28" t="str">
        <x:v>VEG-0043</x:v>
      </x:c>
      <x:c r="B44" s="28" t="str">
        <x:v>баклажан</x:v>
      </x:c>
      <x:c r="C44" s="28" t="str">
        <x:v>Универсальные</x:v>
      </x:c>
      <x:c r="D44" s="28" t="str">
        <x:v>баклажан</x:v>
      </x:c>
      <x:c r="E44" s="28" t="str">
        <x:v>boiled aubergine</x:v>
      </x:c>
      <x:c r="F44" s="28" t="str">
        <x:v>Плодовые овощи</x:v>
      </x:c>
      <x:c r="G44" s="28" t="str">
        <x:v>оливковое масло</x:v>
      </x:c>
      <x:c r="H44" s="28" t="str">
        <x:v>olive oil</x:v>
      </x:c>
      <x:c r="I44" s="28" t="str">
        <x:v>Масла и жиры</x:v>
      </x:c>
      <x:c r="J44" s="28" t="str">
        <x:v>зелёный, землистый, слегка грибной и дымный после жарки</x:v>
      </x:c>
      <x:c r="K44" s="28" t="str">
        <x:v>жирный и мягкий</x:v>
      </x:c>
      <x:c r="L44" s="28" t="str">
        <x:v>гексаналь, 1-гексен-3-ол, пиразины, фенольные соединения</x:v>
      </x:c>
      <x:c r="M44" s="28" t="str">
        <x:v>альдегиды, лактоны</x:v>
      </x:c>
      <x:c r="N44" s="28" t="str">
        <x:v>прямое пересечение семейств не подтверждено</x:v>
      </x:c>
      <x:c r="O44" s="28" t="str">
        <x:v>надёжная общая ключевая молекула не установлена</x:v>
      </x:c>
      <x:c r="P44" s="28" t="str">
        <x:v>жировая матрица</x:v>
      </x:c>
      <x:c r="Q4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4" s="28" t="str">
        <x:v>минимальный</x:v>
      </x:c>
      <x:c r="S44" s="28" t="str">
        <x:v>водная пористая мякоть, быстро впитывающая масло и соусы Жировая фаза удерживает гидрофобные молекулы, но может сделать вкус тяжёлым.</x:v>
      </x:c>
      <x:c r="T44" s="28" t="str">
        <x:v>гриль и жарка формируют дымные и жареные ноты; соль и нагрев смягчают горечь. </x:v>
      </x:c>
      <x:c r="U44" s="28" t="str">
        <x:v>Баклажан имеет профиль «зелёный, землистый, слегка грибной и дымный после жарки».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44" s="28" t="str">
        <x:v>избыток масла делает продукт тяжёлым; недоготовленная мякоть остаётся губчатой; жир способен приглушить свежую зелёную ароматику</x:v>
      </x:c>
      <x:c r="W44" s="28" t="str">
        <x:v>кислота, зелень или жареный орех</x:v>
      </x:c>
      <x:c r="X44" s="28" t="str">
        <x:v>салат, гарнир, суп, соус, маринад, ферментация или напиток с оливковое масло</x:v>
      </x:c>
      <x:c r="Y44" s="28" t="str">
        <x:v>универсальное</x:v>
      </x:c>
      <x:c r="Z44" s="28" t="str">
        <x:v>Средняя</x:v>
      </x:c>
      <x:c r="AA44" s="28" t="str">
        <x:v>The Art &amp; Science of Foodpairing.pdf</x:v>
      </x:c>
      <x:c r="AB44" s="28" t="str">
        <x:v>The Art &amp; Science of Foodpairing.pdf: 172</x:v>
      </x:c>
      <x:c r="AC44" s="28" t="str">
        <x:v>связь из pairing grid, стр. 172</x:v>
      </x:c>
      <x:c r="AD44" s="28" t="n">
        <x:v>1</x:v>
      </x:c>
      <x:c r="AE44" s="28" t="n">
        <x:v>1</x:v>
      </x:c>
      <x:c r="AF44" s="28" t="n">
        <x:f>IF(Z44="Высокая",3,IF(Z44="Средняя",2,1))+AD44*2+MIN(AE44,3)</x:f>
        <x:v>5</x:v>
      </x:c>
    </x:row>
    <x:row r="45" ht="64" customHeight="1">
      <x:c r="A45" s="28" t="str">
        <x:v>VEG-0044</x:v>
      </x:c>
      <x:c r="B45" s="28" t="str">
        <x:v>баклажан</x:v>
      </x:c>
      <x:c r="C45" s="28" t="str">
        <x:v>Еда и соусы</x:v>
      </x:c>
      <x:c r="D45" s="28" t="str">
        <x:v>баклажан</x:v>
      </x:c>
      <x:c r="E45" s="28" t="str">
        <x:v>Баклажан | баклажан</x:v>
      </x:c>
      <x:c r="F45" s="28" t="str">
        <x:v>Плодовые овощи</x:v>
      </x:c>
      <x:c r="G45" s="28" t="str">
        <x:v>прошутто</x:v>
      </x:c>
      <x:c r="H45" s="28" t="str">
        <x:v>Прошутто | прошутто</x:v>
      </x:c>
      <x:c r="I45" s="28" t="str">
        <x:v>Мясо и птица</x:v>
      </x:c>
      <x:c r="J45" s="28" t="str">
        <x:v>зелёный, землистый, слегка грибной и дымный после жарки</x:v>
      </x:c>
      <x:c r="K45" s="28" t="str">
        <x:v>жареный, мясной и умами</x:v>
      </x:c>
      <x:c r="L45" s="28" t="str">
        <x:v>гексаналь, 1-гексен-3-ол, пиразины, фенольные соединения</x:v>
      </x:c>
      <x:c r="M45" s="28" t="str">
        <x:v>пиразины, сернистые соединения</x:v>
      </x:c>
      <x:c r="N45" s="28" t="str">
        <x:v>жареный</x:v>
      </x:c>
      <x:c r="O45" s="28" t="str">
        <x:v>пиразины</x:v>
      </x:c>
      <x:c r="P45" s="28" t="str">
        <x:v>общие характерные молекулы; пересечение ароматических семейств; умами и солёный контраст</x:v>
      </x:c>
      <x:c r="Q4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5" s="28" t="str">
        <x:v>минимальный</x:v>
      </x:c>
      <x:c r="S45" s="28" t="str">
        <x:v>водная пористая мякоть, быстро впитывающая масло и соусы Белок и жир требуют контроля воды: для жареной ароматики поверхность должна подсохнуть.</x:v>
      </x:c>
      <x:c r="T45" s="28" t="str">
        <x:v>гриль и жарка формируют дымные и жареные ноты; соль и нагрев смягчают горечь. </x:v>
      </x:c>
      <x:c r="U45" s="28" t="str">
        <x:v>Баклажан имеет профиль «зелёный, землистый, слегка грибной и дымный после жарки». Партнёр «прошутто»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45" s="28" t="str">
        <x:v>избыток масла делает продукт тяжёлым; недоготовленная мякоть остаётся губчатой</x:v>
      </x:c>
      <x:c r="W45" s="28" t="str">
        <x:v>сливочное масло, соевый соус или тимьян</x:v>
      </x:c>
      <x:c r="X45" s="28" t="str">
        <x:v>салат, гарнир, суп, соус, маринад, ферментация или напиток с прошутто</x:v>
      </x:c>
      <x:c r="Y45" s="28" t="str">
        <x:v>еда, соусы/маринады</x:v>
      </x:c>
      <x:c r="Z45" s="28" t="str">
        <x:v>Средняя</x:v>
      </x:c>
      <x:c r="AA45" s="28" t="str">
        <x:v>Тезариус вкусов (Ники Сегнит)(1).pdf</x:v>
      </x:c>
      <x:c r="AB45" s="28" t="str">
        <x:v>Тезариус вкусов (Ники Сегнит)(1).pdf: 211, 454</x:v>
      </x:c>
      <x:c r="AC45" s="28" t="str">
        <x:v>развёрнутая пара/статья, стр. 211; развёрнутая пара/статья, стр. 454</x:v>
      </x:c>
      <x:c r="AD45" s="28" t="n">
        <x:v>1</x:v>
      </x:c>
      <x:c r="AE45" s="28" t="n">
        <x:v>2</x:v>
      </x:c>
      <x:c r="AF45" s="28" t="n">
        <x:f>IF(Z45="Высокая",3,IF(Z45="Средняя",2,1))+AD45*2+MIN(AE45,3)</x:f>
        <x:v>6</x:v>
      </x:c>
    </x:row>
    <x:row r="46" ht="64" customHeight="1">
      <x:c r="A46" s="28" t="str">
        <x:v>VEG-0045</x:v>
      </x:c>
      <x:c r="B46" s="28" t="str">
        <x:v>баклажан</x:v>
      </x:c>
      <x:c r="C46" s="28" t="str">
        <x:v>Еда и соусы</x:v>
      </x:c>
      <x:c r="D46" s="28" t="str">
        <x:v>баклажан</x:v>
      </x:c>
      <x:c r="E46" s="28" t="str">
        <x:v>boiled aubergine | grilled aubergine</x:v>
      </x:c>
      <x:c r="F46" s="28" t="str">
        <x:v>Плодовые овощи</x:v>
      </x:c>
      <x:c r="G46" s="28" t="str">
        <x:v>рыба</x:v>
      </x:c>
      <x:c r="H46" s="28" t="str">
        <x:v>fish</x:v>
      </x:c>
      <x:c r="I46" s="28" t="str">
        <x:v>Рыба и морепродукты</x:v>
      </x:c>
      <x:c r="J46" s="28" t="str">
        <x:v>зелёный, землистый, слегка грибной и дымный после жарки</x:v>
      </x:c>
      <x:c r="K46" s="28" t="str">
        <x:v>жирный, морской, умами</x:v>
      </x:c>
      <x:c r="L46" s="28" t="str">
        <x:v>гексаналь, 1-гексен-3-ол, пиразины, фенольные соединения</x:v>
      </x:c>
      <x:c r="M46" s="28" t="str">
        <x:v>альдегиды, амины</x:v>
      </x:c>
      <x:c r="N46" s="28" t="str">
        <x:v>прямое пересечение семейств не подтверждено</x:v>
      </x:c>
      <x:c r="O46" s="28" t="str">
        <x:v>надёжная общая ключевая молекула не установлена</x:v>
      </x:c>
      <x:c r="P46" s="28" t="str">
        <x:v>умами и солёный контраст</x:v>
      </x:c>
      <x:c r="Q4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6" s="28" t="str">
        <x:v>минимальный</x:v>
      </x:c>
      <x:c r="S46" s="28" t="str">
        <x:v>водная пористая мякоть, быстро впитывающая масло и соусы Белок и жир требуют контроля воды: для жареной ароматики поверхность должна подсохнуть.</x:v>
      </x:c>
      <x:c r="T46" s="28" t="str">
        <x:v>гриль и жарка формируют дымные и жареные ноты; соль и нагрев смягчают горечь. </x:v>
      </x:c>
      <x:c r="U46" s="28" t="str">
        <x:v>Баклажан имеет профиль «зелёный, землистый, слегка грибной и дымный после жарки».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46" s="28" t="str">
        <x:v>избыток масла делает продукт тяжёлым; недоготовленная мякоть остаётся губчатой</x:v>
      </x:c>
      <x:c r="W46" s="28" t="str">
        <x:v>сливочное масло, соевый соус или тимьян</x:v>
      </x:c>
      <x:c r="X46" s="28" t="str">
        <x:v>салат, гарнир, суп, соус, маринад, ферментация или напиток с рыба</x:v>
      </x:c>
      <x:c r="Y46" s="28" t="str">
        <x:v>еда, соусы/маринады</x:v>
      </x:c>
      <x:c r="Z46" s="28" t="str">
        <x:v>Средняя</x:v>
      </x:c>
      <x:c r="AA46" s="28" t="str">
        <x:v>The Art &amp; Science of Foodpairing.pdf</x:v>
      </x:c>
      <x:c r="AB46" s="28" t="str">
        <x:v>The Art &amp; Science of Foodpairing.pdf: 104</x:v>
      </x:c>
      <x:c r="AC46" s="28" t="str">
        <x:v>связь из pairing grid, стр. 104; связь из pairing grid, стр. 104</x:v>
      </x:c>
      <x:c r="AD46" s="28" t="n">
        <x:v>1</x:v>
      </x:c>
      <x:c r="AE46" s="28" t="n">
        <x:v>2</x:v>
      </x:c>
      <x:c r="AF46" s="28" t="n">
        <x:f>IF(Z46="Высокая",3,IF(Z46="Средняя",2,1))+AD46*2+MIN(AE46,3)</x:f>
        <x:v>6</x:v>
      </x:c>
    </x:row>
    <x:row r="47" ht="64" customHeight="1">
      <x:c r="A47" s="28" t="str">
        <x:v>VEG-0046</x:v>
      </x:c>
      <x:c r="B47" s="28" t="str">
        <x:v>баклажан</x:v>
      </x:c>
      <x:c r="C47" s="28" t="str">
        <x:v>Универсальные</x:v>
      </x:c>
      <x:c r="D47" s="28" t="str">
        <x:v>баклажан</x:v>
      </x:c>
      <x:c r="E47" s="28" t="str">
        <x:v>Баклажан | баклажан</x:v>
      </x:c>
      <x:c r="F47" s="28" t="str">
        <x:v>Плодовые овощи</x:v>
      </x:c>
      <x:c r="G47" s="28" t="str">
        <x:v>томат</x:v>
      </x:c>
      <x:c r="H47" s="28" t="str">
        <x:v>Томаты | томаты</x:v>
      </x:c>
      <x:c r="I47" s="28" t="str">
        <x:v>Плодовые овощи</x:v>
      </x:c>
      <x:c r="J47" s="28" t="str">
        <x:v>зелёный, землистый, слегка грибной и дымный после жарки</x:v>
      </x:c>
      <x:c r="K47" s="28" t="str">
        <x:v>зелёный, фруктовый, листовой, сернистый и умами</x:v>
      </x:c>
      <x:c r="L47" s="28" t="str">
        <x:v>гексаналь, 1-гексен-3-ол, пиразины, фенольные соединения</x:v>
      </x:c>
      <x:c r="M47" s="28" t="str">
        <x:v>β-ионон, гексаналь, глутамат, метиональ, цис-3-гексеналь</x:v>
      </x:c>
      <x:c r="N47" s="28" t="str">
        <x:v>зелёный</x:v>
      </x:c>
      <x:c r="O47" s="28" t="str">
        <x:v>гексаналь</x:v>
      </x:c>
      <x:c r="P47" s="28" t="str">
        <x:v>общие характерные молекулы; пересечение ароматических семейств</x:v>
      </x:c>
      <x:c r="Q4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7" s="28" t="str">
        <x:v>минимальный</x:v>
      </x:c>
      <x:c r="S47" s="28" t="str">
        <x:v>водная пористая мякоть, быстро впитывающая масло и соусы</x:v>
      </x:c>
      <x:c r="T47" s="28" t="str">
        <x:v>гриль и жарка формируют дымные и жареные ноты; соль и нагрев смягчают горечь. </x:v>
      </x:c>
      <x:c r="U47" s="28" t="str">
        <x:v>Баклажан имеет профиль «зелёный, землистый, слегка грибной и дымный после жарки». Партнёр «томат» относится к группе «Плодовые овощи» и даёт зелёный, фруктовый, листовой, сернистый и умами. Вероятный молекулярный мост: гексаналь. Совместимость формируется за счёт баланса сладости, кислотности, горечи, умами и текстуры.</x:v>
      </x:c>
      <x:c r="V47" s="28" t="str">
        <x:v>избыток масла делает продукт тяжёлым; недоготовленная мякоть остаётся губчатой</x:v>
      </x:c>
      <x:c r="W47" s="28" t="str">
        <x:v>соль, кислота или ароматический жир</x:v>
      </x:c>
      <x:c r="X47" s="28" t="str">
        <x:v>салат, гарнир, суп, соус, маринад, ферментация или напиток с томат</x:v>
      </x:c>
      <x:c r="Y47" s="28" t="str">
        <x:v>универсальное</x:v>
      </x:c>
      <x:c r="Z47" s="28" t="str">
        <x:v>Средняя</x:v>
      </x:c>
      <x:c r="AA47" s="28" t="str">
        <x:v>Тезариус вкусов (Ники Сегнит)(1).pdf</x:v>
      </x:c>
      <x:c r="AB47" s="28" t="str">
        <x:v>Тезариус вкусов (Ники Сегнит)(1).pdf: 211, 680</x:v>
      </x:c>
      <x:c r="AC47" s="28" t="str">
        <x:v>развёрнутая пара/статья, стр. 211; развёрнутая пара/статья, стр. 680</x:v>
      </x:c>
      <x:c r="AD47" s="28" t="n">
        <x:v>1</x:v>
      </x:c>
      <x:c r="AE47" s="28" t="n">
        <x:v>2</x:v>
      </x:c>
      <x:c r="AF47" s="28" t="n">
        <x:f>IF(Z47="Высокая",3,IF(Z47="Средняя",2,1))+AD47*2+MIN(AE47,3)</x:f>
        <x:v>6</x:v>
      </x:c>
    </x:row>
    <x:row r="48" ht="64" customHeight="1">
      <x:c r="A48" s="28" t="str">
        <x:v>VEG-0047</x:v>
      </x:c>
      <x:c r="B48" s="28" t="str">
        <x:v>баклажан</x:v>
      </x:c>
      <x:c r="C48" s="28" t="str">
        <x:v>Еда и соусы</x:v>
      </x:c>
      <x:c r="D48" s="28" t="str">
        <x:v>баклажан</x:v>
      </x:c>
      <x:c r="E48" s="28" t="str">
        <x:v>grilled aubergine | Баклажан | баклажан</x:v>
      </x:c>
      <x:c r="F48" s="28" t="str">
        <x:v>Плодовые овощи</x:v>
      </x:c>
      <x:c r="G48" s="28" t="str">
        <x:v>чеснок</x:v>
      </x:c>
      <x:c r="H48" s="28" t="str">
        <x:v>garlic | Чеснок | чеснок</x:v>
      </x:c>
      <x:c r="I48" s="28" t="str">
        <x:v>Луковые овощи</x:v>
      </x:c>
      <x:c r="J48" s="28" t="str">
        <x:v>зелёный, землистый, слегка грибной и дымный после жарки</x:v>
      </x:c>
      <x:c r="K48" s="28" t="str">
        <x:v>резкий сернистый, зелёный и мясной; после запекания — сладкий и ореховый</x:v>
      </x:c>
      <x:c r="L48" s="28" t="str">
        <x:v>гексаналь, 1-гексен-3-ол, пиразины, фенольные соединения</x:v>
      </x:c>
      <x:c r="M48" s="28" t="str">
        <x:v>аллицин, диаллилдисульфид, диаллилтрисульфид, метантиол</x:v>
      </x:c>
      <x:c r="N48" s="28" t="str">
        <x:v>жареный</x:v>
      </x:c>
      <x:c r="O48" s="28" t="str">
        <x:v>надёжная общая ключевая молекула не установлена</x:v>
      </x:c>
      <x:c r="P48" s="28" t="str">
        <x:v>пересечение ароматических семейств</x:v>
      </x:c>
      <x:c r="Q4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8" s="28" t="str">
        <x:v>минимальный</x:v>
      </x:c>
      <x:c r="S48" s="28" t="str">
        <x:v>водная пористая мякоть, быстро впитывающая масло и соусы</x:v>
      </x:c>
      <x:c r="T48" s="28" t="str">
        <x:v>гриль и жарка формируют дымные и жареные ноты; соль и нагрев смягчают горечь. </x:v>
      </x:c>
      <x:c r="U48" s="28" t="str">
        <x:v>Баклажан имеет профиль «зелёный, землистый, слегка грибной и дымный после жарки».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формируется за счёт баланса сладости, кислотности, горечи, умами и текстуры.</x:v>
      </x:c>
      <x:c r="V48" s="28" t="str">
        <x:v>избыток масла делает продукт тяжёлым; недоготовленная мякоть остаётся губчатой</x:v>
      </x:c>
      <x:c r="W48" s="28" t="str">
        <x:v>соль, кислота или ароматический жир</x:v>
      </x:c>
      <x:c r="X48" s="28" t="str">
        <x:v>салат, гарнир, суп, соус, маринад, ферментация или напиток с чеснок</x:v>
      </x:c>
      <x:c r="Y48" s="28" t="str">
        <x:v>еда, соусы/маринады</x:v>
      </x:c>
      <x:c r="Z48" s="28" t="str">
        <x:v>Высокая</x:v>
      </x:c>
      <x:c r="AA48" s="28" t="str">
        <x:v>The Art &amp; Science of Foodpairing.pdf | Тезариус вкусов (Ники Сегнит)(1).pdf</x:v>
      </x:c>
      <x:c r="AB48" s="28" t="str">
        <x:v>Тезариус вкусов (Ники Сегнит)(1).pdf: 212, 292; The Art &amp; Science of Foodpairing.pdf: 113</x:v>
      </x:c>
      <x:c r="AC48" s="28" t="str">
        <x:v>развёрнутая пара/статья, стр. 212; развёрнутая пара/статья, стр. 292; связь из pairing grid, стр. 113</x:v>
      </x:c>
      <x:c r="AD48" s="28" t="n">
        <x:v>2</x:v>
      </x:c>
      <x:c r="AE48" s="28" t="n">
        <x:v>3</x:v>
      </x:c>
      <x:c r="AF48" s="28" t="n">
        <x:f>IF(Z48="Высокая",3,IF(Z48="Средняя",2,1))+AD48*2+MIN(AE48,3)</x:f>
        <x:v>10</x:v>
      </x:c>
    </x:row>
    <x:row r="49" ht="64" customHeight="1">
      <x:c r="A49" s="28" t="str">
        <x:v>VEG-0048</x:v>
      </x:c>
      <x:c r="B49" s="28" t="str">
        <x:v>баклажан</x:v>
      </x:c>
      <x:c r="C49" s="28" t="str">
        <x:v>Универсальные</x:v>
      </x:c>
      <x:c r="D49" s="28" t="str">
        <x:v>баклажан</x:v>
      </x:c>
      <x:c r="E49" s="28" t="str">
        <x:v>Баклажан | баклажан</x:v>
      </x:c>
      <x:c r="F49" s="28" t="str">
        <x:v>Плодовые овощи</x:v>
      </x:c>
      <x:c r="G49" s="28" t="str">
        <x:v>чили</x:v>
      </x:c>
      <x:c r="H49" s="28" t="str">
        <x:v>Чили | чили</x:v>
      </x:c>
      <x:c r="I49" s="28" t="str">
        <x:v>Специи</x:v>
      </x:c>
      <x:c r="J49" s="28" t="str">
        <x:v>зелёный, землистый, слегка грибной и дымный после жарки</x:v>
      </x:c>
      <x:c r="K49" s="28" t="str">
        <x:v>пряный и древесный</x:v>
      </x:c>
      <x:c r="L49" s="28" t="str">
        <x:v>гексаналь, 1-гексен-3-ол, пиразины, фенольные соединения</x:v>
      </x:c>
      <x:c r="M49" s="28" t="str">
        <x:v>терпены, фенилпропаноиды</x:v>
      </x:c>
      <x:c r="N49" s="28" t="str">
        <x:v>прямое пересечение семейств не подтверждено</x:v>
      </x:c>
      <x:c r="O49" s="28" t="str">
        <x:v>надёжная общая ключевая молекула не установлена</x:v>
      </x:c>
      <x:c r="P49" s="28" t="str">
        <x:v>сенсорная комплементарность</x:v>
      </x:c>
      <x:c r="Q4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9" s="28" t="str">
        <x:v>минимальный</x:v>
      </x:c>
      <x:c r="S49" s="28" t="str">
        <x:v>водная пористая мякоть, быстро впитывающая масло и соусы</x:v>
      </x:c>
      <x:c r="T49" s="28" t="str">
        <x:v>гриль и жарка формируют дымные и жареные ноты; соль и нагрев смягчают горечь. </x:v>
      </x:c>
      <x:c r="U49" s="28" t="str">
        <x:v>Баклажан имеет профиль «зелёный, землистый, слегка грибной и дымный после жарки».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49" s="28" t="str">
        <x:v>избыток масла делает продукт тяжёлым; недоготовленная мякоть остаётся губчатой</x:v>
      </x:c>
      <x:c r="W49" s="28" t="str">
        <x:v>цитрус, йогурт или мёд</x:v>
      </x:c>
      <x:c r="X49" s="28" t="str">
        <x:v>салат, гарнир, суп, соус, маринад, ферментация или напиток с чили</x:v>
      </x:c>
      <x:c r="Y49" s="28" t="str">
        <x:v>универсальное</x:v>
      </x:c>
      <x:c r="Z49" s="28" t="str">
        <x:v>Средняя</x:v>
      </x:c>
      <x:c r="AA49" s="28" t="str">
        <x:v>Тезариус вкусов (Ники Сегнит)(1).pdf</x:v>
      </x:c>
      <x:c r="AB49" s="28" t="str">
        <x:v>Тезариус вкусов (Ники Сегнит)(1).pdf: 212, 552</x:v>
      </x:c>
      <x:c r="AC49" s="28" t="str">
        <x:v>развёрнутая пара/статья, стр. 212; развёрнутая пара/статья, стр. 552</x:v>
      </x:c>
      <x:c r="AD49" s="28" t="n">
        <x:v>1</x:v>
      </x:c>
      <x:c r="AE49" s="28" t="n">
        <x:v>2</x:v>
      </x:c>
      <x:c r="AF49" s="28" t="n">
        <x:f>IF(Z49="Высокая",3,IF(Z49="Средняя",2,1))+AD49*2+MIN(AE49,3)</x:f>
        <x:v>6</x:v>
      </x:c>
    </x:row>
    <x:row r="50" ht="64" customHeight="1">
      <x:c r="A50" s="28" t="str">
        <x:v>VEG-0049</x:v>
      </x:c>
      <x:c r="B50" s="28" t="str">
        <x:v>баклажан</x:v>
      </x:c>
      <x:c r="C50" s="28" t="str">
        <x:v>Универсальные</x:v>
      </x:c>
      <x:c r="D50" s="28" t="str">
        <x:v>баклажан</x:v>
      </x:c>
      <x:c r="E50" s="28" t="str">
        <x:v>grilled aubergine</x:v>
      </x:c>
      <x:c r="F50" s="28" t="str">
        <x:v>Плодовые овощи</x:v>
      </x:c>
      <x:c r="G50" s="28" t="str">
        <x:v>чоризо</x:v>
      </x:c>
      <x:c r="H50" s="28" t="str">
        <x:v>chorizo</x:v>
      </x:c>
      <x:c r="I50" s="28" t="str">
        <x:v>Прочее</x:v>
      </x:c>
      <x:c r="J50" s="28" t="str">
        <x:v>зелёный, землистый, слегка грибной и дымный после жарки</x:v>
      </x:c>
      <x:c r="K50" s="28" t="str">
        <x:v>профиль зависит от конкретного продукта</x:v>
      </x:c>
      <x:c r="L50" s="28" t="str">
        <x:v>гексаналь, 1-гексен-3-ол, пиразины, фенольные соединения</x:v>
      </x:c>
      <x:c r="M50" s="28" t="str">
        <x:v>конкретный молекулярный профиль не указан</x:v>
      </x:c>
      <x:c r="N50" s="28" t="str">
        <x:v>прямое пересечение семейств не подтверждено</x:v>
      </x:c>
      <x:c r="O50" s="28" t="str">
        <x:v>надёжная общая ключевая молекула не установлена</x:v>
      </x:c>
      <x:c r="P50" s="28" t="str">
        <x:v>сенсорная комплементарность</x:v>
      </x:c>
      <x:c r="Q5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50" s="28" t="str">
        <x:v>минимальный</x:v>
      </x:c>
      <x:c r="S50" s="28" t="str">
        <x:v>водная пористая мякоть, быстро впитывающая масло и соусы</x:v>
      </x:c>
      <x:c r="T50" s="28" t="str">
        <x:v>гриль и жарка формируют дымные и жареные ноты; соль и нагрев смягчают горечь. </x:v>
      </x:c>
      <x:c r="U50" s="28" t="str">
        <x:v>Баклажан имеет профиль «зелёный, землистый, слегка грибной и дымный после жарки».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0" s="28" t="str">
        <x:v>избыток масла делает продукт тяжёлым; недоготовленная мякоть остаётся губчатой</x:v>
      </x:c>
      <x:c r="W50" s="28" t="str">
        <x:v>соль, кислота или ароматический жир</x:v>
      </x:c>
      <x:c r="X50" s="28" t="str">
        <x:v>салат, гарнир, суп, соус, маринад, ферментация или напиток с чоризо</x:v>
      </x:c>
      <x:c r="Y50" s="28" t="str">
        <x:v>универсальное</x:v>
      </x:c>
      <x:c r="Z50" s="28" t="str">
        <x:v>Средняя</x:v>
      </x:c>
      <x:c r="AA50" s="28" t="str">
        <x:v>The Art &amp; Science of Foodpairing.pdf</x:v>
      </x:c>
      <x:c r="AB50" s="28" t="str">
        <x:v>The Art &amp; Science of Foodpairing.pdf: 288</x:v>
      </x:c>
      <x:c r="AC50" s="28" t="str">
        <x:v>связь из pairing grid, стр. 288</x:v>
      </x:c>
      <x:c r="AD50" s="28" t="n">
        <x:v>1</x:v>
      </x:c>
      <x:c r="AE50" s="28" t="n">
        <x:v>1</x:v>
      </x:c>
      <x:c r="AF50" s="28" t="n">
        <x:f>IF(Z50="Высокая",3,IF(Z50="Средняя",2,1))+AD50*2+MIN(AE50,3)</x:f>
        <x:v>5</x:v>
      </x:c>
    </x:row>
    <x:row r="51" ht="64" customHeight="1">
      <x:c r="A51" s="28" t="str">
        <x:v>VEG-0050</x:v>
      </x:c>
      <x:c r="B51" s="28" t="str">
        <x:v>батат</x:v>
      </x:c>
      <x:c r="C51" s="28" t="str">
        <x:v>Десерты и выпечка</x:v>
      </x:c>
      <x:c r="D51" s="28" t="str">
        <x:v>батат</x:v>
      </x:c>
      <x:c r="E51" s="28" t="str">
        <x:v>sweet potato</x:v>
      </x:c>
      <x:c r="F51" s="28" t="str">
        <x:v>Корнеплоды и клубни</x:v>
      </x:c>
      <x:c r="G51" s="28" t="str">
        <x:v>арахис</x:v>
      </x:c>
      <x:c r="H51" s="28" t="str">
        <x:v>roasted peanut</x:v>
      </x:c>
      <x:c r="I51" s="28" t="str">
        <x:v>Орехи и семена</x:v>
      </x:c>
      <x:c r="J51" s="28" t="str">
        <x:v>сладкий, крахмалистый, цветочный, карамельный и ореховый после запекания</x:v>
      </x:c>
      <x:c r="K51" s="28" t="str">
        <x:v>ореховый, жареный и жирный</x:v>
      </x:c>
      <x:c r="L51" s="28" t="str">
        <x:v>мальтол, фураны, норизопреноиды, пиразины</x:v>
      </x:c>
      <x:c r="M51" s="28" t="str">
        <x:v>альдегиды, пиразины, фураны</x:v>
      </x:c>
      <x:c r="N51" s="28" t="str">
        <x:v>жареный</x:v>
      </x:c>
      <x:c r="O51" s="28" t="str">
        <x:v>пиразины, фураны</x:v>
      </x:c>
      <x:c r="P51" s="28" t="str">
        <x:v>общие характерные молекулы; пересечение ароматических семейств</x:v>
      </x:c>
      <x:c r="Q51" s="28" t="str">
        <x:v>Сладость и землистость балансируются кислотой, солью, горечью и умами; жир усиливает ощущение округлости.</x:v>
      </x:c>
      <x:c r="R51" s="28" t="str">
        <x:v>минимальный</x:v>
      </x:c>
      <x:c r="S51" s="28" t="str">
        <x:v>крахмальная матрица с сахарами и каротиноидами</x:v>
      </x:c>
      <x:c r="T5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1" s="28" t="str">
        <x:v>Батат имеет профиль «сладкий, крахмалистый, цветочный, карамельный и ореховый после запекания». Партнёр «арахис»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51" s="28" t="str">
        <x:v>водянистое пюре размывает аромат; сильная сладость требует кислоты, соли или горечи</x:v>
      </x:c>
      <x:c r="W51" s="28" t="str">
        <x:v>соль, кислота или ароматический жир</x:v>
      </x:c>
      <x:c r="X51" s="28" t="str">
        <x:v>пюре, суп, запекание, крем, гарнир, соус или десертная разработка с арахис</x:v>
      </x:c>
      <x:c r="Y51" s="28" t="str">
        <x:v>еда, десерты, соусы/маринады</x:v>
      </x:c>
      <x:c r="Z51" s="28" t="str">
        <x:v>Средняя</x:v>
      </x:c>
      <x:c r="AA51" s="28" t="str">
        <x:v>The Art &amp; Science of Foodpairing.pdf</x:v>
      </x:c>
      <x:c r="AB51" s="28" t="str">
        <x:v>The Art &amp; Science of Foodpairing.pdf: 119</x:v>
      </x:c>
      <x:c r="AC51" s="28" t="str">
        <x:v>связь из pairing grid, стр. 119</x:v>
      </x:c>
      <x:c r="AD51" s="28" t="n">
        <x:v>1</x:v>
      </x:c>
      <x:c r="AE51" s="28" t="n">
        <x:v>1</x:v>
      </x:c>
      <x:c r="AF51" s="28" t="n">
        <x:f>IF(Z51="Высокая",3,IF(Z51="Средняя",2,1))+AD51*2+MIN(AE51,3)</x:f>
        <x:v>5</x:v>
      </x:c>
    </x:row>
    <x:row r="52" ht="64" customHeight="1">
      <x:c r="A52" s="28" t="str">
        <x:v>VEG-0051</x:v>
      </x:c>
      <x:c r="B52" s="28" t="str">
        <x:v>батат</x:v>
      </x:c>
      <x:c r="C52" s="28" t="str">
        <x:v>Универсальные</x:v>
      </x:c>
      <x:c r="D52" s="28" t="str">
        <x:v>батат</x:v>
      </x:c>
      <x:c r="E52" s="28" t="str">
        <x:v>sweet potato</x:v>
      </x:c>
      <x:c r="F52" s="28" t="str">
        <x:v>Корнеплоды и клубни</x:v>
      </x:c>
      <x:c r="G52" s="28" t="str">
        <x:v>базилик</x:v>
      </x:c>
      <x:c r="H52" s="28" t="str">
        <x:v>basil</x:v>
      </x:c>
      <x:c r="I52" s="28" t="str">
        <x:v>Травы, цветы и листья</x:v>
      </x:c>
      <x:c r="J52" s="28" t="str">
        <x:v>сладкий, крахмалистый, цветочный, карамельный и ореховый после запекания</x:v>
      </x:c>
      <x:c r="K52" s="28" t="str">
        <x:v>зелёный, пряный, цветочный</x:v>
      </x:c>
      <x:c r="L52" s="28" t="str">
        <x:v>мальтол, фураны, норизопреноиды, пиразины</x:v>
      </x:c>
      <x:c r="M52" s="28" t="str">
        <x:v>линалоол, эвгенол</x:v>
      </x:c>
      <x:c r="N52" s="28" t="str">
        <x:v>прямое пересечение семейств не подтверждено</x:v>
      </x:c>
      <x:c r="O52" s="28" t="str">
        <x:v>надёжная общая ключевая молекула не установлена</x:v>
      </x:c>
      <x:c r="P52" s="28" t="str">
        <x:v>сенсорная комплементарность</x:v>
      </x:c>
      <x:c r="Q52" s="28" t="str">
        <x:v>Сладость и землистость балансируются кислотой, солью, горечью и умами; жир усиливает ощущение округлости.</x:v>
      </x:c>
      <x:c r="R52" s="28" t="str">
        <x:v>минимальный</x:v>
      </x:c>
      <x:c r="S52" s="28" t="str">
        <x:v>крахмальная матрица с сахарами и каротиноидами</x:v>
      </x:c>
      <x:c r="T5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2" s="28" t="str">
        <x:v>Батат имеет профиль «сладкий, крахмалистый, цветочный, карамельный и ореховый после запекания».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52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W52" s="28" t="str">
        <x:v>оливковое масло, лимон или сыр</x:v>
      </x:c>
      <x:c r="X52" s="28" t="str">
        <x:v>пюре, суп, запекание, крем, гарнир, соус или десертная разработка с базилик</x:v>
      </x:c>
      <x:c r="Y52" s="28" t="str">
        <x:v>еда, соусы/маринады</x:v>
      </x:c>
      <x:c r="Z52" s="28" t="str">
        <x:v>Средняя</x:v>
      </x:c>
      <x:c r="AA52" s="28" t="str">
        <x:v>The Art &amp; Science of Foodpairing.pdf</x:v>
      </x:c>
      <x:c r="AB52" s="28" t="str">
        <x:v>The Art &amp; Science of Foodpairing.pdf: 119</x:v>
      </x:c>
      <x:c r="AC52" s="28" t="str">
        <x:v>связь из pairing grid, стр. 119</x:v>
      </x:c>
      <x:c r="AD52" s="28" t="n">
        <x:v>1</x:v>
      </x:c>
      <x:c r="AE52" s="28" t="n">
        <x:v>1</x:v>
      </x:c>
      <x:c r="AF52" s="28" t="n">
        <x:f>IF(Z52="Высокая",3,IF(Z52="Средняя",2,1))+AD52*2+MIN(AE52,3)</x:f>
        <x:v>5</x:v>
      </x:c>
    </x:row>
    <x:row r="53" ht="64" customHeight="1">
      <x:c r="A53" s="28" t="str">
        <x:v>VEG-0052</x:v>
      </x:c>
      <x:c r="B53" s="28" t="str">
        <x:v>батат</x:v>
      </x:c>
      <x:c r="C53" s="28" t="str">
        <x:v>Еда и соусы</x:v>
      </x:c>
      <x:c r="D53" s="28" t="str">
        <x:v>батат</x:v>
      </x:c>
      <x:c r="E53" s="28" t="str">
        <x:v>roasted sweet potato</x:v>
      </x:c>
      <x:c r="F53" s="28" t="str">
        <x:v>Корнеплоды и клубни</x:v>
      </x:c>
      <x:c r="G53" s="28" t="str">
        <x:v>бальзамический уксус</x:v>
      </x:c>
      <x:c r="H53" s="28" t="str">
        <x:v>balsamic vinegar</x:v>
      </x:c>
      <x:c r="I53" s="28" t="str">
        <x:v>Ферментированные продукты и соусы</x:v>
      </x:c>
      <x:c r="J53" s="28" t="str">
        <x:v>сладкий, крахмалистый, цветочный, карамельный и ореховый после запекания</x:v>
      </x:c>
      <x:c r="K53" s="28" t="str">
        <x:v>ферментированный, умами и сложный</x:v>
      </x:c>
      <x:c r="L53" s="28" t="str">
        <x:v>мальтол, фураны, норизопреноиды, пиразины</x:v>
      </x:c>
      <x:c r="M53" s="28" t="str">
        <x:v>пиразины, фураны, эфиры</x:v>
      </x:c>
      <x:c r="N53" s="28" t="str">
        <x:v>жареный</x:v>
      </x:c>
      <x:c r="O53" s="28" t="str">
        <x:v>пиразины, фураны</x:v>
      </x:c>
      <x:c r="P53" s="28" t="str">
        <x:v>общие характерные молекулы; пересечение ароматических семейств; умами и солёный контраст</x:v>
      </x:c>
      <x:c r="Q53" s="28" t="str">
        <x:v>Сладость и землистость балансируются кислотой, солью, горечью и умами; жир усиливает ощущение округлости.</x:v>
      </x:c>
      <x:c r="R53" s="28" t="str">
        <x:v>минимальный</x:v>
      </x:c>
      <x:c r="S53" s="28" t="str">
        <x:v>крахмальная матрица с сахарами и каротиноидами</x:v>
      </x:c>
      <x:c r="T5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3" s="28" t="str">
        <x:v>Батат имеет профиль «сладкий, крахмалистый, цветочный, карамельный и ореховый после запекания». Партнёр «бальзамический уксус» относится к группе «Ферментированные продукты и соусы» и даёт ферментированный, умами и сложный. Вероятный молекулярный мост: пиразины, фураны.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53" s="28" t="str">
        <x:v>водянистое пюре размывает аромат; сильная сладость требует кислоты, соли или горечи</x:v>
      </x:c>
      <x:c r="W53" s="28" t="str">
        <x:v>имбирь, чеснок или кунжут</x:v>
      </x:c>
      <x:c r="X53" s="28" t="str">
        <x:v>пюре, суп, запекание, крем, гарнир, соус или десертная разработка с бальзамический уксус</x:v>
      </x:c>
      <x:c r="Y53" s="28" t="str">
        <x:v>еда, соусы/маринады</x:v>
      </x:c>
      <x:c r="Z53" s="28" t="str">
        <x:v>Средняя</x:v>
      </x:c>
      <x:c r="AA53" s="28" t="str">
        <x:v>The Art &amp; Science of Foodpairing.pdf</x:v>
      </x:c>
      <x:c r="AB53" s="28" t="str">
        <x:v>The Art &amp; Science of Foodpairing.pdf: 316</x:v>
      </x:c>
      <x:c r="AC53" s="28" t="str">
        <x:v>связь из pairing grid, стр. 316; связь из pairing grid, стр. 316</x:v>
      </x:c>
      <x:c r="AD53" s="28" t="n">
        <x:v>1</x:v>
      </x:c>
      <x:c r="AE53" s="28" t="n">
        <x:v>2</x:v>
      </x:c>
      <x:c r="AF53" s="28" t="n">
        <x:f>IF(Z53="Высокая",3,IF(Z53="Средняя",2,1))+AD53*2+MIN(AE53,3)</x:f>
        <x:v>6</x:v>
      </x:c>
    </x:row>
    <x:row r="54" ht="64" customHeight="1">
      <x:c r="A54" s="28" t="str">
        <x:v>VEG-0053</x:v>
      </x:c>
      <x:c r="B54" s="28" t="str">
        <x:v>батат</x:v>
      </x:c>
      <x:c r="C54" s="28" t="str">
        <x:v>Десерты и выпечка</x:v>
      </x:c>
      <x:c r="D54" s="28" t="str">
        <x:v>батат</x:v>
      </x:c>
      <x:c r="E54" s="28" t="str">
        <x:v>roasted sweet potato</x:v>
      </x:c>
      <x:c r="F54" s="28" t="str">
        <x:v>Корнеплоды и клубни</x:v>
      </x:c>
      <x:c r="G54" s="28" t="str">
        <x:v>барбарис</x:v>
      </x:c>
      <x:c r="H54" s="28" t="str">
        <x:v>barberry</x:v>
      </x:c>
      <x:c r="I54" s="28" t="str">
        <x:v>Выпечка, крупы, сахара и десерты</x:v>
      </x:c>
      <x:c r="J54" s="28" t="str">
        <x:v>сладкий, крахмалистый, цветочный, карамельный и ореховый после запекания</x:v>
      </x:c>
      <x:c r="K54" s="28" t="str">
        <x:v>сладкий, карамельный и жареный</x:v>
      </x:c>
      <x:c r="L54" s="28" t="str">
        <x:v>мальтол, фураны, норизопреноиды, пиразины</x:v>
      </x:c>
      <x:c r="M54" s="28" t="str">
        <x:v>мальтол, пиразины, фураны</x:v>
      </x:c>
      <x:c r="N54" s="28" t="str">
        <x:v>жареный, карамельный, сладкий</x:v>
      </x:c>
      <x:c r="O54" s="28" t="str">
        <x:v>мальтол, пиразины, фураны</x:v>
      </x:c>
      <x:c r="P54" s="28" t="str">
        <x:v>общие характерные молекулы; пересечение ароматических семейств</x:v>
      </x:c>
      <x:c r="Q54" s="28" t="str">
        <x:v>Сладость и землистость балансируются кислотой, солью, горечью и умами; жир усиливает ощущение округлости.</x:v>
      </x:c>
      <x:c r="R54" s="28" t="str">
        <x:v>минимальный</x:v>
      </x:c>
      <x:c r="S54" s="28" t="str">
        <x:v>крахмальная матрица с сахарами и каротиноидами</x:v>
      </x:c>
      <x:c r="T5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4" s="28" t="str">
        <x:v>Батат имеет профиль «сладкий, крахмалистый, цветочный, карамельный и ореховый после запекания». Партнёр «барбарис»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54" s="28" t="str">
        <x:v>водянистое пюре размывает аромат; сильная сладость требует кислоты, соли или горечи</x:v>
      </x:c>
      <x:c r="W54" s="28" t="str">
        <x:v>соль, кислота или ароматический жир</x:v>
      </x:c>
      <x:c r="X54" s="28" t="str">
        <x:v>пюре, суп, запекание, крем, гарнир, соус или десертная разработка с барбарис</x:v>
      </x:c>
      <x:c r="Y54" s="28" t="str">
        <x:v>еда, десерты, соусы/маринады</x:v>
      </x:c>
      <x:c r="Z54" s="28" t="str">
        <x:v>Высокая</x:v>
      </x:c>
      <x:c r="AA54" s="28" t="str">
        <x:v>The Art &amp; Science of Foodpairing.pdf</x:v>
      </x:c>
      <x:c r="AB54" s="28" t="str">
        <x:v>The Art &amp; Science of Foodpairing.pdf: 118</x:v>
      </x:c>
      <x:c r="AC54" s="28" t="str">
        <x:v>прямая Potential pairing, стр. 118</x:v>
      </x:c>
      <x:c r="AD54" s="28" t="n">
        <x:v>1</x:v>
      </x:c>
      <x:c r="AE54" s="28" t="n">
        <x:v>1</x:v>
      </x:c>
      <x:c r="AF54" s="28" t="n">
        <x:f>IF(Z54="Высокая",3,IF(Z54="Средняя",2,1))+AD54*2+MIN(AE54,3)</x:f>
        <x:v>6</x:v>
      </x:c>
    </x:row>
    <x:row r="55" ht="64" customHeight="1">
      <x:c r="A55" s="28" t="str">
        <x:v>VEG-0054</x:v>
      </x:c>
      <x:c r="B55" s="28" t="str">
        <x:v>батат</x:v>
      </x:c>
      <x:c r="C55" s="28" t="str">
        <x:v>Еда и соусы</x:v>
      </x:c>
      <x:c r="D55" s="28" t="str">
        <x:v>батат</x:v>
      </x:c>
      <x:c r="E55" s="28" t="str">
        <x:v>sweet potato</x:v>
      </x:c>
      <x:c r="F55" s="28" t="str">
        <x:v>Корнеплоды и клубни</x:v>
      </x:c>
      <x:c r="G55" s="28" t="str">
        <x:v>бекон</x:v>
      </x:c>
      <x:c r="H55" s="28" t="str">
        <x:v>pan-fried bacon</x:v>
      </x:c>
      <x:c r="I55" s="28" t="str">
        <x:v>Мясо и птица</x:v>
      </x:c>
      <x:c r="J55" s="28" t="str">
        <x:v>сладкий, крахмалистый, цветочный, карамельный и ореховый после запекания</x:v>
      </x:c>
      <x:c r="K55" s="28" t="str">
        <x:v>дымный, жареный, умами</x:v>
      </x:c>
      <x:c r="L55" s="28" t="str">
        <x:v>мальтол, фураны, норизопреноиды, пиразины</x:v>
      </x:c>
      <x:c r="M55" s="28" t="str">
        <x:v>пиразины, фенолы</x:v>
      </x:c>
      <x:c r="N55" s="28" t="str">
        <x:v>жареный</x:v>
      </x:c>
      <x:c r="O55" s="28" t="str">
        <x:v>пиразины</x:v>
      </x:c>
      <x:c r="P55" s="28" t="str">
        <x:v>общие характерные молекулы; пересечение ароматических семейств; умами и солёный контраст</x:v>
      </x:c>
      <x:c r="Q55" s="28" t="str">
        <x:v>Сладость и землистость балансируются кислотой, солью, горечью и умами; жир усиливает ощущение округлости.</x:v>
      </x:c>
      <x:c r="R55" s="28" t="str">
        <x:v>минимальный</x:v>
      </x:c>
      <x:c r="S55" s="28" t="str">
        <x:v>крахмальная матрица с сахарами и каротиноидами Белок и жир требуют контроля воды: для жареной ароматики поверхность должна подсохнуть.</x:v>
      </x:c>
      <x:c r="T5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5" s="28" t="str">
        <x:v>Батат имеет профиль «сладкий, крахмалистый, цветочный, карамельный и ореховый после запекания».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55" s="28" t="str">
        <x:v>водянистое пюре размывает аромат; сильная сладость требует кислоты, соли или горечи</x:v>
      </x:c>
      <x:c r="W55" s="28" t="str">
        <x:v>сливочное масло, соевый соус или тимьян</x:v>
      </x:c>
      <x:c r="X55" s="28" t="str">
        <x:v>пюре, суп, запекание, крем, гарнир, соус или десертная разработка с бекон</x:v>
      </x:c>
      <x:c r="Y55" s="28" t="str">
        <x:v>еда, соусы/маринады</x:v>
      </x:c>
      <x:c r="Z55" s="28" t="str">
        <x:v>Средняя</x:v>
      </x:c>
      <x:c r="AA55" s="28" t="str">
        <x:v>The Art &amp; Science of Foodpairing.pdf</x:v>
      </x:c>
      <x:c r="AB55" s="28" t="str">
        <x:v>The Art &amp; Science of Foodpairing.pdf: 119</x:v>
      </x:c>
      <x:c r="AC55" s="28" t="str">
        <x:v>связь из pairing grid, стр. 119</x:v>
      </x:c>
      <x:c r="AD55" s="28" t="n">
        <x:v>1</x:v>
      </x:c>
      <x:c r="AE55" s="28" t="n">
        <x:v>1</x:v>
      </x:c>
      <x:c r="AF55" s="28" t="n">
        <x:f>IF(Z55="Высокая",3,IF(Z55="Средняя",2,1))+AD55*2+MIN(AE55,3)</x:f>
        <x:v>5</x:v>
      </x:c>
    </x:row>
    <x:row r="56" ht="64" customHeight="1">
      <x:c r="A56" s="28" t="str">
        <x:v>VEG-0055</x:v>
      </x:c>
      <x:c r="B56" s="28" t="str">
        <x:v>батат</x:v>
      </x:c>
      <x:c r="C56" s="28" t="str">
        <x:v>Универсальные</x:v>
      </x:c>
      <x:c r="D56" s="28" t="str">
        <x:v>батат</x:v>
      </x:c>
      <x:c r="E56" s="28" t="str">
        <x:v>sweet potato</x:v>
      </x:c>
      <x:c r="F56" s="28" t="str">
        <x:v>Корнеплоды и клубни</x:v>
      </x:c>
      <x:c r="G56" s="28" t="str">
        <x:v>бергамот</x:v>
      </x:c>
      <x:c r="H56" s="28" t="str">
        <x:v>bergamot orange</x:v>
      </x:c>
      <x:c r="I56" s="28" t="str">
        <x:v>Прочее</x:v>
      </x:c>
      <x:c r="J56" s="28" t="str">
        <x:v>сладкий, крахмалистый, цветочный, карамельный и ореховый после запекания</x:v>
      </x:c>
      <x:c r="K56" s="28" t="str">
        <x:v>профиль зависит от конкретного продукта</x:v>
      </x:c>
      <x:c r="L56" s="28" t="str">
        <x:v>мальтол, фураны, норизопреноиды, пиразины</x:v>
      </x:c>
      <x:c r="M56" s="28" t="str">
        <x:v>конкретный молекулярный профиль не указан</x:v>
      </x:c>
      <x:c r="N56" s="28" t="str">
        <x:v>прямое пересечение семейств не подтверждено</x:v>
      </x:c>
      <x:c r="O56" s="28" t="str">
        <x:v>надёжная общая ключевая молекула не установлена</x:v>
      </x:c>
      <x:c r="P56" s="28" t="str">
        <x:v>сенсорная комплементарность</x:v>
      </x:c>
      <x:c r="Q56" s="28" t="str">
        <x:v>Сладость и землистость балансируются кислотой, солью, горечью и умами; жир усиливает ощущение округлости.</x:v>
      </x:c>
      <x:c r="R56" s="28" t="str">
        <x:v>минимальный</x:v>
      </x:c>
      <x:c r="S56" s="28" t="str">
        <x:v>крахмальная матрица с сахарами и каротиноидами</x:v>
      </x:c>
      <x:c r="T5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6" s="28" t="str">
        <x:v>Батат имеет профиль «сладкий, крахмалистый, цветочный, карамельный и ореховый после запекания». Партнёр «бергамот»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6" s="28" t="str">
        <x:v>водянистое пюре размывает аромат; сильная сладость требует кислоты, соли или горечи</x:v>
      </x:c>
      <x:c r="W56" s="28" t="str">
        <x:v>соль, кислота или ароматический жир</x:v>
      </x:c>
      <x:c r="X56" s="28" t="str">
        <x:v>пюре, суп, запекание, крем, гарнир, соус или десертная разработка с бергамот</x:v>
      </x:c>
      <x:c r="Y56" s="28" t="str">
        <x:v>еда, соусы/маринады</x:v>
      </x:c>
      <x:c r="Z56" s="28" t="str">
        <x:v>Средняя</x:v>
      </x:c>
      <x:c r="AA56" s="28" t="str">
        <x:v>The Art &amp; Science of Foodpairing.pdf</x:v>
      </x:c>
      <x:c r="AB56" s="28" t="str">
        <x:v>The Art &amp; Science of Foodpairing.pdf: 119</x:v>
      </x:c>
      <x:c r="AC56" s="28" t="str">
        <x:v>связь из pairing grid, стр. 119</x:v>
      </x:c>
      <x:c r="AD56" s="28" t="n">
        <x:v>1</x:v>
      </x:c>
      <x:c r="AE56" s="28" t="n">
        <x:v>1</x:v>
      </x:c>
      <x:c r="AF56" s="28" t="n">
        <x:f>IF(Z56="Высокая",3,IF(Z56="Средняя",2,1))+AD56*2+MIN(AE56,3)</x:f>
        <x:v>5</x:v>
      </x:c>
    </x:row>
    <x:row r="57" ht="64" customHeight="1">
      <x:c r="A57" s="28" t="str">
        <x:v>VEG-0056</x:v>
      </x:c>
      <x:c r="B57" s="28" t="str">
        <x:v>батат</x:v>
      </x:c>
      <x:c r="C57" s="28" t="str">
        <x:v>Универсальные</x:v>
      </x:c>
      <x:c r="D57" s="28" t="str">
        <x:v>батат</x:v>
      </x:c>
      <x:c r="E57" s="28" t="str">
        <x:v>sweet potato</x:v>
      </x:c>
      <x:c r="F57" s="28" t="str">
        <x:v>Корнеплоды и клубни</x:v>
      </x:c>
      <x:c r="G57" s="28" t="str">
        <x:v>гамбургер</x:v>
      </x:c>
      <x:c r="H57" s="28" t="str">
        <x:v>oven-baked hamburger</x:v>
      </x:c>
      <x:c r="I57" s="28" t="str">
        <x:v>Прочее</x:v>
      </x:c>
      <x:c r="J57" s="28" t="str">
        <x:v>сладкий, крахмалистый, цветочный, карамельный и ореховый после запекания</x:v>
      </x:c>
      <x:c r="K57" s="28" t="str">
        <x:v>профиль зависит от конкретного продукта</x:v>
      </x:c>
      <x:c r="L57" s="28" t="str">
        <x:v>мальтол, фураны, норизопреноиды, пиразины</x:v>
      </x:c>
      <x:c r="M57" s="28" t="str">
        <x:v>конкретный молекулярный профиль не указан</x:v>
      </x:c>
      <x:c r="N57" s="28" t="str">
        <x:v>прямое пересечение семейств не подтверждено</x:v>
      </x:c>
      <x:c r="O57" s="28" t="str">
        <x:v>надёжная общая ключевая молекула не установлена</x:v>
      </x:c>
      <x:c r="P57" s="28" t="str">
        <x:v>сенсорная комплементарность</x:v>
      </x:c>
      <x:c r="Q57" s="28" t="str">
        <x:v>Сладость и землистость балансируются кислотой, солью, горечью и умами; жир усиливает ощущение округлости.</x:v>
      </x:c>
      <x:c r="R57" s="28" t="str">
        <x:v>минимальный</x:v>
      </x:c>
      <x:c r="S57" s="28" t="str">
        <x:v>крахмальная матрица с сахарами и каротиноидами</x:v>
      </x:c>
      <x:c r="T5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7" s="28" t="str">
        <x:v>Батат имеет профиль «сладкий, крахмалистый, цветочный, карамельный и ореховый после запекания». Партнёр «гамбургер»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7" s="28" t="str">
        <x:v>водянистое пюре размывает аромат; сильная сладость требует кислоты, соли или горечи</x:v>
      </x:c>
      <x:c r="W57" s="28" t="str">
        <x:v>соль, кислота или ароматический жир</x:v>
      </x:c>
      <x:c r="X57" s="28" t="str">
        <x:v>пюре, суп, запекание, крем, гарнир, соус или десертная разработка с гамбургер</x:v>
      </x:c>
      <x:c r="Y57" s="28" t="str">
        <x:v>еда, соусы/маринады</x:v>
      </x:c>
      <x:c r="Z57" s="28" t="str">
        <x:v>Средняя</x:v>
      </x:c>
      <x:c r="AA57" s="28" t="str">
        <x:v>The Art &amp; Science of Foodpairing.pdf</x:v>
      </x:c>
      <x:c r="AB57" s="28" t="str">
        <x:v>The Art &amp; Science of Foodpairing.pdf: 119</x:v>
      </x:c>
      <x:c r="AC57" s="28" t="str">
        <x:v>связь из pairing grid, стр. 119</x:v>
      </x:c>
      <x:c r="AD57" s="28" t="n">
        <x:v>1</x:v>
      </x:c>
      <x:c r="AE57" s="28" t="n">
        <x:v>1</x:v>
      </x:c>
      <x:c r="AF57" s="28" t="n">
        <x:f>IF(Z57="Высокая",3,IF(Z57="Средняя",2,1))+AD57*2+MIN(AE57,3)</x:f>
        <x:v>5</x:v>
      </x:c>
    </x:row>
    <x:row r="58" ht="64" customHeight="1">
      <x:c r="A58" s="28" t="str">
        <x:v>VEG-0057</x:v>
      </x:c>
      <x:c r="B58" s="28" t="str">
        <x:v>батат</x:v>
      </x:c>
      <x:c r="C58" s="28" t="str">
        <x:v>Десерты и выпечка</x:v>
      </x:c>
      <x:c r="D58" s="28" t="str">
        <x:v>батат</x:v>
      </x:c>
      <x:c r="E58" s="28" t="str">
        <x:v>sweet potato</x:v>
      </x:c>
      <x:c r="F58" s="28" t="str">
        <x:v>Корнеплоды и клубни</x:v>
      </x:c>
      <x:c r="G58" s="28" t="str">
        <x:v>грецкий орех</x:v>
      </x:c>
      <x:c r="H58" s="28" t="str">
        <x:v>walnut</x:v>
      </x:c>
      <x:c r="I58" s="28" t="str">
        <x:v>Орехи и семена</x:v>
      </x:c>
      <x:c r="J58" s="28" t="str">
        <x:v>сладкий, крахмалистый, цветочный, карамельный и ореховый после запекания</x:v>
      </x:c>
      <x:c r="K58" s="28" t="str">
        <x:v>древесный, землистый, ореховый</x:v>
      </x:c>
      <x:c r="L58" s="28" t="str">
        <x:v>мальтол, фураны, норизопреноиды, пиразины</x:v>
      </x:c>
      <x:c r="M58" s="28" t="str">
        <x:v>альдегиды, пиразины</x:v>
      </x:c>
      <x:c r="N58" s="28" t="str">
        <x:v>прямое пересечение семейств не подтверждено</x:v>
      </x:c>
      <x:c r="O58" s="28" t="str">
        <x:v>пиразины</x:v>
      </x:c>
      <x:c r="P58" s="28" t="str">
        <x:v>общие характерные молекулы</x:v>
      </x:c>
      <x:c r="Q58" s="28" t="str">
        <x:v>Сладость и землистость балансируются кислотой, солью, горечью и умами; жир усиливает ощущение округлости.</x:v>
      </x:c>
      <x:c r="R58" s="28" t="str">
        <x:v>минимальный</x:v>
      </x:c>
      <x:c r="S58" s="28" t="str">
        <x:v>крахмальная матрица с сахарами и каротиноидами</x:v>
      </x:c>
      <x:c r="T5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8" s="28" t="str">
        <x:v>Батат имеет профиль «сладкий, крахмалистый, цветочный, карамельный и ореховый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58" s="28" t="str">
        <x:v>водянистое пюре размывает аромат; сильная сладость требует кислоты, соли или горечи</x:v>
      </x:c>
      <x:c r="W58" s="28" t="str">
        <x:v>соль, кислота или ароматический жир</x:v>
      </x:c>
      <x:c r="X58" s="28" t="str">
        <x:v>пюре, суп, запекание, крем, гарнир, соус или десертная разработка с грецкий орех</x:v>
      </x:c>
      <x:c r="Y58" s="28" t="str">
        <x:v>еда, десерты, соусы/маринады</x:v>
      </x:c>
      <x:c r="Z58" s="28" t="str">
        <x:v>Средняя</x:v>
      </x:c>
      <x:c r="AA58" s="28" t="str">
        <x:v>The Art &amp; Science of Foodpairing.pdf</x:v>
      </x:c>
      <x:c r="AB58" s="28" t="str">
        <x:v>The Art &amp; Science of Foodpairing.pdf: 119</x:v>
      </x:c>
      <x:c r="AC58" s="28" t="str">
        <x:v>связь из pairing grid, стр. 119</x:v>
      </x:c>
      <x:c r="AD58" s="28" t="n">
        <x:v>1</x:v>
      </x:c>
      <x:c r="AE58" s="28" t="n">
        <x:v>1</x:v>
      </x:c>
      <x:c r="AF58" s="28" t="n">
        <x:f>IF(Z58="Высокая",3,IF(Z58="Средняя",2,1))+AD58*2+MIN(AE58,3)</x:f>
        <x:v>5</x:v>
      </x:c>
    </x:row>
    <x:row r="59" ht="64" customHeight="1">
      <x:c r="A59" s="28" t="str">
        <x:v>VEG-0058</x:v>
      </x:c>
      <x:c r="B59" s="28" t="str">
        <x:v>батат</x:v>
      </x:c>
      <x:c r="C59" s="28" t="str">
        <x:v>Универсальные</x:v>
      </x:c>
      <x:c r="D59" s="28" t="str">
        <x:v>батат</x:v>
      </x:c>
      <x:c r="E59" s="28" t="str">
        <x:v>sweet potato</x:v>
      </x:c>
      <x:c r="F59" s="28" t="str">
        <x:v>Корнеплоды и клубни</x:v>
      </x:c>
      <x:c r="G59" s="28" t="str">
        <x:v>грюйер</x:v>
      </x:c>
      <x:c r="H59" s="28" t="str">
        <x:v>Gruyere</x:v>
      </x:c>
      <x:c r="I59" s="28" t="str">
        <x:v>Прочее</x:v>
      </x:c>
      <x:c r="J59" s="28" t="str">
        <x:v>сладкий, крахмалистый, цветочный, карамельный и ореховый после запекания</x:v>
      </x:c>
      <x:c r="K59" s="28" t="str">
        <x:v>профиль зависит от конкретного продукта</x:v>
      </x:c>
      <x:c r="L59" s="28" t="str">
        <x:v>мальтол, фураны, норизопреноиды, пиразины</x:v>
      </x:c>
      <x:c r="M59" s="28" t="str">
        <x:v>конкретный молекулярный профиль не указан</x:v>
      </x:c>
      <x:c r="N59" s="28" t="str">
        <x:v>прямое пересечение семейств не подтверждено</x:v>
      </x:c>
      <x:c r="O59" s="28" t="str">
        <x:v>надёжная общая ключевая молекула не установлена</x:v>
      </x:c>
      <x:c r="P59" s="28" t="str">
        <x:v>сенсорная комплементарность</x:v>
      </x:c>
      <x:c r="Q59" s="28" t="str">
        <x:v>Сладость и землистость балансируются кислотой, солью, горечью и умами; жир усиливает ощущение округлости.</x:v>
      </x:c>
      <x:c r="R59" s="28" t="str">
        <x:v>минимальный</x:v>
      </x:c>
      <x:c r="S59" s="28" t="str">
        <x:v>крахмальная матрица с сахарами и каротиноидами</x:v>
      </x:c>
      <x:c r="T5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59" s="28" t="str">
        <x:v>Батат имеет профиль «сладкий, крахмалистый, цветочный, карамельный и ореховый после запекания».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9" s="28" t="str">
        <x:v>водянистое пюре размывает аромат; сильная сладость требует кислоты, соли или горечи</x:v>
      </x:c>
      <x:c r="W59" s="28" t="str">
        <x:v>соль, кислота или ароматический жир</x:v>
      </x:c>
      <x:c r="X59" s="28" t="str">
        <x:v>пюре, суп, запекание, крем, гарнир, соус или десертная разработка с грюйер</x:v>
      </x:c>
      <x:c r="Y59" s="28" t="str">
        <x:v>еда, соусы/маринады</x:v>
      </x:c>
      <x:c r="Z59" s="28" t="str">
        <x:v>Средняя</x:v>
      </x:c>
      <x:c r="AA59" s="28" t="str">
        <x:v>The Art &amp; Science of Foodpairing.pdf</x:v>
      </x:c>
      <x:c r="AB59" s="28" t="str">
        <x:v>The Art &amp; Science of Foodpairing.pdf: 119</x:v>
      </x:c>
      <x:c r="AC59" s="28" t="str">
        <x:v>связь из pairing grid, стр. 119</x:v>
      </x:c>
      <x:c r="AD59" s="28" t="n">
        <x:v>1</x:v>
      </x:c>
      <x:c r="AE59" s="28" t="n">
        <x:v>1</x:v>
      </x:c>
      <x:c r="AF59" s="28" t="n">
        <x:f>IF(Z59="Высокая",3,IF(Z59="Средняя",2,1))+AD59*2+MIN(AE59,3)</x:f>
        <x:v>5</x:v>
      </x:c>
    </x:row>
    <x:row r="60" ht="64" customHeight="1">
      <x:c r="A60" s="28" t="str">
        <x:v>VEG-0059</x:v>
      </x:c>
      <x:c r="B60" s="28" t="str">
        <x:v>батат</x:v>
      </x:c>
      <x:c r="C60" s="28" t="str">
        <x:v>Десерты и выпечка</x:v>
      </x:c>
      <x:c r="D60" s="28" t="str">
        <x:v>батат</x:v>
      </x:c>
      <x:c r="E60" s="28" t="str">
        <x:v>sweet potato</x:v>
      </x:c>
      <x:c r="F60" s="28" t="str">
        <x:v>Корнеплоды и клубни</x:v>
      </x:c>
      <x:c r="G60" s="28" t="str">
        <x:v>дыня</x:v>
      </x:c>
      <x:c r="H60" s="28" t="str">
        <x:v>miyabi melon (Japanese | muskmelon) | wax gourd (winter melon)</x:v>
      </x:c>
      <x:c r="I60" s="28" t="str">
        <x:v>Фрукты и ягоды</x:v>
      </x:c>
      <x:c r="J60" s="28" t="str">
        <x:v>сладкий, крахмалистый, цветочный, карамельный и ореховый после запекания</x:v>
      </x:c>
      <x:c r="K60" s="28" t="str">
        <x:v>фруктовый, цветочный и свежий</x:v>
      </x:c>
      <x:c r="L60" s="28" t="str">
        <x:v>мальтол, фураны, норизопреноиды, пиразины</x:v>
      </x:c>
      <x:c r="M60" s="28" t="str">
        <x:v>альдегиды, эфиры</x:v>
      </x:c>
      <x:c r="N60" s="28" t="str">
        <x:v>прямое пересечение семейств не подтверждено</x:v>
      </x:c>
      <x:c r="O60" s="28" t="str">
        <x:v>надёжная общая ключевая молекула не установлена</x:v>
      </x:c>
      <x:c r="P60" s="28" t="str">
        <x:v>кислотно-сладкий баланс</x:v>
      </x:c>
      <x:c r="Q60" s="28" t="str">
        <x:v>Сладость и землистость балансируются кислотой, солью, горечью и умами; жир усиливает ощущение округлости.</x:v>
      </x:c>
      <x:c r="R60" s="28" t="str">
        <x:v>минимальный</x:v>
      </x:c>
      <x:c r="S60" s="28" t="str">
        <x:v>крахмальная матрица с сахарами и каротиноидами Водная кислая фаза усиливает свежесть, но может разжижать пюре и нарушать молочную эмульсию.</x:v>
      </x:c>
      <x:c r="T6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0" s="28" t="str">
        <x:v>Батат имеет профиль «сладкий, крахмалистый, цветочный, карамельный и ореховый после запекания».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0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60" s="28" t="str">
        <x:v>цитрус, мёд или мягкая трава</x:v>
      </x:c>
      <x:c r="X60" s="28" t="str">
        <x:v>пюре, суп, запекание, крем, гарнир, соус или десертная разработка с дыня</x:v>
      </x:c>
      <x:c r="Y60" s="28" t="str">
        <x:v>еда, десерты, соусы/маринады</x:v>
      </x:c>
      <x:c r="Z60" s="28" t="str">
        <x:v>Средняя</x:v>
      </x:c>
      <x:c r="AA60" s="28" t="str">
        <x:v>The Art &amp; Science of Foodpairing.pdf</x:v>
      </x:c>
      <x:c r="AB60" s="28" t="str">
        <x:v>The Art &amp; Science of Foodpairing.pdf: 119</x:v>
      </x:c>
      <x:c r="AC60" s="28" t="str">
        <x:v>связь из pairing grid, стр. 119; связь из pairing grid, стр. 119; связь из pairing grid, стр. 119</x:v>
      </x:c>
      <x:c r="AD60" s="28" t="n">
        <x:v>1</x:v>
      </x:c>
      <x:c r="AE60" s="28" t="n">
        <x:v>3</x:v>
      </x:c>
      <x:c r="AF60" s="28" t="n">
        <x:f>IF(Z60="Высокая",3,IF(Z60="Средняя",2,1))+AD60*2+MIN(AE60,3)</x:f>
        <x:v>7</x:v>
      </x:c>
    </x:row>
    <x:row r="61" ht="64" customHeight="1">
      <x:c r="A61" s="28" t="str">
        <x:v>VEG-0060</x:v>
      </x:c>
      <x:c r="B61" s="28" t="str">
        <x:v>батат</x:v>
      </x:c>
      <x:c r="C61" s="28" t="str">
        <x:v>Еда и соусы</x:v>
      </x:c>
      <x:c r="D61" s="28" t="str">
        <x:v>батат</x:v>
      </x:c>
      <x:c r="E61" s="28" t="str">
        <x:v>sweet potato</x:v>
      </x:c>
      <x:c r="F61" s="28" t="str">
        <x:v>Корнеплоды и клубни</x:v>
      </x:c>
      <x:c r="G61" s="28" t="str">
        <x:v>жареная индейка</x:v>
      </x:c>
      <x:c r="H61" s="28" t="str">
        <x:v>roast turkey</x:v>
      </x:c>
      <x:c r="I61" s="28" t="str">
        <x:v>Мясо и птица</x:v>
      </x:c>
      <x:c r="J61" s="28" t="str">
        <x:v>сладкий, крахмалистый, цветочный, карамельный и ореховый после запекания</x:v>
      </x:c>
      <x:c r="K61" s="28" t="str">
        <x:v>жареный, мясной и умами</x:v>
      </x:c>
      <x:c r="L61" s="28" t="str">
        <x:v>мальтол, фураны, норизопреноиды, пиразины</x:v>
      </x:c>
      <x:c r="M61" s="28" t="str">
        <x:v>пиразины, сернистые соединения</x:v>
      </x:c>
      <x:c r="N61" s="28" t="str">
        <x:v>жареный</x:v>
      </x:c>
      <x:c r="O61" s="28" t="str">
        <x:v>пиразины</x:v>
      </x:c>
      <x:c r="P61" s="28" t="str">
        <x:v>общие характерные молекулы; пересечение ароматических семейств; умами и солёный контраст</x:v>
      </x:c>
      <x:c r="Q61" s="28" t="str">
        <x:v>Сладость и землистость балансируются кислотой, солью, горечью и умами; жир усиливает ощущение округлости.</x:v>
      </x:c>
      <x:c r="R61" s="28" t="str">
        <x:v>минимальный</x:v>
      </x:c>
      <x:c r="S61" s="28" t="str">
        <x:v>крахмальная матрица с сахарами и каротиноидами Белок и жир требуют контроля воды: для жареной ароматики поверхность должна подсохнуть.</x:v>
      </x:c>
      <x:c r="T6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1" s="28" t="str">
        <x:v>Батат имеет профиль «сладкий, крахмалистый, цветочный, карамельный и ореховый после запекания». Партнёр «жареная индейка»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1" s="28" t="str">
        <x:v>водянистое пюре размывает аромат; сильная сладость требует кислоты, соли или горечи</x:v>
      </x:c>
      <x:c r="W61" s="28" t="str">
        <x:v>сливочное масло, соевый соус или тимьян</x:v>
      </x:c>
      <x:c r="X61" s="28" t="str">
        <x:v>пюре, суп, запекание, крем, гарнир, соус или десертная разработка с жареная индейка</x:v>
      </x:c>
      <x:c r="Y61" s="28" t="str">
        <x:v>еда, соусы/маринады</x:v>
      </x:c>
      <x:c r="Z61" s="28" t="str">
        <x:v>Средняя</x:v>
      </x:c>
      <x:c r="AA61" s="28" t="str">
        <x:v>The Art &amp; Science of Foodpairing.pdf</x:v>
      </x:c>
      <x:c r="AB61" s="28" t="str">
        <x:v>The Art &amp; Science of Foodpairing.pdf: 119</x:v>
      </x:c>
      <x:c r="AC61" s="28" t="str">
        <x:v>связь из pairing grid, стр. 119</x:v>
      </x:c>
      <x:c r="AD61" s="28" t="n">
        <x:v>1</x:v>
      </x:c>
      <x:c r="AE61" s="28" t="n">
        <x:v>1</x:v>
      </x:c>
      <x:c r="AF61" s="28" t="n">
        <x:f>IF(Z61="Высокая",3,IF(Z61="Средняя",2,1))+AD61*2+MIN(AE61,3)</x:f>
        <x:v>5</x:v>
      </x:c>
    </x:row>
    <x:row r="62" ht="64" customHeight="1">
      <x:c r="A62" s="28" t="str">
        <x:v>VEG-0061</x:v>
      </x:c>
      <x:c r="B62" s="28" t="str">
        <x:v>батат</x:v>
      </x:c>
      <x:c r="C62" s="28" t="str">
        <x:v>Еда и соусы</x:v>
      </x:c>
      <x:c r="D62" s="28" t="str">
        <x:v>батат</x:v>
      </x:c>
      <x:c r="E62" s="28" t="str">
        <x:v>sweet potato</x:v>
      </x:c>
      <x:c r="F62" s="28" t="str">
        <x:v>Корнеплоды и клубни</x:v>
      </x:c>
      <x:c r="G62" s="28" t="str">
        <x:v>жареная курица</x:v>
      </x:c>
      <x:c r="H62" s="28" t="str">
        <x:v>roast chicken</x:v>
      </x:c>
      <x:c r="I62" s="28" t="str">
        <x:v>Мясо и птица</x:v>
      </x:c>
      <x:c r="J62" s="28" t="str">
        <x:v>сладкий, крахмалистый, цветочный, карамельный и ореховый после запекания</x:v>
      </x:c>
      <x:c r="K62" s="28" t="str">
        <x:v>жареный, мясной и умами</x:v>
      </x:c>
      <x:c r="L62" s="28" t="str">
        <x:v>мальтол, фураны, норизопреноиды, пиразины</x:v>
      </x:c>
      <x:c r="M62" s="28" t="str">
        <x:v>пиразины, сернистые соединения</x:v>
      </x:c>
      <x:c r="N62" s="28" t="str">
        <x:v>жареный</x:v>
      </x:c>
      <x:c r="O62" s="28" t="str">
        <x:v>пиразины</x:v>
      </x:c>
      <x:c r="P62" s="28" t="str">
        <x:v>общие характерные молекулы; пересечение ароматических семейств; умами и солёный контраст</x:v>
      </x:c>
      <x:c r="Q62" s="28" t="str">
        <x:v>Сладость и землистость балансируются кислотой, солью, горечью и умами; жир усиливает ощущение округлости.</x:v>
      </x:c>
      <x:c r="R62" s="28" t="str">
        <x:v>минимальный</x:v>
      </x:c>
      <x:c r="S62" s="28" t="str">
        <x:v>крахмальная матрица с сахарами и каротиноидами Белок и жир требуют контроля воды: для жареной ароматики поверхность должна подсохнуть.</x:v>
      </x:c>
      <x:c r="T6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2" s="28" t="str">
        <x:v>Батат имеет профиль «сладкий, крахмалистый, цветочный, карамельный и ореховый после запекания». Партнёр «жареная курица»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2" s="28" t="str">
        <x:v>водянистое пюре размывает аромат; сильная сладость требует кислоты, соли или горечи</x:v>
      </x:c>
      <x:c r="W62" s="28" t="str">
        <x:v>сливочное масло, соевый соус или тимьян</x:v>
      </x:c>
      <x:c r="X62" s="28" t="str">
        <x:v>пюре, суп, запекание, крем, гарнир, соус или десертная разработка с жареная курица</x:v>
      </x:c>
      <x:c r="Y62" s="28" t="str">
        <x:v>еда, соусы/маринады</x:v>
      </x:c>
      <x:c r="Z62" s="28" t="str">
        <x:v>Средняя</x:v>
      </x:c>
      <x:c r="AA62" s="28" t="str">
        <x:v>The Art &amp; Science of Foodpairing.pdf</x:v>
      </x:c>
      <x:c r="AB62" s="28" t="str">
        <x:v>The Art &amp; Science of Foodpairing.pdf: 119</x:v>
      </x:c>
      <x:c r="AC62" s="28" t="str">
        <x:v>связь из pairing grid, стр. 119</x:v>
      </x:c>
      <x:c r="AD62" s="28" t="n">
        <x:v>1</x:v>
      </x:c>
      <x:c r="AE62" s="28" t="n">
        <x:v>1</x:v>
      </x:c>
      <x:c r="AF62" s="28" t="n">
        <x:f>IF(Z62="Высокая",3,IF(Z62="Средняя",2,1))+AD62*2+MIN(AE62,3)</x:f>
        <x:v>5</x:v>
      </x:c>
    </x:row>
    <x:row r="63" ht="64" customHeight="1">
      <x:c r="A63" s="28" t="str">
        <x:v>VEG-0062</x:v>
      </x:c>
      <x:c r="B63" s="28" t="str">
        <x:v>батат</x:v>
      </x:c>
      <x:c r="C63" s="28" t="str">
        <x:v>Еда и соусы</x:v>
      </x:c>
      <x:c r="D63" s="28" t="str">
        <x:v>батат</x:v>
      </x:c>
      <x:c r="E63" s="28" t="str">
        <x:v>sweet potato</x:v>
      </x:c>
      <x:c r="F63" s="28" t="str">
        <x:v>Корнеплоды и клубни</x:v>
      </x:c>
      <x:c r="G63" s="28" t="str">
        <x:v>индейка</x:v>
      </x:c>
      <x:c r="H63" s="28" t="str">
        <x:v>turkey</x:v>
      </x:c>
      <x:c r="I63" s="28" t="str">
        <x:v>Мясо и птица</x:v>
      </x:c>
      <x:c r="J63" s="28" t="str">
        <x:v>сладкий, крахмалистый, цветочный, карамельный и ореховый после запекания</x:v>
      </x:c>
      <x:c r="K63" s="28" t="str">
        <x:v>жареный, мясной и умами</x:v>
      </x:c>
      <x:c r="L63" s="28" t="str">
        <x:v>мальтол, фураны, норизопреноиды, пиразины</x:v>
      </x:c>
      <x:c r="M63" s="28" t="str">
        <x:v>пиразины, сернистые соединения</x:v>
      </x:c>
      <x:c r="N63" s="28" t="str">
        <x:v>жареный</x:v>
      </x:c>
      <x:c r="O63" s="28" t="str">
        <x:v>пиразины</x:v>
      </x:c>
      <x:c r="P63" s="28" t="str">
        <x:v>общие характерные молекулы; пересечение ароматических семейств; умами и солёный контраст</x:v>
      </x:c>
      <x:c r="Q63" s="28" t="str">
        <x:v>Сладость и землистость балансируются кислотой, солью, горечью и умами; жир усиливает ощущение округлости.</x:v>
      </x:c>
      <x:c r="R63" s="28" t="str">
        <x:v>минимальный</x:v>
      </x:c>
      <x:c r="S63" s="28" t="str">
        <x:v>крахмальная матрица с сахарами и каротиноидами Белок и жир требуют контроля воды: для жареной ароматики поверхность должна подсохнуть.</x:v>
      </x:c>
      <x:c r="T6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3" s="28" t="str">
        <x:v>Батат имеет профиль «сладкий, крахмалистый, цветочный, карамельный и ореховый после запекания». Партнёр «индейка»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3" s="28" t="str">
        <x:v>водянистое пюре размывает аромат; сильная сладость требует кислоты, соли или горечи</x:v>
      </x:c>
      <x:c r="W63" s="28" t="str">
        <x:v>сливочное масло, соевый соус или тимьян</x:v>
      </x:c>
      <x:c r="X63" s="28" t="str">
        <x:v>пюре, суп, запекание, крем, гарнир, соус или десертная разработка с индейка</x:v>
      </x:c>
      <x:c r="Y63" s="28" t="str">
        <x:v>еда, соусы/маринады</x:v>
      </x:c>
      <x:c r="Z63" s="28" t="str">
        <x:v>Высокая</x:v>
      </x:c>
      <x:c r="AA63" s="28" t="str">
        <x:v>The Art &amp; Science of Foodpairing.pdf</x:v>
      </x:c>
      <x:c r="AB63" s="28" t="str">
        <x:v>The Art &amp; Science of Foodpairing.pdf: 119</x:v>
      </x:c>
      <x:c r="AC63" s="28" t="str">
        <x:v>прямая Classic pairing, стр. 119</x:v>
      </x:c>
      <x:c r="AD63" s="28" t="n">
        <x:v>1</x:v>
      </x:c>
      <x:c r="AE63" s="28" t="n">
        <x:v>1</x:v>
      </x:c>
      <x:c r="AF63" s="28" t="n">
        <x:f>IF(Z63="Высокая",3,IF(Z63="Средняя",2,1))+AD63*2+MIN(AE63,3)</x:f>
        <x:v>6</x:v>
      </x:c>
    </x:row>
    <x:row r="64" ht="64" customHeight="1">
      <x:c r="A64" s="28" t="str">
        <x:v>VEG-0063</x:v>
      </x:c>
      <x:c r="B64" s="28" t="str">
        <x:v>батат</x:v>
      </x:c>
      <x:c r="C64" s="28" t="str">
        <x:v>Десерты и выпечка</x:v>
      </x:c>
      <x:c r="D64" s="28" t="str">
        <x:v>батат</x:v>
      </x:c>
      <x:c r="E64" s="28" t="str">
        <x:v>sweet potato</x:v>
      </x:c>
      <x:c r="F64" s="28" t="str">
        <x:v>Корнеплоды и клубни</x:v>
      </x:c>
      <x:c r="G64" s="28" t="str">
        <x:v>инжир</x:v>
      </x:c>
      <x:c r="H64" s="28" t="str">
        <x:v>dried fig</x:v>
      </x:c>
      <x:c r="I64" s="28" t="str">
        <x:v>Фрукты и ягоды</x:v>
      </x:c>
      <x:c r="J64" s="28" t="str">
        <x:v>сладкий, крахмалистый, цветочный, карамельный и ореховый после запекания</x:v>
      </x:c>
      <x:c r="K64" s="28" t="str">
        <x:v>фруктовый, цветочный и свежий</x:v>
      </x:c>
      <x:c r="L64" s="28" t="str">
        <x:v>мальтол, фураны, норизопреноиды, пиразины</x:v>
      </x:c>
      <x:c r="M64" s="28" t="str">
        <x:v>альдегиды, эфиры</x:v>
      </x:c>
      <x:c r="N64" s="28" t="str">
        <x:v>прямое пересечение семейств не подтверждено</x:v>
      </x:c>
      <x:c r="O64" s="28" t="str">
        <x:v>надёжная общая ключевая молекула не установлена</x:v>
      </x:c>
      <x:c r="P64" s="28" t="str">
        <x:v>кислотно-сладкий баланс</x:v>
      </x:c>
      <x:c r="Q64" s="28" t="str">
        <x:v>Сладость и землистость балансируются кислотой, солью, горечью и умами; жир усиливает ощущение округлости.</x:v>
      </x:c>
      <x:c r="R64" s="28" t="str">
        <x:v>минимальный</x:v>
      </x:c>
      <x:c r="S64" s="28" t="str">
        <x:v>крахмальная матрица с сахарами и каротиноидами Водная кислая фаза усиливает свежесть, но может разжижать пюре и нарушать молочную эмульсию.</x:v>
      </x:c>
      <x:c r="T6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4" s="28" t="str">
        <x:v>Батат имеет профиль «сладкий, крахмалистый, цветочный, карамельный и ореховый после запекания». Партнёр «инжир»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4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64" s="28" t="str">
        <x:v>цитрус, мёд или мягкая трава</x:v>
      </x:c>
      <x:c r="X64" s="28" t="str">
        <x:v>пюре, суп, запекание, крем, гарнир, соус или десертная разработка с инжир</x:v>
      </x:c>
      <x:c r="Y64" s="28" t="str">
        <x:v>еда, десерты, соусы/маринады</x:v>
      </x:c>
      <x:c r="Z64" s="28" t="str">
        <x:v>Средняя</x:v>
      </x:c>
      <x:c r="AA64" s="28" t="str">
        <x:v>The Art &amp; Science of Foodpairing.pdf</x:v>
      </x:c>
      <x:c r="AB64" s="28" t="str">
        <x:v>The Art &amp; Science of Foodpairing.pdf: 119</x:v>
      </x:c>
      <x:c r="AC64" s="28" t="str">
        <x:v>связь из pairing grid, стр. 119</x:v>
      </x:c>
      <x:c r="AD64" s="28" t="n">
        <x:v>1</x:v>
      </x:c>
      <x:c r="AE64" s="28" t="n">
        <x:v>1</x:v>
      </x:c>
      <x:c r="AF64" s="28" t="n">
        <x:f>IF(Z64="Высокая",3,IF(Z64="Средняя",2,1))+AD64*2+MIN(AE64,3)</x:f>
        <x:v>5</x:v>
      </x:c>
    </x:row>
    <x:row r="65" ht="64" customHeight="1">
      <x:c r="A65" s="28" t="str">
        <x:v>VEG-0064</x:v>
      </x:c>
      <x:c r="B65" s="28" t="str">
        <x:v>батат</x:v>
      </x:c>
      <x:c r="C65" s="28" t="str">
        <x:v>Десерты и выпечка</x:v>
      </x:c>
      <x:c r="D65" s="28" t="str">
        <x:v>батат</x:v>
      </x:c>
      <x:c r="E65" s="28" t="str">
        <x:v>sweet potato</x:v>
      </x:c>
      <x:c r="F65" s="28" t="str">
        <x:v>Корнеплоды и клубни</x:v>
      </x:c>
      <x:c r="G65" s="28" t="str">
        <x:v>какао-порошок</x:v>
      </x:c>
      <x:c r="H65" s="28" t="str">
        <x:v>cocoa powder</x:v>
      </x:c>
      <x:c r="I65" s="28" t="str">
        <x:v>Какао и шоколад</x:v>
      </x:c>
      <x:c r="J65" s="28" t="str">
        <x:v>сладкий, крахмалистый, цветочный, карамельный и ореховый после запекания</x:v>
      </x:c>
      <x:c r="K65" s="28" t="str">
        <x:v>какаовый, жареный и горько-сладкий</x:v>
      </x:c>
      <x:c r="L65" s="28" t="str">
        <x:v>мальтол, фураны, норизопреноиды, пиразины</x:v>
      </x:c>
      <x:c r="M65" s="28" t="str">
        <x:v>альдегиды, пиразины, фураны</x:v>
      </x:c>
      <x:c r="N65" s="28" t="str">
        <x:v>жареный, карамельный</x:v>
      </x:c>
      <x:c r="O65" s="28" t="str">
        <x:v>пиразины, фураны</x:v>
      </x:c>
      <x:c r="P65" s="28" t="str">
        <x:v>общие характерные молекулы; пересечение ароматических семейств</x:v>
      </x:c>
      <x:c r="Q65" s="28" t="str">
        <x:v>Сладость и землистость балансируются кислотой, солью, горечью и умами; жир усиливает ощущение округлости.</x:v>
      </x:c>
      <x:c r="R65" s="28" t="str">
        <x:v>минимальный</x:v>
      </x:c>
      <x:c r="S65" s="28" t="str">
        <x:v>крахмальная матрица с сахарами и каротиноидами</x:v>
      </x:c>
      <x:c r="T6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5" s="28" t="str">
        <x:v>Батат имеет профиль «сладкий, крахмалистый, цветочный, карамельный и ореховый после запекания». Партнёр «какао-порошок» относится к группе «Какао и шоколад» и даёт какаовый, жареный и горько-сладкий.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5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W65" s="28" t="str">
        <x:v>сливки, орех или карамель</x:v>
      </x:c>
      <x:c r="X65" s="28" t="str">
        <x:v>пюре, суп, запекание, крем, гарнир, соус или десертная разработка с какао-порошок</x:v>
      </x:c>
      <x:c r="Y65" s="28" t="str">
        <x:v>еда, десерты, соусы/маринады</x:v>
      </x:c>
      <x:c r="Z65" s="28" t="str">
        <x:v>Средняя</x:v>
      </x:c>
      <x:c r="AA65" s="28" t="str">
        <x:v>The Art &amp; Science of Foodpairing.pdf</x:v>
      </x:c>
      <x:c r="AB65" s="28" t="str">
        <x:v>The Art &amp; Science of Foodpairing.pdf: 119</x:v>
      </x:c>
      <x:c r="AC65" s="28" t="str">
        <x:v>связь из pairing grid, стр. 119</x:v>
      </x:c>
      <x:c r="AD65" s="28" t="n">
        <x:v>1</x:v>
      </x:c>
      <x:c r="AE65" s="28" t="n">
        <x:v>1</x:v>
      </x:c>
      <x:c r="AF65" s="28" t="n">
        <x:f>IF(Z65="Высокая",3,IF(Z65="Средняя",2,1))+AD65*2+MIN(AE65,3)</x:f>
        <x:v>5</x:v>
      </x:c>
    </x:row>
    <x:row r="66" ht="64" customHeight="1">
      <x:c r="A66" s="28" t="str">
        <x:v>VEG-0065</x:v>
      </x:c>
      <x:c r="B66" s="28" t="str">
        <x:v>батат</x:v>
      </x:c>
      <x:c r="C66" s="28" t="str">
        <x:v>Еда и соусы</x:v>
      </x:c>
      <x:c r="D66" s="28" t="str">
        <x:v>батат</x:v>
      </x:c>
      <x:c r="E66" s="28" t="str">
        <x:v>sweet potato</x:v>
      </x:c>
      <x:c r="F66" s="28" t="str">
        <x:v>Корнеплоды и клубни</x:v>
      </x:c>
      <x:c r="G66" s="28" t="str">
        <x:v>кефаль</x:v>
      </x:c>
      <x:c r="H66" s="28" t="str">
        <x:v>baked red mullet | poached grey mullet</x:v>
      </x:c>
      <x:c r="I66" s="28" t="str">
        <x:v>Рыба и морепродукты</x:v>
      </x:c>
      <x:c r="J66" s="28" t="str">
        <x:v>сладкий, крахмалистый, цветочный, карамельный и ореховый после запекания</x:v>
      </x:c>
      <x:c r="K66" s="28" t="str">
        <x:v>морской, солоноватый и умами</x:v>
      </x:c>
      <x:c r="L66" s="28" t="str">
        <x:v>мальтол, фураны, норизопреноиды, пиразины</x:v>
      </x:c>
      <x:c r="M66" s="28" t="str">
        <x:v>альдегиды, амины</x:v>
      </x:c>
      <x:c r="N66" s="28" t="str">
        <x:v>прямое пересечение семейств не подтверждено</x:v>
      </x:c>
      <x:c r="O66" s="28" t="str">
        <x:v>надёжная общая ключевая молекула не установлена</x:v>
      </x:c>
      <x:c r="P66" s="28" t="str">
        <x:v>умами и солёный контраст</x:v>
      </x:c>
      <x:c r="Q66" s="28" t="str">
        <x:v>Сладость и землистость балансируются кислотой, солью, горечью и умами; жир усиливает ощущение округлости.</x:v>
      </x:c>
      <x:c r="R66" s="28" t="str">
        <x:v>минимальный</x:v>
      </x:c>
      <x:c r="S66" s="28" t="str">
        <x:v>крахмальная матрица с сахарами и каротиноидами Белок и жир требуют контроля воды: для жареной ароматики поверхность должна подсохнуть.</x:v>
      </x:c>
      <x:c r="T6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6" s="28" t="str">
        <x:v>Батат имеет профиль «сладкий, крахмалистый, цветочный, карамельный и ореховый после запекания». Партнёр «кефаль»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6" s="28" t="str">
        <x:v>водянистое пюре размывает аромат; сильная сладость требует кислоты, соли или горечи</x:v>
      </x:c>
      <x:c r="W66" s="28" t="str">
        <x:v>сливочное масло, соевый соус или тимьян</x:v>
      </x:c>
      <x:c r="X66" s="28" t="str">
        <x:v>пюре, суп, запекание, крем, гарнир, соус или десертная разработка с кефаль</x:v>
      </x:c>
      <x:c r="Y66" s="28" t="str">
        <x:v>еда, соусы/маринады</x:v>
      </x:c>
      <x:c r="Z66" s="28" t="str">
        <x:v>Средняя</x:v>
      </x:c>
      <x:c r="AA66" s="28" t="str">
        <x:v>The Art &amp; Science of Foodpairing.pdf</x:v>
      </x:c>
      <x:c r="AB66" s="28" t="str">
        <x:v>The Art &amp; Science of Foodpairing.pdf: 119</x:v>
      </x:c>
      <x:c r="AC66" s="28" t="str">
        <x:v>связь из pairing grid, стр. 119; связь из pairing grid, стр. 119</x:v>
      </x:c>
      <x:c r="AD66" s="28" t="n">
        <x:v>1</x:v>
      </x:c>
      <x:c r="AE66" s="28" t="n">
        <x:v>2</x:v>
      </x:c>
      <x:c r="AF66" s="28" t="n">
        <x:f>IF(Z66="Высокая",3,IF(Z66="Средняя",2,1))+AD66*2+MIN(AE66,3)</x:f>
        <x:v>6</x:v>
      </x:c>
    </x:row>
    <x:row r="67" ht="64" customHeight="1">
      <x:c r="A67" s="28" t="str">
        <x:v>VEG-0066</x:v>
      </x:c>
      <x:c r="B67" s="28" t="str">
        <x:v>батат</x:v>
      </x:c>
      <x:c r="C67" s="28" t="str">
        <x:v>Универсальные</x:v>
      </x:c>
      <x:c r="D67" s="28" t="str">
        <x:v>батат</x:v>
      </x:c>
      <x:c r="E67" s="28" t="str">
        <x:v>sweet potato</x:v>
      </x:c>
      <x:c r="F67" s="28" t="str">
        <x:v>Корнеплоды и клубни</x:v>
      </x:c>
      <x:c r="G67" s="28" t="str">
        <x:v>клюквенный сок</x:v>
      </x:c>
      <x:c r="H67" s="28" t="str">
        <x:v>cranberryjuice</x:v>
      </x:c>
      <x:c r="I67" s="28" t="str">
        <x:v>Прочее</x:v>
      </x:c>
      <x:c r="J67" s="28" t="str">
        <x:v>сладкий, крахмалистый, цветочный, карамельный и ореховый после запекания</x:v>
      </x:c>
      <x:c r="K67" s="28" t="str">
        <x:v>профиль зависит от конкретного продукта</x:v>
      </x:c>
      <x:c r="L67" s="28" t="str">
        <x:v>мальтол, фураны, норизопреноиды, пиразины</x:v>
      </x:c>
      <x:c r="M67" s="28" t="str">
        <x:v>конкретный молекулярный профиль не указан</x:v>
      </x:c>
      <x:c r="N67" s="28" t="str">
        <x:v>прямое пересечение семейств не подтверждено</x:v>
      </x:c>
      <x:c r="O67" s="28" t="str">
        <x:v>надёжная общая ключевая молекула не установлена</x:v>
      </x:c>
      <x:c r="P67" s="28" t="str">
        <x:v>сенсорная комплементарность</x:v>
      </x:c>
      <x:c r="Q67" s="28" t="str">
        <x:v>Сладость и землистость балансируются кислотой, солью, горечью и умами; жир усиливает ощущение округлости.</x:v>
      </x:c>
      <x:c r="R67" s="28" t="str">
        <x:v>минимальный</x:v>
      </x:c>
      <x:c r="S67" s="28" t="str">
        <x:v>крахмальная матрица с сахарами и каротиноидами</x:v>
      </x:c>
      <x:c r="T6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7" s="28" t="str">
        <x:v>Батат имеет профиль «сладкий, крахмалистый, цветочный, карамельный и ореховый после запекания». Партнёр «клюквенный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7" s="28" t="str">
        <x:v>водянистое пюре размывает аромат; сильная сладость требует кислоты, соли или горечи</x:v>
      </x:c>
      <x:c r="W67" s="28" t="str">
        <x:v>соль, кислота или ароматический жир</x:v>
      </x:c>
      <x:c r="X67" s="28" t="str">
        <x:v>пюре, суп, запекание, крем, гарнир, соус или десертная разработка с клюквенный сок</x:v>
      </x:c>
      <x:c r="Y67" s="28" t="str">
        <x:v>напитки, еда, соусы/маринады</x:v>
      </x:c>
      <x:c r="Z67" s="28" t="str">
        <x:v>Средняя</x:v>
      </x:c>
      <x:c r="AA67" s="28" t="str">
        <x:v>The Art &amp; Science of Foodpairing.pdf</x:v>
      </x:c>
      <x:c r="AB67" s="28" t="str">
        <x:v>The Art &amp; Science of Foodpairing.pdf: 119</x:v>
      </x:c>
      <x:c r="AC67" s="28" t="str">
        <x:v>связь из pairing grid, стр. 119</x:v>
      </x:c>
      <x:c r="AD67" s="28" t="n">
        <x:v>1</x:v>
      </x:c>
      <x:c r="AE67" s="28" t="n">
        <x:v>1</x:v>
      </x:c>
      <x:c r="AF67" s="28" t="n">
        <x:f>IF(Z67="Высокая",3,IF(Z67="Средняя",2,1))+AD67*2+MIN(AE67,3)</x:f>
        <x:v>5</x:v>
      </x:c>
    </x:row>
    <x:row r="68" ht="64" customHeight="1">
      <x:c r="A68" s="28" t="str">
        <x:v>VEG-0067</x:v>
      </x:c>
      <x:c r="B68" s="28" t="str">
        <x:v>батат</x:v>
      </x:c>
      <x:c r="C68" s="28" t="str">
        <x:v>Напитки</x:v>
      </x:c>
      <x:c r="D68" s="28" t="str">
        <x:v>батат</x:v>
      </x:c>
      <x:c r="E68" s="28" t="str">
        <x:v>sweet potato</x:v>
      </x:c>
      <x:c r="F68" s="28" t="str">
        <x:v>Корнеплоды и клубни</x:v>
      </x:c>
      <x:c r="G68" s="28" t="str">
        <x:v>коньяк</x:v>
      </x:c>
      <x:c r="H68" s="28" t="str">
        <x:v>cognac</x:v>
      </x:c>
      <x:c r="I68" s="28" t="str">
        <x:v>Алкогольные напитки</x:v>
      </x:c>
      <x:c r="J68" s="28" t="str">
        <x:v>сладкий, крахмалистый, цветочный, карамельный и ореховый после запекания</x:v>
      </x:c>
      <x:c r="K68" s="28" t="str">
        <x:v>спиртовой, фруктовый или древесный</x:v>
      </x:c>
      <x:c r="L68" s="28" t="str">
        <x:v>мальтол, фураны, норизопреноиды, пиразины</x:v>
      </x:c>
      <x:c r="M68" s="28" t="str">
        <x:v>альдегиды, эфиры</x:v>
      </x:c>
      <x:c r="N68" s="28" t="str">
        <x:v>прямое пересечение семейств не подтверждено</x:v>
      </x:c>
      <x:c r="O68" s="28" t="str">
        <x:v>надёжная общая ключевая молекула не установлена</x:v>
      </x:c>
      <x:c r="P68" s="28" t="str">
        <x:v>сенсорная комплементарность</x:v>
      </x:c>
      <x:c r="Q68" s="28" t="str">
        <x:v>Сладость и землистость балансируются кислотой, солью, горечью и умами; жир усиливает ощущение округлости.</x:v>
      </x:c>
      <x:c r="R68" s="28" t="str">
        <x:v>минимальный</x:v>
      </x:c>
      <x:c r="S68" s="28" t="str">
        <x:v>крахмальная матрица с сахарами и каротиноидами Этанол извлекает терпены и сернистые соединения эффективнее воды; время контакта ограничивать.</x:v>
      </x:c>
      <x:c r="T6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8" s="28" t="str">
        <x:v>Батат имеет профиль «сладкий, крахмалистый, цветочный, карамельный и ореховый после запекания».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8" s="28" t="str">
        <x:v>водянистое пюре размывает аромат; сильная сладость требует кислоты, соли или горечи</x:v>
      </x:c>
      <x:c r="W68" s="28" t="str">
        <x:v>соль, кислота или ароматический жир</x:v>
      </x:c>
      <x:c r="X68" s="28" t="str">
        <x:v>пюре, суп, запекание, крем, гарнир, соус или десертная разработка с коньяк</x:v>
      </x:c>
      <x:c r="Y68" s="28" t="str">
        <x:v>напитки, еда, соусы/маринады</x:v>
      </x:c>
      <x:c r="Z68" s="28" t="str">
        <x:v>Высокая</x:v>
      </x:c>
      <x:c r="AA68" s="28" t="str">
        <x:v>The Art &amp; Science of Foodpairing.pdf</x:v>
      </x:c>
      <x:c r="AB68" s="28" t="str">
        <x:v>The Art &amp; Science of Foodpairing.pdf: 119</x:v>
      </x:c>
      <x:c r="AC68" s="28" t="str">
        <x:v>прямая Potential pairing, стр. 119</x:v>
      </x:c>
      <x:c r="AD68" s="28" t="n">
        <x:v>1</x:v>
      </x:c>
      <x:c r="AE68" s="28" t="n">
        <x:v>1</x:v>
      </x:c>
      <x:c r="AF68" s="28" t="n">
        <x:f>IF(Z68="Высокая",3,IF(Z68="Средняя",2,1))+AD68*2+MIN(AE68,3)</x:f>
        <x:v>6</x:v>
      </x:c>
    </x:row>
    <x:row r="69" ht="64" customHeight="1">
      <x:c r="A69" s="28" t="str">
        <x:v>VEG-0068</x:v>
      </x:c>
      <x:c r="B69" s="28" t="str">
        <x:v>батат</x:v>
      </x:c>
      <x:c r="C69" s="28" t="str">
        <x:v>Универсальные</x:v>
      </x:c>
      <x:c r="D69" s="28" t="str">
        <x:v>батат</x:v>
      </x:c>
      <x:c r="E69" s="28" t="str">
        <x:v>sweet potato</x:v>
      </x:c>
      <x:c r="F69" s="28" t="str">
        <x:v>Корнеплоды и клубни</x:v>
      </x:c>
      <x:c r="G69" s="28" t="str">
        <x:v>корица</x:v>
      </x:c>
      <x:c r="H69" s="28" t="str">
        <x:v>cinnamon</x:v>
      </x:c>
      <x:c r="I69" s="28" t="str">
        <x:v>Специи</x:v>
      </x:c>
      <x:c r="J69" s="28" t="str">
        <x:v>сладкий, крахмалистый, цветочный, карамельный и ореховый после запекания</x:v>
      </x:c>
      <x:c r="K69" s="28" t="str">
        <x:v>древесный, пряный, сладкий</x:v>
      </x:c>
      <x:c r="L69" s="28" t="str">
        <x:v>мальтол, фураны, норизопреноиды, пиразины</x:v>
      </x:c>
      <x:c r="M69" s="28" t="str">
        <x:v>циннамальдегид, эвгенол</x:v>
      </x:c>
      <x:c r="N69" s="28" t="str">
        <x:v>сладкий</x:v>
      </x:c>
      <x:c r="O69" s="28" t="str">
        <x:v>надёжная общая ключевая молекула не установлена</x:v>
      </x:c>
      <x:c r="P69" s="28" t="str">
        <x:v>пересечение ароматических семейств</x:v>
      </x:c>
      <x:c r="Q69" s="28" t="str">
        <x:v>Сладость и землистость балансируются кислотой, солью, горечью и умами; жир усиливает ощущение округлости.</x:v>
      </x:c>
      <x:c r="R69" s="28" t="str">
        <x:v>минимальный</x:v>
      </x:c>
      <x:c r="S69" s="28" t="str">
        <x:v>крахмальная матрица с сахарами и каротиноидами</x:v>
      </x:c>
      <x:c r="T6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69" s="28" t="str">
        <x:v>Батат имеет профиль «сладкий, крахмалистый, цветочный, карамельный и ореховый после запекания».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69" s="28" t="str">
        <x:v>водянистое пюре размывает аромат; сильная сладость требует кислоты, соли или горечи</x:v>
      </x:c>
      <x:c r="W69" s="28" t="str">
        <x:v>цитрус, йогурт или мёд</x:v>
      </x:c>
      <x:c r="X69" s="28" t="str">
        <x:v>пюре, суп, запекание, крем, гарнир, соус или десертная разработка с корица</x:v>
      </x:c>
      <x:c r="Y69" s="28" t="str">
        <x:v>еда, соусы/маринады</x:v>
      </x:c>
      <x:c r="Z69" s="28" t="str">
        <x:v>Средняя</x:v>
      </x:c>
      <x:c r="AA69" s="28" t="str">
        <x:v>The Art &amp; Science of Foodpairing.pdf</x:v>
      </x:c>
      <x:c r="AB69" s="28" t="str">
        <x:v>The Art &amp; Science of Foodpairing.pdf: 119</x:v>
      </x:c>
      <x:c r="AC69" s="28" t="str">
        <x:v>связь из pairing grid, стр. 119</x:v>
      </x:c>
      <x:c r="AD69" s="28" t="n">
        <x:v>1</x:v>
      </x:c>
      <x:c r="AE69" s="28" t="n">
        <x:v>1</x:v>
      </x:c>
      <x:c r="AF69" s="28" t="n">
        <x:f>IF(Z69="Высокая",3,IF(Z69="Средняя",2,1))+AD69*2+MIN(AE69,3)</x:f>
        <x:v>5</x:v>
      </x:c>
    </x:row>
    <x:row r="70" ht="64" customHeight="1">
      <x:c r="A70" s="28" t="str">
        <x:v>VEG-0069</x:v>
      </x:c>
      <x:c r="B70" s="28" t="str">
        <x:v>батат</x:v>
      </x:c>
      <x:c r="C70" s="28" t="str">
        <x:v>Напитки</x:v>
      </x:c>
      <x:c r="D70" s="28" t="str">
        <x:v>батат</x:v>
      </x:c>
      <x:c r="E70" s="28" t="str">
        <x:v>sweet potato</x:v>
      </x:c>
      <x:c r="F70" s="28" t="str">
        <x:v>Корнеплоды и клубни</x:v>
      </x:c>
      <x:c r="G70" s="28" t="str">
        <x:v>кофе</x:v>
      </x:c>
      <x:c r="H70" s="28" t="str">
        <x:v>freshly brewedfilter coffee</x:v>
      </x:c>
      <x:c r="I70" s="28" t="str">
        <x:v>Кофе</x:v>
      </x:c>
      <x:c r="J70" s="28" t="str">
        <x:v>сладкий, крахмалистый, цветочный, карамельный и ореховый после запекания</x:v>
      </x:c>
      <x:c r="K70" s="28" t="str">
        <x:v>жареный, карамельный, ореховый</x:v>
      </x:c>
      <x:c r="L70" s="28" t="str">
        <x:v>мальтол, фураны, норизопреноиды, пиразины</x:v>
      </x:c>
      <x:c r="M70" s="28" t="str">
        <x:v>гваякол, пиразины, фураны</x:v>
      </x:c>
      <x:c r="N70" s="28" t="str">
        <x:v>жареный, карамельный</x:v>
      </x:c>
      <x:c r="O70" s="28" t="str">
        <x:v>пиразины, фураны</x:v>
      </x:c>
      <x:c r="P70" s="28" t="str">
        <x:v>общие характерные молекулы; пересечение ароматических семейств</x:v>
      </x:c>
      <x:c r="Q70" s="28" t="str">
        <x:v>Сладость и землистость балансируются кислотой, солью, горечью и умами; жир усиливает ощущение округлости.</x:v>
      </x:c>
      <x:c r="R70" s="28" t="str">
        <x:v>минимальный</x:v>
      </x:c>
      <x:c r="S70" s="28" t="str">
        <x:v>крахмальная матрица с сахарами и каротиноидами</x:v>
      </x:c>
      <x:c r="T7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0" s="28" t="str">
        <x:v>Батат имеет профиль «сладкий, крахмалистый, цветочный, карамельный и ореховый после запекания». Партнёр «кофе» относится к группе «Кофе» и даёт жареный, карамельный, ореховый.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70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W70" s="28" t="str">
        <x:v>сливки, орех или карамель</x:v>
      </x:c>
      <x:c r="X70" s="28" t="str">
        <x:v>пюре, суп, запекание, крем, гарнир, соус или десертная разработка с кофе</x:v>
      </x:c>
      <x:c r="Y70" s="28" t="str">
        <x:v>напитки, еда, соусы/маринады</x:v>
      </x:c>
      <x:c r="Z70" s="28" t="str">
        <x:v>Средняя</x:v>
      </x:c>
      <x:c r="AA70" s="28" t="str">
        <x:v>The Art &amp; Science of Foodpairing.pdf</x:v>
      </x:c>
      <x:c r="AB70" s="28" t="str">
        <x:v>The Art &amp; Science of Foodpairing.pdf: 119</x:v>
      </x:c>
      <x:c r="AC70" s="28" t="str">
        <x:v>связь из pairing grid, стр. 119</x:v>
      </x:c>
      <x:c r="AD70" s="28" t="n">
        <x:v>1</x:v>
      </x:c>
      <x:c r="AE70" s="28" t="n">
        <x:v>1</x:v>
      </x:c>
      <x:c r="AF70" s="28" t="n">
        <x:f>IF(Z70="Высокая",3,IF(Z70="Средняя",2,1))+AD70*2+MIN(AE70,3)</x:f>
        <x:v>5</x:v>
      </x:c>
    </x:row>
    <x:row r="71" ht="64" customHeight="1">
      <x:c r="A71" s="28" t="str">
        <x:v>VEG-0070</x:v>
      </x:c>
      <x:c r="B71" s="28" t="str">
        <x:v>батат</x:v>
      </x:c>
      <x:c r="C71" s="28" t="str">
        <x:v>Десерты и выпечка</x:v>
      </x:c>
      <x:c r="D71" s="28" t="str">
        <x:v>батат</x:v>
      </x:c>
      <x:c r="E71" s="28" t="str">
        <x:v>sweet potato</x:v>
      </x:c>
      <x:c r="F71" s="28" t="str">
        <x:v>Корнеплоды и клубни</x:v>
      </x:c>
      <x:c r="G71" s="28" t="str">
        <x:v>красный виноград</x:v>
      </x:c>
      <x:c r="H71" s="28" t="str">
        <x:v>red grapes</x:v>
      </x:c>
      <x:c r="I71" s="28" t="str">
        <x:v>Фрукты и ягоды</x:v>
      </x:c>
      <x:c r="J71" s="28" t="str">
        <x:v>сладкий, крахмалистый, цветочный, карамельный и ореховый после запекания</x:v>
      </x:c>
      <x:c r="K71" s="28" t="str">
        <x:v>фруктовый, цветочный и свежий</x:v>
      </x:c>
      <x:c r="L71" s="28" t="str">
        <x:v>мальтол, фураны, норизопреноиды, пиразины</x:v>
      </x:c>
      <x:c r="M71" s="28" t="str">
        <x:v>альдегиды, эфиры</x:v>
      </x:c>
      <x:c r="N71" s="28" t="str">
        <x:v>прямое пересечение семейств не подтверждено</x:v>
      </x:c>
      <x:c r="O71" s="28" t="str">
        <x:v>надёжная общая ключевая молекула не установлена</x:v>
      </x:c>
      <x:c r="P71" s="28" t="str">
        <x:v>кислотно-сладкий баланс</x:v>
      </x:c>
      <x:c r="Q71" s="28" t="str">
        <x:v>Сладость и землистость балансируются кислотой, солью, горечью и умами; жир усиливает ощущение округлости.</x:v>
      </x:c>
      <x:c r="R71" s="28" t="str">
        <x:v>минимальный</x:v>
      </x:c>
      <x:c r="S71" s="28" t="str">
        <x:v>крахмальная матрица с сахарами и каротиноидами Водная кислая фаза усиливает свежесть, но может разжижать пюре и нарушать молочную эмульсию.</x:v>
      </x:c>
      <x:c r="T7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1" s="28" t="str">
        <x:v>Батат имеет профиль «сладкий, крахмалистый, цветочный, карамельный и ореховый после запекания». Партнёр «красный 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71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71" s="28" t="str">
        <x:v>цитрус, мёд или мягкая трава</x:v>
      </x:c>
      <x:c r="X71" s="28" t="str">
        <x:v>пюре, суп, запекание, крем, гарнир, соус или десертная разработка с красный виноград</x:v>
      </x:c>
      <x:c r="Y71" s="28" t="str">
        <x:v>еда, десерты, соусы/маринады</x:v>
      </x:c>
      <x:c r="Z71" s="28" t="str">
        <x:v>Средняя</x:v>
      </x:c>
      <x:c r="AA71" s="28" t="str">
        <x:v>The Art &amp; Science of Foodpairing.pdf</x:v>
      </x:c>
      <x:c r="AB71" s="28" t="str">
        <x:v>The Art &amp; Science of Foodpairing.pdf: 119</x:v>
      </x:c>
      <x:c r="AC71" s="28" t="str">
        <x:v>связь из pairing grid, стр. 119</x:v>
      </x:c>
      <x:c r="AD71" s="28" t="n">
        <x:v>1</x:v>
      </x:c>
      <x:c r="AE71" s="28" t="n">
        <x:v>1</x:v>
      </x:c>
      <x:c r="AF71" s="28" t="n">
        <x:f>IF(Z71="Высокая",3,IF(Z71="Средняя",2,1))+AD71*2+MIN(AE71,3)</x:f>
        <x:v>5</x:v>
      </x:c>
    </x:row>
    <x:row r="72" ht="64" customHeight="1">
      <x:c r="A72" s="28" t="str">
        <x:v>VEG-0071</x:v>
      </x:c>
      <x:c r="B72" s="28" t="str">
        <x:v>батат</x:v>
      </x:c>
      <x:c r="C72" s="28" t="str">
        <x:v>Универсальные</x:v>
      </x:c>
      <x:c r="D72" s="28" t="str">
        <x:v>батат</x:v>
      </x:c>
      <x:c r="E72" s="28" t="str">
        <x:v>sweet potato</x:v>
      </x:c>
      <x:c r="F72" s="28" t="str">
        <x:v>Корнеплоды и клубни</x:v>
      </x:c>
      <x:c r="G72" s="28" t="str">
        <x:v>куркума</x:v>
      </x:c>
      <x:c r="H72" s="28" t="str">
        <x:v>turmeric</x:v>
      </x:c>
      <x:c r="I72" s="28" t="str">
        <x:v>Прочее</x:v>
      </x:c>
      <x:c r="J72" s="28" t="str">
        <x:v>сладкий, крахмалистый, цветочный, карамельный и ореховый после запекания</x:v>
      </x:c>
      <x:c r="K72" s="28" t="str">
        <x:v>профиль зависит от конкретного продукта</x:v>
      </x:c>
      <x:c r="L72" s="28" t="str">
        <x:v>мальтол, фураны, норизопреноиды, пиразины</x:v>
      </x:c>
      <x:c r="M72" s="28" t="str">
        <x:v>конкретный молекулярный профиль не указан</x:v>
      </x:c>
      <x:c r="N72" s="28" t="str">
        <x:v>прямое пересечение семейств не подтверждено</x:v>
      </x:c>
      <x:c r="O72" s="28" t="str">
        <x:v>надёжная общая ключевая молекула не установлена</x:v>
      </x:c>
      <x:c r="P72" s="28" t="str">
        <x:v>сенсорная комплементарность</x:v>
      </x:c>
      <x:c r="Q72" s="28" t="str">
        <x:v>Сладость и землистость балансируются кислотой, солью, горечью и умами; жир усиливает ощущение округлости.</x:v>
      </x:c>
      <x:c r="R72" s="28" t="str">
        <x:v>минимальный</x:v>
      </x:c>
      <x:c r="S72" s="28" t="str">
        <x:v>крахмальная матрица с сахарами и каротиноидами</x:v>
      </x:c>
      <x:c r="T7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2" s="28" t="str">
        <x:v>Батат имеет профиль «сладкий, крахмалистый, цветочный, карамельный и ореховый после запекания».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2" s="28" t="str">
        <x:v>водянистое пюре размывает аромат; сильная сладость требует кислоты, соли или горечи</x:v>
      </x:c>
      <x:c r="W72" s="28" t="str">
        <x:v>соль, кислота или ароматический жир</x:v>
      </x:c>
      <x:c r="X72" s="28" t="str">
        <x:v>пюре, суп, запекание, крем, гарнир, соус или десертная разработка с куркума</x:v>
      </x:c>
      <x:c r="Y72" s="28" t="str">
        <x:v>еда, соусы/маринады</x:v>
      </x:c>
      <x:c r="Z72" s="28" t="str">
        <x:v>Средняя</x:v>
      </x:c>
      <x:c r="AA72" s="28" t="str">
        <x:v>The Art &amp; Science of Foodpairing.pdf</x:v>
      </x:c>
      <x:c r="AB72" s="28" t="str">
        <x:v>The Art &amp; Science of Foodpairing.pdf: 119</x:v>
      </x:c>
      <x:c r="AC72" s="28" t="str">
        <x:v>связь из pairing grid, стр. 119</x:v>
      </x:c>
      <x:c r="AD72" s="28" t="n">
        <x:v>1</x:v>
      </x:c>
      <x:c r="AE72" s="28" t="n">
        <x:v>1</x:v>
      </x:c>
      <x:c r="AF72" s="28" t="n">
        <x:f>IF(Z72="Высокая",3,IF(Z72="Средняя",2,1))+AD72*2+MIN(AE72,3)</x:f>
        <x:v>5</x:v>
      </x:c>
    </x:row>
    <x:row r="73" ht="64" customHeight="1">
      <x:c r="A73" s="28" t="str">
        <x:v>VEG-0072</x:v>
      </x:c>
      <x:c r="B73" s="28" t="str">
        <x:v>батат</x:v>
      </x:c>
      <x:c r="C73" s="28" t="str">
        <x:v>Универсальные</x:v>
      </x:c>
      <x:c r="D73" s="28" t="str">
        <x:v>батат</x:v>
      </x:c>
      <x:c r="E73" s="28" t="str">
        <x:v>sweet potato</x:v>
      </x:c>
      <x:c r="F73" s="28" t="str">
        <x:v>Корнеплоды и клубни</x:v>
      </x:c>
      <x:c r="G73" s="28" t="str">
        <x:v>лапша соба</x:v>
      </x:c>
      <x:c r="H73" s="28" t="str">
        <x:v>cooked soba noodles</x:v>
      </x:c>
      <x:c r="I73" s="28" t="str">
        <x:v>Прочее</x:v>
      </x:c>
      <x:c r="J73" s="28" t="str">
        <x:v>сладкий, крахмалистый, цветочный, карамельный и ореховый после запекания</x:v>
      </x:c>
      <x:c r="K73" s="28" t="str">
        <x:v>профиль зависит от конкретного продукта</x:v>
      </x:c>
      <x:c r="L73" s="28" t="str">
        <x:v>мальтол, фураны, норизопреноиды, пиразины</x:v>
      </x:c>
      <x:c r="M73" s="28" t="str">
        <x:v>конкретный молекулярный профиль не указан</x:v>
      </x:c>
      <x:c r="N73" s="28" t="str">
        <x:v>прямое пересечение семейств не подтверждено</x:v>
      </x:c>
      <x:c r="O73" s="28" t="str">
        <x:v>надёжная общая ключевая молекула не установлена</x:v>
      </x:c>
      <x:c r="P73" s="28" t="str">
        <x:v>сенсорная комплементарность</x:v>
      </x:c>
      <x:c r="Q73" s="28" t="str">
        <x:v>Сладость и землистость балансируются кислотой, солью, горечью и умами; жир усиливает ощущение округлости.</x:v>
      </x:c>
      <x:c r="R73" s="28" t="str">
        <x:v>минимальный</x:v>
      </x:c>
      <x:c r="S73" s="28" t="str">
        <x:v>крахмальная матрица с сахарами и каротиноидами</x:v>
      </x:c>
      <x:c r="T7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3" s="28" t="str">
        <x:v>Батат имеет профиль «сладкий, крахмалистый, цветочный, карамельный и ореховый после запекания». Партнёр «лапша соба»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3" s="28" t="str">
        <x:v>водянистое пюре размывает аромат; сильная сладость требует кислоты, соли или горечи</x:v>
      </x:c>
      <x:c r="W73" s="28" t="str">
        <x:v>соль, кислота или ароматический жир</x:v>
      </x:c>
      <x:c r="X73" s="28" t="str">
        <x:v>пюре, суп, запекание, крем, гарнир, соус или десертная разработка с лапша соба</x:v>
      </x:c>
      <x:c r="Y73" s="28" t="str">
        <x:v>еда, соусы/маринады</x:v>
      </x:c>
      <x:c r="Z73" s="28" t="str">
        <x:v>Средняя</x:v>
      </x:c>
      <x:c r="AA73" s="28" t="str">
        <x:v>The Art &amp; Science of Foodpairing.pdf</x:v>
      </x:c>
      <x:c r="AB73" s="28" t="str">
        <x:v>The Art &amp; Science of Foodpairing.pdf: 119</x:v>
      </x:c>
      <x:c r="AC73" s="28" t="str">
        <x:v>связь из pairing grid, стр. 119</x:v>
      </x:c>
      <x:c r="AD73" s="28" t="n">
        <x:v>1</x:v>
      </x:c>
      <x:c r="AE73" s="28" t="n">
        <x:v>1</x:v>
      </x:c>
      <x:c r="AF73" s="28" t="n">
        <x:f>IF(Z73="Высокая",3,IF(Z73="Средняя",2,1))+AD73*2+MIN(AE73,3)</x:f>
        <x:v>5</x:v>
      </x:c>
    </x:row>
    <x:row r="74" ht="64" customHeight="1">
      <x:c r="A74" s="28" t="str">
        <x:v>VEG-0073</x:v>
      </x:c>
      <x:c r="B74" s="28" t="str">
        <x:v>батат</x:v>
      </x:c>
      <x:c r="C74" s="28" t="str">
        <x:v>Десерты и выпечка</x:v>
      </x:c>
      <x:c r="D74" s="28" t="str">
        <x:v>батат</x:v>
      </x:c>
      <x:c r="E74" s="28" t="str">
        <x:v>sweet potato</x:v>
      </x:c>
      <x:c r="F74" s="28" t="str">
        <x:v>Корнеплоды и клубни</x:v>
      </x:c>
      <x:c r="G74" s="28" t="str">
        <x:v>логанова ягода</x:v>
      </x:c>
      <x:c r="H74" s="28" t="str">
        <x:v>loganberry</x:v>
      </x:c>
      <x:c r="I74" s="28" t="str">
        <x:v>Фрукты и ягоды</x:v>
      </x:c>
      <x:c r="J74" s="28" t="str">
        <x:v>сладкий, крахмалистый, цветочный, карамельный и ореховый после запекания</x:v>
      </x:c>
      <x:c r="K74" s="28" t="str">
        <x:v>фруктовый, цветочный и свежий</x:v>
      </x:c>
      <x:c r="L74" s="28" t="str">
        <x:v>мальтол, фураны, норизопреноиды, пиразины</x:v>
      </x:c>
      <x:c r="M74" s="28" t="str">
        <x:v>альдегиды, эфиры</x:v>
      </x:c>
      <x:c r="N74" s="28" t="str">
        <x:v>прямое пересечение семейств не подтверждено</x:v>
      </x:c>
      <x:c r="O74" s="28" t="str">
        <x:v>надёжная общая ключевая молекула не установлена</x:v>
      </x:c>
      <x:c r="P74" s="28" t="str">
        <x:v>кислотно-сладкий баланс</x:v>
      </x:c>
      <x:c r="Q74" s="28" t="str">
        <x:v>Сладость и землистость балансируются кислотой, солью, горечью и умами; жир усиливает ощущение округлости.</x:v>
      </x:c>
      <x:c r="R74" s="28" t="str">
        <x:v>минимальный</x:v>
      </x:c>
      <x:c r="S74" s="28" t="str">
        <x:v>крахмальная матрица с сахарами и каротиноидами Водная кислая фаза усиливает свежесть, но может разжижать пюре и нарушать молочную эмульсию.</x:v>
      </x:c>
      <x:c r="T7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4" s="28" t="str">
        <x:v>Батат имеет профиль «сладкий, крахмалистый, цветочный, карамельный и ореховый после запекания». Партнёр «логанова ягода»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74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74" s="28" t="str">
        <x:v>цитрус, мёд или мягкая трава</x:v>
      </x:c>
      <x:c r="X74" s="28" t="str">
        <x:v>пюре, суп, запекание, крем, гарнир, соус или десертная разработка с логанова ягода</x:v>
      </x:c>
      <x:c r="Y74" s="28" t="str">
        <x:v>еда, десерты, соусы/маринады</x:v>
      </x:c>
      <x:c r="Z74" s="28" t="str">
        <x:v>Средняя</x:v>
      </x:c>
      <x:c r="AA74" s="28" t="str">
        <x:v>The Art &amp; Science of Foodpairing.pdf</x:v>
      </x:c>
      <x:c r="AB74" s="28" t="str">
        <x:v>The Art &amp; Science of Foodpairing.pdf: 119</x:v>
      </x:c>
      <x:c r="AC74" s="28" t="str">
        <x:v>связь из pairing grid, стр. 119</x:v>
      </x:c>
      <x:c r="AD74" s="28" t="n">
        <x:v>1</x:v>
      </x:c>
      <x:c r="AE74" s="28" t="n">
        <x:v>1</x:v>
      </x:c>
      <x:c r="AF74" s="28" t="n">
        <x:f>IF(Z74="Высокая",3,IF(Z74="Средняя",2,1))+AD74*2+MIN(AE74,3)</x:f>
        <x:v>5</x:v>
      </x:c>
    </x:row>
    <x:row r="75" ht="64" customHeight="1">
      <x:c r="A75" s="28" t="str">
        <x:v>VEG-0074</x:v>
      </x:c>
      <x:c r="B75" s="28" t="str">
        <x:v>батат</x:v>
      </x:c>
      <x:c r="C75" s="28" t="str">
        <x:v>Еда и соусы</x:v>
      </x:c>
      <x:c r="D75" s="28" t="str">
        <x:v>батат</x:v>
      </x:c>
      <x:c r="E75" s="28" t="str">
        <x:v>sweet potato</x:v>
      </x:c>
      <x:c r="F75" s="28" t="str">
        <x:v>Корнеплоды и клубни</x:v>
      </x:c>
      <x:c r="G75" s="28" t="str">
        <x:v>лосось</x:v>
      </x:c>
      <x:c r="H75" s="28" t="str">
        <x:v>poached salmon</x:v>
      </x:c>
      <x:c r="I75" s="28" t="str">
        <x:v>Рыба и морепродукты</x:v>
      </x:c>
      <x:c r="J75" s="28" t="str">
        <x:v>сладкий, крахмалистый, цветочный, карамельный и ореховый после запекания</x:v>
      </x:c>
      <x:c r="K75" s="28" t="str">
        <x:v>морской, солоноватый и умами</x:v>
      </x:c>
      <x:c r="L75" s="28" t="str">
        <x:v>мальтол, фураны, норизопреноиды, пиразины</x:v>
      </x:c>
      <x:c r="M75" s="28" t="str">
        <x:v>альдегиды, амины</x:v>
      </x:c>
      <x:c r="N75" s="28" t="str">
        <x:v>прямое пересечение семейств не подтверждено</x:v>
      </x:c>
      <x:c r="O75" s="28" t="str">
        <x:v>надёжная общая ключевая молекула не установлена</x:v>
      </x:c>
      <x:c r="P75" s="28" t="str">
        <x:v>умами и солёный контраст</x:v>
      </x:c>
      <x:c r="Q75" s="28" t="str">
        <x:v>Сладость и землистость балансируются кислотой, солью, горечью и умами; жир усиливает ощущение округлости.</x:v>
      </x:c>
      <x:c r="R75" s="28" t="str">
        <x:v>минимальный</x:v>
      </x:c>
      <x:c r="S75" s="28" t="str">
        <x:v>крахмальная матрица с сахарами и каротиноидами Белок и жир требуют контроля воды: для жареной ароматики поверхность должна подсохнуть.</x:v>
      </x:c>
      <x:c r="T7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5" s="28" t="str">
        <x:v>Батат имеет профиль «сладкий, крахмалистый, цветочный, карамельный и ореховый после запекания».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75" s="28" t="str">
        <x:v>водянистое пюре размывает аромат; сильная сладость требует кислоты, соли или горечи</x:v>
      </x:c>
      <x:c r="W75" s="28" t="str">
        <x:v>сливочное масло, соевый соус или тимьян</x:v>
      </x:c>
      <x:c r="X75" s="28" t="str">
        <x:v>пюре, суп, запекание, крем, гарнир, соус или десертная разработка с лосось</x:v>
      </x:c>
      <x:c r="Y75" s="28" t="str">
        <x:v>еда, соусы/маринады</x:v>
      </x:c>
      <x:c r="Z75" s="28" t="str">
        <x:v>Средняя</x:v>
      </x:c>
      <x:c r="AA75" s="28" t="str">
        <x:v>The Art &amp; Science of Foodpairing.pdf</x:v>
      </x:c>
      <x:c r="AB75" s="28" t="str">
        <x:v>The Art &amp; Science of Foodpairing.pdf: 119</x:v>
      </x:c>
      <x:c r="AC75" s="28" t="str">
        <x:v>связь из pairing grid, стр. 119</x:v>
      </x:c>
      <x:c r="AD75" s="28" t="n">
        <x:v>1</x:v>
      </x:c>
      <x:c r="AE75" s="28" t="n">
        <x:v>1</x:v>
      </x:c>
      <x:c r="AF75" s="28" t="n">
        <x:f>IF(Z75="Высокая",3,IF(Z75="Средняя",2,1))+AD75*2+MIN(AE75,3)</x:f>
        <x:v>5</x:v>
      </x:c>
    </x:row>
    <x:row r="76" ht="64" customHeight="1">
      <x:c r="A76" s="28" t="str">
        <x:v>VEG-0075</x:v>
      </x:c>
      <x:c r="B76" s="28" t="str">
        <x:v>батат</x:v>
      </x:c>
      <x:c r="C76" s="28" t="str">
        <x:v>Универсальные</x:v>
      </x:c>
      <x:c r="D76" s="28" t="str">
        <x:v>батат</x:v>
      </x:c>
      <x:c r="E76" s="28" t="str">
        <x:v>sweet potato</x:v>
      </x:c>
      <x:c r="F76" s="28" t="str">
        <x:v>Корнеплоды и клубни</x:v>
      </x:c>
      <x:c r="G76" s="28" t="str">
        <x:v>мадера мальвазия</x:v>
      </x:c>
      <x:c r="H76" s="28" t="str">
        <x:v>Malvasia Madeira</x:v>
      </x:c>
      <x:c r="I76" s="28" t="str">
        <x:v>Прочее</x:v>
      </x:c>
      <x:c r="J76" s="28" t="str">
        <x:v>сладкий, крахмалистый, цветочный, карамельный и ореховый после запекания</x:v>
      </x:c>
      <x:c r="K76" s="28" t="str">
        <x:v>профиль зависит от конкретного продукта</x:v>
      </x:c>
      <x:c r="L76" s="28" t="str">
        <x:v>мальтол, фураны, норизопреноиды, пиразины</x:v>
      </x:c>
      <x:c r="M76" s="28" t="str">
        <x:v>конкретный молекулярный профиль не указан</x:v>
      </x:c>
      <x:c r="N76" s="28" t="str">
        <x:v>прямое пересечение семейств не подтверждено</x:v>
      </x:c>
      <x:c r="O76" s="28" t="str">
        <x:v>надёжная общая ключевая молекула не установлена</x:v>
      </x:c>
      <x:c r="P76" s="28" t="str">
        <x:v>сенсорная комплементарность</x:v>
      </x:c>
      <x:c r="Q76" s="28" t="str">
        <x:v>Сладость и землистость балансируются кислотой, солью, горечью и умами; жир усиливает ощущение округлости.</x:v>
      </x:c>
      <x:c r="R76" s="28" t="str">
        <x:v>минимальный</x:v>
      </x:c>
      <x:c r="S76" s="28" t="str">
        <x:v>крахмальная матрица с сахарами и каротиноидами</x:v>
      </x:c>
      <x:c r="T7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6" s="28" t="str">
        <x:v>Батат имеет профиль «сладкий, крахмалистый, цветочный, карамельный и ореховый после запекания». Партнёр «мадера мальвазия»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6" s="28" t="str">
        <x:v>водянистое пюре размывает аромат; сильная сладость требует кислоты, соли или горечи</x:v>
      </x:c>
      <x:c r="W76" s="28" t="str">
        <x:v>соль, кислота или ароматический жир</x:v>
      </x:c>
      <x:c r="X76" s="28" t="str">
        <x:v>пюре, суп, запекание, крем, гарнир, соус или десертная разработка с мадера мальвазия</x:v>
      </x:c>
      <x:c r="Y76" s="28" t="str">
        <x:v>еда, соусы/маринады</x:v>
      </x:c>
      <x:c r="Z76" s="28" t="str">
        <x:v>Средняя</x:v>
      </x:c>
      <x:c r="AA76" s="28" t="str">
        <x:v>The Art &amp; Science of Foodpairing.pdf</x:v>
      </x:c>
      <x:c r="AB76" s="28" t="str">
        <x:v>The Art &amp; Science of Foodpairing.pdf: 119</x:v>
      </x:c>
      <x:c r="AC76" s="28" t="str">
        <x:v>связь из pairing grid, стр. 119</x:v>
      </x:c>
      <x:c r="AD76" s="28" t="n">
        <x:v>1</x:v>
      </x:c>
      <x:c r="AE76" s="28" t="n">
        <x:v>1</x:v>
      </x:c>
      <x:c r="AF76" s="28" t="n">
        <x:f>IF(Z76="Высокая",3,IF(Z76="Средняя",2,1))+AD76*2+MIN(AE76,3)</x:f>
        <x:v>5</x:v>
      </x:c>
    </x:row>
    <x:row r="77" ht="64" customHeight="1">
      <x:c r="A77" s="28" t="str">
        <x:v>VEG-0076</x:v>
      </x:c>
      <x:c r="B77" s="28" t="str">
        <x:v>батат</x:v>
      </x:c>
      <x:c r="C77" s="28" t="str">
        <x:v>Десерты и выпечка</x:v>
      </x:c>
      <x:c r="D77" s="28" t="str">
        <x:v>батат</x:v>
      </x:c>
      <x:c r="E77" s="28" t="str">
        <x:v>boiled sweet potato | sweet potato</x:v>
      </x:c>
      <x:c r="F77" s="28" t="str">
        <x:v>Корнеплоды и клубни</x:v>
      </x:c>
      <x:c r="G77" s="28" t="str">
        <x:v>манго</x:v>
      </x:c>
      <x:c r="H77" s="28" t="str">
        <x:v>Kent mango | mango</x:v>
      </x:c>
      <x:c r="I77" s="28" t="str">
        <x:v>Фрукты и ягоды</x:v>
      </x:c>
      <x:c r="J77" s="28" t="str">
        <x:v>сладкий, крахмалистый, цветочный, карамельный и ореховый после запекания</x:v>
      </x:c>
      <x:c r="K77" s="28" t="str">
        <x:v>фруктовый, цветочный и свежий</x:v>
      </x:c>
      <x:c r="L77" s="28" t="str">
        <x:v>мальтол, фураны, норизопреноиды, пиразины</x:v>
      </x:c>
      <x:c r="M77" s="28" t="str">
        <x:v>альдегиды, эфиры</x:v>
      </x:c>
      <x:c r="N77" s="28" t="str">
        <x:v>прямое пересечение семейств не подтверждено</x:v>
      </x:c>
      <x:c r="O77" s="28" t="str">
        <x:v>надёжная общая ключевая молекула не установлена</x:v>
      </x:c>
      <x:c r="P77" s="28" t="str">
        <x:v>кислотно-сладкий баланс</x:v>
      </x:c>
      <x:c r="Q77" s="28" t="str">
        <x:v>Сладость и землистость балансируются кислотой, солью, горечью и умами; жир усиливает ощущение округлости.</x:v>
      </x:c>
      <x:c r="R77" s="28" t="str">
        <x:v>минимальный</x:v>
      </x:c>
      <x:c r="S77" s="28" t="str">
        <x:v>крахмальная матрица с сахарами и каротиноидами Водная кислая фаза усиливает свежесть, но может разжижать пюре и нарушать молочную эмульсию.</x:v>
      </x:c>
      <x:c r="T7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7" s="28" t="str">
        <x:v>Батат имеет профиль «сладкий, крахмалистый, цветочный, карамельный и ореховый после запекания».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77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77" s="28" t="str">
        <x:v>цитрус, мёд или мягкая трава</x:v>
      </x:c>
      <x:c r="X77" s="28" t="str">
        <x:v>пюре, суп, запекание, крем, гарнир, соус или десертная разработка с манго</x:v>
      </x:c>
      <x:c r="Y77" s="28" t="str">
        <x:v>еда, десерты, соусы/маринады</x:v>
      </x:c>
      <x:c r="Z77" s="28" t="str">
        <x:v>Высокая</x:v>
      </x:c>
      <x:c r="AA77" s="28" t="str">
        <x:v>The Art &amp; Science of Foodpairing.pdf</x:v>
      </x:c>
      <x:c r="AB77" s="28" t="str">
        <x:v>The Art &amp; Science of Foodpairing.pdf: 118, 119</x:v>
      </x:c>
      <x:c r="AC77" s="28" t="str">
        <x:v>прямая Potential pairing, стр. 118; связь из pairing grid, стр. 119</x:v>
      </x:c>
      <x:c r="AD77" s="28" t="n">
        <x:v>1</x:v>
      </x:c>
      <x:c r="AE77" s="28" t="n">
        <x:v>2</x:v>
      </x:c>
      <x:c r="AF77" s="28" t="n">
        <x:f>IF(Z77="Высокая",3,IF(Z77="Средняя",2,1))+AD77*2+MIN(AE77,3)</x:f>
        <x:v>7</x:v>
      </x:c>
    </x:row>
    <x:row r="78" ht="64" customHeight="1">
      <x:c r="A78" s="28" t="str">
        <x:v>VEG-0077</x:v>
      </x:c>
      <x:c r="B78" s="28" t="str">
        <x:v>батат</x:v>
      </x:c>
      <x:c r="C78" s="28" t="str">
        <x:v>Десерты и выпечка</x:v>
      </x:c>
      <x:c r="D78" s="28" t="str">
        <x:v>батат</x:v>
      </x:c>
      <x:c r="E78" s="28" t="str">
        <x:v>sweet potato</x:v>
      </x:c>
      <x:c r="F78" s="28" t="str">
        <x:v>Корнеплоды и клубни</x:v>
      </x:c>
      <x:c r="G78" s="28" t="str">
        <x:v>мангольд</x:v>
      </x:c>
      <x:c r="H78" s="28" t="str">
        <x:v>chard</x:v>
      </x:c>
      <x:c r="I78" s="28" t="str">
        <x:v>Фрукты и ягоды</x:v>
      </x:c>
      <x:c r="J78" s="28" t="str">
        <x:v>сладкий, крахмалистый, цветочный, карамельный и ореховый после запекания</x:v>
      </x:c>
      <x:c r="K78" s="28" t="str">
        <x:v>фруктовый, цветочный и свежий</x:v>
      </x:c>
      <x:c r="L78" s="28" t="str">
        <x:v>мальтол, фураны, норизопреноиды, пиразины</x:v>
      </x:c>
      <x:c r="M78" s="28" t="str">
        <x:v>альдегиды, эфиры</x:v>
      </x:c>
      <x:c r="N78" s="28" t="str">
        <x:v>прямое пересечение семейств не подтверждено</x:v>
      </x:c>
      <x:c r="O78" s="28" t="str">
        <x:v>надёжная общая ключевая молекула не установлена</x:v>
      </x:c>
      <x:c r="P78" s="28" t="str">
        <x:v>кислотно-сладкий баланс</x:v>
      </x:c>
      <x:c r="Q78" s="28" t="str">
        <x:v>Сладость и землистость балансируются кислотой, солью, горечью и умами; жир усиливает ощущение округлости.</x:v>
      </x:c>
      <x:c r="R78" s="28" t="str">
        <x:v>минимальный</x:v>
      </x:c>
      <x:c r="S78" s="28" t="str">
        <x:v>крахмальная матрица с сахарами и каротиноидами Водная кислая фаза усиливает свежесть, но может разжижать пюре и нарушать молочную эмульсию.</x:v>
      </x:c>
      <x:c r="T7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8" s="28" t="str">
        <x:v>Батат имеет профиль «сладкий, крахмалистый, цветочный, карамельный и ореховый после запекания». Партнёр «мангольд»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78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78" s="28" t="str">
        <x:v>цитрус, мёд или мягкая трава</x:v>
      </x:c>
      <x:c r="X78" s="28" t="str">
        <x:v>пюре, суп, запекание, крем, гарнир, соус или десертная разработка с мангольд</x:v>
      </x:c>
      <x:c r="Y78" s="28" t="str">
        <x:v>еда, десерты, соусы/маринады</x:v>
      </x:c>
      <x:c r="Z78" s="28" t="str">
        <x:v>Средняя</x:v>
      </x:c>
      <x:c r="AA78" s="28" t="str">
        <x:v>The Art &amp; Science of Foodpairing.pdf</x:v>
      </x:c>
      <x:c r="AB78" s="28" t="str">
        <x:v>The Art &amp; Science of Foodpairing.pdf: 119</x:v>
      </x:c>
      <x:c r="AC78" s="28" t="str">
        <x:v>связь из pairing grid, стр. 119</x:v>
      </x:c>
      <x:c r="AD78" s="28" t="n">
        <x:v>1</x:v>
      </x:c>
      <x:c r="AE78" s="28" t="n">
        <x:v>1</x:v>
      </x:c>
      <x:c r="AF78" s="28" t="n">
        <x:f>IF(Z78="Высокая",3,IF(Z78="Средняя",2,1))+AD78*2+MIN(AE78,3)</x:f>
        <x:v>5</x:v>
      </x:c>
    </x:row>
    <x:row r="79" ht="64" customHeight="1">
      <x:c r="A79" s="28" t="str">
        <x:v>VEG-0078</x:v>
      </x:c>
      <x:c r="B79" s="28" t="str">
        <x:v>батат</x:v>
      </x:c>
      <x:c r="C79" s="28" t="str">
        <x:v>Универсальные</x:v>
      </x:c>
      <x:c r="D79" s="28" t="str">
        <x:v>батат</x:v>
      </x:c>
      <x:c r="E79" s="28" t="str">
        <x:v>boiled purple sweet potato</x:v>
      </x:c>
      <x:c r="F79" s="28" t="str">
        <x:v>Корнеплоды и клубни</x:v>
      </x:c>
      <x:c r="G79" s="28" t="str">
        <x:v>маниок</x:v>
      </x:c>
      <x:c r="H79" s="28" t="str">
        <x:v>cassava</x:v>
      </x:c>
      <x:c r="I79" s="28" t="str">
        <x:v>Прочее</x:v>
      </x:c>
      <x:c r="J79" s="28" t="str">
        <x:v>сладкий, крахмалистый, цветочный, карамельный и ореховый после запекания</x:v>
      </x:c>
      <x:c r="K79" s="28" t="str">
        <x:v>профиль зависит от конкретного продукта</x:v>
      </x:c>
      <x:c r="L79" s="28" t="str">
        <x:v>мальтол, фураны, норизопреноиды, пиразины</x:v>
      </x:c>
      <x:c r="M79" s="28" t="str">
        <x:v>конкретный молекулярный профиль не указан</x:v>
      </x:c>
      <x:c r="N79" s="28" t="str">
        <x:v>прямое пересечение семейств не подтверждено</x:v>
      </x:c>
      <x:c r="O79" s="28" t="str">
        <x:v>надёжная общая ключевая молекула не установлена</x:v>
      </x:c>
      <x:c r="P79" s="28" t="str">
        <x:v>сенсорная комплементарность</x:v>
      </x:c>
      <x:c r="Q79" s="28" t="str">
        <x:v>Сладость и землистость балансируются кислотой, солью, горечью и умами; жир усиливает ощущение округлости.</x:v>
      </x:c>
      <x:c r="R79" s="28" t="str">
        <x:v>минимальный</x:v>
      </x:c>
      <x:c r="S79" s="28" t="str">
        <x:v>крахмальная матрица с сахарами и каротиноидами</x:v>
      </x:c>
      <x:c r="T7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79" s="28" t="str">
        <x:v>Батат имеет профиль «сладкий, крахмалистый, цветочный, карамельный и ореховый после запекания».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9" s="28" t="str">
        <x:v>водянистое пюре размывает аромат; сильная сладость требует кислоты, соли или горечи</x:v>
      </x:c>
      <x:c r="W79" s="28" t="str">
        <x:v>соль, кислота или ароматический жир</x:v>
      </x:c>
      <x:c r="X79" s="28" t="str">
        <x:v>пюре, суп, запекание, крем, гарнир, соус или десертная разработка с маниок</x:v>
      </x:c>
      <x:c r="Y79" s="28" t="str">
        <x:v>еда, соусы/маринады</x:v>
      </x:c>
      <x:c r="Z79" s="28" t="str">
        <x:v>Средняя</x:v>
      </x:c>
      <x:c r="AA79" s="28" t="str">
        <x:v>The Art &amp; Science of Foodpairing.pdf</x:v>
      </x:c>
      <x:c r="AB79" s="28" t="str">
        <x:v>The Art &amp; Science of Foodpairing.pdf: 251</x:v>
      </x:c>
      <x:c r="AC79" s="28" t="str">
        <x:v>связь из pairing grid, стр. 251</x:v>
      </x:c>
      <x:c r="AD79" s="28" t="n">
        <x:v>1</x:v>
      </x:c>
      <x:c r="AE79" s="28" t="n">
        <x:v>1</x:v>
      </x:c>
      <x:c r="AF79" s="28" t="n">
        <x:f>IF(Z79="Высокая",3,IF(Z79="Средняя",2,1))+AD79*2+MIN(AE79,3)</x:f>
        <x:v>5</x:v>
      </x:c>
    </x:row>
    <x:row r="80" ht="64" customHeight="1">
      <x:c r="A80" s="28" t="str">
        <x:v>VEG-0079</x:v>
      </x:c>
      <x:c r="B80" s="28" t="str">
        <x:v>батат</x:v>
      </x:c>
      <x:c r="C80" s="28" t="str">
        <x:v>Универсальные</x:v>
      </x:c>
      <x:c r="D80" s="28" t="str">
        <x:v>батат</x:v>
      </x:c>
      <x:c r="E80" s="28" t="str">
        <x:v>sweet potato</x:v>
      </x:c>
      <x:c r="F80" s="28" t="str">
        <x:v>Корнеплоды и клубни</x:v>
      </x:c>
      <x:c r="G80" s="28" t="str">
        <x:v>маракуйя</x:v>
      </x:c>
      <x:c r="H80" s="28" t="str">
        <x:v>granadilla</x:v>
      </x:c>
      <x:c r="I80" s="28" t="str">
        <x:v>Прочее</x:v>
      </x:c>
      <x:c r="J80" s="28" t="str">
        <x:v>сладкий, крахмалистый, цветочный, карамельный и ореховый после запекания</x:v>
      </x:c>
      <x:c r="K80" s="28" t="str">
        <x:v>профиль зависит от конкретного продукта</x:v>
      </x:c>
      <x:c r="L80" s="28" t="str">
        <x:v>мальтол, фураны, норизопреноиды, пиразины</x:v>
      </x:c>
      <x:c r="M80" s="28" t="str">
        <x:v>конкретный молекулярный профиль не указан</x:v>
      </x:c>
      <x:c r="N80" s="28" t="str">
        <x:v>прямое пересечение семейств не подтверждено</x:v>
      </x:c>
      <x:c r="O80" s="28" t="str">
        <x:v>надёжная общая ключевая молекула не установлена</x:v>
      </x:c>
      <x:c r="P80" s="28" t="str">
        <x:v>сенсорная комплементарность</x:v>
      </x:c>
      <x:c r="Q80" s="28" t="str">
        <x:v>Сладость и землистость балансируются кислотой, солью, горечью и умами; жир усиливает ощущение округлости.</x:v>
      </x:c>
      <x:c r="R80" s="28" t="str">
        <x:v>минимальный</x:v>
      </x:c>
      <x:c r="S80" s="28" t="str">
        <x:v>крахмальная матрица с сахарами и каротиноидами</x:v>
      </x:c>
      <x:c r="T8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0" s="28" t="str">
        <x:v>Батат имеет профиль «сладкий, крахмалистый, цветочный, карамельный и ореховый после запекания».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80" s="28" t="str">
        <x:v>водянистое пюре размывает аромат; сильная сладость требует кислоты, соли или горечи</x:v>
      </x:c>
      <x:c r="W80" s="28" t="str">
        <x:v>соль, кислота или ароматический жир</x:v>
      </x:c>
      <x:c r="X80" s="28" t="str">
        <x:v>пюре, суп, запекание, крем, гарнир, соус или десертная разработка с маракуйя</x:v>
      </x:c>
      <x:c r="Y80" s="28" t="str">
        <x:v>еда, соусы/маринады</x:v>
      </x:c>
      <x:c r="Z80" s="28" t="str">
        <x:v>Средняя</x:v>
      </x:c>
      <x:c r="AA80" s="28" t="str">
        <x:v>The Art &amp; Science of Foodpairing.pdf</x:v>
      </x:c>
      <x:c r="AB80" s="28" t="str">
        <x:v>The Art &amp; Science of Foodpairing.pdf: 119</x:v>
      </x:c>
      <x:c r="AC80" s="28" t="str">
        <x:v>связь из pairing grid, стр. 119</x:v>
      </x:c>
      <x:c r="AD80" s="28" t="n">
        <x:v>1</x:v>
      </x:c>
      <x:c r="AE80" s="28" t="n">
        <x:v>1</x:v>
      </x:c>
      <x:c r="AF80" s="28" t="n">
        <x:f>IF(Z80="Высокая",3,IF(Z80="Средняя",2,1))+AD80*2+MIN(AE80,3)</x:f>
        <x:v>5</x:v>
      </x:c>
    </x:row>
    <x:row r="81" ht="64" customHeight="1">
      <x:c r="A81" s="28" t="str">
        <x:v>VEG-0080</x:v>
      </x:c>
      <x:c r="B81" s="28" t="str">
        <x:v>батат</x:v>
      </x:c>
      <x:c r="C81" s="28" t="str">
        <x:v>Универсальные</x:v>
      </x:c>
      <x:c r="D81" s="28" t="str">
        <x:v>батат</x:v>
      </x:c>
      <x:c r="E81" s="28" t="str">
        <x:v>sweet potato</x:v>
      </x:c>
      <x:c r="F81" s="28" t="str">
        <x:v>Корнеплоды и клубни</x:v>
      </x:c>
      <x:c r="G81" s="28" t="str">
        <x:v>морской ёж</x:v>
      </x:c>
      <x:c r="H81" s="28" t="str">
        <x:v>sea urchin</x:v>
      </x:c>
      <x:c r="I81" s="28" t="str">
        <x:v>Прочее</x:v>
      </x:c>
      <x:c r="J81" s="28" t="str">
        <x:v>сладкий, крахмалистый, цветочный, карамельный и ореховый после запекания</x:v>
      </x:c>
      <x:c r="K81" s="28" t="str">
        <x:v>профиль зависит от конкретного продукта</x:v>
      </x:c>
      <x:c r="L81" s="28" t="str">
        <x:v>мальтол, фураны, норизопреноиды, пиразины</x:v>
      </x:c>
      <x:c r="M81" s="28" t="str">
        <x:v>конкретный молекулярный профиль не указан</x:v>
      </x:c>
      <x:c r="N81" s="28" t="str">
        <x:v>прямое пересечение семейств не подтверждено</x:v>
      </x:c>
      <x:c r="O81" s="28" t="str">
        <x:v>надёжная общая ключевая молекула не установлена</x:v>
      </x:c>
      <x:c r="P81" s="28" t="str">
        <x:v>сенсорная комплементарность</x:v>
      </x:c>
      <x:c r="Q81" s="28" t="str">
        <x:v>Сладость и землистость балансируются кислотой, солью, горечью и умами; жир усиливает ощущение округлости.</x:v>
      </x:c>
      <x:c r="R81" s="28" t="str">
        <x:v>минимальный</x:v>
      </x:c>
      <x:c r="S81" s="28" t="str">
        <x:v>крахмальная матрица с сахарами и каротиноидами</x:v>
      </x:c>
      <x:c r="T8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1" s="28" t="str">
        <x:v>Батат имеет профиль «сладкий, крахмалистый, цветочный, карамельный и ореховый после запекания». Партнёр «морской ёж»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81" s="28" t="str">
        <x:v>водянистое пюре размывает аромат; сильная сладость требует кислоты, соли или горечи</x:v>
      </x:c>
      <x:c r="W81" s="28" t="str">
        <x:v>соль, кислота или ароматический жир</x:v>
      </x:c>
      <x:c r="X81" s="28" t="str">
        <x:v>пюре, суп, запекание, крем, гарнир, соус или десертная разработка с морской ёж</x:v>
      </x:c>
      <x:c r="Y81" s="28" t="str">
        <x:v>еда, соусы/маринады</x:v>
      </x:c>
      <x:c r="Z81" s="28" t="str">
        <x:v>Средняя</x:v>
      </x:c>
      <x:c r="AA81" s="28" t="str">
        <x:v>The Art &amp; Science of Foodpairing.pdf</x:v>
      </x:c>
      <x:c r="AB81" s="28" t="str">
        <x:v>The Art &amp; Science of Foodpairing.pdf: 119</x:v>
      </x:c>
      <x:c r="AC81" s="28" t="str">
        <x:v>связь из pairing grid, стр. 119</x:v>
      </x:c>
      <x:c r="AD81" s="28" t="n">
        <x:v>1</x:v>
      </x:c>
      <x:c r="AE81" s="28" t="n">
        <x:v>1</x:v>
      </x:c>
      <x:c r="AF81" s="28" t="n">
        <x:f>IF(Z81="Высокая",3,IF(Z81="Средняя",2,1))+AD81*2+MIN(AE81,3)</x:f>
        <x:v>5</x:v>
      </x:c>
    </x:row>
    <x:row r="82" ht="64" customHeight="1">
      <x:c r="A82" s="28" t="str">
        <x:v>VEG-0081</x:v>
      </x:c>
      <x:c r="B82" s="28" t="str">
        <x:v>батат</x:v>
      </x:c>
      <x:c r="C82" s="28" t="str">
        <x:v>Универсальные</x:v>
      </x:c>
      <x:c r="D82" s="28" t="str">
        <x:v>батат</x:v>
      </x:c>
      <x:c r="E82" s="28" t="str">
        <x:v>sweet potato</x:v>
      </x:c>
      <x:c r="F82" s="28" t="str">
        <x:v>Корнеплоды и клубни</x:v>
      </x:c>
      <x:c r="G82" s="28" t="str">
        <x:v>мята колосистая</x:v>
      </x:c>
      <x:c r="H82" s="28" t="str">
        <x:v>spearmint</x:v>
      </x:c>
      <x:c r="I82" s="28" t="str">
        <x:v>Травы, цветы и листья</x:v>
      </x:c>
      <x:c r="J82" s="28" t="str">
        <x:v>сладкий, крахмалистый, цветочный, карамельный и ореховый после запекания</x:v>
      </x:c>
      <x:c r="K82" s="28" t="str">
        <x:v>зелёный, холодящий</x:v>
      </x:c>
      <x:c r="L82" s="28" t="str">
        <x:v>мальтол, фураны, норизопреноиды, пиразины</x:v>
      </x:c>
      <x:c r="M82" s="28" t="str">
        <x:v>ментол</x:v>
      </x:c>
      <x:c r="N82" s="28" t="str">
        <x:v>прямое пересечение семейств не подтверждено</x:v>
      </x:c>
      <x:c r="O82" s="28" t="str">
        <x:v>надёжная общая ключевая молекула не установлена</x:v>
      </x:c>
      <x:c r="P82" s="28" t="str">
        <x:v>сенсорная комплементарность</x:v>
      </x:c>
      <x:c r="Q82" s="28" t="str">
        <x:v>Сладость и землистость балансируются кислотой, солью, горечью и умами; жир усиливает ощущение округлости.</x:v>
      </x:c>
      <x:c r="R82" s="28" t="str">
        <x:v>минимальный</x:v>
      </x:c>
      <x:c r="S82" s="28" t="str">
        <x:v>крахмальная матрица с сахарами и каротиноидами</x:v>
      </x:c>
      <x:c r="T8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2" s="28" t="str">
        <x:v>Батат имеет профиль «сладкий, крахмалистый, цветочный, карамельный и ореховый после запекания». Партнёр «мята колосистая»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82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W82" s="28" t="str">
        <x:v>оливковое масло, лимон или сыр</x:v>
      </x:c>
      <x:c r="X82" s="28" t="str">
        <x:v>пюре, суп, запекание, крем, гарнир, соус или десертная разработка с мята колосистая</x:v>
      </x:c>
      <x:c r="Y82" s="28" t="str">
        <x:v>еда, соусы/маринады</x:v>
      </x:c>
      <x:c r="Z82" s="28" t="str">
        <x:v>Средняя</x:v>
      </x:c>
      <x:c r="AA82" s="28" t="str">
        <x:v>The Art &amp; Science of Foodpairing.pdf</x:v>
      </x:c>
      <x:c r="AB82" s="28" t="str">
        <x:v>The Art &amp; Science of Foodpairing.pdf: 119</x:v>
      </x:c>
      <x:c r="AC82" s="28" t="str">
        <x:v>связь из pairing grid, стр. 119</x:v>
      </x:c>
      <x:c r="AD82" s="28" t="n">
        <x:v>1</x:v>
      </x:c>
      <x:c r="AE82" s="28" t="n">
        <x:v>1</x:v>
      </x:c>
      <x:c r="AF82" s="28" t="n">
        <x:f>IF(Z82="Высокая",3,IF(Z82="Средняя",2,1))+AD82*2+MIN(AE82,3)</x:f>
        <x:v>5</x:v>
      </x:c>
    </x:row>
    <x:row r="83" ht="64" customHeight="1">
      <x:c r="A83" s="28" t="str">
        <x:v>VEG-0082</x:v>
      </x:c>
      <x:c r="B83" s="28" t="str">
        <x:v>батат</x:v>
      </x:c>
      <x:c r="C83" s="28" t="str">
        <x:v>Еда и соусы</x:v>
      </x:c>
      <x:c r="D83" s="28" t="str">
        <x:v>батат</x:v>
      </x:c>
      <x:c r="E83" s="28" t="str">
        <x:v>sweet potato</x:v>
      </x:c>
      <x:c r="F83" s="28" t="str">
        <x:v>Корнеплоды и клубни</x:v>
      </x:c>
      <x:c r="G83" s="28" t="str">
        <x:v>нут</x:v>
      </x:c>
      <x:c r="H83" s="28" t="str">
        <x:v>chickpea</x:v>
      </x:c>
      <x:c r="I83" s="28" t="str">
        <x:v>Бобовые</x:v>
      </x:c>
      <x:c r="J83" s="28" t="str">
        <x:v>сладкий, крахмалистый, цветочный, карамельный и ореховый после запекания</x:v>
      </x:c>
      <x:c r="K83" s="28" t="str">
        <x:v>зелёный, бобовый и крахмалистый</x:v>
      </x:c>
      <x:c r="L83" s="28" t="str">
        <x:v>мальтол, фураны, норизопреноиды, пиразины</x:v>
      </x:c>
      <x:c r="M83" s="28" t="str">
        <x:v>альдегиды, метоксипиразины</x:v>
      </x:c>
      <x:c r="N83" s="28" t="str">
        <x:v>крахмалистый</x:v>
      </x:c>
      <x:c r="O83" s="28" t="str">
        <x:v>надёжная общая ключевая молекула не установлена</x:v>
      </x:c>
      <x:c r="P83" s="28" t="str">
        <x:v>пересечение ароматических семейств</x:v>
      </x:c>
      <x:c r="Q83" s="28" t="str">
        <x:v>Сладость и землистость балансируются кислотой, солью, горечью и умами; жир усиливает ощущение округлости.</x:v>
      </x:c>
      <x:c r="R83" s="28" t="str">
        <x:v>минимальный</x:v>
      </x:c>
      <x:c r="S83" s="28" t="str">
        <x:v>крахмальная матрица с сахарами и каротиноидами</x:v>
      </x:c>
      <x:c r="T8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3" s="28" t="str">
        <x:v>Батат имеет профиль «сладкий, крахмалистый, цветочный, карамельный и ореховый после запекания». Партнёр «нут» относится к группе «Бобовые» и даёт зелёный, бобовый и крахмалистый. Профили пересекаются в семействах: крахмалистый.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83" s="28" t="str">
        <x:v>водянистое пюре размывает аромат; сильная сладость требует кислоты, соли или горечи</x:v>
      </x:c>
      <x:c r="W83" s="28" t="str">
        <x:v>соль, кислота или ароматический жир</x:v>
      </x:c>
      <x:c r="X83" s="28" t="str">
        <x:v>пюре, суп, запекание, крем, гарнир, соус или десертная разработка с нут</x:v>
      </x:c>
      <x:c r="Y83" s="28" t="str">
        <x:v>еда, соусы/маринады</x:v>
      </x:c>
      <x:c r="Z83" s="28" t="str">
        <x:v>Средняя</x:v>
      </x:c>
      <x:c r="AA83" s="28" t="str">
        <x:v>The Art &amp; Science of Foodpairing.pdf</x:v>
      </x:c>
      <x:c r="AB83" s="28" t="str">
        <x:v>The Art &amp; Science of Foodpairing.pdf: 119</x:v>
      </x:c>
      <x:c r="AC83" s="28" t="str">
        <x:v>связь из pairing grid, стр. 119</x:v>
      </x:c>
      <x:c r="AD83" s="28" t="n">
        <x:v>1</x:v>
      </x:c>
      <x:c r="AE83" s="28" t="n">
        <x:v>1</x:v>
      </x:c>
      <x:c r="AF83" s="28" t="n">
        <x:f>IF(Z83="Высокая",3,IF(Z83="Средняя",2,1))+AD83*2+MIN(AE83,3)</x:f>
        <x:v>5</x:v>
      </x:c>
    </x:row>
    <x:row r="84" ht="64" customHeight="1">
      <x:c r="A84" s="28" t="str">
        <x:v>VEG-0083</x:v>
      </x:c>
      <x:c r="B84" s="28" t="str">
        <x:v>батат</x:v>
      </x:c>
      <x:c r="C84" s="28" t="str">
        <x:v>Универсальные</x:v>
      </x:c>
      <x:c r="D84" s="28" t="str">
        <x:v>батат</x:v>
      </x:c>
      <x:c r="E84" s="28" t="str">
        <x:v>sweet potato</x:v>
      </x:c>
      <x:c r="F84" s="28" t="str">
        <x:v>Корнеплоды и клубни</x:v>
      </x:c>
      <x:c r="G84" s="28" t="str">
        <x:v>огурец</x:v>
      </x:c>
      <x:c r="H84" s="28" t="str">
        <x:v>cucumber</x:v>
      </x:c>
      <x:c r="I84" s="28" t="str">
        <x:v>Тыквенные</x:v>
      </x:c>
      <x:c r="J84" s="28" t="str">
        <x:v>сладкий, крахмалистый, цветочный, карамельный и ореховый после запекания</x:v>
      </x:c>
      <x:c r="K84" s="28" t="str">
        <x:v>зелёный, водянистый, свежий и дынный</x:v>
      </x:c>
      <x:c r="L84" s="28" t="str">
        <x:v>мальтол, фураны, норизопреноиды, пиразины</x:v>
      </x:c>
      <x:c r="M84" s="28" t="str">
        <x:v>(E)-2-ноненаль, (E,Z)-2,6-нонадиеналь, гексаналь</x:v>
      </x:c>
      <x:c r="N84" s="28" t="str">
        <x:v>прямое пересечение семейств не подтверждено</x:v>
      </x:c>
      <x:c r="O84" s="28" t="str">
        <x:v>надёжная общая ключевая молекула не установлена</x:v>
      </x:c>
      <x:c r="P84" s="28" t="str">
        <x:v>сенсорная комплементарность</x:v>
      </x:c>
      <x:c r="Q84" s="28" t="str">
        <x:v>Сладость и землистость балансируются кислотой, солью, горечью и умами; жир усиливает ощущение округлости.</x:v>
      </x:c>
      <x:c r="R84" s="28" t="str">
        <x:v>минимальный</x:v>
      </x:c>
      <x:c r="S84" s="28" t="str">
        <x:v>крахмальная матрица с сахарами и каротиноидами</x:v>
      </x:c>
      <x:c r="T8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4" s="28" t="str">
        <x:v>Батат имеет профиль «сладкий, крахмалистый, цветочный, карамельный и ореховый после запекания».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84" s="28" t="str">
        <x:v>водянистое пюре размывает аромат; сильная сладость требует кислоты, соли или горечи</x:v>
      </x:c>
      <x:c r="W84" s="28" t="str">
        <x:v>соль, кислота или ароматический жир</x:v>
      </x:c>
      <x:c r="X84" s="28" t="str">
        <x:v>пюре, суп, запекание, крем, гарнир, соус или десертная разработка с огурец</x:v>
      </x:c>
      <x:c r="Y84" s="28" t="str">
        <x:v>еда, соусы/маринады</x:v>
      </x:c>
      <x:c r="Z84" s="28" t="str">
        <x:v>Средняя</x:v>
      </x:c>
      <x:c r="AA84" s="28" t="str">
        <x:v>The Art &amp; Science of Foodpairing.pdf</x:v>
      </x:c>
      <x:c r="AB84" s="28" t="str">
        <x:v>The Art &amp; Science of Foodpairing.pdf: 119</x:v>
      </x:c>
      <x:c r="AC84" s="28" t="str">
        <x:v>связь из pairing grid, стр. 119</x:v>
      </x:c>
      <x:c r="AD84" s="28" t="n">
        <x:v>1</x:v>
      </x:c>
      <x:c r="AE84" s="28" t="n">
        <x:v>1</x:v>
      </x:c>
      <x:c r="AF84" s="28" t="n">
        <x:f>IF(Z84="Высокая",3,IF(Z84="Средняя",2,1))+AD84*2+MIN(AE84,3)</x:f>
        <x:v>5</x:v>
      </x:c>
    </x:row>
    <x:row r="85" ht="64" customHeight="1">
      <x:c r="A85" s="28" t="str">
        <x:v>VEG-0084</x:v>
      </x:c>
      <x:c r="B85" s="28" t="str">
        <x:v>батат</x:v>
      </x:c>
      <x:c r="C85" s="28" t="str">
        <x:v>Универсальные</x:v>
      </x:c>
      <x:c r="D85" s="28" t="str">
        <x:v>батат</x:v>
      </x:c>
      <x:c r="E85" s="28" t="str">
        <x:v>sweet potato</x:v>
      </x:c>
      <x:c r="F85" s="28" t="str">
        <x:v>Корнеплоды и клубни</x:v>
      </x:c>
      <x:c r="G85" s="28" t="str">
        <x:v>пак-чой</x:v>
      </x:c>
      <x:c r="H85" s="28" t="str">
        <x:v>stir-fried pak choi</x:v>
      </x:c>
      <x:c r="I85" s="28" t="str">
        <x:v>Прочее</x:v>
      </x:c>
      <x:c r="J85" s="28" t="str">
        <x:v>сладкий, крахмалистый, цветочный, карамельный и ореховый после запекания</x:v>
      </x:c>
      <x:c r="K85" s="28" t="str">
        <x:v>профиль зависит от конкретного продукта</x:v>
      </x:c>
      <x:c r="L85" s="28" t="str">
        <x:v>мальтол, фураны, норизопреноиды, пиразины</x:v>
      </x:c>
      <x:c r="M85" s="28" t="str">
        <x:v>конкретный молекулярный профиль не указан</x:v>
      </x:c>
      <x:c r="N85" s="28" t="str">
        <x:v>прямое пересечение семейств не подтверждено</x:v>
      </x:c>
      <x:c r="O85" s="28" t="str">
        <x:v>надёжная общая ключевая молекула не установлена</x:v>
      </x:c>
      <x:c r="P85" s="28" t="str">
        <x:v>сенсорная комплементарность</x:v>
      </x:c>
      <x:c r="Q85" s="28" t="str">
        <x:v>Сладость и землистость балансируются кислотой, солью, горечью и умами; жир усиливает ощущение округлости.</x:v>
      </x:c>
      <x:c r="R85" s="28" t="str">
        <x:v>минимальный</x:v>
      </x:c>
      <x:c r="S85" s="28" t="str">
        <x:v>крахмальная матрица с сахарами и каротиноидами</x:v>
      </x:c>
      <x:c r="T8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5" s="28" t="str">
        <x:v>Батат имеет профиль «сладкий, крахмалистый, цветочный, карамельный и ореховый после запекания». Партнёр «пак-чой»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85" s="28" t="str">
        <x:v>водянистое пюре размывает аромат; сильная сладость требует кислоты, соли или горечи</x:v>
      </x:c>
      <x:c r="W85" s="28" t="str">
        <x:v>соль, кислота или ароматический жир</x:v>
      </x:c>
      <x:c r="X85" s="28" t="str">
        <x:v>пюре, суп, запекание, крем, гарнир, соус или десертная разработка с пак-чой</x:v>
      </x:c>
      <x:c r="Y85" s="28" t="str">
        <x:v>еда, соусы/маринады</x:v>
      </x:c>
      <x:c r="Z85" s="28" t="str">
        <x:v>Средняя</x:v>
      </x:c>
      <x:c r="AA85" s="28" t="str">
        <x:v>The Art &amp; Science of Foodpairing.pdf</x:v>
      </x:c>
      <x:c r="AB85" s="28" t="str">
        <x:v>The Art &amp; Science of Foodpairing.pdf: 119</x:v>
      </x:c>
      <x:c r="AC85" s="28" t="str">
        <x:v>связь из pairing grid, стр. 119</x:v>
      </x:c>
      <x:c r="AD85" s="28" t="n">
        <x:v>1</x:v>
      </x:c>
      <x:c r="AE85" s="28" t="n">
        <x:v>1</x:v>
      </x:c>
      <x:c r="AF85" s="28" t="n">
        <x:f>IF(Z85="Высокая",3,IF(Z85="Средняя",2,1))+AD85*2+MIN(AE85,3)</x:f>
        <x:v>5</x:v>
      </x:c>
    </x:row>
    <x:row r="86" ht="64" customHeight="1">
      <x:c r="A86" s="28" t="str">
        <x:v>VEG-0085</x:v>
      </x:c>
      <x:c r="B86" s="28" t="str">
        <x:v>батат</x:v>
      </x:c>
      <x:c r="C86" s="28" t="str">
        <x:v>Десерты и выпечка</x:v>
      </x:c>
      <x:c r="D86" s="28" t="str">
        <x:v>батат</x:v>
      </x:c>
      <x:c r="E86" s="28" t="str">
        <x:v>sweet potato</x:v>
      </x:c>
      <x:c r="F86" s="28" t="str">
        <x:v>Корнеплоды и клубни</x:v>
      </x:c>
      <x:c r="G86" s="28" t="str">
        <x:v>паста карри мадрас</x:v>
      </x:c>
      <x:c r="H86" s="28" t="str">
        <x:v>Madras curry paste</x:v>
      </x:c>
      <x:c r="I86" s="28" t="str">
        <x:v>Выпечка, крупы, сахара и десерты</x:v>
      </x:c>
      <x:c r="J86" s="28" t="str">
        <x:v>сладкий, крахмалистый, цветочный, карамельный и ореховый после запекания</x:v>
      </x:c>
      <x:c r="K86" s="28" t="str">
        <x:v>сладкий, карамельный и жареный</x:v>
      </x:c>
      <x:c r="L86" s="28" t="str">
        <x:v>мальтол, фураны, норизопреноиды, пиразины</x:v>
      </x:c>
      <x:c r="M86" s="28" t="str">
        <x:v>мальтол, пиразины, фураны</x:v>
      </x:c>
      <x:c r="N86" s="28" t="str">
        <x:v>жареный, карамельный, сладкий</x:v>
      </x:c>
      <x:c r="O86" s="28" t="str">
        <x:v>мальтол, пиразины, фураны</x:v>
      </x:c>
      <x:c r="P86" s="28" t="str">
        <x:v>общие характерные молекулы; пересечение ароматических семейств</x:v>
      </x:c>
      <x:c r="Q86" s="28" t="str">
        <x:v>Сладость и землистость балансируются кислотой, солью, горечью и умами; жир усиливает ощущение округлости.</x:v>
      </x:c>
      <x:c r="R86" s="28" t="str">
        <x:v>минимальный</x:v>
      </x:c>
      <x:c r="S86" s="28" t="str">
        <x:v>крахмальная матрица с сахарами и каротиноидами</x:v>
      </x:c>
      <x:c r="T8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6" s="28" t="str">
        <x:v>Батат имеет профиль «сладкий, крахмалистый, цветочный, карамельный и ореховый после запекания». Партнёр «паста карри мадрас»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86" s="28" t="str">
        <x:v>водянистое пюре размывает аромат; сильная сладость требует кислоты, соли или горечи</x:v>
      </x:c>
      <x:c r="W86" s="28" t="str">
        <x:v>соль, кислота или ароматический жир</x:v>
      </x:c>
      <x:c r="X86" s="28" t="str">
        <x:v>пюре, суп, запекание, крем, гарнир, соус или десертная разработка с паста карри мадрас</x:v>
      </x:c>
      <x:c r="Y86" s="28" t="str">
        <x:v>еда, десерты, соусы/маринады</x:v>
      </x:c>
      <x:c r="Z86" s="28" t="str">
        <x:v>Средняя</x:v>
      </x:c>
      <x:c r="AA86" s="28" t="str">
        <x:v>The Art &amp; Science of Foodpairing.pdf</x:v>
      </x:c>
      <x:c r="AB86" s="28" t="str">
        <x:v>The Art &amp; Science of Foodpairing.pdf: 119</x:v>
      </x:c>
      <x:c r="AC86" s="28" t="str">
        <x:v>связь из pairing grid, стр. 119</x:v>
      </x:c>
      <x:c r="AD86" s="28" t="n">
        <x:v>1</x:v>
      </x:c>
      <x:c r="AE86" s="28" t="n">
        <x:v>1</x:v>
      </x:c>
      <x:c r="AF86" s="28" t="n">
        <x:f>IF(Z86="Высокая",3,IF(Z86="Средняя",2,1))+AD86*2+MIN(AE86,3)</x:f>
        <x:v>5</x:v>
      </x:c>
    </x:row>
    <x:row r="87" ht="64" customHeight="1">
      <x:c r="A87" s="28" t="str">
        <x:v>VEG-0086</x:v>
      </x:c>
      <x:c r="B87" s="28" t="str">
        <x:v>батат</x:v>
      </x:c>
      <x:c r="C87" s="28" t="str">
        <x:v>Десерты и выпечка</x:v>
      </x:c>
      <x:c r="D87" s="28" t="str">
        <x:v>батат</x:v>
      </x:c>
      <x:c r="E87" s="28" t="str">
        <x:v>sweet potato</x:v>
      </x:c>
      <x:c r="F87" s="28" t="str">
        <x:v>Корнеплоды и клубни</x:v>
      </x:c>
      <x:c r="G87" s="28" t="str">
        <x:v>паста тикка масала</x:v>
      </x:c>
      <x:c r="H87" s="28" t="str">
        <x:v>tikka masala paste</x:v>
      </x:c>
      <x:c r="I87" s="28" t="str">
        <x:v>Выпечка, крупы, сахара и десерты</x:v>
      </x:c>
      <x:c r="J87" s="28" t="str">
        <x:v>сладкий, крахмалистый, цветочный, карамельный и ореховый после запекания</x:v>
      </x:c>
      <x:c r="K87" s="28" t="str">
        <x:v>сладкий, карамельный и жареный</x:v>
      </x:c>
      <x:c r="L87" s="28" t="str">
        <x:v>мальтол, фураны, норизопреноиды, пиразины</x:v>
      </x:c>
      <x:c r="M87" s="28" t="str">
        <x:v>мальтол, пиразины, фураны</x:v>
      </x:c>
      <x:c r="N87" s="28" t="str">
        <x:v>жареный, карамельный, сладкий</x:v>
      </x:c>
      <x:c r="O87" s="28" t="str">
        <x:v>мальтол, пиразины, фураны</x:v>
      </x:c>
      <x:c r="P87" s="28" t="str">
        <x:v>общие характерные молекулы; пересечение ароматических семейств</x:v>
      </x:c>
      <x:c r="Q87" s="28" t="str">
        <x:v>Сладость и землистость балансируются кислотой, солью, горечью и умами; жир усиливает ощущение округлости.</x:v>
      </x:c>
      <x:c r="R87" s="28" t="str">
        <x:v>минимальный</x:v>
      </x:c>
      <x:c r="S87" s="28" t="str">
        <x:v>крахмальная матрица с сахарами и каротиноидами</x:v>
      </x:c>
      <x:c r="T8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7" s="28" t="str">
        <x:v>Батат имеет профиль «сладкий, крахмалистый, цветочный, карамельный и ореховый после запекания». Партнёр «паста тикка масала»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87" s="28" t="str">
        <x:v>водянистое пюре размывает аромат; сильная сладость требует кислоты, соли или горечи</x:v>
      </x:c>
      <x:c r="W87" s="28" t="str">
        <x:v>соль, кислота или ароматический жир</x:v>
      </x:c>
      <x:c r="X87" s="28" t="str">
        <x:v>пюре, суп, запекание, крем, гарнир, соус или десертная разработка с паста тикка масала</x:v>
      </x:c>
      <x:c r="Y87" s="28" t="str">
        <x:v>еда, десерты, соусы/маринады</x:v>
      </x:c>
      <x:c r="Z87" s="28" t="str">
        <x:v>Средняя</x:v>
      </x:c>
      <x:c r="AA87" s="28" t="str">
        <x:v>The Art &amp; Science of Foodpairing.pdf</x:v>
      </x:c>
      <x:c r="AB87" s="28" t="str">
        <x:v>The Art &amp; Science of Foodpairing.pdf: 119</x:v>
      </x:c>
      <x:c r="AC87" s="28" t="str">
        <x:v>связь из pairing grid, стр. 119</x:v>
      </x:c>
      <x:c r="AD87" s="28" t="n">
        <x:v>1</x:v>
      </x:c>
      <x:c r="AE87" s="28" t="n">
        <x:v>1</x:v>
      </x:c>
      <x:c r="AF87" s="28" t="n">
        <x:f>IF(Z87="Высокая",3,IF(Z87="Средняя",2,1))+AD87*2+MIN(AE87,3)</x:f>
        <x:v>5</x:v>
      </x:c>
    </x:row>
    <x:row r="88" ht="64" customHeight="1">
      <x:c r="A88" s="28" t="str">
        <x:v>VEG-0087</x:v>
      </x:c>
      <x:c r="B88" s="28" t="str">
        <x:v>батат</x:v>
      </x:c>
      <x:c r="C88" s="28" t="str">
        <x:v>Универсальные</x:v>
      </x:c>
      <x:c r="D88" s="28" t="str">
        <x:v>батат</x:v>
      </x:c>
      <x:c r="E88" s="28" t="str">
        <x:v>sweet potato</x:v>
      </x:c>
      <x:c r="F88" s="28" t="str">
        <x:v>Корнеплоды и клубни</x:v>
      </x:c>
      <x:c r="G88" s="28" t="str">
        <x:v>петрушка</x:v>
      </x:c>
      <x:c r="H88" s="28" t="str">
        <x:v>flat-leafparsley</x:v>
      </x:c>
      <x:c r="I88" s="28" t="str">
        <x:v>Травы, цветы и листья</x:v>
      </x:c>
      <x:c r="J88" s="28" t="str">
        <x:v>сладкий, крахмалистый, цветочный, карамельный и ореховый после запекания</x:v>
      </x:c>
      <x:c r="K88" s="28" t="str">
        <x:v>зелёный, травянистый</x:v>
      </x:c>
      <x:c r="L88" s="28" t="str">
        <x:v>мальтол, фураны, норизопреноиды, пиразины</x:v>
      </x:c>
      <x:c r="M88" s="28" t="str">
        <x:v>апиол, п-ментатриен</x:v>
      </x:c>
      <x:c r="N88" s="28" t="str">
        <x:v>прямое пересечение семейств не подтверждено</x:v>
      </x:c>
      <x:c r="O88" s="28" t="str">
        <x:v>надёжная общая ключевая молекула не установлена</x:v>
      </x:c>
      <x:c r="P88" s="28" t="str">
        <x:v>сенсорная комплементарность</x:v>
      </x:c>
      <x:c r="Q88" s="28" t="str">
        <x:v>Сладость и землистость балансируются кислотой, солью, горечью и умами; жир усиливает ощущение округлости.</x:v>
      </x:c>
      <x:c r="R88" s="28" t="str">
        <x:v>минимальный</x:v>
      </x:c>
      <x:c r="S88" s="28" t="str">
        <x:v>крахмальная матрица с сахарами и каротиноидами</x:v>
      </x:c>
      <x:c r="T8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8" s="28" t="str">
        <x:v>Батат имеет профиль «сладкий, крахмалистый, цветочный, карамельный и ореховый после запекания».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88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W88" s="28" t="str">
        <x:v>оливковое масло, лимон или сыр</x:v>
      </x:c>
      <x:c r="X88" s="28" t="str">
        <x:v>пюре, суп, запекание, крем, гарнир, соус или десертная разработка с петрушка</x:v>
      </x:c>
      <x:c r="Y88" s="28" t="str">
        <x:v>еда, соусы/маринады</x:v>
      </x:c>
      <x:c r="Z88" s="28" t="str">
        <x:v>Средняя</x:v>
      </x:c>
      <x:c r="AA88" s="28" t="str">
        <x:v>The Art &amp; Science of Foodpairing.pdf</x:v>
      </x:c>
      <x:c r="AB88" s="28" t="str">
        <x:v>The Art &amp; Science of Foodpairing.pdf: 119</x:v>
      </x:c>
      <x:c r="AC88" s="28" t="str">
        <x:v>связь из pairing grid, стр. 119</x:v>
      </x:c>
      <x:c r="AD88" s="28" t="n">
        <x:v>1</x:v>
      </x:c>
      <x:c r="AE88" s="28" t="n">
        <x:v>1</x:v>
      </x:c>
      <x:c r="AF88" s="28" t="n">
        <x:f>IF(Z88="Высокая",3,IF(Z88="Средняя",2,1))+AD88*2+MIN(AE88,3)</x:f>
        <x:v>5</x:v>
      </x:c>
    </x:row>
    <x:row r="89" ht="64" customHeight="1">
      <x:c r="A89" s="28" t="str">
        <x:v>VEG-0088</x:v>
      </x:c>
      <x:c r="B89" s="28" t="str">
        <x:v>батат</x:v>
      </x:c>
      <x:c r="C89" s="28" t="str">
        <x:v>Универсальные</x:v>
      </x:c>
      <x:c r="D89" s="28" t="str">
        <x:v>батат</x:v>
      </x:c>
      <x:c r="E89" s="28" t="str">
        <x:v>sweet potato</x:v>
      </x:c>
      <x:c r="F89" s="28" t="str">
        <x:v>Корнеплоды и клубни</x:v>
      </x:c>
      <x:c r="G89" s="28" t="str">
        <x:v>пурпурный шалфей</x:v>
      </x:c>
      <x:c r="H89" s="28" t="str">
        <x:v>purple sage</x:v>
      </x:c>
      <x:c r="I89" s="28" t="str">
        <x:v>Травы, цветы и листья</x:v>
      </x:c>
      <x:c r="J89" s="28" t="str">
        <x:v>сладкий, крахмалистый, цветочный, карамельный и ореховый после запекания</x:v>
      </x:c>
      <x:c r="K89" s="28" t="str">
        <x:v>древесный, камфорный</x:v>
      </x:c>
      <x:c r="L89" s="28" t="str">
        <x:v>мальтол, фураны, норизопреноиды, пиразины</x:v>
      </x:c>
      <x:c r="M89" s="28" t="str">
        <x:v>1,8-цинеол, туйон</x:v>
      </x:c>
      <x:c r="N89" s="28" t="str">
        <x:v>прямое пересечение семейств не подтверждено</x:v>
      </x:c>
      <x:c r="O89" s="28" t="str">
        <x:v>надёжная общая ключевая молекула не установлена</x:v>
      </x:c>
      <x:c r="P89" s="28" t="str">
        <x:v>сенсорная комплементарность</x:v>
      </x:c>
      <x:c r="Q89" s="28" t="str">
        <x:v>Сладость и землистость балансируются кислотой, солью, горечью и умами; жир усиливает ощущение округлости.</x:v>
      </x:c>
      <x:c r="R89" s="28" t="str">
        <x:v>минимальный</x:v>
      </x:c>
      <x:c r="S89" s="28" t="str">
        <x:v>крахмальная матрица с сахарами и каротиноидами</x:v>
      </x:c>
      <x:c r="T8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89" s="28" t="str">
        <x:v>Батат имеет профиль «сладкий, крахмалистый, цветочный, карамельный и ореховый после запекания». Партнёр «пурпурный 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89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W89" s="28" t="str">
        <x:v>оливковое масло, лимон или сыр</x:v>
      </x:c>
      <x:c r="X89" s="28" t="str">
        <x:v>пюре, суп, запекание, крем, гарнир, соус или десертная разработка с пурпурный шалфей</x:v>
      </x:c>
      <x:c r="Y89" s="28" t="str">
        <x:v>еда, соусы/маринады</x:v>
      </x:c>
      <x:c r="Z89" s="28" t="str">
        <x:v>Средняя</x:v>
      </x:c>
      <x:c r="AA89" s="28" t="str">
        <x:v>The Art &amp; Science of Foodpairing.pdf</x:v>
      </x:c>
      <x:c r="AB89" s="28" t="str">
        <x:v>The Art &amp; Science of Foodpairing.pdf: 119</x:v>
      </x:c>
      <x:c r="AC89" s="28" t="str">
        <x:v>связь из pairing grid, стр. 119</x:v>
      </x:c>
      <x:c r="AD89" s="28" t="n">
        <x:v>1</x:v>
      </x:c>
      <x:c r="AE89" s="28" t="n">
        <x:v>1</x:v>
      </x:c>
      <x:c r="AF89" s="28" t="n">
        <x:f>IF(Z89="Высокая",3,IF(Z89="Средняя",2,1))+AD89*2+MIN(AE89,3)</x:f>
        <x:v>5</x:v>
      </x:c>
    </x:row>
    <x:row r="90" ht="64" customHeight="1">
      <x:c r="A90" s="28" t="str">
        <x:v>VEG-0089</x:v>
      </x:c>
      <x:c r="B90" s="28" t="str">
        <x:v>батат</x:v>
      </x:c>
      <x:c r="C90" s="28" t="str">
        <x:v>Универсальные</x:v>
      </x:c>
      <x:c r="D90" s="28" t="str">
        <x:v>батат</x:v>
      </x:c>
      <x:c r="E90" s="28" t="str">
        <x:v>sweet potato</x:v>
      </x:c>
      <x:c r="F90" s="28" t="str">
        <x:v>Корнеплоды и клубни</x:v>
      </x:c>
      <x:c r="G90" s="28" t="str">
        <x:v>пюре маракуйи</x:v>
      </x:c>
      <x:c r="H90" s="28" t="str">
        <x:v>passion fruit puree</x:v>
      </x:c>
      <x:c r="I90" s="28" t="str">
        <x:v>Прочее</x:v>
      </x:c>
      <x:c r="J90" s="28" t="str">
        <x:v>сладкий, крахмалистый, цветочный, карамельный и ореховый после запекания</x:v>
      </x:c>
      <x:c r="K90" s="28" t="str">
        <x:v>профиль зависит от конкретного продукта</x:v>
      </x:c>
      <x:c r="L90" s="28" t="str">
        <x:v>мальтол, фураны, норизопреноиды, пиразины</x:v>
      </x:c>
      <x:c r="M90" s="28" t="str">
        <x:v>конкретный молекулярный профиль не указан</x:v>
      </x:c>
      <x:c r="N90" s="28" t="str">
        <x:v>прямое пересечение семейств не подтверждено</x:v>
      </x:c>
      <x:c r="O90" s="28" t="str">
        <x:v>надёжная общая ключевая молекула не установлена</x:v>
      </x:c>
      <x:c r="P90" s="28" t="str">
        <x:v>сенсорная комплементарность</x:v>
      </x:c>
      <x:c r="Q90" s="28" t="str">
        <x:v>Сладость и землистость балансируются кислотой, солью, горечью и умами; жир усиливает ощущение округлости.</x:v>
      </x:c>
      <x:c r="R90" s="28" t="str">
        <x:v>минимальный</x:v>
      </x:c>
      <x:c r="S90" s="28" t="str">
        <x:v>крахмальная матрица с сахарами и каротиноидами</x:v>
      </x:c>
      <x:c r="T9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0" s="28" t="str">
        <x:v>Батат имеет профиль «сладкий, крахмалистый, цветочный, карамельный и ореховый после запекания». Партнёр «пюре маракуйи»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0" s="28" t="str">
        <x:v>водянистое пюре размывает аромат; сильная сладость требует кислоты, соли или горечи</x:v>
      </x:c>
      <x:c r="W90" s="28" t="str">
        <x:v>соль, кислота или ароматический жир</x:v>
      </x:c>
      <x:c r="X90" s="28" t="str">
        <x:v>пюре, суп, запекание, крем, гарнир, соус или десертная разработка с пюре маракуйи</x:v>
      </x:c>
      <x:c r="Y90" s="28" t="str">
        <x:v>еда, соусы/маринады</x:v>
      </x:c>
      <x:c r="Z90" s="28" t="str">
        <x:v>Средняя</x:v>
      </x:c>
      <x:c r="AA90" s="28" t="str">
        <x:v>The Art &amp; Science of Foodpairing.pdf</x:v>
      </x:c>
      <x:c r="AB90" s="28" t="str">
        <x:v>The Art &amp; Science of Foodpairing.pdf: 119</x:v>
      </x:c>
      <x:c r="AC90" s="28" t="str">
        <x:v>связь из pairing grid, стр. 119</x:v>
      </x:c>
      <x:c r="AD90" s="28" t="n">
        <x:v>1</x:v>
      </x:c>
      <x:c r="AE90" s="28" t="n">
        <x:v>1</x:v>
      </x:c>
      <x:c r="AF90" s="28" t="n">
        <x:f>IF(Z90="Высокая",3,IF(Z90="Средняя",2,1))+AD90*2+MIN(AE90,3)</x:f>
        <x:v>5</x:v>
      </x:c>
    </x:row>
    <x:row r="91" ht="64" customHeight="1">
      <x:c r="A91" s="28" t="str">
        <x:v>VEG-0090</x:v>
      </x:c>
      <x:c r="B91" s="28" t="str">
        <x:v>батат</x:v>
      </x:c>
      <x:c r="C91" s="28" t="str">
        <x:v>Десерты и выпечка</x:v>
      </x:c>
      <x:c r="D91" s="28" t="str">
        <x:v>батат</x:v>
      </x:c>
      <x:c r="E91" s="28" t="str">
        <x:v>sweet potato</x:v>
      </x:c>
      <x:c r="F91" s="28" t="str">
        <x:v>Корнеплоды и клубни</x:v>
      </x:c>
      <x:c r="G91" s="28" t="str">
        <x:v>рис басмати</x:v>
      </x:c>
      <x:c r="H91" s="28" t="str">
        <x:v>cooked basmati rice</x:v>
      </x:c>
      <x:c r="I91" s="28" t="str">
        <x:v>Выпечка, крупы, сахара и десерты</x:v>
      </x:c>
      <x:c r="J91" s="28" t="str">
        <x:v>сладкий, крахмалистый, цветочный, карамельный и ореховый после запекания</x:v>
      </x:c>
      <x:c r="K91" s="28" t="str">
        <x:v>сладкий, карамельный и жареный</x:v>
      </x:c>
      <x:c r="L91" s="28" t="str">
        <x:v>мальтол, фураны, норизопреноиды, пиразины</x:v>
      </x:c>
      <x:c r="M91" s="28" t="str">
        <x:v>мальтол, пиразины, фураны</x:v>
      </x:c>
      <x:c r="N91" s="28" t="str">
        <x:v>жареный, карамельный, сладкий</x:v>
      </x:c>
      <x:c r="O91" s="28" t="str">
        <x:v>мальтол, пиразины, фураны</x:v>
      </x:c>
      <x:c r="P91" s="28" t="str">
        <x:v>общие характерные молекулы; пересечение ароматических семейств</x:v>
      </x:c>
      <x:c r="Q91" s="28" t="str">
        <x:v>Сладость и землистость балансируются кислотой, солью, горечью и умами; жир усиливает ощущение округлости.</x:v>
      </x:c>
      <x:c r="R91" s="28" t="str">
        <x:v>минимальный</x:v>
      </x:c>
      <x:c r="S91" s="28" t="str">
        <x:v>крахмальная матрица с сахарами и каротиноидами</x:v>
      </x:c>
      <x:c r="T9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1" s="28" t="str">
        <x:v>Батат имеет профиль «сладкий, крахмалистый, цветочный, карамельный и ореховый после запекания». Партнёр «рис басмати»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1" s="28" t="str">
        <x:v>водянистое пюре размывает аромат; сильная сладость требует кислоты, соли или горечи</x:v>
      </x:c>
      <x:c r="W91" s="28" t="str">
        <x:v>соль, кислота или ароматический жир</x:v>
      </x:c>
      <x:c r="X91" s="28" t="str">
        <x:v>пюре, суп, запекание, крем, гарнир, соус или десертная разработка с рис басмати</x:v>
      </x:c>
      <x:c r="Y91" s="28" t="str">
        <x:v>еда, десерты, соусы/маринады</x:v>
      </x:c>
      <x:c r="Z91" s="28" t="str">
        <x:v>Средняя</x:v>
      </x:c>
      <x:c r="AA91" s="28" t="str">
        <x:v>The Art &amp; Science of Foodpairing.pdf</x:v>
      </x:c>
      <x:c r="AB91" s="28" t="str">
        <x:v>The Art &amp; Science of Foodpairing.pdf: 119</x:v>
      </x:c>
      <x:c r="AC91" s="28" t="str">
        <x:v>связь из pairing grid, стр. 119</x:v>
      </x:c>
      <x:c r="AD91" s="28" t="n">
        <x:v>1</x:v>
      </x:c>
      <x:c r="AE91" s="28" t="n">
        <x:v>1</x:v>
      </x:c>
      <x:c r="AF91" s="28" t="n">
        <x:f>IF(Z91="Высокая",3,IF(Z91="Средняя",2,1))+AD91*2+MIN(AE91,3)</x:f>
        <x:v>5</x:v>
      </x:c>
    </x:row>
    <x:row r="92" ht="64" customHeight="1">
      <x:c r="A92" s="28" t="str">
        <x:v>VEG-0091</x:v>
      </x:c>
      <x:c r="B92" s="28" t="str">
        <x:v>батат</x:v>
      </x:c>
      <x:c r="C92" s="28" t="str">
        <x:v>Универсальные</x:v>
      </x:c>
      <x:c r="D92" s="28" t="str">
        <x:v>батат</x:v>
      </x:c>
      <x:c r="E92" s="28" t="str">
        <x:v>sweet potato</x:v>
      </x:c>
      <x:c r="F92" s="28" t="str">
        <x:v>Корнеплоды и клубни</x:v>
      </x:c>
      <x:c r="G92" s="28" t="str">
        <x:v>салями милано</x:v>
      </x:c>
      <x:c r="H92" s="28" t="str">
        <x:v>Milano salami</x:v>
      </x:c>
      <x:c r="I92" s="28" t="str">
        <x:v>Прочее</x:v>
      </x:c>
      <x:c r="J92" s="28" t="str">
        <x:v>сладкий, крахмалистый, цветочный, карамельный и ореховый после запекания</x:v>
      </x:c>
      <x:c r="K92" s="28" t="str">
        <x:v>профиль зависит от конкретного продукта</x:v>
      </x:c>
      <x:c r="L92" s="28" t="str">
        <x:v>мальтол, фураны, норизопреноиды, пиразины</x:v>
      </x:c>
      <x:c r="M92" s="28" t="str">
        <x:v>конкретный молекулярный профиль не указан</x:v>
      </x:c>
      <x:c r="N92" s="28" t="str">
        <x:v>прямое пересечение семейств не подтверждено</x:v>
      </x:c>
      <x:c r="O92" s="28" t="str">
        <x:v>надёжная общая ключевая молекула не установлена</x:v>
      </x:c>
      <x:c r="P92" s="28" t="str">
        <x:v>сенсорная комплементарность</x:v>
      </x:c>
      <x:c r="Q92" s="28" t="str">
        <x:v>Сладость и землистость балансируются кислотой, солью, горечью и умами; жир усиливает ощущение округлости.</x:v>
      </x:c>
      <x:c r="R92" s="28" t="str">
        <x:v>минимальный</x:v>
      </x:c>
      <x:c r="S92" s="28" t="str">
        <x:v>крахмальная матрица с сахарами и каротиноидами</x:v>
      </x:c>
      <x:c r="T9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2" s="28" t="str">
        <x:v>Батат имеет профиль «сладкий, крахмалистый, цветочный, карамельный и ореховый после запекания». Партнёр «салями милано»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2" s="28" t="str">
        <x:v>водянистое пюре размывает аромат; сильная сладость требует кислоты, соли или горечи</x:v>
      </x:c>
      <x:c r="W92" s="28" t="str">
        <x:v>соль, кислота или ароматический жир</x:v>
      </x:c>
      <x:c r="X92" s="28" t="str">
        <x:v>пюре, суп, запекание, крем, гарнир, соус или десертная разработка с салями милано</x:v>
      </x:c>
      <x:c r="Y92" s="28" t="str">
        <x:v>еда, соусы/маринады</x:v>
      </x:c>
      <x:c r="Z92" s="28" t="str">
        <x:v>Средняя</x:v>
      </x:c>
      <x:c r="AA92" s="28" t="str">
        <x:v>The Art &amp; Science of Foodpairing.pdf</x:v>
      </x:c>
      <x:c r="AB92" s="28" t="str">
        <x:v>The Art &amp; Science of Foodpairing.pdf: 119</x:v>
      </x:c>
      <x:c r="AC92" s="28" t="str">
        <x:v>связь из pairing grid, стр. 119</x:v>
      </x:c>
      <x:c r="AD92" s="28" t="n">
        <x:v>1</x:v>
      </x:c>
      <x:c r="AE92" s="28" t="n">
        <x:v>1</x:v>
      </x:c>
      <x:c r="AF92" s="28" t="n">
        <x:f>IF(Z92="Высокая",3,IF(Z92="Средняя",2,1))+AD92*2+MIN(AE92,3)</x:f>
        <x:v>5</x:v>
      </x:c>
    </x:row>
    <x:row r="93" ht="64" customHeight="1">
      <x:c r="A93" s="28" t="str">
        <x:v>VEG-0092</x:v>
      </x:c>
      <x:c r="B93" s="28" t="str">
        <x:v>батат</x:v>
      </x:c>
      <x:c r="C93" s="28" t="str">
        <x:v>Универсальные</x:v>
      </x:c>
      <x:c r="D93" s="28" t="str">
        <x:v>батат</x:v>
      </x:c>
      <x:c r="E93" s="28" t="str">
        <x:v>boiled purple sweet potato | sweet potato</x:v>
      </x:c>
      <x:c r="F93" s="28" t="str">
        <x:v>Корнеплоды и клубни</x:v>
      </x:c>
      <x:c r="G93" s="28" t="str">
        <x:v>сельдерей корневой</x:v>
      </x:c>
      <x:c r="H93" s="28" t="str">
        <x:v>celeriac</x:v>
      </x:c>
      <x:c r="I93" s="28" t="str">
        <x:v>Корнеплоды</x:v>
      </x:c>
      <x:c r="J93" s="28" t="str">
        <x:v>сладкий, крахмалистый, цветочный, карамельный и ореховый после запекания</x:v>
      </x:c>
      <x:c r="K93" s="28" t="str">
        <x:v>землистый, ореховый, сельдерейно-пряный и слегка грибной</x:v>
      </x:c>
      <x:c r="L93" s="28" t="str">
        <x:v>мальтол, фураны, норизопреноиды, пиразины</x:v>
      </x:c>
      <x:c r="M93" s="28" t="str">
        <x:v>лимонен, метиональ, селинен, фталиды</x:v>
      </x:c>
      <x:c r="N93" s="28" t="str">
        <x:v>прямое пересечение семейств не подтверждено</x:v>
      </x:c>
      <x:c r="O93" s="28" t="str">
        <x:v>надёжная общая ключевая молекула не установлена</x:v>
      </x:c>
      <x:c r="P93" s="28" t="str">
        <x:v>сенсорная комплементарность</x:v>
      </x:c>
      <x:c r="Q93" s="28" t="str">
        <x:v>Сладость и землистость балансируются кислотой, солью, горечью и умами; жир усиливает ощущение округлости.</x:v>
      </x:c>
      <x:c r="R93" s="28" t="str">
        <x:v>минимальный</x:v>
      </x:c>
      <x:c r="S93" s="28" t="str">
        <x:v>крахмальная матрица с сахарами и каротиноидами</x:v>
      </x:c>
      <x:c r="T9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3" s="28" t="str">
        <x:v>Батат имеет профиль «сладкий, крахмалистый, цветочный, карамельный и ореховый после запекания». Партнёр «сельдерей корневой» относится к группе «Корнеплоды» и даёт землистый, ореховый, сельдерейно-пряный и слегка грибной.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3" s="28" t="str">
        <x:v>водянистое пюре размывает аромат; сильная сладость требует кислоты, соли или горечи</x:v>
      </x:c>
      <x:c r="W93" s="28" t="str">
        <x:v>соль, кислота или ароматический жир</x:v>
      </x:c>
      <x:c r="X93" s="28" t="str">
        <x:v>пюре, суп, запекание, крем, гарнир, соус или десертная разработка с сельдерей корневой</x:v>
      </x:c>
      <x:c r="Y93" s="28" t="str">
        <x:v>еда, соусы/маринады</x:v>
      </x:c>
      <x:c r="Z93" s="28" t="str">
        <x:v>Средняя</x:v>
      </x:c>
      <x:c r="AA93" s="28" t="str">
        <x:v>The Art &amp; Science of Foodpairing.pdf</x:v>
      </x:c>
      <x:c r="AB93" s="28" t="str">
        <x:v>The Art &amp; Science of Foodpairing.pdf: 52, 119</x:v>
      </x:c>
      <x:c r="AC93" s="28" t="str">
        <x:v>связь из pairing grid, стр. 52; связь из pairing grid, стр. 119</x:v>
      </x:c>
      <x:c r="AD93" s="28" t="n">
        <x:v>1</x:v>
      </x:c>
      <x:c r="AE93" s="28" t="n">
        <x:v>2</x:v>
      </x:c>
      <x:c r="AF93" s="28" t="n">
        <x:f>IF(Z93="Высокая",3,IF(Z93="Средняя",2,1))+AD93*2+MIN(AE93,3)</x:f>
        <x:v>6</x:v>
      </x:c>
    </x:row>
    <x:row r="94" ht="64" customHeight="1">
      <x:c r="A94" s="28" t="str">
        <x:v>VEG-0093</x:v>
      </x:c>
      <x:c r="B94" s="28" t="str">
        <x:v>батат</x:v>
      </x:c>
      <x:c r="C94" s="28" t="str">
        <x:v>Десерты и выпечка</x:v>
      </x:c>
      <x:c r="D94" s="28" t="str">
        <x:v>батат</x:v>
      </x:c>
      <x:c r="E94" s="28" t="str">
        <x:v>sweet potato</x:v>
      </x:c>
      <x:c r="F94" s="28" t="str">
        <x:v>Корнеплоды и клубни</x:v>
      </x:c>
      <x:c r="G94" s="28" t="str">
        <x:v>семена нигеллы</x:v>
      </x:c>
      <x:c r="H94" s="28" t="str">
        <x:v>nigella seeds</x:v>
      </x:c>
      <x:c r="I94" s="28" t="str">
        <x:v>Орехи и семена</x:v>
      </x:c>
      <x:c r="J94" s="28" t="str">
        <x:v>сладкий, крахмалистый, цветочный, карамельный и ореховый после запекания</x:v>
      </x:c>
      <x:c r="K94" s="28" t="str">
        <x:v>ореховый, жареный и жирный</x:v>
      </x:c>
      <x:c r="L94" s="28" t="str">
        <x:v>мальтол, фураны, норизопреноиды, пиразины</x:v>
      </x:c>
      <x:c r="M94" s="28" t="str">
        <x:v>альдегиды, пиразины, фураны</x:v>
      </x:c>
      <x:c r="N94" s="28" t="str">
        <x:v>жареный</x:v>
      </x:c>
      <x:c r="O94" s="28" t="str">
        <x:v>пиразины, фураны</x:v>
      </x:c>
      <x:c r="P94" s="28" t="str">
        <x:v>общие характерные молекулы; пересечение ароматических семейств</x:v>
      </x:c>
      <x:c r="Q94" s="28" t="str">
        <x:v>Сладость и землистость балансируются кислотой, солью, горечью и умами; жир усиливает ощущение округлости.</x:v>
      </x:c>
      <x:c r="R94" s="28" t="str">
        <x:v>минимальный</x:v>
      </x:c>
      <x:c r="S94" s="28" t="str">
        <x:v>крахмальная матрица с сахарами и каротиноидами</x:v>
      </x:c>
      <x:c r="T9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4" s="28" t="str">
        <x:v>Батат имеет профиль «сладкий, крахмалистый, цветочный, карамельный и ореховый после запекания». Партнёр «семена нигеллы»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4" s="28" t="str">
        <x:v>водянистое пюре размывает аромат; сильная сладость требует кислоты, соли или горечи</x:v>
      </x:c>
      <x:c r="W94" s="28" t="str">
        <x:v>соль, кислота или ароматический жир</x:v>
      </x:c>
      <x:c r="X94" s="28" t="str">
        <x:v>пюре, суп, запекание, крем, гарнир, соус или десертная разработка с семена нигеллы</x:v>
      </x:c>
      <x:c r="Y94" s="28" t="str">
        <x:v>еда, десерты, соусы/маринады</x:v>
      </x:c>
      <x:c r="Z94" s="28" t="str">
        <x:v>Средняя</x:v>
      </x:c>
      <x:c r="AA94" s="28" t="str">
        <x:v>The Art &amp; Science of Foodpairing.pdf</x:v>
      </x:c>
      <x:c r="AB94" s="28" t="str">
        <x:v>The Art &amp; Science of Foodpairing.pdf: 119</x:v>
      </x:c>
      <x:c r="AC94" s="28" t="str">
        <x:v>связь из pairing grid, стр. 119</x:v>
      </x:c>
      <x:c r="AD94" s="28" t="n">
        <x:v>1</x:v>
      </x:c>
      <x:c r="AE94" s="28" t="n">
        <x:v>1</x:v>
      </x:c>
      <x:c r="AF94" s="28" t="n">
        <x:f>IF(Z94="Высокая",3,IF(Z94="Средняя",2,1))+AD94*2+MIN(AE94,3)</x:f>
        <x:v>5</x:v>
      </x:c>
    </x:row>
    <x:row r="95" ht="64" customHeight="1">
      <x:c r="A95" s="28" t="str">
        <x:v>VEG-0094</x:v>
      </x:c>
      <x:c r="B95" s="28" t="str">
        <x:v>батат</x:v>
      </x:c>
      <x:c r="C95" s="28" t="str">
        <x:v>Десерты и выпечка</x:v>
      </x:c>
      <x:c r="D95" s="28" t="str">
        <x:v>батат</x:v>
      </x:c>
      <x:c r="E95" s="28" t="str">
        <x:v>sweet potato</x:v>
      </x:c>
      <x:c r="F95" s="28" t="str">
        <x:v>Корнеплоды и клубни</x:v>
      </x:c>
      <x:c r="G95" s="28" t="str">
        <x:v>соевая паста</x:v>
      </x:c>
      <x:c r="H95" s="28" t="str">
        <x:v>soy paste | soybean paste)</x:v>
      </x:c>
      <x:c r="I95" s="28" t="str">
        <x:v>Выпечка, крупы, сахара и десерты</x:v>
      </x:c>
      <x:c r="J95" s="28" t="str">
        <x:v>сладкий, крахмалистый, цветочный, карамельный и ореховый после запекания</x:v>
      </x:c>
      <x:c r="K95" s="28" t="str">
        <x:v>сладкий, карамельный и жареный</x:v>
      </x:c>
      <x:c r="L95" s="28" t="str">
        <x:v>мальтол, фураны, норизопреноиды, пиразины</x:v>
      </x:c>
      <x:c r="M95" s="28" t="str">
        <x:v>мальтол, пиразины, фураны</x:v>
      </x:c>
      <x:c r="N95" s="28" t="str">
        <x:v>жареный, карамельный, сладкий</x:v>
      </x:c>
      <x:c r="O95" s="28" t="str">
        <x:v>мальтол, пиразины, фураны</x:v>
      </x:c>
      <x:c r="P95" s="28" t="str">
        <x:v>общие характерные молекулы; пересечение ароматических семейств</x:v>
      </x:c>
      <x:c r="Q95" s="28" t="str">
        <x:v>Сладость и землистость балансируются кислотой, солью, горечью и умами; жир усиливает ощущение округлости.</x:v>
      </x:c>
      <x:c r="R95" s="28" t="str">
        <x:v>минимальный</x:v>
      </x:c>
      <x:c r="S95" s="28" t="str">
        <x:v>крахмальная матрица с сахарами и каротиноидами</x:v>
      </x:c>
      <x:c r="T9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5" s="28" t="str">
        <x:v>Батат имеет профиль «сладкий, крахмалистый, цветочный, карамельный и ореховый после запекания». Партнёр «соевая паста»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5" s="28" t="str">
        <x:v>водянистое пюре размывает аромат; сильная сладость требует кислоты, соли или горечи</x:v>
      </x:c>
      <x:c r="W95" s="28" t="str">
        <x:v>соль, кислота или ароматический жир</x:v>
      </x:c>
      <x:c r="X95" s="28" t="str">
        <x:v>пюре, суп, запекание, крем, гарнир, соус или десертная разработка с соевая паста</x:v>
      </x:c>
      <x:c r="Y95" s="28" t="str">
        <x:v>еда, десерты, соусы/маринады</x:v>
      </x:c>
      <x:c r="Z95" s="28" t="str">
        <x:v>Средняя</x:v>
      </x:c>
      <x:c r="AA95" s="28" t="str">
        <x:v>The Art &amp; Science of Foodpairing.pdf</x:v>
      </x:c>
      <x:c r="AB95" s="28" t="str">
        <x:v>The Art &amp; Science of Foodpairing.pdf: 119</x:v>
      </x:c>
      <x:c r="AC95" s="28" t="str">
        <x:v>связь из pairing grid, стр. 119; связь из pairing grid, стр. 119</x:v>
      </x:c>
      <x:c r="AD95" s="28" t="n">
        <x:v>1</x:v>
      </x:c>
      <x:c r="AE95" s="28" t="n">
        <x:v>2</x:v>
      </x:c>
      <x:c r="AF95" s="28" t="n">
        <x:f>IF(Z95="Высокая",3,IF(Z95="Средняя",2,1))+AD95*2+MIN(AE95,3)</x:f>
        <x:v>6</x:v>
      </x:c>
    </x:row>
    <x:row r="96" ht="64" customHeight="1">
      <x:c r="A96" s="28" t="str">
        <x:v>VEG-0095</x:v>
      </x:c>
      <x:c r="B96" s="28" t="str">
        <x:v>батат</x:v>
      </x:c>
      <x:c r="C96" s="28" t="str">
        <x:v>Десерты и выпечка</x:v>
      </x:c>
      <x:c r="D96" s="28" t="str">
        <x:v>батат</x:v>
      </x:c>
      <x:c r="E96" s="28" t="str">
        <x:v>sweet potato</x:v>
      </x:c>
      <x:c r="F96" s="28" t="str">
        <x:v>Корнеплоды и клубни</x:v>
      </x:c>
      <x:c r="G96" s="28" t="str">
        <x:v>сушёный барбарис</x:v>
      </x:c>
      <x:c r="H96" s="28" t="str">
        <x:v>dried barberry</x:v>
      </x:c>
      <x:c r="I96" s="28" t="str">
        <x:v>Выпечка, крупы, сахара и десерты</x:v>
      </x:c>
      <x:c r="J96" s="28" t="str">
        <x:v>сладкий, крахмалистый, цветочный, карамельный и ореховый после запекания</x:v>
      </x:c>
      <x:c r="K96" s="28" t="str">
        <x:v>сладкий, карамельный и жареный</x:v>
      </x:c>
      <x:c r="L96" s="28" t="str">
        <x:v>мальтол, фураны, норизопреноиды, пиразины</x:v>
      </x:c>
      <x:c r="M96" s="28" t="str">
        <x:v>мальтол, пиразины, фураны</x:v>
      </x:c>
      <x:c r="N96" s="28" t="str">
        <x:v>жареный, карамельный, сладкий</x:v>
      </x:c>
      <x:c r="O96" s="28" t="str">
        <x:v>мальтол, пиразины, фураны</x:v>
      </x:c>
      <x:c r="P96" s="28" t="str">
        <x:v>общие характерные молекулы; пересечение ароматических семейств</x:v>
      </x:c>
      <x:c r="Q96" s="28" t="str">
        <x:v>Сладость и землистость балансируются кислотой, солью, горечью и умами; жир усиливает ощущение округлости.</x:v>
      </x:c>
      <x:c r="R96" s="28" t="str">
        <x:v>минимальный</x:v>
      </x:c>
      <x:c r="S96" s="28" t="str">
        <x:v>крахмальная матрица с сахарами и каротиноидами</x:v>
      </x:c>
      <x:c r="T9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6" s="28" t="str">
        <x:v>Батат имеет профиль «сладкий, крахмалистый, цветочный, карамельный и ореховый после запекания». Партнёр «сушёный 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6" s="28" t="str">
        <x:v>водянистое пюре размывает аромат; сильная сладость требует кислоты, соли или горечи</x:v>
      </x:c>
      <x:c r="W96" s="28" t="str">
        <x:v>соль, кислота или ароматический жир</x:v>
      </x:c>
      <x:c r="X96" s="28" t="str">
        <x:v>пюре, суп, запекание, крем, гарнир, соус или десертная разработка с сушёный барбарис</x:v>
      </x:c>
      <x:c r="Y96" s="28" t="str">
        <x:v>еда, десерты, соусы/маринады</x:v>
      </x:c>
      <x:c r="Z96" s="28" t="str">
        <x:v>Средняя</x:v>
      </x:c>
      <x:c r="AA96" s="28" t="str">
        <x:v>The Art &amp; Science of Foodpairing.pdf</x:v>
      </x:c>
      <x:c r="AB96" s="28" t="str">
        <x:v>The Art &amp; Science of Foodpairing.pdf: 119</x:v>
      </x:c>
      <x:c r="AC96" s="28" t="str">
        <x:v>связь из pairing grid, стр. 119</x:v>
      </x:c>
      <x:c r="AD96" s="28" t="n">
        <x:v>1</x:v>
      </x:c>
      <x:c r="AE96" s="28" t="n">
        <x:v>1</x:v>
      </x:c>
      <x:c r="AF96" s="28" t="n">
        <x:f>IF(Z96="Высокая",3,IF(Z96="Средняя",2,1))+AD96*2+MIN(AE96,3)</x:f>
        <x:v>5</x:v>
      </x:c>
    </x:row>
    <x:row r="97" ht="64" customHeight="1">
      <x:c r="A97" s="28" t="str">
        <x:v>VEG-0096</x:v>
      </x:c>
      <x:c r="B97" s="28" t="str">
        <x:v>батат</x:v>
      </x:c>
      <x:c r="C97" s="28" t="str">
        <x:v>Универсальные</x:v>
      </x:c>
      <x:c r="D97" s="28" t="str">
        <x:v>батат</x:v>
      </x:c>
      <x:c r="E97" s="28" t="str">
        <x:v>sweet potato</x:v>
      </x:c>
      <x:c r="F97" s="28" t="str">
        <x:v>Корнеплоды и клубни</x:v>
      </x:c>
      <x:c r="G97" s="28" t="str">
        <x:v>сушёный корень дягиля</x:v>
      </x:c>
      <x:c r="H97" s="28" t="str">
        <x:v>dried angelica root</x:v>
      </x:c>
      <x:c r="I97" s="28" t="str">
        <x:v>Прочее</x:v>
      </x:c>
      <x:c r="J97" s="28" t="str">
        <x:v>сладкий, крахмалистый, цветочный, карамельный и ореховый после запекания</x:v>
      </x:c>
      <x:c r="K97" s="28" t="str">
        <x:v>профиль зависит от конкретного продукта</x:v>
      </x:c>
      <x:c r="L97" s="28" t="str">
        <x:v>мальтол, фураны, норизопреноиды, пиразины</x:v>
      </x:c>
      <x:c r="M97" s="28" t="str">
        <x:v>конкретный молекулярный профиль не указан</x:v>
      </x:c>
      <x:c r="N97" s="28" t="str">
        <x:v>прямое пересечение семейств не подтверждено</x:v>
      </x:c>
      <x:c r="O97" s="28" t="str">
        <x:v>надёжная общая ключевая молекула не установлена</x:v>
      </x:c>
      <x:c r="P97" s="28" t="str">
        <x:v>сенсорная комплементарность</x:v>
      </x:c>
      <x:c r="Q97" s="28" t="str">
        <x:v>Сладость и землистость балансируются кислотой, солью, горечью и умами; жир усиливает ощущение округлости.</x:v>
      </x:c>
      <x:c r="R97" s="28" t="str">
        <x:v>минимальный</x:v>
      </x:c>
      <x:c r="S97" s="28" t="str">
        <x:v>крахмальная матрица с сахарами и каротиноидами</x:v>
      </x:c>
      <x:c r="T9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7" s="28" t="str">
        <x:v>Батат имеет профиль «сладкий, крахмалистый, цветочный, карамельный и ореховый после запекания». Партнёр «сушёный корень дягиля»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7" s="28" t="str">
        <x:v>водянистое пюре размывает аромат; сильная сладость требует кислоты, соли или горечи</x:v>
      </x:c>
      <x:c r="W97" s="28" t="str">
        <x:v>соль, кислота или ароматический жир</x:v>
      </x:c>
      <x:c r="X97" s="28" t="str">
        <x:v>пюре, суп, запекание, крем, гарнир, соус или десертная разработка с сушёный корень дягиля</x:v>
      </x:c>
      <x:c r="Y97" s="28" t="str">
        <x:v>еда, соусы/маринады</x:v>
      </x:c>
      <x:c r="Z97" s="28" t="str">
        <x:v>Средняя</x:v>
      </x:c>
      <x:c r="AA97" s="28" t="str">
        <x:v>The Art &amp; Science of Foodpairing.pdf</x:v>
      </x:c>
      <x:c r="AB97" s="28" t="str">
        <x:v>The Art &amp; Science of Foodpairing.pdf: 119</x:v>
      </x:c>
      <x:c r="AC97" s="28" t="str">
        <x:v>связь из pairing grid, стр. 119</x:v>
      </x:c>
      <x:c r="AD97" s="28" t="n">
        <x:v>1</x:v>
      </x:c>
      <x:c r="AE97" s="28" t="n">
        <x:v>1</x:v>
      </x:c>
      <x:c r="AF97" s="28" t="n">
        <x:f>IF(Z97="Высокая",3,IF(Z97="Средняя",2,1))+AD97*2+MIN(AE97,3)</x:f>
        <x:v>5</x:v>
      </x:c>
    </x:row>
    <x:row r="98" ht="64" customHeight="1">
      <x:c r="A98" s="28" t="str">
        <x:v>VEG-0097</x:v>
      </x:c>
      <x:c r="B98" s="28" t="str">
        <x:v>батат</x:v>
      </x:c>
      <x:c r="C98" s="28" t="str">
        <x:v>Десерты и выпечка</x:v>
      </x:c>
      <x:c r="D98" s="28" t="str">
        <x:v>батат</x:v>
      </x:c>
      <x:c r="E98" s="28" t="str">
        <x:v>sweet potato</x:v>
      </x:c>
      <x:c r="F98" s="28" t="str">
        <x:v>Корнеплоды и клубни</x:v>
      </x:c>
      <x:c r="G98" s="28" t="str">
        <x:v>сыр ронкаль</x:v>
      </x:c>
      <x:c r="H98" s="28" t="str">
        <x:v>Roncal cheese</x:v>
      </x:c>
      <x:c r="I98" s="28" t="str">
        <x:v>Молочные продукты и сыры</x:v>
      </x:c>
      <x:c r="J98" s="28" t="str">
        <x:v>сладкий, крахмалистый, цветочный, карамельный и ореховый после запекания</x:v>
      </x:c>
      <x:c r="K98" s="28" t="str">
        <x:v>молочный, умами, ферментированный</x:v>
      </x:c>
      <x:c r="L98" s="28" t="str">
        <x:v>мальтол, фураны, норизопреноиды, пиразины</x:v>
      </x:c>
      <x:c r="M98" s="28" t="str">
        <x:v>диацетил, жирные кислоты</x:v>
      </x:c>
      <x:c r="N98" s="28" t="str">
        <x:v>прямое пересечение семейств не подтверждено</x:v>
      </x:c>
      <x:c r="O98" s="28" t="str">
        <x:v>надёжная общая ключевая молекула не установлена</x:v>
      </x:c>
      <x:c r="P98" s="28" t="str">
        <x:v>жировая матрица</x:v>
      </x:c>
      <x:c r="Q98" s="28" t="str">
        <x:v>Сладость и землистость балансируются кислотой, солью, горечью и умами; жир усиливает ощущение округлости.</x:v>
      </x:c>
      <x:c r="R98" s="28" t="str">
        <x:v>минимальный</x:v>
      </x:c>
      <x:c r="S98" s="28" t="str">
        <x:v>крахмальная матрица с сахарами и каротиноидами Жировая фаза удерживает гидрофобные молекулы, но может сделать вкус тяжёлым.</x:v>
      </x:c>
      <x:c r="T9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8" s="28" t="str">
        <x:v>Батат имеет профиль «сладкий, крахмалистый, цветочный, карамельный и ореховый после запекания». Партнёр «сыр ронкаль»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98" s="28" t="str">
        <x:v>водянистое пюре размывает аромат; сильная сладость требует кислоты, соли или горечи; жир способен приглушить свежую зелёную ароматику</x:v>
      </x:c>
      <x:c r="W98" s="28" t="str">
        <x:v>кислота, зелень или жареный орех</x:v>
      </x:c>
      <x:c r="X98" s="28" t="str">
        <x:v>пюре, суп, запекание, крем, гарнир, соус или десертная разработка с сыр ронкаль</x:v>
      </x:c>
      <x:c r="Y98" s="28" t="str">
        <x:v>еда, десерты, соусы/маринады</x:v>
      </x:c>
      <x:c r="Z98" s="28" t="str">
        <x:v>Средняя</x:v>
      </x:c>
      <x:c r="AA98" s="28" t="str">
        <x:v>The Art &amp; Science of Foodpairing.pdf</x:v>
      </x:c>
      <x:c r="AB98" s="28" t="str">
        <x:v>The Art &amp; Science of Foodpairing.pdf: 119</x:v>
      </x:c>
      <x:c r="AC98" s="28" t="str">
        <x:v>связь из pairing grid, стр. 119</x:v>
      </x:c>
      <x:c r="AD98" s="28" t="n">
        <x:v>1</x:v>
      </x:c>
      <x:c r="AE98" s="28" t="n">
        <x:v>1</x:v>
      </x:c>
      <x:c r="AF98" s="28" t="n">
        <x:f>IF(Z98="Высокая",3,IF(Z98="Средняя",2,1))+AD98*2+MIN(AE98,3)</x:f>
        <x:v>5</x:v>
      </x:c>
    </x:row>
    <x:row r="99" ht="64" customHeight="1">
      <x:c r="A99" s="28" t="str">
        <x:v>VEG-0098</x:v>
      </x:c>
      <x:c r="B99" s="28" t="str">
        <x:v>батат</x:v>
      </x:c>
      <x:c r="C99" s="28" t="str">
        <x:v>Универсальные</x:v>
      </x:c>
      <x:c r="D99" s="28" t="str">
        <x:v>батат</x:v>
      </x:c>
      <x:c r="E99" s="28" t="str">
        <x:v>sweet potato</x:v>
      </x:c>
      <x:c r="F99" s="28" t="str">
        <x:v>Корнеплоды и клубни</x:v>
      </x:c>
      <x:c r="G99" s="28" t="str">
        <x:v>тимьян</x:v>
      </x:c>
      <x:c r="H99" s="28" t="str">
        <x:v>common thyme</x:v>
      </x:c>
      <x:c r="I99" s="28" t="str">
        <x:v>Травы, цветы и листья</x:v>
      </x:c>
      <x:c r="J99" s="28" t="str">
        <x:v>сладкий, крахмалистый, цветочный, карамельный и ореховый после запекания</x:v>
      </x:c>
      <x:c r="K99" s="28" t="str">
        <x:v>древесный, зелёный, фенольный</x:v>
      </x:c>
      <x:c r="L99" s="28" t="str">
        <x:v>мальтол, фураны, норизопреноиды, пиразины</x:v>
      </x:c>
      <x:c r="M99" s="28" t="str">
        <x:v>карвакрол, тимол</x:v>
      </x:c>
      <x:c r="N99" s="28" t="str">
        <x:v>прямое пересечение семейств не подтверждено</x:v>
      </x:c>
      <x:c r="O99" s="28" t="str">
        <x:v>надёжная общая ключевая молекула не установлена</x:v>
      </x:c>
      <x:c r="P99" s="28" t="str">
        <x:v>сенсорная комплементарность</x:v>
      </x:c>
      <x:c r="Q99" s="28" t="str">
        <x:v>Сладость и землистость балансируются кислотой, солью, горечью и умами; жир усиливает ощущение округлости.</x:v>
      </x:c>
      <x:c r="R99" s="28" t="str">
        <x:v>минимальный</x:v>
      </x:c>
      <x:c r="S99" s="28" t="str">
        <x:v>крахмальная матрица с сахарами и каротиноидами</x:v>
      </x:c>
      <x:c r="T9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99" s="28" t="str">
        <x:v>Батат имеет профиль «сладкий, крахмалистый, цветочный, карамельный и ореховый после запекания».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99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W99" s="28" t="str">
        <x:v>оливковое масло, лимон или сыр</x:v>
      </x:c>
      <x:c r="X99" s="28" t="str">
        <x:v>пюре, суп, запекание, крем, гарнир, соус или десертная разработка с тимьян</x:v>
      </x:c>
      <x:c r="Y99" s="28" t="str">
        <x:v>еда, соусы/маринады</x:v>
      </x:c>
      <x:c r="Z99" s="28" t="str">
        <x:v>Средняя</x:v>
      </x:c>
      <x:c r="AA99" s="28" t="str">
        <x:v>The Art &amp; Science of Foodpairing.pdf</x:v>
      </x:c>
      <x:c r="AB99" s="28" t="str">
        <x:v>The Art &amp; Science of Foodpairing.pdf: 119</x:v>
      </x:c>
      <x:c r="AC99" s="28" t="str">
        <x:v>связь из pairing grid, стр. 119</x:v>
      </x:c>
      <x:c r="AD99" s="28" t="n">
        <x:v>1</x:v>
      </x:c>
      <x:c r="AE99" s="28" t="n">
        <x:v>1</x:v>
      </x:c>
      <x:c r="AF99" s="28" t="n">
        <x:f>IF(Z99="Высокая",3,IF(Z99="Средняя",2,1))+AD99*2+MIN(AE99,3)</x:f>
        <x:v>5</x:v>
      </x:c>
    </x:row>
    <x:row r="100" ht="64" customHeight="1">
      <x:c r="A100" s="28" t="str">
        <x:v>VEG-0099</x:v>
      </x:c>
      <x:c r="B100" s="28" t="str">
        <x:v>батат</x:v>
      </x:c>
      <x:c r="C100" s="28" t="str">
        <x:v>Универсальные</x:v>
      </x:c>
      <x:c r="D100" s="28" t="str">
        <x:v>батат</x:v>
      </x:c>
      <x:c r="E100" s="28" t="str">
        <x:v>boiled sweet potato</x:v>
      </x:c>
      <x:c r="F100" s="28" t="str">
        <x:v>Корнеплоды и клубни</x:v>
      </x:c>
      <x:c r="G100" s="28" t="str">
        <x:v>томат</x:v>
      </x:c>
      <x:c r="H100" s="28" t="str">
        <x:v>tomato and tomato puree</x:v>
      </x:c>
      <x:c r="I100" s="28" t="str">
        <x:v>Плодовые овощи</x:v>
      </x:c>
      <x:c r="J100" s="28" t="str">
        <x:v>сладкий, крахмалистый, цветочный, карамельный и ореховый после запекания</x:v>
      </x:c>
      <x:c r="K100" s="28" t="str">
        <x:v>зелёный, фруктовый, листовой, сернистый и умами</x:v>
      </x:c>
      <x:c r="L100" s="28" t="str">
        <x:v>мальтол, фураны, норизопреноиды, пиразины</x:v>
      </x:c>
      <x:c r="M100" s="28" t="str">
        <x:v>β-ионон, гексаналь, глутамат, метиональ, цис-3-гексеналь</x:v>
      </x:c>
      <x:c r="N100" s="28" t="str">
        <x:v>прямое пересечение семейств не подтверждено</x:v>
      </x:c>
      <x:c r="O100" s="28" t="str">
        <x:v>надёжная общая ключевая молекула не установлена</x:v>
      </x:c>
      <x:c r="P100" s="28" t="str">
        <x:v>сенсорная комплементарность</x:v>
      </x:c>
      <x:c r="Q100" s="28" t="str">
        <x:v>Сладость и землистость балансируются кислотой, солью, горечью и умами; жир усиливает ощущение округлости.</x:v>
      </x:c>
      <x:c r="R100" s="28" t="str">
        <x:v>минимальный</x:v>
      </x:c>
      <x:c r="S100" s="28" t="str">
        <x:v>крахмальная матрица с сахарами и каротиноидами</x:v>
      </x:c>
      <x:c r="T10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0" s="28" t="str">
        <x:v>Батат имеет профиль «сладкий, крахмалистый, цветочный, карамельный и ореховый после запекания». Партнёр «томат» относится к группе «Плодовые овощи» и даёт зелёный, фруктовый, листовой,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100" s="28" t="str">
        <x:v>водянистое пюре размывает аромат; сильная сладость требует кислоты, соли или горечи</x:v>
      </x:c>
      <x:c r="W100" s="28" t="str">
        <x:v>соль, кислота или ароматический жир</x:v>
      </x:c>
      <x:c r="X100" s="28" t="str">
        <x:v>пюре, суп, запекание, крем, гарнир, соус или десертная разработка с томат</x:v>
      </x:c>
      <x:c r="Y100" s="28" t="str">
        <x:v>еда, соусы/маринады</x:v>
      </x:c>
      <x:c r="Z100" s="28" t="str">
        <x:v>Средняя</x:v>
      </x:c>
      <x:c r="AA100" s="28" t="str">
        <x:v>The Art &amp; Science of Foodpairing.pdf</x:v>
      </x:c>
      <x:c r="AB100" s="28" t="str">
        <x:v>The Art &amp; Science of Foodpairing.pdf: 161</x:v>
      </x:c>
      <x:c r="AC100" s="28" t="str">
        <x:v>связь из pairing grid, стр. 161</x:v>
      </x:c>
      <x:c r="AD100" s="28" t="n">
        <x:v>1</x:v>
      </x:c>
      <x:c r="AE100" s="28" t="n">
        <x:v>1</x:v>
      </x:c>
      <x:c r="AF100" s="28" t="n">
        <x:f>IF(Z100="Высокая",3,IF(Z100="Средняя",2,1))+AD100*2+MIN(AE100,3)</x:f>
        <x:v>5</x:v>
      </x:c>
    </x:row>
    <x:row r="101" ht="64" customHeight="1">
      <x:c r="A101" s="28" t="str">
        <x:v>VEG-0100</x:v>
      </x:c>
      <x:c r="B101" s="28" t="str">
        <x:v>батат</x:v>
      </x:c>
      <x:c r="C101" s="28" t="str">
        <x:v>Еда и соусы</x:v>
      </x:c>
      <x:c r="D101" s="28" t="str">
        <x:v>батат</x:v>
      </x:c>
      <x:c r="E101" s="28" t="str">
        <x:v>sweet potato</x:v>
      </x:c>
      <x:c r="F101" s="28" t="str">
        <x:v>Корнеплоды и клубни</x:v>
      </x:c>
      <x:c r="G101" s="28" t="str">
        <x:v>треска</x:v>
      </x:c>
      <x:c r="H101" s="28" t="str">
        <x:v>poached cod fillet</x:v>
      </x:c>
      <x:c r="I101" s="28" t="str">
        <x:v>Рыба и морепродукты</x:v>
      </x:c>
      <x:c r="J101" s="28" t="str">
        <x:v>сладкий, крахмалистый, цветочный, карамельный и ореховый после запекания</x:v>
      </x:c>
      <x:c r="K101" s="28" t="str">
        <x:v>морской, солоноватый и умами</x:v>
      </x:c>
      <x:c r="L101" s="28" t="str">
        <x:v>мальтол, фураны, норизопреноиды, пиразины</x:v>
      </x:c>
      <x:c r="M101" s="28" t="str">
        <x:v>альдегиды, амины</x:v>
      </x:c>
      <x:c r="N101" s="28" t="str">
        <x:v>прямое пересечение семейств не подтверждено</x:v>
      </x:c>
      <x:c r="O101" s="28" t="str">
        <x:v>надёжная общая ключевая молекула не установлена</x:v>
      </x:c>
      <x:c r="P101" s="28" t="str">
        <x:v>умами и солёный контраст</x:v>
      </x:c>
      <x:c r="Q101" s="28" t="str">
        <x:v>Сладость и землистость балансируются кислотой, солью, горечью и умами; жир усиливает ощущение округлости.</x:v>
      </x:c>
      <x:c r="R101" s="28" t="str">
        <x:v>минимальный</x:v>
      </x:c>
      <x:c r="S101" s="28" t="str">
        <x:v>крахмальная матрица с сахарами и каротиноидами Белок и жир требуют контроля воды: для жареной ароматики поверхность должна подсохнуть.</x:v>
      </x:c>
      <x:c r="T10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1" s="28" t="str">
        <x:v>Батат имеет профиль «сладкий, крахмалистый, цветочный, карамельный и ореховый после запекания».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101" s="28" t="str">
        <x:v>водянистое пюре размывает аромат; сильная сладость требует кислоты, соли или горечи</x:v>
      </x:c>
      <x:c r="W101" s="28" t="str">
        <x:v>сливочное масло, соевый соус или тимьян</x:v>
      </x:c>
      <x:c r="X101" s="28" t="str">
        <x:v>пюре, суп, запекание, крем, гарнир, соус или десертная разработка с треска</x:v>
      </x:c>
      <x:c r="Y101" s="28" t="str">
        <x:v>еда, соусы/маринады</x:v>
      </x:c>
      <x:c r="Z101" s="28" t="str">
        <x:v>Средняя</x:v>
      </x:c>
      <x:c r="AA101" s="28" t="str">
        <x:v>The Art &amp; Science of Foodpairing.pdf</x:v>
      </x:c>
      <x:c r="AB101" s="28" t="str">
        <x:v>The Art &amp; Science of Foodpairing.pdf: 119</x:v>
      </x:c>
      <x:c r="AC101" s="28" t="str">
        <x:v>связь из pairing grid, стр. 119</x:v>
      </x:c>
      <x:c r="AD101" s="28" t="n">
        <x:v>1</x:v>
      </x:c>
      <x:c r="AE101" s="28" t="n">
        <x:v>1</x:v>
      </x:c>
      <x:c r="AF101" s="28" t="n">
        <x:f>IF(Z101="Высокая",3,IF(Z101="Средняя",2,1))+AD101*2+MIN(AE101,3)</x:f>
        <x:v>5</x:v>
      </x:c>
    </x:row>
    <x:row r="102" ht="64" customHeight="1">
      <x:c r="A102" s="28" t="str">
        <x:v>VEG-0101</x:v>
      </x:c>
      <x:c r="B102" s="28" t="str">
        <x:v>батат</x:v>
      </x:c>
      <x:c r="C102" s="28" t="str">
        <x:v>Десерты и выпечка</x:v>
      </x:c>
      <x:c r="D102" s="28" t="str">
        <x:v>батат</x:v>
      </x:c>
      <x:c r="E102" s="28" t="str">
        <x:v>boiled purple sweet potato | sweet potato</x:v>
      </x:c>
      <x:c r="F102" s="28" t="str">
        <x:v>Корнеплоды и клубни</x:v>
      </x:c>
      <x:c r="G102" s="28" t="str">
        <x:v>фундук</x:v>
      </x:c>
      <x:c r="H102" s="28" t="str">
        <x:v>hazelnut</x:v>
      </x:c>
      <x:c r="I102" s="28" t="str">
        <x:v>Орехи и семена</x:v>
      </x:c>
      <x:c r="J102" s="28" t="str">
        <x:v>сладкий, крахмалистый, цветочный, карамельный и ореховый после запекания</x:v>
      </x:c>
      <x:c r="K102" s="28" t="str">
        <x:v>жареный, какаовый, ореховый</x:v>
      </x:c>
      <x:c r="L102" s="28" t="str">
        <x:v>мальтол, фураны, норизопреноиды, пиразины</x:v>
      </x:c>
      <x:c r="M102" s="28" t="str">
        <x:v>пиразины, фильбертон</x:v>
      </x:c>
      <x:c r="N102" s="28" t="str">
        <x:v>жареный</x:v>
      </x:c>
      <x:c r="O102" s="28" t="str">
        <x:v>пиразины</x:v>
      </x:c>
      <x:c r="P102" s="28" t="str">
        <x:v>общие характерные молекулы; пересечение ароматических семейств</x:v>
      </x:c>
      <x:c r="Q102" s="28" t="str">
        <x:v>Сладость и землистость балансируются кислотой, солью, горечью и умами; жир усиливает ощущение округлости.</x:v>
      </x:c>
      <x:c r="R102" s="28" t="str">
        <x:v>минимальный</x:v>
      </x:c>
      <x:c r="S102" s="28" t="str">
        <x:v>крахмальная матрица с сахарами и каротиноидами</x:v>
      </x:c>
      <x:c r="T10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2" s="28" t="str">
        <x:v>Батат имеет профиль «сладкий, крахмалистый, цветочный, карамельный и ореховый после запекания».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102" s="28" t="str">
        <x:v>водянистое пюре размывает аромат; сильная сладость требует кислоты, соли или горечи</x:v>
      </x:c>
      <x:c r="W102" s="28" t="str">
        <x:v>соль, кислота или ароматический жир</x:v>
      </x:c>
      <x:c r="X102" s="28" t="str">
        <x:v>пюре, суп, запекание, крем, гарнир, соус или десертная разработка с фундук</x:v>
      </x:c>
      <x:c r="Y102" s="28" t="str">
        <x:v>еда, десерты, соусы/маринады</x:v>
      </x:c>
      <x:c r="Z102" s="28" t="str">
        <x:v>Средняя</x:v>
      </x:c>
      <x:c r="AA102" s="28" t="str">
        <x:v>The Art &amp; Science of Foodpairing.pdf</x:v>
      </x:c>
      <x:c r="AB102" s="28" t="str">
        <x:v>The Art &amp; Science of Foodpairing.pdf: 119, 332</x:v>
      </x:c>
      <x:c r="AC102" s="28" t="str">
        <x:v>связь из pairing grid, стр. 119; связь из pairing grid, стр. 332</x:v>
      </x:c>
      <x:c r="AD102" s="28" t="n">
        <x:v>1</x:v>
      </x:c>
      <x:c r="AE102" s="28" t="n">
        <x:v>2</x:v>
      </x:c>
      <x:c r="AF102" s="28" t="n">
        <x:f>IF(Z102="Высокая",3,IF(Z102="Средняя",2,1))+AD102*2+MIN(AE102,3)</x:f>
        <x:v>6</x:v>
      </x:c>
    </x:row>
    <x:row r="103" ht="64" customHeight="1">
      <x:c r="A103" s="28" t="str">
        <x:v>VEG-0102</x:v>
      </x:c>
      <x:c r="B103" s="28" t="str">
        <x:v>батат</x:v>
      </x:c>
      <x:c r="C103" s="28" t="str">
        <x:v>Десерты и выпечка</x:v>
      </x:c>
      <x:c r="D103" s="28" t="str">
        <x:v>батат</x:v>
      </x:c>
      <x:c r="E103" s="28" t="str">
        <x:v>sweet potato</x:v>
      </x:c>
      <x:c r="F103" s="28" t="str">
        <x:v>Корнеплоды и клубни</x:v>
      </x:c>
      <x:c r="G103" s="28" t="str">
        <x:v>цукаты из апельсиновой корки</x:v>
      </x:c>
      <x:c r="H103" s="28" t="str">
        <x:v>candied orange peel</x:v>
      </x:c>
      <x:c r="I103" s="28" t="str">
        <x:v>Фрукты и ягоды</x:v>
      </x:c>
      <x:c r="J103" s="28" t="str">
        <x:v>сладкий, крахмалистый, цветочный, карамельный и ореховый после запекания</x:v>
      </x:c>
      <x:c r="K103" s="28" t="str">
        <x:v>сладкий, цветочный, цитрусовый</x:v>
      </x:c>
      <x:c r="L103" s="28" t="str">
        <x:v>мальтол, фураны, норизопреноиды, пиразины</x:v>
      </x:c>
      <x:c r="M103" s="28" t="str">
        <x:v>лимонен, линалоол</x:v>
      </x:c>
      <x:c r="N103" s="28" t="str">
        <x:v>сладкий</x:v>
      </x:c>
      <x:c r="O103" s="28" t="str">
        <x:v>надёжная общая ключевая молекула не установлена</x:v>
      </x:c>
      <x:c r="P103" s="28" t="str">
        <x:v>пересечение ароматических семейств; кислотно-сладкий баланс</x:v>
      </x:c>
      <x:c r="Q103" s="28" t="str">
        <x:v>Сладость и землистость балансируются кислотой, солью, горечью и умами; жир усиливает ощущение округлости.</x:v>
      </x:c>
      <x:c r="R103" s="28" t="str">
        <x:v>минимальный</x:v>
      </x:c>
      <x:c r="S103" s="28" t="str">
        <x:v>крахмальная матрица с сахарами и каротиноидами Водная кислая фаза усиливает свежесть, но может разжижать пюре и нарушать молочную эмульсию.</x:v>
      </x:c>
      <x:c r="T10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3" s="28" t="str">
        <x:v>Батат имеет профиль «сладкий, крахмалистый, цветочный, карамельный и ореховый после запекания». Партнёр «цукаты из апельсиновой корки»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103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103" s="28" t="str">
        <x:v>цитрус, мёд или мягкая трава</x:v>
      </x:c>
      <x:c r="X103" s="28" t="str">
        <x:v>пюре, суп, запекание, крем, гарнир, соус или десертная разработка с цукаты из апельсиновой корки</x:v>
      </x:c>
      <x:c r="Y103" s="28" t="str">
        <x:v>еда, десерты, соусы/маринады</x:v>
      </x:c>
      <x:c r="Z103" s="28" t="str">
        <x:v>Средняя</x:v>
      </x:c>
      <x:c r="AA103" s="28" t="str">
        <x:v>The Art &amp; Science of Foodpairing.pdf</x:v>
      </x:c>
      <x:c r="AB103" s="28" t="str">
        <x:v>The Art &amp; Science of Foodpairing.pdf: 119</x:v>
      </x:c>
      <x:c r="AC103" s="28" t="str">
        <x:v>связь из pairing grid, стр. 119</x:v>
      </x:c>
      <x:c r="AD103" s="28" t="n">
        <x:v>1</x:v>
      </x:c>
      <x:c r="AE103" s="28" t="n">
        <x:v>1</x:v>
      </x:c>
      <x:c r="AF103" s="28" t="n">
        <x:f>IF(Z103="Высокая",3,IF(Z103="Средняя",2,1))+AD103*2+MIN(AE103,3)</x:f>
        <x:v>5</x:v>
      </x:c>
    </x:row>
    <x:row r="104" ht="64" customHeight="1">
      <x:c r="A104" s="28" t="str">
        <x:v>VEG-0103</x:v>
      </x:c>
      <x:c r="B104" s="28" t="str">
        <x:v>батат</x:v>
      </x:c>
      <x:c r="C104" s="28" t="str">
        <x:v>Универсальные</x:v>
      </x:c>
      <x:c r="D104" s="28" t="str">
        <x:v>батат</x:v>
      </x:c>
      <x:c r="E104" s="28" t="str">
        <x:v>sweet potato</x:v>
      </x:c>
      <x:c r="F104" s="28" t="str">
        <x:v>Корнеплоды и клубни</x:v>
      </x:c>
      <x:c r="G104" s="28" t="str">
        <x:v>чабер</x:v>
      </x:c>
      <x:c r="H104" s="28" t="str">
        <x:v>summer savory</x:v>
      </x:c>
      <x:c r="I104" s="28" t="str">
        <x:v>Прочее</x:v>
      </x:c>
      <x:c r="J104" s="28" t="str">
        <x:v>сладкий, крахмалистый, цветочный, карамельный и ореховый после запекания</x:v>
      </x:c>
      <x:c r="K104" s="28" t="str">
        <x:v>профиль зависит от конкретного продукта</x:v>
      </x:c>
      <x:c r="L104" s="28" t="str">
        <x:v>мальтол, фураны, норизопреноиды, пиразины</x:v>
      </x:c>
      <x:c r="M104" s="28" t="str">
        <x:v>конкретный молекулярный профиль не указан</x:v>
      </x:c>
      <x:c r="N104" s="28" t="str">
        <x:v>прямое пересечение семейств не подтверждено</x:v>
      </x:c>
      <x:c r="O104" s="28" t="str">
        <x:v>надёжная общая ключевая молекула не установлена</x:v>
      </x:c>
      <x:c r="P104" s="28" t="str">
        <x:v>сенсорная комплементарность</x:v>
      </x:c>
      <x:c r="Q104" s="28" t="str">
        <x:v>Сладость и землистость балансируются кислотой, солью, горечью и умами; жир усиливает ощущение округлости.</x:v>
      </x:c>
      <x:c r="R104" s="28" t="str">
        <x:v>минимальный</x:v>
      </x:c>
      <x:c r="S104" s="28" t="str">
        <x:v>крахмальная матрица с сахарами и каротиноидами</x:v>
      </x:c>
      <x:c r="T10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4" s="28" t="str">
        <x:v>Батат имеет профиль «сладкий, крахмалистый, цветочный, карамельный и ореховый после запекания». Партнёр «чабер»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104" s="28" t="str">
        <x:v>водянистое пюре размывает аромат; сильная сладость требует кислоты, соли или горечи</x:v>
      </x:c>
      <x:c r="W104" s="28" t="str">
        <x:v>соль, кислота или ароматический жир</x:v>
      </x:c>
      <x:c r="X104" s="28" t="str">
        <x:v>пюре, суп, запекание, крем, гарнир, соус или десертная разработка с чабер</x:v>
      </x:c>
      <x:c r="Y104" s="28" t="str">
        <x:v>еда, соусы/маринады</x:v>
      </x:c>
      <x:c r="Z104" s="28" t="str">
        <x:v>Средняя</x:v>
      </x:c>
      <x:c r="AA104" s="28" t="str">
        <x:v>The Art &amp; Science of Foodpairing.pdf</x:v>
      </x:c>
      <x:c r="AB104" s="28" t="str">
        <x:v>The Art &amp; Science of Foodpairing.pdf: 119</x:v>
      </x:c>
      <x:c r="AC104" s="28" t="str">
        <x:v>связь из pairing grid, стр. 119</x:v>
      </x:c>
      <x:c r="AD104" s="28" t="n">
        <x:v>1</x:v>
      </x:c>
      <x:c r="AE104" s="28" t="n">
        <x:v>1</x:v>
      </x:c>
      <x:c r="AF104" s="28" t="n">
        <x:f>IF(Z104="Высокая",3,IF(Z104="Средняя",2,1))+AD104*2+MIN(AE104,3)</x:f>
        <x:v>5</x:v>
      </x:c>
    </x:row>
    <x:row r="105" ht="64" customHeight="1">
      <x:c r="A105" s="28" t="str">
        <x:v>VEG-0104</x:v>
      </x:c>
      <x:c r="B105" s="28" t="str">
        <x:v>батат</x:v>
      </x:c>
      <x:c r="C105" s="28" t="str">
        <x:v>Универсальные</x:v>
      </x:c>
      <x:c r="D105" s="28" t="str">
        <x:v>батат</x:v>
      </x:c>
      <x:c r="E105" s="28" t="str">
        <x:v>sweet potato</x:v>
      </x:c>
      <x:c r="F105" s="28" t="str">
        <x:v>Корнеплоды и клубни</x:v>
      </x:c>
      <x:c r="G105" s="28" t="str">
        <x:v>черешня</x:v>
      </x:c>
      <x:c r="H105" s="28" t="str">
        <x:v>sweet cherry</x:v>
      </x:c>
      <x:c r="I105" s="28" t="str">
        <x:v>Прочее</x:v>
      </x:c>
      <x:c r="J105" s="28" t="str">
        <x:v>сладкий, крахмалистый, цветочный, карамельный и ореховый после запекания</x:v>
      </x:c>
      <x:c r="K105" s="28" t="str">
        <x:v>профиль зависит от конкретного продукта</x:v>
      </x:c>
      <x:c r="L105" s="28" t="str">
        <x:v>мальтол, фураны, норизопреноиды, пиразины</x:v>
      </x:c>
      <x:c r="M105" s="28" t="str">
        <x:v>конкретный молекулярный профиль не указан</x:v>
      </x:c>
      <x:c r="N105" s="28" t="str">
        <x:v>прямое пересечение семейств не подтверждено</x:v>
      </x:c>
      <x:c r="O105" s="28" t="str">
        <x:v>надёжная общая ключевая молекула не установлена</x:v>
      </x:c>
      <x:c r="P105" s="28" t="str">
        <x:v>сенсорная комплементарность</x:v>
      </x:c>
      <x:c r="Q105" s="28" t="str">
        <x:v>Сладость и землистость балансируются кислотой, солью, горечью и умами; жир усиливает ощущение округлости.</x:v>
      </x:c>
      <x:c r="R105" s="28" t="str">
        <x:v>минимальный</x:v>
      </x:c>
      <x:c r="S105" s="28" t="str">
        <x:v>крахмальная матрица с сахарами и каротиноидами</x:v>
      </x:c>
      <x:c r="T10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5" s="28" t="str">
        <x:v>Батат имеет профиль «сладкий, крахмалистый, цветочный, карамельный и ореховый после запекания». Партнёр «черешня»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105" s="28" t="str">
        <x:v>водянистое пюре размывает аромат; сильная сладость требует кислоты, соли или горечи</x:v>
      </x:c>
      <x:c r="W105" s="28" t="str">
        <x:v>соль, кислота или ароматический жир</x:v>
      </x:c>
      <x:c r="X105" s="28" t="str">
        <x:v>пюре, суп, запекание, крем, гарнир, соус или десертная разработка с черешня</x:v>
      </x:c>
      <x:c r="Y105" s="28" t="str">
        <x:v>еда, соусы/маринады</x:v>
      </x:c>
      <x:c r="Z105" s="28" t="str">
        <x:v>Средняя</x:v>
      </x:c>
      <x:c r="AA105" s="28" t="str">
        <x:v>The Art &amp; Science of Foodpairing.pdf</x:v>
      </x:c>
      <x:c r="AB105" s="28" t="str">
        <x:v>The Art &amp; Science of Foodpairing.pdf: 119</x:v>
      </x:c>
      <x:c r="AC105" s="28" t="str">
        <x:v>связь из pairing grid, стр. 119</x:v>
      </x:c>
      <x:c r="AD105" s="28" t="n">
        <x:v>1</x:v>
      </x:c>
      <x:c r="AE105" s="28" t="n">
        <x:v>1</x:v>
      </x:c>
      <x:c r="AF105" s="28" t="n">
        <x:f>IF(Z105="Высокая",3,IF(Z105="Средняя",2,1))+AD105*2+MIN(AE105,3)</x:f>
        <x:v>5</x:v>
      </x:c>
    </x:row>
    <x:row r="106" ht="64" customHeight="1">
      <x:c r="A106" s="28" t="str">
        <x:v>VEG-0105</x:v>
      </x:c>
      <x:c r="B106" s="28" t="str">
        <x:v>батат</x:v>
      </x:c>
      <x:c r="C106" s="28" t="str">
        <x:v>Еда и соусы</x:v>
      </x:c>
      <x:c r="D106" s="28" t="str">
        <x:v>батат</x:v>
      </x:c>
      <x:c r="E106" s="28" t="str">
        <x:v>sweet potato</x:v>
      </x:c>
      <x:c r="F106" s="28" t="str">
        <x:v>Корнеплоды и клубни</x:v>
      </x:c>
      <x:c r="G106" s="28" t="str">
        <x:v>чеснок</x:v>
      </x:c>
      <x:c r="H106" s="28" t="str">
        <x:v>garlic</x:v>
      </x:c>
      <x:c r="I106" s="28" t="str">
        <x:v>Луковые овощи</x:v>
      </x:c>
      <x:c r="J106" s="28" t="str">
        <x:v>сладкий, крахмалистый, цветочный, карамельный и ореховый после запекания</x:v>
      </x:c>
      <x:c r="K106" s="28" t="str">
        <x:v>резкий сернистый, зелёный и мясной; после запекания — сладкий и ореховый</x:v>
      </x:c>
      <x:c r="L106" s="28" t="str">
        <x:v>мальтол, фураны, норизопреноиды, пиразины</x:v>
      </x:c>
      <x:c r="M106" s="28" t="str">
        <x:v>аллицин, диаллилдисульфид, диаллилтрисульфид, метантиол</x:v>
      </x:c>
      <x:c r="N106" s="28" t="str">
        <x:v>жареный</x:v>
      </x:c>
      <x:c r="O106" s="28" t="str">
        <x:v>надёжная общая ключевая молекула не установлена</x:v>
      </x:c>
      <x:c r="P106" s="28" t="str">
        <x:v>пересечение ароматических семейств</x:v>
      </x:c>
      <x:c r="Q106" s="28" t="str">
        <x:v>Сладость и землистость балансируются кислотой, солью, горечью и умами; жир усиливает ощущение округлости.</x:v>
      </x:c>
      <x:c r="R106" s="28" t="str">
        <x:v>минимальный</x:v>
      </x:c>
      <x:c r="S106" s="28" t="str">
        <x:v>крахмальная матрица с сахарами и каротиноидами</x:v>
      </x:c>
      <x:c r="T10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6" s="28" t="str">
        <x:v>Батат имеет профиль «сладкий, крахмалистый, цветочный, карамельный и ореховый после запекания».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106" s="28" t="str">
        <x:v>водянистое пюре размывает аромат; сильная сладость требует кислоты, соли или горечи</x:v>
      </x:c>
      <x:c r="W106" s="28" t="str">
        <x:v>соль, кислота или ароматический жир</x:v>
      </x:c>
      <x:c r="X106" s="28" t="str">
        <x:v>пюре, суп, запекание, крем, гарнир, соус или десертная разработка с чеснок</x:v>
      </x:c>
      <x:c r="Y106" s="28" t="str">
        <x:v>еда, соусы/маринады</x:v>
      </x:c>
      <x:c r="Z106" s="28" t="str">
        <x:v>Высокая</x:v>
      </x:c>
      <x:c r="AA106" s="28" t="str">
        <x:v>The Art &amp; Science of Foodpairing.pdf</x:v>
      </x:c>
      <x:c r="AB106" s="28" t="str">
        <x:v>The Art &amp; Science of Foodpairing.pdf: 115</x:v>
      </x:c>
      <x:c r="AC106" s="28" t="str">
        <x:v>прямая Potential pairing, стр. 115</x:v>
      </x:c>
      <x:c r="AD106" s="28" t="n">
        <x:v>1</x:v>
      </x:c>
      <x:c r="AE106" s="28" t="n">
        <x:v>1</x:v>
      </x:c>
      <x:c r="AF106" s="28" t="n">
        <x:f>IF(Z106="Высокая",3,IF(Z106="Средняя",2,1))+AD106*2+MIN(AE106,3)</x:f>
        <x:v>6</x:v>
      </x:c>
    </x:row>
    <x:row r="107" ht="64" customHeight="1">
      <x:c r="A107" s="28" t="str">
        <x:v>VEG-0106</x:v>
      </x:c>
      <x:c r="B107" s="28" t="str">
        <x:v>батат</x:v>
      </x:c>
      <x:c r="C107" s="28" t="str">
        <x:v>Универсальные</x:v>
      </x:c>
      <x:c r="D107" s="28" t="str">
        <x:v>батат</x:v>
      </x:c>
      <x:c r="E107" s="28" t="str">
        <x:v>sweet potato</x:v>
      </x:c>
      <x:c r="F107" s="28" t="str">
        <x:v>Корнеплоды и клубни</x:v>
      </x:c>
      <x:c r="G107" s="28" t="str">
        <x:v>чили ахи панка</x:v>
      </x:c>
      <x:c r="H107" s="28" t="str">
        <x:v>ajipancachilli</x:v>
      </x:c>
      <x:c r="I107" s="28" t="str">
        <x:v>Специи</x:v>
      </x:c>
      <x:c r="J107" s="28" t="str">
        <x:v>сладкий, крахмалистый, цветочный, карамельный и ореховый после запекания</x:v>
      </x:c>
      <x:c r="K107" s="28" t="str">
        <x:v>пряный и древесный</x:v>
      </x:c>
      <x:c r="L107" s="28" t="str">
        <x:v>мальтол, фураны, норизопреноиды, пиразины</x:v>
      </x:c>
      <x:c r="M107" s="28" t="str">
        <x:v>терпены, фенилпропаноиды</x:v>
      </x:c>
      <x:c r="N107" s="28" t="str">
        <x:v>прямое пересечение семейств не подтверждено</x:v>
      </x:c>
      <x:c r="O107" s="28" t="str">
        <x:v>надёжная общая ключевая молекула не установлена</x:v>
      </x:c>
      <x:c r="P107" s="28" t="str">
        <x:v>сенсорная комплементарность</x:v>
      </x:c>
      <x:c r="Q107" s="28" t="str">
        <x:v>Сладость и землистость балансируются кислотой, солью, горечью и умами; жир усиливает ощущение округлости.</x:v>
      </x:c>
      <x:c r="R107" s="28" t="str">
        <x:v>минимальный</x:v>
      </x:c>
      <x:c r="S107" s="28" t="str">
        <x:v>крахмальная матрица с сахарами и каротиноидами</x:v>
      </x:c>
      <x:c r="T10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7" s="28" t="str">
        <x:v>Батат имеет профиль «сладкий, крахмалистый, цветочный, карамельный и ореховый после запекания». Партнёр «чили ахи панка»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107" s="28" t="str">
        <x:v>водянистое пюре размывает аромат; сильная сладость требует кислоты, соли или горечи</x:v>
      </x:c>
      <x:c r="W107" s="28" t="str">
        <x:v>цитрус, йогурт или мёд</x:v>
      </x:c>
      <x:c r="X107" s="28" t="str">
        <x:v>пюре, суп, запекание, крем, гарнир, соус или десертная разработка с чили ахи панка</x:v>
      </x:c>
      <x:c r="Y107" s="28" t="str">
        <x:v>еда, соусы/маринады</x:v>
      </x:c>
      <x:c r="Z107" s="28" t="str">
        <x:v>Средняя</x:v>
      </x:c>
      <x:c r="AA107" s="28" t="str">
        <x:v>The Art &amp; Science of Foodpairing.pdf</x:v>
      </x:c>
      <x:c r="AB107" s="28" t="str">
        <x:v>The Art &amp; Science of Foodpairing.pdf: 119</x:v>
      </x:c>
      <x:c r="AC107" s="28" t="str">
        <x:v>связь из pairing grid, стр. 119</x:v>
      </x:c>
      <x:c r="AD107" s="28" t="n">
        <x:v>1</x:v>
      </x:c>
      <x:c r="AE107" s="28" t="n">
        <x:v>1</x:v>
      </x:c>
      <x:c r="AF107" s="28" t="n">
        <x:f>IF(Z107="Высокая",3,IF(Z107="Средняя",2,1))+AD107*2+MIN(AE107,3)</x:f>
        <x:v>5</x:v>
      </x:c>
    </x:row>
    <x:row r="108" ht="64" customHeight="1">
      <x:c r="A108" s="28" t="str">
        <x:v>VEG-0107</x:v>
      </x:c>
      <x:c r="B108" s="28" t="str">
        <x:v>батат</x:v>
      </x:c>
      <x:c r="C108" s="28" t="str">
        <x:v>Универсальные</x:v>
      </x:c>
      <x:c r="D108" s="28" t="str">
        <x:v>батат</x:v>
      </x:c>
      <x:c r="E108" s="28" t="str">
        <x:v>sweet potato</x:v>
      </x:c>
      <x:c r="F108" s="28" t="str">
        <x:v>Корнеплоды и клубни</x:v>
      </x:c>
      <x:c r="G108" s="28" t="str">
        <x:v>чёрный кардамон</x:v>
      </x:c>
      <x:c r="H108" s="28" t="str">
        <x:v>black cardamom</x:v>
      </x:c>
      <x:c r="I108" s="28" t="str">
        <x:v>Специи</x:v>
      </x:c>
      <x:c r="J108" s="28" t="str">
        <x:v>сладкий, крахмалистый, цветочный, карамельный и ореховый после запекания</x:v>
      </x:c>
      <x:c r="K108" s="28" t="str">
        <x:v>камфорный, цветочный, цитрусовый</x:v>
      </x:c>
      <x:c r="L108" s="28" t="str">
        <x:v>мальтол, фураны, норизопреноиды, пиразины</x:v>
      </x:c>
      <x:c r="M108" s="28" t="str">
        <x:v>1,8-цинеол, линалоол</x:v>
      </x:c>
      <x:c r="N108" s="28" t="str">
        <x:v>прямое пересечение семейств не подтверждено</x:v>
      </x:c>
      <x:c r="O108" s="28" t="str">
        <x:v>надёжная общая ключевая молекула не установлена</x:v>
      </x:c>
      <x:c r="P108" s="28" t="str">
        <x:v>сенсорная комплементарность</x:v>
      </x:c>
      <x:c r="Q108" s="28" t="str">
        <x:v>Сладость и землистость балансируются кислотой, солью, горечью и умами; жир усиливает ощущение округлости.</x:v>
      </x:c>
      <x:c r="R108" s="28" t="str">
        <x:v>минимальный</x:v>
      </x:c>
      <x:c r="S108" s="28" t="str">
        <x:v>крахмальная матрица с сахарами и каротиноидами</x:v>
      </x:c>
      <x:c r="T10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8" s="28" t="str">
        <x:v>Батат имеет профиль «сладкий, крахмалистый, цветочный, карамельный и ореховый после запекания». Партнёр «чёрный 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108" s="28" t="str">
        <x:v>водянистое пюре размывает аромат; сильная сладость требует кислоты, соли или горечи</x:v>
      </x:c>
      <x:c r="W108" s="28" t="str">
        <x:v>цитрус, йогурт или мёд</x:v>
      </x:c>
      <x:c r="X108" s="28" t="str">
        <x:v>пюре, суп, запекание, крем, гарнир, соус или десертная разработка с чёрный кардамон</x:v>
      </x:c>
      <x:c r="Y108" s="28" t="str">
        <x:v>еда, соусы/маринады</x:v>
      </x:c>
      <x:c r="Z108" s="28" t="str">
        <x:v>Средняя</x:v>
      </x:c>
      <x:c r="AA108" s="28" t="str">
        <x:v>The Art &amp; Science of Foodpairing.pdf</x:v>
      </x:c>
      <x:c r="AB108" s="28" t="str">
        <x:v>The Art &amp; Science of Foodpairing.pdf: 119</x:v>
      </x:c>
      <x:c r="AC108" s="28" t="str">
        <x:v>связь из pairing grid, стр. 119</x:v>
      </x:c>
      <x:c r="AD108" s="28" t="n">
        <x:v>1</x:v>
      </x:c>
      <x:c r="AE108" s="28" t="n">
        <x:v>1</x:v>
      </x:c>
      <x:c r="AF108" s="28" t="n">
        <x:f>IF(Z108="Высокая",3,IF(Z108="Средняя",2,1))+AD108*2+MIN(AE108,3)</x:f>
        <x:v>5</x:v>
      </x:c>
    </x:row>
    <x:row r="109" ht="64" customHeight="1">
      <x:c r="A109" s="28" t="str">
        <x:v>VEG-0108</x:v>
      </x:c>
      <x:c r="B109" s="28" t="str">
        <x:v>батат</x:v>
      </x:c>
      <x:c r="C109" s="28" t="str">
        <x:v>Универсальные</x:v>
      </x:c>
      <x:c r="D109" s="28" t="str">
        <x:v>батат</x:v>
      </x:c>
      <x:c r="E109" s="28" t="str">
        <x:v>boiled purple sweet potato</x:v>
      </x:c>
      <x:c r="F109" s="28" t="str">
        <x:v>Корнеплоды и клубни</x:v>
      </x:c>
      <x:c r="G109" s="28" t="str">
        <x:v>чёрный перец</x:v>
      </x:c>
      <x:c r="H109" s="28" t="str">
        <x:v>peppercorns</x:v>
      </x:c>
      <x:c r="I109" s="28" t="str">
        <x:v>Специи</x:v>
      </x:c>
      <x:c r="J109" s="28" t="str">
        <x:v>сладкий, крахмалистый, цветочный, карамельный и ореховый после запекания</x:v>
      </x:c>
      <x:c r="K109" s="28" t="str">
        <x:v>древесный, пряный, цитрусовый</x:v>
      </x:c>
      <x:c r="L109" s="28" t="str">
        <x:v>мальтол, фураны, норизопреноиды, пиразины</x:v>
      </x:c>
      <x:c r="M109" s="28" t="str">
        <x:v>лимонен, пинен, пиперин</x:v>
      </x:c>
      <x:c r="N109" s="28" t="str">
        <x:v>прямое пересечение семейств не подтверждено</x:v>
      </x:c>
      <x:c r="O109" s="28" t="str">
        <x:v>надёжная общая ключевая молекула не установлена</x:v>
      </x:c>
      <x:c r="P109" s="28" t="str">
        <x:v>сенсорная комплементарность</x:v>
      </x:c>
      <x:c r="Q109" s="28" t="str">
        <x:v>Сладость и землистость балансируются кислотой, солью, горечью и умами; жир усиливает ощущение округлости.</x:v>
      </x:c>
      <x:c r="R109" s="28" t="str">
        <x:v>минимальный</x:v>
      </x:c>
      <x:c r="S109" s="28" t="str">
        <x:v>крахмальная матрица с сахарами и каротиноидами</x:v>
      </x:c>
      <x:c r="T10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09" s="28" t="str">
        <x:v>Батат имеет профиль «сладкий, крахмалистый, цветочный, карамельный и ореховый после запекания».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109" s="28" t="str">
        <x:v>водянистое пюре размывает аромат; сильная сладость требует кислоты, соли или горечи</x:v>
      </x:c>
      <x:c r="W109" s="28" t="str">
        <x:v>цитрус, йогурт или мёд</x:v>
      </x:c>
      <x:c r="X109" s="28" t="str">
        <x:v>пюре, суп, запекание, крем, гарнир, соус или десертная разработка с чёрный перец</x:v>
      </x:c>
      <x:c r="Y109" s="28" t="str">
        <x:v>еда, соусы/маринады</x:v>
      </x:c>
      <x:c r="Z109" s="28" t="str">
        <x:v>Средняя</x:v>
      </x:c>
      <x:c r="AA109" s="28" t="str">
        <x:v>The Art &amp; Science of Foodpairing.pdf</x:v>
      </x:c>
      <x:c r="AB109" s="28" t="str">
        <x:v>The Art &amp; Science of Foodpairing.pdf: 274</x:v>
      </x:c>
      <x:c r="AC109" s="28" t="str">
        <x:v>связь из pairing grid, стр. 274</x:v>
      </x:c>
      <x:c r="AD109" s="28" t="n">
        <x:v>1</x:v>
      </x:c>
      <x:c r="AE109" s="28" t="n">
        <x:v>1</x:v>
      </x:c>
      <x:c r="AF109" s="28" t="n">
        <x:f>IF(Z109="Высокая",3,IF(Z109="Средняя",2,1))+AD109*2+MIN(AE109,3)</x:f>
        <x:v>5</x:v>
      </x:c>
    </x:row>
    <x:row r="110" ht="64" customHeight="1">
      <x:c r="A110" s="28" t="str">
        <x:v>VEG-0109</x:v>
      </x:c>
      <x:c r="B110" s="28" t="str">
        <x:v>батат</x:v>
      </x:c>
      <x:c r="C110" s="28" t="str">
        <x:v>Универсальные</x:v>
      </x:c>
      <x:c r="D110" s="28" t="str">
        <x:v>батат</x:v>
      </x:c>
      <x:c r="E110" s="28" t="str">
        <x:v>sweet potato</x:v>
      </x:c>
      <x:c r="F110" s="28" t="str">
        <x:v>Корнеплоды и клубни</x:v>
      </x:c>
      <x:c r="G110" s="28" t="str">
        <x:v>шисо</x:v>
      </x:c>
      <x:c r="H110" s="28" t="str">
        <x:v>shiso leaf</x:v>
      </x:c>
      <x:c r="I110" s="28" t="str">
        <x:v>Прочее</x:v>
      </x:c>
      <x:c r="J110" s="28" t="str">
        <x:v>сладкий, крахмалистый, цветочный, карамельный и ореховый после запекания</x:v>
      </x:c>
      <x:c r="K110" s="28" t="str">
        <x:v>профиль зависит от конкретного продукта</x:v>
      </x:c>
      <x:c r="L110" s="28" t="str">
        <x:v>мальтол, фураны, норизопреноиды, пиразины</x:v>
      </x:c>
      <x:c r="M110" s="28" t="str">
        <x:v>конкретный молекулярный профиль не указан</x:v>
      </x:c>
      <x:c r="N110" s="28" t="str">
        <x:v>прямое пересечение семейств не подтверждено</x:v>
      </x:c>
      <x:c r="O110" s="28" t="str">
        <x:v>надёжная общая ключевая молекула не установлена</x:v>
      </x:c>
      <x:c r="P110" s="28" t="str">
        <x:v>сенсорная комплементарность</x:v>
      </x:c>
      <x:c r="Q110" s="28" t="str">
        <x:v>Сладость и землистость балансируются кислотой, солью, горечью и умами; жир усиливает ощущение округлости.</x:v>
      </x:c>
      <x:c r="R110" s="28" t="str">
        <x:v>минимальный</x:v>
      </x:c>
      <x:c r="S110" s="28" t="str">
        <x:v>крахмальная матрица с сахарами и каротиноидами</x:v>
      </x:c>
      <x:c r="T11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10" s="28" t="str">
        <x:v>Батат имеет профиль «сладкий, крахмалистый, цветочный, карамельный и ореховый после запекания». Партнёр «шисо»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110" s="28" t="str">
        <x:v>водянистое пюре размывает аромат; сильная сладость требует кислоты, соли или горечи</x:v>
      </x:c>
      <x:c r="W110" s="28" t="str">
        <x:v>соль, кислота или ароматический жир</x:v>
      </x:c>
      <x:c r="X110" s="28" t="str">
        <x:v>пюре, суп, запекание, крем, гарнир, соус или десертная разработка с шисо</x:v>
      </x:c>
      <x:c r="Y110" s="28" t="str">
        <x:v>еда, соусы/маринады</x:v>
      </x:c>
      <x:c r="Z110" s="28" t="str">
        <x:v>Средняя</x:v>
      </x:c>
      <x:c r="AA110" s="28" t="str">
        <x:v>The Art &amp; Science of Foodpairing.pdf</x:v>
      </x:c>
      <x:c r="AB110" s="28" t="str">
        <x:v>The Art &amp; Science of Foodpairing.pdf: 119</x:v>
      </x:c>
      <x:c r="AC110" s="28" t="str">
        <x:v>связь из pairing grid, стр. 119</x:v>
      </x:c>
      <x:c r="AD110" s="28" t="n">
        <x:v>1</x:v>
      </x:c>
      <x:c r="AE110" s="28" t="n">
        <x:v>1</x:v>
      </x:c>
      <x:c r="AF110" s="28" t="n">
        <x:f>IF(Z110="Высокая",3,IF(Z110="Средняя",2,1))+AD110*2+MIN(AE110,3)</x:f>
        <x:v>5</x:v>
      </x:c>
    </x:row>
    <x:row r="111" ht="64" customHeight="1">
      <x:c r="A111" s="28" t="str">
        <x:v>VEG-0110</x:v>
      </x:c>
      <x:c r="B111" s="28" t="str">
        <x:v>батат</x:v>
      </x:c>
      <x:c r="C111" s="28" t="str">
        <x:v>Десерты и выпечка</x:v>
      </x:c>
      <x:c r="D111" s="28" t="str">
        <x:v>батат</x:v>
      </x:c>
      <x:c r="E111" s="28" t="str">
        <x:v>sweet potato</x:v>
      </x:c>
      <x:c r="F111" s="28" t="str">
        <x:v>Корнеплоды и клубни</x:v>
      </x:c>
      <x:c r="G111" s="28" t="str">
        <x:v>шоколадная паста</x:v>
      </x:c>
      <x:c r="H111" s="28" t="str">
        <x:v>chocolate spread</x:v>
      </x:c>
      <x:c r="I111" s="28" t="str">
        <x:v>Какао и шоколад</x:v>
      </x:c>
      <x:c r="J111" s="28" t="str">
        <x:v>сладкий, крахмалистый, цветочный, карамельный и ореховый после запекания</x:v>
      </x:c>
      <x:c r="K111" s="28" t="str">
        <x:v>жареный, какаовый, карамельный</x:v>
      </x:c>
      <x:c r="L111" s="28" t="str">
        <x:v>мальтол, фураны, норизопреноиды, пиразины</x:v>
      </x:c>
      <x:c r="M111" s="28" t="str">
        <x:v>пиразины, фураны</x:v>
      </x:c>
      <x:c r="N111" s="28" t="str">
        <x:v>жареный, карамельный</x:v>
      </x:c>
      <x:c r="O111" s="28" t="str">
        <x:v>пиразины, фураны</x:v>
      </x:c>
      <x:c r="P111" s="28" t="str">
        <x:v>общие характерные молекулы; пересечение ароматических семейств</x:v>
      </x:c>
      <x:c r="Q111" s="28" t="str">
        <x:v>Сладость и землистость балансируются кислотой, солью, горечью и умами; жир усиливает ощущение округлости.</x:v>
      </x:c>
      <x:c r="R111" s="28" t="str">
        <x:v>минимальный</x:v>
      </x:c>
      <x:c r="S111" s="28" t="str">
        <x:v>крахмальная матрица с сахарами и каротиноидами</x:v>
      </x:c>
      <x:c r="T11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11" s="28" t="str">
        <x:v>Батат имеет профиль «сладкий, крахмалистый, цветочный, карамельный и ореховый после запекания». Партнёр «шоколадная паста» относится к группе «Какао и шоколад» и даёт жареный, какаовый, карамельный.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111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W111" s="28" t="str">
        <x:v>сливки, орех или карамель</x:v>
      </x:c>
      <x:c r="X111" s="28" t="str">
        <x:v>пюре, суп, запекание, крем, гарнир, соус или десертная разработка с шоколадная паста</x:v>
      </x:c>
      <x:c r="Y111" s="28" t="str">
        <x:v>еда, десерты, соусы/маринады</x:v>
      </x:c>
      <x:c r="Z111" s="28" t="str">
        <x:v>Средняя</x:v>
      </x:c>
      <x:c r="AA111" s="28" t="str">
        <x:v>The Art &amp; Science of Foodpairing.pdf</x:v>
      </x:c>
      <x:c r="AB111" s="28" t="str">
        <x:v>The Art &amp; Science of Foodpairing.pdf: 119</x:v>
      </x:c>
      <x:c r="AC111" s="28" t="str">
        <x:v>связь из pairing grid, стр. 119</x:v>
      </x:c>
      <x:c r="AD111" s="28" t="n">
        <x:v>1</x:v>
      </x:c>
      <x:c r="AE111" s="28" t="n">
        <x:v>1</x:v>
      </x:c>
      <x:c r="AF111" s="28" t="n">
        <x:f>IF(Z111="Высокая",3,IF(Z111="Средняя",2,1))+AD111*2+MIN(AE111,3)</x:f>
        <x:v>5</x:v>
      </x:c>
    </x:row>
    <x:row r="112" ht="64" customHeight="1">
      <x:c r="A112" s="28" t="str">
        <x:v>VEG-0111</x:v>
      </x:c>
      <x:c r="B112" s="28" t="str">
        <x:v>батат</x:v>
      </x:c>
      <x:c r="C112" s="28" t="str">
        <x:v>Десерты и выпечка</x:v>
      </x:c>
      <x:c r="D112" s="28" t="str">
        <x:v>батат</x:v>
      </x:c>
      <x:c r="E112" s="28" t="str">
        <x:v>sweet potato</x:v>
      </x:c>
      <x:c r="F112" s="28" t="str">
        <x:v>Корнеплоды и клубни</x:v>
      </x:c>
      <x:c r="G112" s="28" t="str">
        <x:v>эвкалиптовый мёд</x:v>
      </x:c>
      <x:c r="H112" s="28" t="str">
        <x:v>eucalyptus honey</x:v>
      </x:c>
      <x:c r="I112" s="28" t="str">
        <x:v>Выпечка, крупы, сахара и десерты</x:v>
      </x:c>
      <x:c r="J112" s="28" t="str">
        <x:v>сладкий, крахмалистый, цветочный, карамельный и ореховый после запекания</x:v>
      </x:c>
      <x:c r="K112" s="28" t="str">
        <x:v>медовый, сладкий, цветочный</x:v>
      </x:c>
      <x:c r="L112" s="28" t="str">
        <x:v>мальтол, фураны, норизопреноиды, пиразины</x:v>
      </x:c>
      <x:c r="M112" s="28" t="str">
        <x:v>норизопреноиды, фенилуксусная кислота</x:v>
      </x:c>
      <x:c r="N112" s="28" t="str">
        <x:v>сладкий</x:v>
      </x:c>
      <x:c r="O112" s="28" t="str">
        <x:v>норизопреноиды</x:v>
      </x:c>
      <x:c r="P112" s="28" t="str">
        <x:v>общие характерные молекулы; пересечение ароматических семейств</x:v>
      </x:c>
      <x:c r="Q112" s="28" t="str">
        <x:v>Сладость и землистость балансируются кислотой, солью, горечью и умами; жир усиливает ощущение округлости.</x:v>
      </x:c>
      <x:c r="R112" s="28" t="str">
        <x:v>минимальный</x:v>
      </x:c>
      <x:c r="S112" s="28" t="str">
        <x:v>крахмальная матрица с сахарами и каротиноидами</x:v>
      </x:c>
      <x:c r="T11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12" s="28" t="str">
        <x:v>Батат имеет профиль «сладкий, крахмалистый, цветочный, карамельный и ореховый после запекания». Партнёр «эвкалиптовый мёд» относится к группе «Выпечка, крупы, сахара и десерты» и даёт медовый, сладкий, цветочный. Вероятный молекулярный мост: норизопреноиды.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112" s="28" t="str">
        <x:v>водянистое пюре размывает аромат; сильная сладость требует кислоты, соли или горечи</x:v>
      </x:c>
      <x:c r="W112" s="28" t="str">
        <x:v>соль, кислота или ароматический жир</x:v>
      </x:c>
      <x:c r="X112" s="28" t="str">
        <x:v>пюре, суп, запекание, крем, гарнир, соус или десертная разработка с эвкалиптовый мёд</x:v>
      </x:c>
      <x:c r="Y112" s="28" t="str">
        <x:v>еда, десерты, соусы/маринады</x:v>
      </x:c>
      <x:c r="Z112" s="28" t="str">
        <x:v>Средняя</x:v>
      </x:c>
      <x:c r="AA112" s="28" t="str">
        <x:v>The Art &amp; Science of Foodpairing.pdf</x:v>
      </x:c>
      <x:c r="AB112" s="28" t="str">
        <x:v>The Art &amp; Science of Foodpairing.pdf: 119</x:v>
      </x:c>
      <x:c r="AC112" s="28" t="str">
        <x:v>связь из pairing grid, стр. 119</x:v>
      </x:c>
      <x:c r="AD112" s="28" t="n">
        <x:v>1</x:v>
      </x:c>
      <x:c r="AE112" s="28" t="n">
        <x:v>1</x:v>
      </x:c>
      <x:c r="AF112" s="28" t="n">
        <x:f>IF(Z112="Высокая",3,IF(Z112="Средняя",2,1))+AD112*2+MIN(AE112,3)</x:f>
        <x:v>5</x:v>
      </x:c>
    </x:row>
    <x:row r="113" ht="64" customHeight="1">
      <x:c r="A113" s="28" t="str">
        <x:v>VEG-0112</x:v>
      </x:c>
      <x:c r="B113" s="28" t="str">
        <x:v>батат</x:v>
      </x:c>
      <x:c r="C113" s="28" t="str">
        <x:v>Универсальные</x:v>
      </x:c>
      <x:c r="D113" s="28" t="str">
        <x:v>батат</x:v>
      </x:c>
      <x:c r="E113" s="28" t="str">
        <x:v>sweet potato</x:v>
      </x:c>
      <x:c r="F113" s="28" t="str">
        <x:v>Корнеплоды и клубни</x:v>
      </x:c>
      <x:c r="G113" s="28" t="str">
        <x:v>эпазот</x:v>
      </x:c>
      <x:c r="H113" s="28" t="str">
        <x:v>epazote</x:v>
      </x:c>
      <x:c r="I113" s="28" t="str">
        <x:v>Прочее</x:v>
      </x:c>
      <x:c r="J113" s="28" t="str">
        <x:v>сладкий, крахмалистый, цветочный, карамельный и ореховый после запекания</x:v>
      </x:c>
      <x:c r="K113" s="28" t="str">
        <x:v>профиль зависит от конкретного продукта</x:v>
      </x:c>
      <x:c r="L113" s="28" t="str">
        <x:v>мальтол, фураны, норизопреноиды, пиразины</x:v>
      </x:c>
      <x:c r="M113" s="28" t="str">
        <x:v>конкретный молекулярный профиль не указан</x:v>
      </x:c>
      <x:c r="N113" s="28" t="str">
        <x:v>прямое пересечение семейств не подтверждено</x:v>
      </x:c>
      <x:c r="O113" s="28" t="str">
        <x:v>надёжная общая ключевая молекула не установлена</x:v>
      </x:c>
      <x:c r="P113" s="28" t="str">
        <x:v>сенсорная комплементарность</x:v>
      </x:c>
      <x:c r="Q113" s="28" t="str">
        <x:v>Сладость и землистость балансируются кислотой, солью, горечью и умами; жир усиливает ощущение округлости.</x:v>
      </x:c>
      <x:c r="R113" s="28" t="str">
        <x:v>минимальный</x:v>
      </x:c>
      <x:c r="S113" s="28" t="str">
        <x:v>крахмальная матрица с сахарами и каротиноидами</x:v>
      </x:c>
      <x:c r="T11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13" s="28" t="str">
        <x:v>Батат имеет профиль «сладкий, крахмалистый, цветочный, карамельный и ореховый после запекания». Партнёр «эпазот»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113" s="28" t="str">
        <x:v>водянистое пюре размывает аромат; сильная сладость требует кислоты, соли или горечи</x:v>
      </x:c>
      <x:c r="W113" s="28" t="str">
        <x:v>соль, кислота или ароматический жир</x:v>
      </x:c>
      <x:c r="X113" s="28" t="str">
        <x:v>пюре, суп, запекание, крем, гарнир, соус или десертная разработка с эпазот</x:v>
      </x:c>
      <x:c r="Y113" s="28" t="str">
        <x:v>еда, соусы/маринады</x:v>
      </x:c>
      <x:c r="Z113" s="28" t="str">
        <x:v>Средняя</x:v>
      </x:c>
      <x:c r="AA113" s="28" t="str">
        <x:v>The Art &amp; Science of Foodpairing.pdf</x:v>
      </x:c>
      <x:c r="AB113" s="28" t="str">
        <x:v>The Art &amp; Science of Foodpairing.pdf: 119</x:v>
      </x:c>
      <x:c r="AC113" s="28" t="str">
        <x:v>связь из pairing grid, стр. 119</x:v>
      </x:c>
      <x:c r="AD113" s="28" t="n">
        <x:v>1</x:v>
      </x:c>
      <x:c r="AE113" s="28" t="n">
        <x:v>1</x:v>
      </x:c>
      <x:c r="AF113" s="28" t="n">
        <x:f>IF(Z113="Высокая",3,IF(Z113="Средняя",2,1))+AD113*2+MIN(AE113,3)</x:f>
        <x:v>5</x:v>
      </x:c>
    </x:row>
    <x:row r="114" ht="64" customHeight="1">
      <x:c r="A114" s="28" t="str">
        <x:v>VEG-0113</x:v>
      </x:c>
      <x:c r="B114" s="28" t="str">
        <x:v>батат</x:v>
      </x:c>
      <x:c r="C114" s="28" t="str">
        <x:v>Десерты и выпечка</x:v>
      </x:c>
      <x:c r="D114" s="28" t="str">
        <x:v>батат</x:v>
      </x:c>
      <x:c r="E114" s="28" t="str">
        <x:v>sweet potato</x:v>
      </x:c>
      <x:c r="F114" s="28" t="str">
        <x:v>Корнеплоды и клубни</x:v>
      </x:c>
      <x:c r="G114" s="28" t="str">
        <x:v>яблоко</x:v>
      </x:c>
      <x:c r="H114" s="28" t="str">
        <x:v>Gala apple</x:v>
      </x:c>
      <x:c r="I114" s="28" t="str">
        <x:v>Фрукты и ягоды</x:v>
      </x:c>
      <x:c r="J114" s="28" t="str">
        <x:v>сладкий, крахмалистый, цветочный, карамельный и ореховый после запекания</x:v>
      </x:c>
      <x:c r="K114" s="28" t="str">
        <x:v>зелёный, свежий, фруктовый</x:v>
      </x:c>
      <x:c r="L114" s="28" t="str">
        <x:v>мальтол, фураны, норизопреноиды, пиразины</x:v>
      </x:c>
      <x:c r="M114" s="28" t="str">
        <x:v>гексаналь, гексилацетат</x:v>
      </x:c>
      <x:c r="N114" s="28" t="str">
        <x:v>прямое пересечение семейств не подтверждено</x:v>
      </x:c>
      <x:c r="O114" s="28" t="str">
        <x:v>надёжная общая ключевая молекула не установлена</x:v>
      </x:c>
      <x:c r="P114" s="28" t="str">
        <x:v>кислотно-сладкий баланс</x:v>
      </x:c>
      <x:c r="Q114" s="28" t="str">
        <x:v>Сладость и землистость балансируются кислотой, солью, горечью и умами; жир усиливает ощущение округлости.</x:v>
      </x:c>
      <x:c r="R114" s="28" t="str">
        <x:v>минимальный</x:v>
      </x:c>
      <x:c r="S114" s="28" t="str">
        <x:v>крахмальная матрица с сахарами и каротиноидами Водная кислая фаза усиливает свежесть, но может разжижать пюре и нарушать молочную эмульсию.</x:v>
      </x:c>
      <x:c r="T11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U114" s="28" t="str">
        <x:v>Батат имеет профиль «сладкий, крахмалистый, цветочный, карамельный и ореховый после запекания».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114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114" s="28" t="str">
        <x:v>цитрус, мёд или мягкая трава</x:v>
      </x:c>
      <x:c r="X114" s="28" t="str">
        <x:v>пюре, суп, запекание, крем, гарнир, соус или десертная разработка с яблоко</x:v>
      </x:c>
      <x:c r="Y114" s="28" t="str">
        <x:v>еда, десерты, соусы/маринады</x:v>
      </x:c>
      <x:c r="Z114" s="28" t="str">
        <x:v>Средняя</x:v>
      </x:c>
      <x:c r="AA114" s="28" t="str">
        <x:v>The Art &amp; Science of Foodpairing.pdf</x:v>
      </x:c>
      <x:c r="AB114" s="28" t="str">
        <x:v>The Art &amp; Science of Foodpairing.pdf: 119</x:v>
      </x:c>
      <x:c r="AC114" s="28" t="str">
        <x:v>связь из pairing grid, стр. 119</x:v>
      </x:c>
      <x:c r="AD114" s="28" t="n">
        <x:v>1</x:v>
      </x:c>
      <x:c r="AE114" s="28" t="n">
        <x:v>1</x:v>
      </x:c>
      <x:c r="AF114" s="28" t="n">
        <x:f>IF(Z114="Высокая",3,IF(Z114="Средняя",2,1))+AD114*2+MIN(AE114,3)</x:f>
        <x:v>5</x:v>
      </x:c>
    </x:row>
    <x:row r="115" ht="64" customHeight="1">
      <x:c r="A115" s="28" t="str">
        <x:v>VEG-0114</x:v>
      </x:c>
      <x:c r="B115" s="28" t="str">
        <x:v>болгарский перец</x:v>
      </x:c>
      <x:c r="C115" s="28" t="str">
        <x:v>Десерты и выпечка</x:v>
      </x:c>
      <x:c r="D115" s="28" t="str">
        <x:v>болгарский перец</x:v>
      </x:c>
      <x:c r="E115" s="28" t="str">
        <x:v>red bell pepper and paprika</x:v>
      </x:c>
      <x:c r="F115" s="28" t="str">
        <x:v>Плодовые овощи</x:v>
      </x:c>
      <x:c r="G115" s="28" t="str">
        <x:v>абрикос</x:v>
      </x:c>
      <x:c r="H115" s="28" t="str">
        <x:v>candied apricot</x:v>
      </x:c>
      <x:c r="I115" s="28" t="str">
        <x:v>Фрукты и ягоды</x:v>
      </x:c>
      <x:c r="J115" s="28" t="str">
        <x:v>зелёный, травянистый, фруктовый; у красного — сладкий и жареный</x:v>
      </x:c>
      <x:c r="K115" s="28" t="str">
        <x:v>фруктовый, цветочный и свежий</x:v>
      </x:c>
      <x:c r="L115" s="28" t="str">
        <x:v>2-изобутил-3-метоксипиразин, гексаналь, лимонен, эфиры</x:v>
      </x:c>
      <x:c r="M115" s="28" t="str">
        <x:v>альдегиды, эфиры</x:v>
      </x:c>
      <x:c r="N115" s="28" t="str">
        <x:v>фруктовый</x:v>
      </x:c>
      <x:c r="O115" s="28" t="str">
        <x:v>эфиры</x:v>
      </x:c>
      <x:c r="P115" s="28" t="str">
        <x:v>общие характерные молекулы; пересечение ароматических семейств; кислотно-сладкий баланс</x:v>
      </x:c>
      <x:c r="Q115" s="28" t="str">
        <x:v>Свежесть и водянистость требуют кислоты, соли или умами; избыток жирной матрицы может подавить зелёные ноты.</x:v>
      </x:c>
      <x:c r="R115" s="28" t="str">
        <x:v>минимальный</x:v>
      </x:c>
      <x:c r="S115" s="28" t="str">
        <x:v>водная плодовая матрица с кожицей и пектинами Водная кислая фаза усиливает свежесть, но может разжижать пюре и нарушать молочную эмульсию.</x:v>
      </x:c>
      <x:c r="T11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15" s="28" t="str">
        <x:v>Болгарский перец имеет профиль «зелёный, травянистый, фруктовый; у красного — сладкий и жареный». Партнёр «абрикос»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115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W115" s="28" t="str">
        <x:v>цитрус, мёд или мягкая трава</x:v>
      </x:c>
      <x:c r="X115" s="28" t="str">
        <x:v>сок, кордиал, гаспачо, салат, соус, маринад или коктейльный компонент с абрикос</x:v>
      </x:c>
      <x:c r="Y115" s="28" t="str">
        <x:v>десерты</x:v>
      </x:c>
      <x:c r="Z115" s="28" t="str">
        <x:v>Средняя</x:v>
      </x:c>
      <x:c r="AA115" s="28" t="str">
        <x:v>The Art &amp; Science of Foodpairing.pdf</x:v>
      </x:c>
      <x:c r="AB115" s="28" t="str">
        <x:v>The Art &amp; Science of Foodpairing.pdf: 108</x:v>
      </x:c>
      <x:c r="AC115" s="28" t="str">
        <x:v>связь из pairing grid, стр. 108</x:v>
      </x:c>
      <x:c r="AD115" s="28" t="n">
        <x:v>1</x:v>
      </x:c>
      <x:c r="AE115" s="28" t="n">
        <x:v>1</x:v>
      </x:c>
      <x:c r="AF115" s="28" t="n">
        <x:f>IF(Z115="Высокая",3,IF(Z115="Средняя",2,1))+AD115*2+MIN(AE115,3)</x:f>
        <x:v>5</x:v>
      </x:c>
    </x:row>
    <x:row r="116" ht="64" customHeight="1">
      <x:c r="A116" s="28" t="str">
        <x:v>VEG-0115</x:v>
      </x:c>
      <x:c r="B116" s="28" t="str">
        <x:v>болгарский перец</x:v>
      </x:c>
      <x:c r="C116" s="28" t="str">
        <x:v>Десерты и выпечка</x:v>
      </x:c>
      <x:c r="D116" s="28" t="str">
        <x:v>болгарский перец</x:v>
      </x:c>
      <x:c r="E116" s="28" t="str">
        <x:v>red bell pepper and paprika</x:v>
      </x:c>
      <x:c r="F116" s="28" t="str">
        <x:v>Плодовые овощи</x:v>
      </x:c>
      <x:c r="G116" s="28" t="str">
        <x:v>акациевый мёд</x:v>
      </x:c>
      <x:c r="H116" s="28" t="str">
        <x:v>acacia honey</x:v>
      </x:c>
      <x:c r="I116" s="28" t="str">
        <x:v>Выпечка, крупы, сахара и десерты</x:v>
      </x:c>
      <x:c r="J116" s="28" t="str">
        <x:v>зелёный, травянистый, фруктовый; у красного — сладкий и жареный</x:v>
      </x:c>
      <x:c r="K116" s="28" t="str">
        <x:v>медовый, сладкий, цветочный</x:v>
      </x:c>
      <x:c r="L116" s="28" t="str">
        <x:v>2-изобутил-3-метоксипиразин, гексаналь, лимонен, эфиры</x:v>
      </x:c>
      <x:c r="M116" s="28" t="str">
        <x:v>норизопреноиды, фенилуксусная кислота</x:v>
      </x:c>
      <x:c r="N116" s="28" t="str">
        <x:v>сладкий</x:v>
      </x:c>
      <x:c r="O116" s="28" t="str">
        <x:v>надёжная общая ключевая молекула не установлена</x:v>
      </x:c>
      <x:c r="P116" s="28" t="str">
        <x:v>пересечение ароматических семейств</x:v>
      </x:c>
      <x:c r="Q116" s="28" t="str">
        <x:v>Свежесть и водянистость требуют кислоты, соли или умами; избыток жирной матрицы может подавить зелёные ноты.</x:v>
      </x:c>
      <x:c r="R116" s="28" t="str">
        <x:v>минимальный</x:v>
      </x:c>
      <x:c r="S116" s="28" t="str">
        <x:v>водная плодовая матрица с кожицей и пектинами</x:v>
      </x:c>
      <x:c r="T11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16" s="28" t="str">
        <x:v>Болгарский перец имеет профиль «зелёный, травянистый, фруктовый; у красного — сладкий и жареный». Партнёр «акациевый 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V116" s="28" t="str">
        <x:v>зелёный перец может доминировать метоксипиразином; обугленную кожицу удалять</x:v>
      </x:c>
      <x:c r="W116" s="28" t="str">
        <x:v>соль, кислота или ароматический жир</x:v>
      </x:c>
      <x:c r="X116" s="28" t="str">
        <x:v>сок, кордиал, гаспачо, салат, соус, маринад или коктейльный компонент с акациевый мёд</x:v>
      </x:c>
      <x:c r="Y116" s="28" t="str">
        <x:v>десерты</x:v>
      </x:c>
      <x:c r="Z116" s="28" t="str">
        <x:v>Средняя</x:v>
      </x:c>
      <x:c r="AA116" s="28" t="str">
        <x:v>The Art &amp; Science of Foodpairing.pdf</x:v>
      </x:c>
      <x:c r="AB116" s="28" t="str">
        <x:v>The Art &amp; Science of Foodpairing.pdf: 108</x:v>
      </x:c>
      <x:c r="AC116" s="28" t="str">
        <x:v>связь из pairing grid, стр. 108</x:v>
      </x:c>
      <x:c r="AD116" s="28" t="n">
        <x:v>1</x:v>
      </x:c>
      <x:c r="AE116" s="28" t="n">
        <x:v>1</x:v>
      </x:c>
      <x:c r="AF116" s="28" t="n">
        <x:f>IF(Z116="Высокая",3,IF(Z116="Средняя",2,1))+AD116*2+MIN(AE116,3)</x:f>
        <x:v>5</x:v>
      </x:c>
    </x:row>
    <x:row r="117" ht="64" customHeight="1">
      <x:c r="A117" s="28" t="str">
        <x:v>VEG-0116</x:v>
      </x:c>
      <x:c r="B117" s="28" t="str">
        <x:v>болгарский перец</x:v>
      </x:c>
      <x:c r="C117" s="28" t="str">
        <x:v>Универсальные</x:v>
      </x:c>
      <x:c r="D117" s="28" t="str">
        <x:v>болгарский перец</x:v>
      </x:c>
      <x:c r="E117" s="28" t="str">
        <x:v>red bell pepper and paprika</x:v>
      </x:c>
      <x:c r="F117" s="28" t="str">
        <x:v>Плодовые овощи</x:v>
      </x:c>
      <x:c r="G117" s="28" t="str">
        <x:v>актинидия</x:v>
      </x:c>
      <x:c r="H117" s="28" t="str">
        <x:v>kiwi berry</x:v>
      </x:c>
      <x:c r="I117" s="28" t="str">
        <x:v>Прочее</x:v>
      </x:c>
      <x:c r="J117" s="28" t="str">
        <x:v>зелёный, травянистый, фруктовый; у красного — сладкий и жареный</x:v>
      </x:c>
      <x:c r="K117" s="28" t="str">
        <x:v>профиль зависит от конкретного продукта</x:v>
      </x:c>
      <x:c r="L117" s="28" t="str">
        <x:v>2-изобутил-3-метоксипиразин, гексаналь, лимонен, эфиры</x:v>
      </x:c>
      <x:c r="M117" s="28" t="str">
        <x:v>конкретный молекулярный профиль не указан</x:v>
      </x:c>
      <x:c r="N117" s="28" t="str">
        <x:v>прямое пересечение семейств не подтверждено</x:v>
      </x:c>
      <x:c r="O117" s="28" t="str">
        <x:v>надёжная общая ключевая молекула не установлена</x:v>
      </x:c>
      <x:c r="P117" s="28" t="str">
        <x:v>сенсорная комплементарность</x:v>
      </x:c>
      <x:c r="Q117" s="28" t="str">
        <x:v>Свежесть и водянистость требуют кислоты, соли или умами; избыток жирной матрицы может подавить зелёные ноты.</x:v>
      </x:c>
      <x:c r="R117" s="28" t="str">
        <x:v>минимальный</x:v>
      </x:c>
      <x:c r="S117" s="28" t="str">
        <x:v>водная плодовая матрица с кожицей и пектинами</x:v>
      </x:c>
      <x:c r="T11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17" s="28" t="str">
        <x:v>Болгарский перец имеет профиль «зелёный, травянистый, фруктовый; у красного — сладкий и жареный». Партнёр «актинидия»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17" s="28" t="str">
        <x:v>зелёный перец может доминировать метоксипиразином; обугленную кожицу удалять</x:v>
      </x:c>
      <x:c r="W117" s="28" t="str">
        <x:v>соль, кислота или ароматический жир</x:v>
      </x:c>
      <x:c r="X117" s="28" t="str">
        <x:v>сок, кордиал, гаспачо, салат, соус, маринад или коктейльный компонент с актинидия</x:v>
      </x:c>
      <x:c r="Y117" s="28" t="str">
        <x:v>универсальное</x:v>
      </x:c>
      <x:c r="Z117" s="28" t="str">
        <x:v>Средняя</x:v>
      </x:c>
      <x:c r="AA117" s="28" t="str">
        <x:v>The Art &amp; Science of Foodpairing.pdf</x:v>
      </x:c>
      <x:c r="AB117" s="28" t="str">
        <x:v>The Art &amp; Science of Foodpairing.pdf: 108</x:v>
      </x:c>
      <x:c r="AC117" s="28" t="str">
        <x:v>связь из pairing grid, стр. 108</x:v>
      </x:c>
      <x:c r="AD117" s="28" t="n">
        <x:v>1</x:v>
      </x:c>
      <x:c r="AE117" s="28" t="n">
        <x:v>1</x:v>
      </x:c>
      <x:c r="AF117" s="28" t="n">
        <x:f>IF(Z117="Высокая",3,IF(Z117="Средняя",2,1))+AD117*2+MIN(AE117,3)</x:f>
        <x:v>5</x:v>
      </x:c>
    </x:row>
    <x:row r="118" ht="64" customHeight="1">
      <x:c r="A118" s="28" t="str">
        <x:v>VEG-0117</x:v>
      </x:c>
      <x:c r="B118" s="28" t="str">
        <x:v>болгарский перец</x:v>
      </x:c>
      <x:c r="C118" s="28" t="str">
        <x:v>Универсальные</x:v>
      </x:c>
      <x:c r="D118" s="28" t="str">
        <x:v>болгарский перец</x:v>
      </x:c>
      <x:c r="E118" s="28" t="str">
        <x:v>red bell pepper puree</x:v>
      </x:c>
      <x:c r="F118" s="28" t="str">
        <x:v>Плодовые овощи</x:v>
      </x:c>
      <x:c r="G118" s="28" t="str">
        <x:v>базилик</x:v>
      </x:c>
      <x:c r="H118" s="28" t="str">
        <x:v>basil</x:v>
      </x:c>
      <x:c r="I118" s="28" t="str">
        <x:v>Травы, цветы и листья</x:v>
      </x:c>
      <x:c r="J118" s="28" t="str">
        <x:v>зелёный, травянистый, фруктовый; у красного — сладкий и жареный</x:v>
      </x:c>
      <x:c r="K118" s="28" t="str">
        <x:v>зелёный, пряный, цветочный</x:v>
      </x:c>
      <x:c r="L118" s="28" t="str">
        <x:v>2-изобутил-3-метоксипиразин, гексаналь, лимонен, эфиры</x:v>
      </x:c>
      <x:c r="M118" s="28" t="str">
        <x:v>линалоол, эвгенол</x:v>
      </x:c>
      <x:c r="N118" s="28" t="str">
        <x:v>зелёный</x:v>
      </x:c>
      <x:c r="O118" s="28" t="str">
        <x:v>надёжная общая ключевая молекула не установлена</x:v>
      </x:c>
      <x:c r="P118" s="28" t="str">
        <x:v>пересечение ароматических семейств</x:v>
      </x:c>
      <x:c r="Q118" s="28" t="str">
        <x:v>Свежесть и водянистость требуют кислоты, соли или умами; избыток жирной матрицы может подавить зелёные ноты.</x:v>
      </x:c>
      <x:c r="R118" s="28" t="str">
        <x:v>минимальный</x:v>
      </x:c>
      <x:c r="S118" s="28" t="str">
        <x:v>водная плодовая матрица с кожицей и пектинами</x:v>
      </x:c>
      <x:c r="T11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18" s="28" t="str">
        <x:v>Болгарский перец имеет профиль «зелёный, травянистый, фруктовый; у красного — сладкий и жареный».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118" s="28" t="str">
        <x:v>зелёный перец может доминировать метоксипиразином; обугленную кожицу удалять; длительный нагрев уносит свежие терпены и зелёные альдегиды</x:v>
      </x:c>
      <x:c r="W118" s="28" t="str">
        <x:v>оливковое масло, лимон или сыр</x:v>
      </x:c>
      <x:c r="X118" s="28" t="str">
        <x:v>сок, кордиал, гаспачо, салат, соус, маринад или коктейльный компонент с базилик</x:v>
      </x:c>
      <x:c r="Y118" s="28" t="str">
        <x:v>универсальное</x:v>
      </x:c>
      <x:c r="Z118" s="28" t="str">
        <x:v>Средняя</x:v>
      </x:c>
      <x:c r="AA118" s="28" t="str">
        <x:v>The Art &amp; Science of Foodpairing.pdf</x:v>
      </x:c>
      <x:c r="AB118" s="28" t="str">
        <x:v>The Art &amp; Science of Foodpairing.pdf: 74</x:v>
      </x:c>
      <x:c r="AC118" s="28" t="str">
        <x:v>связь из pairing grid, стр. 74</x:v>
      </x:c>
      <x:c r="AD118" s="28" t="n">
        <x:v>1</x:v>
      </x:c>
      <x:c r="AE118" s="28" t="n">
        <x:v>1</x:v>
      </x:c>
      <x:c r="AF118" s="28" t="n">
        <x:f>IF(Z118="Высокая",3,IF(Z118="Средняя",2,1))+AD118*2+MIN(AE118,3)</x:f>
        <x:v>5</x:v>
      </x:c>
    </x:row>
    <x:row r="119" ht="64" customHeight="1">
      <x:c r="A119" s="28" t="str">
        <x:v>VEG-0118</x:v>
      </x:c>
      <x:c r="B119" s="28" t="str">
        <x:v>болгарский перец</x:v>
      </x:c>
      <x:c r="C119" s="28" t="str">
        <x:v>Десерты и выпечка</x:v>
      </x:c>
      <x:c r="D119" s="28" t="str">
        <x:v>болгарский перец</x:v>
      </x:c>
      <x:c r="E119" s="28" t="str">
        <x:v>roasted red bell pepper</x:v>
      </x:c>
      <x:c r="F119" s="28" t="str">
        <x:v>Плодовые овощи</x:v>
      </x:c>
      <x:c r="G119" s="28" t="str">
        <x:v>банан</x:v>
      </x:c>
      <x:c r="H119" s="28" t="str">
        <x:v>banana</x:v>
      </x:c>
      <x:c r="I119" s="28" t="str">
        <x:v>Фрукты и ягоды</x:v>
      </x:c>
      <x:c r="J119" s="28" t="str">
        <x:v>зелёный, травянистый, фруктовый; у красного — сладкий и жареный</x:v>
      </x:c>
      <x:c r="K119" s="28" t="str">
        <x:v>фруктовый, цветочный и свежий</x:v>
      </x:c>
      <x:c r="L119" s="28" t="str">
        <x:v>2-изобутил-3-метоксипиразин, гексаналь, лимонен, эфиры</x:v>
      </x:c>
      <x:c r="M119" s="28" t="str">
        <x:v>альдегиды, эфиры</x:v>
      </x:c>
      <x:c r="N119" s="28" t="str">
        <x:v>фруктовый</x:v>
      </x:c>
      <x:c r="O119" s="28" t="str">
        <x:v>эфиры</x:v>
      </x:c>
      <x:c r="P119" s="28" t="str">
        <x:v>общие характерные молекулы; пересечение ароматических семейств; кислотно-сладкий баланс</x:v>
      </x:c>
      <x:c r="Q119" s="28" t="str">
        <x:v>Свежесть и водянистость требуют кислоты, соли или умами; избыток жирной матрицы может подавить зелёные ноты.</x:v>
      </x:c>
      <x:c r="R119" s="28" t="str">
        <x:v>минимальный</x:v>
      </x:c>
      <x:c r="S119" s="28" t="str">
        <x:v>водная плодовая матрица с кожицей и пектинами Водная кислая фаза усиливает свежесть, но может разжижать пюре и нарушать молочную эмульсию.</x:v>
      </x:c>
      <x:c r="T11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19" s="28" t="str">
        <x:v>Болгарский перец имеет профиль «зелёный, травянистый, фруктовый; у красного — сладкий и жареный». Партнёр «банан»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119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W119" s="28" t="str">
        <x:v>цитрус, мёд или мягкая трава</x:v>
      </x:c>
      <x:c r="X119" s="28" t="str">
        <x:v>сок, кордиал, гаспачо, салат, соус, маринад или коктейльный компонент с банан</x:v>
      </x:c>
      <x:c r="Y119" s="28" t="str">
        <x:v>десерты</x:v>
      </x:c>
      <x:c r="Z119" s="28" t="str">
        <x:v>Средняя</x:v>
      </x:c>
      <x:c r="AA119" s="28" t="str">
        <x:v>The Art &amp; Science of Foodpairing.pdf</x:v>
      </x:c>
      <x:c r="AB119" s="28" t="str">
        <x:v>The Art &amp; Science of Foodpairing.pdf: 342</x:v>
      </x:c>
      <x:c r="AC119" s="28" t="str">
        <x:v>связь из pairing grid, стр. 342</x:v>
      </x:c>
      <x:c r="AD119" s="28" t="n">
        <x:v>1</x:v>
      </x:c>
      <x:c r="AE119" s="28" t="n">
        <x:v>1</x:v>
      </x:c>
      <x:c r="AF119" s="28" t="n">
        <x:f>IF(Z119="Высокая",3,IF(Z119="Средняя",2,1))+AD119*2+MIN(AE119,3)</x:f>
        <x:v>5</x:v>
      </x:c>
    </x:row>
    <x:row r="120" ht="64" customHeight="1">
      <x:c r="A120" s="28" t="str">
        <x:v>VEG-0119</x:v>
      </x:c>
      <x:c r="B120" s="28" t="str">
        <x:v>болгарский перец</x:v>
      </x:c>
      <x:c r="C120" s="28" t="str">
        <x:v>Еда и соусы</x:v>
      </x:c>
      <x:c r="D120" s="28" t="str">
        <x:v>болгарский перец</x:v>
      </x:c>
      <x:c r="E120" s="28" t="str">
        <x:v>red bell pepper and paprika</x:v>
      </x:c>
      <x:c r="F120" s="28" t="str">
        <x:v>Плодовые овощи</x:v>
      </x:c>
      <x:c r="G120" s="28" t="str">
        <x:v>баранина</x:v>
      </x:c>
      <x:c r="H120" s="28" t="str">
        <x:v>grilled lamb</x:v>
      </x:c>
      <x:c r="I120" s="28" t="str">
        <x:v>Мясо и птица</x:v>
      </x:c>
      <x:c r="J120" s="28" t="str">
        <x:v>зелёный, травянистый, фруктовый; у красного — сладкий и жареный</x:v>
      </x:c>
      <x:c r="K120" s="28" t="str">
        <x:v>жареный, мясной и умами</x:v>
      </x:c>
      <x:c r="L120" s="28" t="str">
        <x:v>2-изобутил-3-метоксипиразин, гексаналь, лимонен, эфиры</x:v>
      </x:c>
      <x:c r="M120" s="28" t="str">
        <x:v>пиразины, сернистые соединения</x:v>
      </x:c>
      <x:c r="N120" s="28" t="str">
        <x:v>прямое пересечение семейств не подтверждено</x:v>
      </x:c>
      <x:c r="O120" s="28" t="str">
        <x:v>надёжная общая ключевая молекула не установлена</x:v>
      </x:c>
      <x:c r="P120" s="28" t="str">
        <x:v>умами и солёный контраст</x:v>
      </x:c>
      <x:c r="Q120" s="28" t="str">
        <x:v>Свежесть и водянистость требуют кислоты, соли или умами; избыток жирной матрицы может подавить зелёные ноты.</x:v>
      </x:c>
      <x:c r="R120" s="28" t="str">
        <x:v>минимальный</x:v>
      </x:c>
      <x:c r="S120" s="28" t="str">
        <x:v>водная плодовая матрица с кожицей и пектинами Белок и жир требуют контроля воды: для жареной ароматики поверхность должна подсохнуть.</x:v>
      </x:c>
      <x:c r="T12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0" s="28" t="str">
        <x:v>Болгарский перец имеет профиль «зелёный, травянистый, фруктовый; у красного — сладкий и жареный».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20" s="28" t="str">
        <x:v>зелёный перец может доминировать метоксипиразином; обугленную кожицу удалять</x:v>
      </x:c>
      <x:c r="W120" s="28" t="str">
        <x:v>сливочное масло, соевый соус или тимьян</x:v>
      </x:c>
      <x:c r="X120" s="28" t="str">
        <x:v>сок, кордиал, гаспачо, салат, соус, маринад или коктейльный компонент с баранина</x:v>
      </x:c>
      <x:c r="Y120" s="28" t="str">
        <x:v>еда, соусы/маринады</x:v>
      </x:c>
      <x:c r="Z120" s="28" t="str">
        <x:v>Средняя</x:v>
      </x:c>
      <x:c r="AA120" s="28" t="str">
        <x:v>The Art &amp; Science of Foodpairing.pdf</x:v>
      </x:c>
      <x:c r="AB120" s="28" t="str">
        <x:v>The Art &amp; Science of Foodpairing.pdf: 108</x:v>
      </x:c>
      <x:c r="AC120" s="28" t="str">
        <x:v>связь из pairing grid, стр. 108</x:v>
      </x:c>
      <x:c r="AD120" s="28" t="n">
        <x:v>1</x:v>
      </x:c>
      <x:c r="AE120" s="28" t="n">
        <x:v>1</x:v>
      </x:c>
      <x:c r="AF120" s="28" t="n">
        <x:f>IF(Z120="Высокая",3,IF(Z120="Средняя",2,1))+AD120*2+MIN(AE120,3)</x:f>
        <x:v>5</x:v>
      </x:c>
    </x:row>
    <x:row r="121" ht="64" customHeight="1">
      <x:c r="A121" s="28" t="str">
        <x:v>VEG-0120</x:v>
      </x:c>
      <x:c r="B121" s="28" t="str">
        <x:v>болгарский перец</x:v>
      </x:c>
      <x:c r="C121" s="28" t="str">
        <x:v>Еда и соусы</x:v>
      </x:c>
      <x:c r="D121" s="28" t="str">
        <x:v>болгарский перец</x:v>
      </x:c>
      <x:c r="E121" s="28" t="str">
        <x:v>Болгарский перец | болгарский перец</x:v>
      </x:c>
      <x:c r="F121" s="28" t="str">
        <x:v>Плодовые овощи</x:v>
      </x:c>
      <x:c r="G121" s="28" t="str">
        <x:v>бекон</x:v>
      </x:c>
      <x:c r="H121" s="28" t="str">
        <x:v>Бекон | бекон</x:v>
      </x:c>
      <x:c r="I121" s="28" t="str">
        <x:v>Мясо и птица</x:v>
      </x:c>
      <x:c r="J121" s="28" t="str">
        <x:v>зелёный, травянистый, фруктовый; у красного — сладкий и жареный</x:v>
      </x:c>
      <x:c r="K121" s="28" t="str">
        <x:v>дымный, жареный, умами</x:v>
      </x:c>
      <x:c r="L121" s="28" t="str">
        <x:v>2-изобутил-3-метоксипиразин, гексаналь, лимонен, эфиры</x:v>
      </x:c>
      <x:c r="M121" s="28" t="str">
        <x:v>пиразины, фенолы</x:v>
      </x:c>
      <x:c r="N121" s="28" t="str">
        <x:v>прямое пересечение семейств не подтверждено</x:v>
      </x:c>
      <x:c r="O121" s="28" t="str">
        <x:v>надёжная общая ключевая молекула не установлена</x:v>
      </x:c>
      <x:c r="P121" s="28" t="str">
        <x:v>умами и солёный контраст</x:v>
      </x:c>
      <x:c r="Q121" s="28" t="str">
        <x:v>Свежесть и водянистость требуют кислоты, соли или умами; избыток жирной матрицы может подавить зелёные ноты.</x:v>
      </x:c>
      <x:c r="R121" s="28" t="str">
        <x:v>минимальный</x:v>
      </x:c>
      <x:c r="S121" s="28" t="str">
        <x:v>водная плодовая матрица с кожицей и пектинами Белок и жир требуют контроля воды: для жареной ароматики поверхность должна подсохнуть.</x:v>
      </x:c>
      <x:c r="T12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1" s="28" t="str">
        <x:v>Болгарский перец имеет профиль «зелёный, травянистый, фруктовый; у красного — сладкий и жареный».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21" s="28" t="str">
        <x:v>зелёный перец может доминировать метоксипиразином; обугленную кожицу удалять</x:v>
      </x:c>
      <x:c r="W121" s="28" t="str">
        <x:v>сливочное масло, соевый соус или тимьян</x:v>
      </x:c>
      <x:c r="X121" s="28" t="str">
        <x:v>сок, кордиал, гаспачо, салат, соус, маринад или коктейльный компонент с бекон</x:v>
      </x:c>
      <x:c r="Y121" s="28" t="str">
        <x:v>еда, соусы/маринады</x:v>
      </x:c>
      <x:c r="Z121" s="28" t="str">
        <x:v>Средняя</x:v>
      </x:c>
      <x:c r="AA121" s="28" t="str">
        <x:v>Тезариус вкусов (Ники Сегнит)(1).pdf</x:v>
      </x:c>
      <x:c r="AB121" s="28" t="str">
        <x:v>Тезариус вкусов (Ники Сегнит)(1).pdf: 442, 545</x:v>
      </x:c>
      <x:c r="AC121" s="28" t="str">
        <x:v>развёрнутая пара/статья, стр. 442; развёрнутая пара/статья, стр. 545</x:v>
      </x:c>
      <x:c r="AD121" s="28" t="n">
        <x:v>1</x:v>
      </x:c>
      <x:c r="AE121" s="28" t="n">
        <x:v>2</x:v>
      </x:c>
      <x:c r="AF121" s="28" t="n">
        <x:f>IF(Z121="Высокая",3,IF(Z121="Средняя",2,1))+AD121*2+MIN(AE121,3)</x:f>
        <x:v>6</x:v>
      </x:c>
    </x:row>
    <x:row r="122" ht="64" customHeight="1">
      <x:c r="A122" s="28" t="str">
        <x:v>VEG-0121</x:v>
      </x:c>
      <x:c r="B122" s="28" t="str">
        <x:v>болгарский перец</x:v>
      </x:c>
      <x:c r="C122" s="28" t="str">
        <x:v>Универсальные</x:v>
      </x:c>
      <x:c r="D122" s="28" t="str">
        <x:v>болгарский перец</x:v>
      </x:c>
      <x:c r="E122" s="28" t="str">
        <x:v>red bell pepper and paprika</x:v>
      </x:c>
      <x:c r="F122" s="28" t="str">
        <x:v>Плодовые овощи</x:v>
      </x:c>
      <x:c r="G122" s="28" t="str">
        <x:v>бри</x:v>
      </x:c>
      <x:c r="H122" s="28" t="str">
        <x:v>Brie</x:v>
      </x:c>
      <x:c r="I122" s="28" t="str">
        <x:v>Прочее</x:v>
      </x:c>
      <x:c r="J122" s="28" t="str">
        <x:v>зелёный, травянистый, фруктовый; у красного — сладкий и жареный</x:v>
      </x:c>
      <x:c r="K122" s="28" t="str">
        <x:v>профиль зависит от конкретного продукта</x:v>
      </x:c>
      <x:c r="L122" s="28" t="str">
        <x:v>2-изобутил-3-метоксипиразин, гексаналь, лимонен, эфиры</x:v>
      </x:c>
      <x:c r="M122" s="28" t="str">
        <x:v>конкретный молекулярный профиль не указан</x:v>
      </x:c>
      <x:c r="N122" s="28" t="str">
        <x:v>прямое пересечение семейств не подтверждено</x:v>
      </x:c>
      <x:c r="O122" s="28" t="str">
        <x:v>надёжная общая ключевая молекула не установлена</x:v>
      </x:c>
      <x:c r="P122" s="28" t="str">
        <x:v>сенсорная комплементарность</x:v>
      </x:c>
      <x:c r="Q122" s="28" t="str">
        <x:v>Свежесть и водянистость требуют кислоты, соли или умами; избыток жирной матрицы может подавить зелёные ноты.</x:v>
      </x:c>
      <x:c r="R122" s="28" t="str">
        <x:v>минимальный</x:v>
      </x:c>
      <x:c r="S122" s="28" t="str">
        <x:v>водная плодовая матрица с кожицей и пектинами</x:v>
      </x:c>
      <x:c r="T12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2" s="28" t="str">
        <x:v>Болгарский перец имеет профиль «зелёный, травянистый, фруктовый; у красного — сладкий и жареный». Партнёр «бри»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22" s="28" t="str">
        <x:v>зелёный перец может доминировать метоксипиразином; обугленную кожицу удалять</x:v>
      </x:c>
      <x:c r="W122" s="28" t="str">
        <x:v>соль, кислота или ароматический жир</x:v>
      </x:c>
      <x:c r="X122" s="28" t="str">
        <x:v>сок, кордиал, гаспачо, салат, соус, маринад или коктейльный компонент с бри</x:v>
      </x:c>
      <x:c r="Y122" s="28" t="str">
        <x:v>универсальное</x:v>
      </x:c>
      <x:c r="Z122" s="28" t="str">
        <x:v>Средняя</x:v>
      </x:c>
      <x:c r="AA122" s="28" t="str">
        <x:v>The Art &amp; Science of Foodpairing.pdf</x:v>
      </x:c>
      <x:c r="AB122" s="28" t="str">
        <x:v>The Art &amp; Science of Foodpairing.pdf: 108</x:v>
      </x:c>
      <x:c r="AC122" s="28" t="str">
        <x:v>связь из pairing grid, стр. 108</x:v>
      </x:c>
      <x:c r="AD122" s="28" t="n">
        <x:v>1</x:v>
      </x:c>
      <x:c r="AE122" s="28" t="n">
        <x:v>1</x:v>
      </x:c>
      <x:c r="AF122" s="28" t="n">
        <x:f>IF(Z122="Высокая",3,IF(Z122="Средняя",2,1))+AD122*2+MIN(AE122,3)</x:f>
        <x:v>5</x:v>
      </x:c>
    </x:row>
    <x:row r="123" ht="64" customHeight="1">
      <x:c r="A123" s="28" t="str">
        <x:v>VEG-0122</x:v>
      </x:c>
      <x:c r="B123" s="28" t="str">
        <x:v>болгарский перец</x:v>
      </x:c>
      <x:c r="C123" s="28" t="str">
        <x:v>Универсальные</x:v>
      </x:c>
      <x:c r="D123" s="28" t="str">
        <x:v>болгарский перец</x:v>
      </x:c>
      <x:c r="E123" s="28" t="str">
        <x:v>red bell pepper and paprika</x:v>
      </x:c>
      <x:c r="F123" s="28" t="str">
        <x:v>Плодовые овощи</x:v>
      </x:c>
      <x:c r="G123" s="28" t="str">
        <x:v>бриошь</x:v>
      </x:c>
      <x:c r="H123" s="28" t="str">
        <x:v>brioche</x:v>
      </x:c>
      <x:c r="I123" s="28" t="str">
        <x:v>Прочее</x:v>
      </x:c>
      <x:c r="J123" s="28" t="str">
        <x:v>зелёный, травянистый, фруктовый; у красного — сладкий и жареный</x:v>
      </x:c>
      <x:c r="K123" s="28" t="str">
        <x:v>профиль зависит от конкретного продукта</x:v>
      </x:c>
      <x:c r="L123" s="28" t="str">
        <x:v>2-изобутил-3-метоксипиразин, гексаналь, лимонен, эфиры</x:v>
      </x:c>
      <x:c r="M123" s="28" t="str">
        <x:v>конкретный молекулярный профиль не указан</x:v>
      </x:c>
      <x:c r="N123" s="28" t="str">
        <x:v>прямое пересечение семейств не подтверждено</x:v>
      </x:c>
      <x:c r="O123" s="28" t="str">
        <x:v>надёжная общая ключевая молекула не установлена</x:v>
      </x:c>
      <x:c r="P123" s="28" t="str">
        <x:v>сенсорная комплементарность</x:v>
      </x:c>
      <x:c r="Q123" s="28" t="str">
        <x:v>Свежесть и водянистость требуют кислоты, соли или умами; избыток жирной матрицы может подавить зелёные ноты.</x:v>
      </x:c>
      <x:c r="R123" s="28" t="str">
        <x:v>минимальный</x:v>
      </x:c>
      <x:c r="S123" s="28" t="str">
        <x:v>водная плодовая матрица с кожицей и пектинами</x:v>
      </x:c>
      <x:c r="T12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3" s="28" t="str">
        <x:v>Болгарский перец имеет профиль «зелёный, травянистый, фруктовый; у красного — сладкий и жареный». Партнёр «бриошь»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23" s="28" t="str">
        <x:v>зелёный перец может доминировать метоксипиразином; обугленную кожицу удалять</x:v>
      </x:c>
      <x:c r="W123" s="28" t="str">
        <x:v>соль, кислота или ароматический жир</x:v>
      </x:c>
      <x:c r="X123" s="28" t="str">
        <x:v>сок, кордиал, гаспачо, салат, соус, маринад или коктейльный компонент с бриошь</x:v>
      </x:c>
      <x:c r="Y123" s="28" t="str">
        <x:v>универсальное</x:v>
      </x:c>
      <x:c r="Z123" s="28" t="str">
        <x:v>Средняя</x:v>
      </x:c>
      <x:c r="AA123" s="28" t="str">
        <x:v>The Art &amp; Science of Foodpairing.pdf</x:v>
      </x:c>
      <x:c r="AB123" s="28" t="str">
        <x:v>The Art &amp; Science of Foodpairing.pdf: 108</x:v>
      </x:c>
      <x:c r="AC123" s="28" t="str">
        <x:v>связь из pairing grid, стр. 108</x:v>
      </x:c>
      <x:c r="AD123" s="28" t="n">
        <x:v>1</x:v>
      </x:c>
      <x:c r="AE123" s="28" t="n">
        <x:v>1</x:v>
      </x:c>
      <x:c r="AF123" s="28" t="n">
        <x:f>IF(Z123="Высокая",3,IF(Z123="Средняя",2,1))+AD123*2+MIN(AE123,3)</x:f>
        <x:v>5</x:v>
      </x:c>
    </x:row>
    <x:row r="124" ht="64" customHeight="1">
      <x:c r="A124" s="28" t="str">
        <x:v>VEG-0123</x:v>
      </x:c>
      <x:c r="B124" s="28" t="str">
        <x:v>болгарский перец</x:v>
      </x:c>
      <x:c r="C124" s="28" t="str">
        <x:v>Универсальные</x:v>
      </x:c>
      <x:c r="D124" s="28" t="str">
        <x:v>болгарский перец</x:v>
      </x:c>
      <x:c r="E124" s="28" t="str">
        <x:v>red bell pepper and paprika</x:v>
      </x:c>
      <x:c r="F124" s="28" t="str">
        <x:v>Плодовые овощи</x:v>
      </x:c>
      <x:c r="G124" s="28" t="str">
        <x:v>вакаме</x:v>
      </x:c>
      <x:c r="H124" s="28" t="str">
        <x:v>wakame seaweed</x:v>
      </x:c>
      <x:c r="I124" s="28" t="str">
        <x:v>Прочее</x:v>
      </x:c>
      <x:c r="J124" s="28" t="str">
        <x:v>зелёный, травянистый, фруктовый; у красного — сладкий и жареный</x:v>
      </x:c>
      <x:c r="K124" s="28" t="str">
        <x:v>профиль зависит от конкретного продукта</x:v>
      </x:c>
      <x:c r="L124" s="28" t="str">
        <x:v>2-изобутил-3-метоксипиразин, гексаналь, лимонен, эфиры</x:v>
      </x:c>
      <x:c r="M124" s="28" t="str">
        <x:v>конкретный молекулярный профиль не указан</x:v>
      </x:c>
      <x:c r="N124" s="28" t="str">
        <x:v>прямое пересечение семейств не подтверждено</x:v>
      </x:c>
      <x:c r="O124" s="28" t="str">
        <x:v>надёжная общая ключевая молекула не установлена</x:v>
      </x:c>
      <x:c r="P124" s="28" t="str">
        <x:v>сенсорная комплементарность</x:v>
      </x:c>
      <x:c r="Q124" s="28" t="str">
        <x:v>Свежесть и водянистость требуют кислоты, соли или умами; избыток жирной матрицы может подавить зелёные ноты.</x:v>
      </x:c>
      <x:c r="R124" s="28" t="str">
        <x:v>минимальный</x:v>
      </x:c>
      <x:c r="S124" s="28" t="str">
        <x:v>водная плодовая матрица с кожицей и пектинами</x:v>
      </x:c>
      <x:c r="T12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4" s="28" t="str">
        <x:v>Болгарский перец имеет профиль «зелёный, травянистый, фруктовый; у красного — сладкий и жареный». Партнёр «вакаме»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24" s="28" t="str">
        <x:v>зелёный перец может доминировать метоксипиразином; обугленную кожицу удалять</x:v>
      </x:c>
      <x:c r="W124" s="28" t="str">
        <x:v>соль, кислота или ароматический жир</x:v>
      </x:c>
      <x:c r="X124" s="28" t="str">
        <x:v>сок, кордиал, гаспачо, салат, соус, маринад или коктейльный компонент с вакаме</x:v>
      </x:c>
      <x:c r="Y124" s="28" t="str">
        <x:v>универсальное</x:v>
      </x:c>
      <x:c r="Z124" s="28" t="str">
        <x:v>Средняя</x:v>
      </x:c>
      <x:c r="AA124" s="28" t="str">
        <x:v>The Art &amp; Science of Foodpairing.pdf</x:v>
      </x:c>
      <x:c r="AB124" s="28" t="str">
        <x:v>The Art &amp; Science of Foodpairing.pdf: 108</x:v>
      </x:c>
      <x:c r="AC124" s="28" t="str">
        <x:v>связь из pairing grid, стр. 108</x:v>
      </x:c>
      <x:c r="AD124" s="28" t="n">
        <x:v>1</x:v>
      </x:c>
      <x:c r="AE124" s="28" t="n">
        <x:v>1</x:v>
      </x:c>
      <x:c r="AF124" s="28" t="n">
        <x:f>IF(Z124="Высокая",3,IF(Z124="Средняя",2,1))+AD124*2+MIN(AE124,3)</x:f>
        <x:v>5</x:v>
      </x:c>
    </x:row>
    <x:row r="125" ht="64" customHeight="1">
      <x:c r="A125" s="28" t="str">
        <x:v>VEG-0124</x:v>
      </x:c>
      <x:c r="B125" s="28" t="str">
        <x:v>болгарский перец</x:v>
      </x:c>
      <x:c r="C125" s="28" t="str">
        <x:v>Универсальные</x:v>
      </x:c>
      <x:c r="D125" s="28" t="str">
        <x:v>болгарский перец</x:v>
      </x:c>
      <x:c r="E125" s="28" t="str">
        <x:v>red bell pepper puree</x:v>
      </x:c>
      <x:c r="F125" s="28" t="str">
        <x:v>Плодовые овощи</x:v>
      </x:c>
      <x:c r="G125" s="28" t="str">
        <x:v>водоросли</x:v>
      </x:c>
      <x:c r="H125" s="28" t="str">
        <x:v>seaweed</x:v>
      </x:c>
      <x:c r="I125" s="28" t="str">
        <x:v>Прочее</x:v>
      </x:c>
      <x:c r="J125" s="28" t="str">
        <x:v>зелёный, травянистый, фруктовый; у красного — сладкий и жареный</x:v>
      </x:c>
      <x:c r="K125" s="28" t="str">
        <x:v>профиль зависит от конкретного продукта</x:v>
      </x:c>
      <x:c r="L125" s="28" t="str">
        <x:v>2-изобутил-3-метоксипиразин, гексаналь, лимонен, эфиры</x:v>
      </x:c>
      <x:c r="M125" s="28" t="str">
        <x:v>конкретный молекулярный профиль не указан</x:v>
      </x:c>
      <x:c r="N125" s="28" t="str">
        <x:v>прямое пересечение семейств не подтверждено</x:v>
      </x:c>
      <x:c r="O125" s="28" t="str">
        <x:v>надёжная общая ключевая молекула не установлена</x:v>
      </x:c>
      <x:c r="P125" s="28" t="str">
        <x:v>сенсорная комплементарность</x:v>
      </x:c>
      <x:c r="Q125" s="28" t="str">
        <x:v>Свежесть и водянистость требуют кислоты, соли или умами; избыток жирной матрицы может подавить зелёные ноты.</x:v>
      </x:c>
      <x:c r="R125" s="28" t="str">
        <x:v>минимальный</x:v>
      </x:c>
      <x:c r="S125" s="28" t="str">
        <x:v>водная плодовая матрица с кожицей и пектинами</x:v>
      </x:c>
      <x:c r="T12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5" s="28" t="str">
        <x:v>Болгарский перец имеет профиль «зелёный, травянистый, фруктовый; у красного — сладкий и жареный».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25" s="28" t="str">
        <x:v>зелёный перец может доминировать метоксипиразином; обугленную кожицу удалять</x:v>
      </x:c>
      <x:c r="W125" s="28" t="str">
        <x:v>соль, кислота или ароматический жир</x:v>
      </x:c>
      <x:c r="X125" s="28" t="str">
        <x:v>сок, кордиал, гаспачо, салат, соус, маринад или коктейльный компонент с водоросли</x:v>
      </x:c>
      <x:c r="Y125" s="28" t="str">
        <x:v>универсальное</x:v>
      </x:c>
      <x:c r="Z125" s="28" t="str">
        <x:v>Средняя</x:v>
      </x:c>
      <x:c r="AA125" s="28" t="str">
        <x:v>The Art &amp; Science of Foodpairing.pdf</x:v>
      </x:c>
      <x:c r="AB125" s="28" t="str">
        <x:v>The Art &amp; Science of Foodpairing.pdf: 267</x:v>
      </x:c>
      <x:c r="AC125" s="28" t="str">
        <x:v>связь из pairing grid, стр. 267</x:v>
      </x:c>
      <x:c r="AD125" s="28" t="n">
        <x:v>1</x:v>
      </x:c>
      <x:c r="AE125" s="28" t="n">
        <x:v>1</x:v>
      </x:c>
      <x:c r="AF125" s="28" t="n">
        <x:f>IF(Z125="Высокая",3,IF(Z125="Средняя",2,1))+AD125*2+MIN(AE125,3)</x:f>
        <x:v>5</x:v>
      </x:c>
    </x:row>
    <x:row r="126" ht="64" customHeight="1">
      <x:c r="A126" s="28" t="str">
        <x:v>VEG-0125</x:v>
      </x:c>
      <x:c r="B126" s="28" t="str">
        <x:v>болгарский перец</x:v>
      </x:c>
      <x:c r="C126" s="28" t="str">
        <x:v>Десерты и выпечка</x:v>
      </x:c>
      <x:c r="D126" s="28" t="str">
        <x:v>болгарский перец</x:v>
      </x:c>
      <x:c r="E126" s="28" t="str">
        <x:v>red bell pepper and paprika | roasted red bell pepper</x:v>
      </x:c>
      <x:c r="F126" s="28" t="str">
        <x:v>Плодовые овощи</x:v>
      </x:c>
      <x:c r="G126" s="28" t="str">
        <x:v>восковое яблоко</x:v>
      </x:c>
      <x:c r="H126" s="28" t="str">
        <x:v>java apple</x:v>
      </x:c>
      <x:c r="I126" s="28" t="str">
        <x:v>Фрукты и ягоды</x:v>
      </x:c>
      <x:c r="J126" s="28" t="str">
        <x:v>зелёный, травянистый, фруктовый; у красного — сладкий и жареный</x:v>
      </x:c>
      <x:c r="K126" s="28" t="str">
        <x:v>зелёный, свежий, фруктовый</x:v>
      </x:c>
      <x:c r="L126" s="28" t="str">
        <x:v>2-изобутил-3-метоксипиразин, гексаналь, лимонен, эфиры</x:v>
      </x:c>
      <x:c r="M126" s="28" t="str">
        <x:v>гексаналь, гексилацетат</x:v>
      </x:c>
      <x:c r="N126" s="28" t="str">
        <x:v>зелёный, фруктовый</x:v>
      </x:c>
      <x:c r="O126" s="28" t="str">
        <x:v>гексаналь</x:v>
      </x:c>
      <x:c r="P126" s="28" t="str">
        <x:v>общие характерные молекулы; пересечение ароматических семейств; кислотно-сладкий баланс</x:v>
      </x:c>
      <x:c r="Q126" s="28" t="str">
        <x:v>Свежесть и водянистость требуют кислоты, соли или умами; избыток жирной матрицы может подавить зелёные ноты.</x:v>
      </x:c>
      <x:c r="R126" s="28" t="str">
        <x:v>минимальный</x:v>
      </x:c>
      <x:c r="S126" s="28" t="str">
        <x:v>водная плодовая матрица с кожицей и пектинами Водная кислая фаза усиливает свежесть, но может разжижать пюре и нарушать молочную эмульсию.</x:v>
      </x:c>
      <x:c r="T12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6" s="28" t="str">
        <x:v>Болгарский перец имеет профиль «зелёный, травянистый, фруктовый; у красного — сладкий и жареный». Партнёр «восковое яблоко» относится к группе «Фрукты и ягоды» и даёт зелёный, свежий, фруктовый. Вероятный молекулярный мост: гексаналь.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126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W126" s="28" t="str">
        <x:v>цитрус, мёд или мягкая трава</x:v>
      </x:c>
      <x:c r="X126" s="28" t="str">
        <x:v>сок, кордиал, гаспачо, салат, соус, маринад или коктейльный компонент с восковое яблоко</x:v>
      </x:c>
      <x:c r="Y126" s="28" t="str">
        <x:v>десерты</x:v>
      </x:c>
      <x:c r="Z126" s="28" t="str">
        <x:v>Высокая</x:v>
      </x:c>
      <x:c r="AA126" s="28" t="str">
        <x:v>The Art &amp; Science of Foodpairing.pdf</x:v>
      </x:c>
      <x:c r="AB126" s="28" t="str">
        <x:v>The Art &amp; Science of Foodpairing.pdf: 108</x:v>
      </x:c>
      <x:c r="AC126" s="28" t="str">
        <x:v>прямая Potential pairing, стр. 108; связь из pairing grid, стр. 108</x:v>
      </x:c>
      <x:c r="AD126" s="28" t="n">
        <x:v>1</x:v>
      </x:c>
      <x:c r="AE126" s="28" t="n">
        <x:v>2</x:v>
      </x:c>
      <x:c r="AF126" s="28" t="n">
        <x:f>IF(Z126="Высокая",3,IF(Z126="Средняя",2,1))+AD126*2+MIN(AE126,3)</x:f>
        <x:v>7</x:v>
      </x:c>
    </x:row>
    <x:row r="127" ht="64" customHeight="1">
      <x:c r="A127" s="28" t="str">
        <x:v>VEG-0126</x:v>
      </x:c>
      <x:c r="B127" s="28" t="str">
        <x:v>болгарский перец</x:v>
      </x:c>
      <x:c r="C127" s="28" t="str">
        <x:v>Еда и соусы</x:v>
      </x:c>
      <x:c r="D127" s="28" t="str">
        <x:v>болгарский перец</x:v>
      </x:c>
      <x:c r="E127" s="28" t="str">
        <x:v>red bell pepper and paprika | Болгарский перец | болгарский перец</x:v>
      </x:c>
      <x:c r="F127" s="28" t="str">
        <x:v>Плодовые овощи</x:v>
      </x:c>
      <x:c r="G127" s="28" t="str">
        <x:v>говядина</x:v>
      </x:c>
      <x:c r="H127" s="28" t="str">
        <x:v>boiled beef | Говядина | говядина</x:v>
      </x:c>
      <x:c r="I127" s="28" t="str">
        <x:v>Мясо и птица</x:v>
      </x:c>
      <x:c r="J127" s="28" t="str">
        <x:v>зелёный, травянистый, фруктовый; у красного — сладкий и жареный</x:v>
      </x:c>
      <x:c r="K127" s="28" t="str">
        <x:v>жареный, мясной и умами</x:v>
      </x:c>
      <x:c r="L127" s="28" t="str">
        <x:v>2-изобутил-3-метоксипиразин, гексаналь, лимонен, эфиры</x:v>
      </x:c>
      <x:c r="M127" s="28" t="str">
        <x:v>пиразины, сернистые соединения</x:v>
      </x:c>
      <x:c r="N127" s="28" t="str">
        <x:v>прямое пересечение семейств не подтверждено</x:v>
      </x:c>
      <x:c r="O127" s="28" t="str">
        <x:v>надёжная общая ключевая молекула не установлена</x:v>
      </x:c>
      <x:c r="P127" s="28" t="str">
        <x:v>умами и солёный контраст</x:v>
      </x:c>
      <x:c r="Q127" s="28" t="str">
        <x:v>Свежесть и водянистость требуют кислоты, соли или умами; избыток жирной матрицы может подавить зелёные ноты.</x:v>
      </x:c>
      <x:c r="R127" s="28" t="str">
        <x:v>минимальный</x:v>
      </x:c>
      <x:c r="S127" s="28" t="str">
        <x:v>водная плодовая матрица с кожицей и пектинами Белок и жир требуют контроля воды: для жареной ароматики поверхность должна подсохнуть.</x:v>
      </x:c>
      <x:c r="T12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7" s="28" t="str">
        <x:v>Болгарский перец имеет профиль «зелёный, травянистый, фруктовый; у красного — сладкий и жареный».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27" s="28" t="str">
        <x:v>зелёный перец может доминировать метоксипиразином; обугленную кожицу удалять</x:v>
      </x:c>
      <x:c r="W127" s="28" t="str">
        <x:v>сливочное масло, соевый соус или тимьян</x:v>
      </x:c>
      <x:c r="X127" s="28" t="str">
        <x:v>сок, кордиал, гаспачо, салат, соус, маринад или коктейльный компонент с говядина</x:v>
      </x:c>
      <x:c r="Y127" s="28" t="str">
        <x:v>еда, соусы/маринады</x:v>
      </x:c>
      <x:c r="Z127" s="28" t="str">
        <x:v>Высокая</x:v>
      </x:c>
      <x:c r="AA127" s="28" t="str">
        <x:v>The Art &amp; Science of Foodpairing.pdf | Тезариус вкусов (Ники Сегнит)(1).pdf</x:v>
      </x:c>
      <x:c r="AB127" s="28" t="str">
        <x:v>Тезариус вкусов (Ники Сегнит)(1).pdf: 106, 546; The Art &amp; Science of Foodpairing.pdf: 108</x:v>
      </x:c>
      <x:c r="AC127" s="28" t="str">
        <x:v>развёрнутая пара/статья, стр. 106; развёрнутая пара/статья, стр. 546; связь из pairing grid, стр. 108</x:v>
      </x:c>
      <x:c r="AD127" s="28" t="n">
        <x:v>2</x:v>
      </x:c>
      <x:c r="AE127" s="28" t="n">
        <x:v>3</x:v>
      </x:c>
      <x:c r="AF127" s="28" t="n">
        <x:f>IF(Z127="Высокая",3,IF(Z127="Средняя",2,1))+AD127*2+MIN(AE127,3)</x:f>
        <x:v>10</x:v>
      </x:c>
    </x:row>
    <x:row r="128" ht="64" customHeight="1">
      <x:c r="A128" s="28" t="str">
        <x:v>VEG-0127</x:v>
      </x:c>
      <x:c r="B128" s="28" t="str">
        <x:v>болгарский перец</x:v>
      </x:c>
      <x:c r="C128" s="28" t="str">
        <x:v>Десерты и выпечка</x:v>
      </x:c>
      <x:c r="D128" s="28" t="str">
        <x:v>болгарский перец</x:v>
      </x:c>
      <x:c r="E128" s="28" t="str">
        <x:v>yellow bell pepper coulis</x:v>
      </x:c>
      <x:c r="F128" s="28" t="str">
        <x:v>Плодовые овощи</x:v>
      </x:c>
      <x:c r="G128" s="28" t="str">
        <x:v>голубой сыр</x:v>
      </x:c>
      <x:c r="H128" s="28" t="str">
        <x:v>blue cheese</x:v>
      </x:c>
      <x:c r="I128" s="28" t="str">
        <x:v>Молочные продукты и сыры</x:v>
      </x:c>
      <x:c r="J128" s="28" t="str">
        <x:v>зелёный, травянистый, фруктовый; у красного — сладкий и жареный</x:v>
      </x:c>
      <x:c r="K128" s="28" t="str">
        <x:v>молочный, умами, ферментированный</x:v>
      </x:c>
      <x:c r="L128" s="28" t="str">
        <x:v>2-изобутил-3-метоксипиразин, гексаналь, лимонен, эфиры</x:v>
      </x:c>
      <x:c r="M128" s="28" t="str">
        <x:v>диацетил, жирные кислоты</x:v>
      </x:c>
      <x:c r="N128" s="28" t="str">
        <x:v>прямое пересечение семейств не подтверждено</x:v>
      </x:c>
      <x:c r="O128" s="28" t="str">
        <x:v>надёжная общая ключевая молекула не установлена</x:v>
      </x:c>
      <x:c r="P128" s="28" t="str">
        <x:v>жировая матрица</x:v>
      </x:c>
      <x:c r="Q128" s="28" t="str">
        <x:v>Свежесть и водянистость требуют кислоты, соли или умами; избыток жирной матрицы может подавить зелёные ноты.</x:v>
      </x:c>
      <x:c r="R128" s="28" t="str">
        <x:v>минимальный</x:v>
      </x:c>
      <x:c r="S128" s="28" t="str">
        <x:v>водная плодовая матрица с кожицей и пектинами Жировая фаза удерживает гидрофобные молекулы, но может сделать вкус тяжёлым.</x:v>
      </x:c>
      <x:c r="T12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8" s="28" t="str">
        <x:v>Болгарский перец имеет профиль «зелёный, травянистый, фруктовый; у красного — сладкий и жареный».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128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W128" s="28" t="str">
        <x:v>кислота, зелень или жареный орех</x:v>
      </x:c>
      <x:c r="X128" s="28" t="str">
        <x:v>сок, кордиал, гаспачо, салат, соус, маринад или коктейльный компонент с голубой сыр</x:v>
      </x:c>
      <x:c r="Y128" s="28" t="str">
        <x:v>десерты</x:v>
      </x:c>
      <x:c r="Z128" s="28" t="str">
        <x:v>Средняя</x:v>
      </x:c>
      <x:c r="AA128" s="28" t="str">
        <x:v>The Art &amp; Science of Foodpairing.pdf</x:v>
      </x:c>
      <x:c r="AB128" s="28" t="str">
        <x:v>The Art &amp; Science of Foodpairing.pdf: 164</x:v>
      </x:c>
      <x:c r="AC128" s="28" t="str">
        <x:v>связь из pairing grid, стр. 164</x:v>
      </x:c>
      <x:c r="AD128" s="28" t="n">
        <x:v>1</x:v>
      </x:c>
      <x:c r="AE128" s="28" t="n">
        <x:v>1</x:v>
      </x:c>
      <x:c r="AF128" s="28" t="n">
        <x:f>IF(Z128="Высокая",3,IF(Z128="Средняя",2,1))+AD128*2+MIN(AE128,3)</x:f>
        <x:v>5</x:v>
      </x:c>
    </x:row>
    <x:row r="129" ht="64" customHeight="1">
      <x:c r="A129" s="28" t="str">
        <x:v>VEG-0128</x:v>
      </x:c>
      <x:c r="B129" s="28" t="str">
        <x:v>болгарский перец</x:v>
      </x:c>
      <x:c r="C129" s="28" t="str">
        <x:v>Универсальные</x:v>
      </x:c>
      <x:c r="D129" s="28" t="str">
        <x:v>болгарский перец</x:v>
      </x:c>
      <x:c r="E129" s="28" t="str">
        <x:v>red bell pepper and paprika</x:v>
      </x:c>
      <x:c r="F129" s="28" t="str">
        <x:v>Плодовые овощи</x:v>
      </x:c>
      <x:c r="G129" s="28" t="str">
        <x:v>горчичная зелень</x:v>
      </x:c>
      <x:c r="H129" s="28" t="str">
        <x:v>steamed mustard greens</x:v>
      </x:c>
      <x:c r="I129" s="28" t="str">
        <x:v>Прочее</x:v>
      </x:c>
      <x:c r="J129" s="28" t="str">
        <x:v>зелёный, травянистый, фруктовый; у красного — сладкий и жареный</x:v>
      </x:c>
      <x:c r="K129" s="28" t="str">
        <x:v>профиль зависит от конкретного продукта</x:v>
      </x:c>
      <x:c r="L129" s="28" t="str">
        <x:v>2-изобутил-3-метоксипиразин, гексаналь, лимонен, эфиры</x:v>
      </x:c>
      <x:c r="M129" s="28" t="str">
        <x:v>конкретный молекулярный профиль не указан</x:v>
      </x:c>
      <x:c r="N129" s="28" t="str">
        <x:v>прямое пересечение семейств не подтверждено</x:v>
      </x:c>
      <x:c r="O129" s="28" t="str">
        <x:v>надёжная общая ключевая молекула не установлена</x:v>
      </x:c>
      <x:c r="P129" s="28" t="str">
        <x:v>сенсорная комплементарность</x:v>
      </x:c>
      <x:c r="Q129" s="28" t="str">
        <x:v>Свежесть и водянистость требуют кислоты, соли или умами; избыток жирной матрицы может подавить зелёные ноты.</x:v>
      </x:c>
      <x:c r="R129" s="28" t="str">
        <x:v>минимальный</x:v>
      </x:c>
      <x:c r="S129" s="28" t="str">
        <x:v>водная плодовая матрица с кожицей и пектинами</x:v>
      </x:c>
      <x:c r="T12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29" s="28" t="str">
        <x:v>Болгарский перец имеет профиль «зелёный, травянистый, фруктовый; у красного — сладкий и жареный». Партнёр «горчичная зелень»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29" s="28" t="str">
        <x:v>зелёный перец может доминировать метоксипиразином; обугленную кожицу удалять</x:v>
      </x:c>
      <x:c r="W129" s="28" t="str">
        <x:v>соль, кислота или ароматический жир</x:v>
      </x:c>
      <x:c r="X129" s="28" t="str">
        <x:v>сок, кордиал, гаспачо, салат, соус, маринад или коктейльный компонент с горчичная зелень</x:v>
      </x:c>
      <x:c r="Y129" s="28" t="str">
        <x:v>универсальное</x:v>
      </x:c>
      <x:c r="Z129" s="28" t="str">
        <x:v>Средняя</x:v>
      </x:c>
      <x:c r="AA129" s="28" t="str">
        <x:v>The Art &amp; Science of Foodpairing.pdf</x:v>
      </x:c>
      <x:c r="AB129" s="28" t="str">
        <x:v>The Art &amp; Science of Foodpairing.pdf: 108</x:v>
      </x:c>
      <x:c r="AC129" s="28" t="str">
        <x:v>связь из pairing grid, стр. 108</x:v>
      </x:c>
      <x:c r="AD129" s="28" t="n">
        <x:v>1</x:v>
      </x:c>
      <x:c r="AE129" s="28" t="n">
        <x:v>1</x:v>
      </x:c>
      <x:c r="AF129" s="28" t="n">
        <x:f>IF(Z129="Высокая",3,IF(Z129="Средняя",2,1))+AD129*2+MIN(AE129,3)</x:f>
        <x:v>5</x:v>
      </x:c>
    </x:row>
    <x:row r="130" ht="64" customHeight="1">
      <x:c r="A130" s="28" t="str">
        <x:v>VEG-0129</x:v>
      </x:c>
      <x:c r="B130" s="28" t="str">
        <x:v>болгарский перец</x:v>
      </x:c>
      <x:c r="C130" s="28" t="str">
        <x:v>Еда и соусы</x:v>
      </x:c>
      <x:c r="D130" s="28" t="str">
        <x:v>болгарский перец</x:v>
      </x:c>
      <x:c r="E130" s="28" t="str">
        <x:v>red bell pepper and paprika</x:v>
      </x:c>
      <x:c r="F130" s="28" t="str">
        <x:v>Плодовые овощи</x:v>
      </x:c>
      <x:c r="G130" s="28" t="str">
        <x:v>гребешок</x:v>
      </x:c>
      <x:c r="H130" s="28" t="str">
        <x:v>scallop</x:v>
      </x:c>
      <x:c r="I130" s="28" t="str">
        <x:v>Рыба и морепродукты</x:v>
      </x:c>
      <x:c r="J130" s="28" t="str">
        <x:v>зелёный, травянистый, фруктовый; у красного — сладкий и жареный</x:v>
      </x:c>
      <x:c r="K130" s="28" t="str">
        <x:v>морской, солоноватый и умами</x:v>
      </x:c>
      <x:c r="L130" s="28" t="str">
        <x:v>2-изобутил-3-метоксипиразин, гексаналь, лимонен, эфиры</x:v>
      </x:c>
      <x:c r="M130" s="28" t="str">
        <x:v>альдегиды, амины</x:v>
      </x:c>
      <x:c r="N130" s="28" t="str">
        <x:v>прямое пересечение семейств не подтверждено</x:v>
      </x:c>
      <x:c r="O130" s="28" t="str">
        <x:v>надёжная общая ключевая молекула не установлена</x:v>
      </x:c>
      <x:c r="P130" s="28" t="str">
        <x:v>умами и солёный контраст</x:v>
      </x:c>
      <x:c r="Q130" s="28" t="str">
        <x:v>Свежесть и водянистость требуют кислоты, соли или умами; избыток жирной матрицы может подавить зелёные ноты.</x:v>
      </x:c>
      <x:c r="R130" s="28" t="str">
        <x:v>минимальный</x:v>
      </x:c>
      <x:c r="S130" s="28" t="str">
        <x:v>водная плодовая матрица с кожицей и пектинами Белок и жир требуют контроля воды: для жареной ароматики поверхность должна подсохнуть.</x:v>
      </x:c>
      <x:c r="T13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0" s="28" t="str">
        <x:v>Болгарский перец имеет профиль «зелёный, травянистый, фруктовый; у красного — сладкий и жареный». Партнёр «гребешок»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30" s="28" t="str">
        <x:v>зелёный перец может доминировать метоксипиразином; обугленную кожицу удалять</x:v>
      </x:c>
      <x:c r="W130" s="28" t="str">
        <x:v>сливочное масло, соевый соус или тимьян</x:v>
      </x:c>
      <x:c r="X130" s="28" t="str">
        <x:v>сок, кордиал, гаспачо, салат, соус, маринад или коктейльный компонент с гребешок</x:v>
      </x:c>
      <x:c r="Y130" s="28" t="str">
        <x:v>еда, соусы/маринады</x:v>
      </x:c>
      <x:c r="Z130" s="28" t="str">
        <x:v>Средняя</x:v>
      </x:c>
      <x:c r="AA130" s="28" t="str">
        <x:v>The Art &amp; Science of Foodpairing.pdf</x:v>
      </x:c>
      <x:c r="AB130" s="28" t="str">
        <x:v>The Art &amp; Science of Foodpairing.pdf: 108</x:v>
      </x:c>
      <x:c r="AC130" s="28" t="str">
        <x:v>связь из pairing grid, стр. 108</x:v>
      </x:c>
      <x:c r="AD130" s="28" t="n">
        <x:v>1</x:v>
      </x:c>
      <x:c r="AE130" s="28" t="n">
        <x:v>1</x:v>
      </x:c>
      <x:c r="AF130" s="28" t="n">
        <x:f>IF(Z130="Высокая",3,IF(Z130="Средняя",2,1))+AD130*2+MIN(AE130,3)</x:f>
        <x:v>5</x:v>
      </x:c>
    </x:row>
    <x:row r="131" ht="64" customHeight="1">
      <x:c r="A131" s="28" t="str">
        <x:v>VEG-0130</x:v>
      </x:c>
      <x:c r="B131" s="28" t="str">
        <x:v>болгарский перец</x:v>
      </x:c>
      <x:c r="C131" s="28" t="str">
        <x:v>Еда и соусы</x:v>
      </x:c>
      <x:c r="D131" s="28" t="str">
        <x:v>болгарский перец</x:v>
      </x:c>
      <x:c r="E131" s="28" t="str">
        <x:v>red bell pepper and paprika</x:v>
      </x:c>
      <x:c r="F131" s="28" t="str">
        <x:v>Плодовые овощи</x:v>
      </x:c>
      <x:c r="G131" s="28" t="str">
        <x:v>жареная индейка</x:v>
      </x:c>
      <x:c r="H131" s="28" t="str">
        <x:v>roast turkey</x:v>
      </x:c>
      <x:c r="I131" s="28" t="str">
        <x:v>Мясо и птица</x:v>
      </x:c>
      <x:c r="J131" s="28" t="str">
        <x:v>зелёный, травянистый, фруктовый; у красного — сладкий и жареный</x:v>
      </x:c>
      <x:c r="K131" s="28" t="str">
        <x:v>жареный, мясной и умами</x:v>
      </x:c>
      <x:c r="L131" s="28" t="str">
        <x:v>2-изобутил-3-метоксипиразин, гексаналь, лимонен, эфиры</x:v>
      </x:c>
      <x:c r="M131" s="28" t="str">
        <x:v>пиразины, сернистые соединения</x:v>
      </x:c>
      <x:c r="N131" s="28" t="str">
        <x:v>прямое пересечение семейств не подтверждено</x:v>
      </x:c>
      <x:c r="O131" s="28" t="str">
        <x:v>надёжная общая ключевая молекула не установлена</x:v>
      </x:c>
      <x:c r="P131" s="28" t="str">
        <x:v>умами и солёный контраст</x:v>
      </x:c>
      <x:c r="Q131" s="28" t="str">
        <x:v>Свежесть и водянистость требуют кислоты, соли или умами; избыток жирной матрицы может подавить зелёные ноты.</x:v>
      </x:c>
      <x:c r="R131" s="28" t="str">
        <x:v>минимальный</x:v>
      </x:c>
      <x:c r="S131" s="28" t="str">
        <x:v>водная плодовая матрица с кожицей и пектинами Белок и жир требуют контроля воды: для жареной ароматики поверхность должна подсохнуть.</x:v>
      </x:c>
      <x:c r="T13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1" s="28" t="str">
        <x:v>Болгарский перец имеет профиль «зелёный, травянистый, фруктовый; у красного — сладкий и жареный». Партнёр «жареная индейка»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31" s="28" t="str">
        <x:v>зелёный перец может доминировать метоксипиразином; обугленную кожицу удалять</x:v>
      </x:c>
      <x:c r="W131" s="28" t="str">
        <x:v>сливочное масло, соевый соус или тимьян</x:v>
      </x:c>
      <x:c r="X131" s="28" t="str">
        <x:v>сок, кордиал, гаспачо, салат, соус, маринад или коктейльный компонент с жареная индейка</x:v>
      </x:c>
      <x:c r="Y131" s="28" t="str">
        <x:v>еда, соусы/маринады</x:v>
      </x:c>
      <x:c r="Z131" s="28" t="str">
        <x:v>Средняя</x:v>
      </x:c>
      <x:c r="AA131" s="28" t="str">
        <x:v>The Art &amp; Science of Foodpairing.pdf</x:v>
      </x:c>
      <x:c r="AB131" s="28" t="str">
        <x:v>The Art &amp; Science of Foodpairing.pdf: 108</x:v>
      </x:c>
      <x:c r="AC131" s="28" t="str">
        <x:v>связь из pairing grid, стр. 108</x:v>
      </x:c>
      <x:c r="AD131" s="28" t="n">
        <x:v>1</x:v>
      </x:c>
      <x:c r="AE131" s="28" t="n">
        <x:v>1</x:v>
      </x:c>
      <x:c r="AF131" s="28" t="n">
        <x:f>IF(Z131="Высокая",3,IF(Z131="Средняя",2,1))+AD131*2+MIN(AE131,3)</x:f>
        <x:v>5</x:v>
      </x:c>
    </x:row>
    <x:row r="132" ht="64" customHeight="1">
      <x:c r="A132" s="28" t="str">
        <x:v>VEG-0131</x:v>
      </x:c>
      <x:c r="B132" s="28" t="str">
        <x:v>болгарский перец</x:v>
      </x:c>
      <x:c r="C132" s="28" t="str">
        <x:v>Напитки</x:v>
      </x:c>
      <x:c r="D132" s="28" t="str">
        <x:v>болгарский перец</x:v>
      </x:c>
      <x:c r="E132" s="28" t="str">
        <x:v>red bell pepper and paprika</x:v>
      </x:c>
      <x:c r="F132" s="28" t="str">
        <x:v>Плодовые овощи</x:v>
      </x:c>
      <x:c r="G132" s="28" t="str">
        <x:v>зелёный чай</x:v>
      </x:c>
      <x:c r="H132" s="28" t="str">
        <x:v>green tea</x:v>
      </x:c>
      <x:c r="I132" s="28" t="str">
        <x:v>Чай</x:v>
      </x:c>
      <x:c r="J132" s="28" t="str">
        <x:v>зелёный, травянистый, фруктовый; у красного — сладкий и жареный</x:v>
      </x:c>
      <x:c r="K132" s="28" t="str">
        <x:v>цветочный, древесный или зелёный</x:v>
      </x:c>
      <x:c r="L132" s="28" t="str">
        <x:v>2-изобутил-3-метоксипиразин, гексаналь, лимонен, эфиры</x:v>
      </x:c>
      <x:c r="M132" s="28" t="str">
        <x:v>линалоол, полифенолы</x:v>
      </x:c>
      <x:c r="N132" s="28" t="str">
        <x:v>зелёный</x:v>
      </x:c>
      <x:c r="O132" s="28" t="str">
        <x:v>надёжная общая ключевая молекула не установлена</x:v>
      </x:c>
      <x:c r="P132" s="28" t="str">
        <x:v>пересечение ароматических семейств</x:v>
      </x:c>
      <x:c r="Q132" s="28" t="str">
        <x:v>Свежесть и водянистость требуют кислоты, соли или умами; избыток жирной матрицы может подавить зелёные ноты.</x:v>
      </x:c>
      <x:c r="R132" s="28" t="str">
        <x:v>минимальный</x:v>
      </x:c>
      <x:c r="S132" s="28" t="str">
        <x:v>водная плодовая матрица с кожицей и пектинами</x:v>
      </x:c>
      <x:c r="T13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2" s="28" t="str">
        <x:v>Болгарский перец имеет профиль «зелёный, травянистый, фруктовый; у красного — сладкий и жареный». Партнёр «зелёный 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V132" s="28" t="str">
        <x:v>зелёный перец может доминировать метоксипиразином; обугленную кожицу удалять</x:v>
      </x:c>
      <x:c r="W132" s="28" t="str">
        <x:v>соль, кислота или ароматический жир</x:v>
      </x:c>
      <x:c r="X132" s="28" t="str">
        <x:v>сок, кордиал, гаспачо, салат, соус, маринад или коктейльный компонент с зелёный чай</x:v>
      </x:c>
      <x:c r="Y132" s="28" t="str">
        <x:v>напитки</x:v>
      </x:c>
      <x:c r="Z132" s="28" t="str">
        <x:v>Средняя</x:v>
      </x:c>
      <x:c r="AA132" s="28" t="str">
        <x:v>The Art &amp; Science of Foodpairing.pdf</x:v>
      </x:c>
      <x:c r="AB132" s="28" t="str">
        <x:v>The Art &amp; Science of Foodpairing.pdf: 108</x:v>
      </x:c>
      <x:c r="AC132" s="28" t="str">
        <x:v>связь из pairing grid, стр. 108</x:v>
      </x:c>
      <x:c r="AD132" s="28" t="n">
        <x:v>1</x:v>
      </x:c>
      <x:c r="AE132" s="28" t="n">
        <x:v>1</x:v>
      </x:c>
      <x:c r="AF132" s="28" t="n">
        <x:f>IF(Z132="Высокая",3,IF(Z132="Средняя",2,1))+AD132*2+MIN(AE132,3)</x:f>
        <x:v>5</x:v>
      </x:c>
    </x:row>
    <x:row r="133" ht="64" customHeight="1">
      <x:c r="A133" s="28" t="str">
        <x:v>VEG-0132</x:v>
      </x:c>
      <x:c r="B133" s="28" t="str">
        <x:v>болгарский перец</x:v>
      </x:c>
      <x:c r="C133" s="28" t="str">
        <x:v>Универсальные</x:v>
      </x:c>
      <x:c r="D133" s="28" t="str">
        <x:v>болгарский перец</x:v>
      </x:c>
      <x:c r="E133" s="28" t="str">
        <x:v>red bell pepper</x:v>
      </x:c>
      <x:c r="F133" s="28" t="str">
        <x:v>Плодовые овощи</x:v>
      </x:c>
      <x:c r="G133" s="28" t="str">
        <x:v>камбала</x:v>
      </x:c>
      <x:c r="H133" s="28" t="str">
        <x:v>baked plaice</x:v>
      </x:c>
      <x:c r="I133" s="28" t="str">
        <x:v>Прочее</x:v>
      </x:c>
      <x:c r="J133" s="28" t="str">
        <x:v>зелёный, травянистый, фруктовый; у красного — сладкий и жареный</x:v>
      </x:c>
      <x:c r="K133" s="28" t="str">
        <x:v>профиль зависит от конкретного продукта</x:v>
      </x:c>
      <x:c r="L133" s="28" t="str">
        <x:v>2-изобутил-3-метоксипиразин, гексаналь, лимонен, эфиры</x:v>
      </x:c>
      <x:c r="M133" s="28" t="str">
        <x:v>конкретный молекулярный профиль не указан</x:v>
      </x:c>
      <x:c r="N133" s="28" t="str">
        <x:v>прямое пересечение семейств не подтверждено</x:v>
      </x:c>
      <x:c r="O133" s="28" t="str">
        <x:v>надёжная общая ключевая молекула не установлена</x:v>
      </x:c>
      <x:c r="P133" s="28" t="str">
        <x:v>сенсорная комплементарность</x:v>
      </x:c>
      <x:c r="Q133" s="28" t="str">
        <x:v>Свежесть и водянистость требуют кислоты, соли или умами; избыток жирной матрицы может подавить зелёные ноты.</x:v>
      </x:c>
      <x:c r="R133" s="28" t="str">
        <x:v>минимальный</x:v>
      </x:c>
      <x:c r="S133" s="28" t="str">
        <x:v>водная плодовая матрица с кожицей и пектинами</x:v>
      </x:c>
      <x:c r="T13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3" s="28" t="str">
        <x:v>Болгарский перец имеет профиль «зелёный, травянистый, фруктовый; у красного — сладкий и жареный». Партнёр «камбала»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33" s="28" t="str">
        <x:v>зелёный перец может доминировать метоксипиразином; обугленную кожицу удалять</x:v>
      </x:c>
      <x:c r="W133" s="28" t="str">
        <x:v>соль, кислота или ароматический жир</x:v>
      </x:c>
      <x:c r="X133" s="28" t="str">
        <x:v>сок, кордиал, гаспачо, салат, соус, маринад или коктейльный компонент с камбала</x:v>
      </x:c>
      <x:c r="Y133" s="28" t="str">
        <x:v>универсальное</x:v>
      </x:c>
      <x:c r="Z133" s="28" t="str">
        <x:v>Высокая</x:v>
      </x:c>
      <x:c r="AA133" s="28" t="str">
        <x:v>The Art &amp; Science of Foodpairing.pdf</x:v>
      </x:c>
      <x:c r="AB133" s="28" t="str">
        <x:v>The Art &amp; Science of Foodpairing.pdf: 105</x:v>
      </x:c>
      <x:c r="AC133" s="28" t="str">
        <x:v>прямая Potential pairing, стр. 105</x:v>
      </x:c>
      <x:c r="AD133" s="28" t="n">
        <x:v>1</x:v>
      </x:c>
      <x:c r="AE133" s="28" t="n">
        <x:v>1</x:v>
      </x:c>
      <x:c r="AF133" s="28" t="n">
        <x:f>IF(Z133="Высокая",3,IF(Z133="Средняя",2,1))+AD133*2+MIN(AE133,3)</x:f>
        <x:v>6</x:v>
      </x:c>
    </x:row>
    <x:row r="134" ht="64" customHeight="1">
      <x:c r="A134" s="28" t="str">
        <x:v>VEG-0133</x:v>
      </x:c>
      <x:c r="B134" s="28" t="str">
        <x:v>болгарский перец</x:v>
      </x:c>
      <x:c r="C134" s="28" t="str">
        <x:v>Универсальные</x:v>
      </x:c>
      <x:c r="D134" s="28" t="str">
        <x:v>болгарский перец</x:v>
      </x:c>
      <x:c r="E134" s="28" t="str">
        <x:v>red bell pepper and paprika</x:v>
      </x:c>
      <x:c r="F134" s="28" t="str">
        <x:v>Плодовые овощи</x:v>
      </x:c>
      <x:c r="G134" s="28" t="str">
        <x:v>колбаса</x:v>
      </x:c>
      <x:c r="H134" s="28" t="str">
        <x:v>sausage</x:v>
      </x:c>
      <x:c r="I134" s="28" t="str">
        <x:v>Прочее</x:v>
      </x:c>
      <x:c r="J134" s="28" t="str">
        <x:v>зелёный, травянистый, фруктовый; у красного — сладкий и жареный</x:v>
      </x:c>
      <x:c r="K134" s="28" t="str">
        <x:v>профиль зависит от конкретного продукта</x:v>
      </x:c>
      <x:c r="L134" s="28" t="str">
        <x:v>2-изобутил-3-метоксипиразин, гексаналь, лимонен, эфиры</x:v>
      </x:c>
      <x:c r="M134" s="28" t="str">
        <x:v>конкретный молекулярный профиль не указан</x:v>
      </x:c>
      <x:c r="N134" s="28" t="str">
        <x:v>прямое пересечение семейств не подтверждено</x:v>
      </x:c>
      <x:c r="O134" s="28" t="str">
        <x:v>надёжная общая ключевая молекула не установлена</x:v>
      </x:c>
      <x:c r="P134" s="28" t="str">
        <x:v>сенсорная комплементарность</x:v>
      </x:c>
      <x:c r="Q134" s="28" t="str">
        <x:v>Свежесть и водянистость требуют кислоты, соли или умами; избыток жирной матрицы может подавить зелёные ноты.</x:v>
      </x:c>
      <x:c r="R134" s="28" t="str">
        <x:v>минимальный</x:v>
      </x:c>
      <x:c r="S134" s="28" t="str">
        <x:v>водная плодовая матрица с кожицей и пектинами</x:v>
      </x:c>
      <x:c r="T13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4" s="28" t="str">
        <x:v>Болгарский перец имеет профиль «зелёный, травянистый, фруктовый; у красного — сладкий и жареный». Партнёр «колбаса»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34" s="28" t="str">
        <x:v>зелёный перец может доминировать метоксипиразином; обугленную кожицу удалять</x:v>
      </x:c>
      <x:c r="W134" s="28" t="str">
        <x:v>соль, кислота или ароматический жир</x:v>
      </x:c>
      <x:c r="X134" s="28" t="str">
        <x:v>сок, кордиал, гаспачо, салат, соус, маринад или коктейльный компонент с колбаса</x:v>
      </x:c>
      <x:c r="Y134" s="28" t="str">
        <x:v>универсальное</x:v>
      </x:c>
      <x:c r="Z134" s="28" t="str">
        <x:v>Средняя</x:v>
      </x:c>
      <x:c r="AA134" s="28" t="str">
        <x:v>The Art &amp; Science of Foodpairing.pdf</x:v>
      </x:c>
      <x:c r="AB134" s="28" t="str">
        <x:v>The Art &amp; Science of Foodpairing.pdf: 108</x:v>
      </x:c>
      <x:c r="AC134" s="28" t="str">
        <x:v>связь из pairing grid, стр. 108</x:v>
      </x:c>
      <x:c r="AD134" s="28" t="n">
        <x:v>1</x:v>
      </x:c>
      <x:c r="AE134" s="28" t="n">
        <x:v>1</x:v>
      </x:c>
      <x:c r="AF134" s="28" t="n">
        <x:f>IF(Z134="Высокая",3,IF(Z134="Средняя",2,1))+AD134*2+MIN(AE134,3)</x:f>
        <x:v>5</x:v>
      </x:c>
    </x:row>
    <x:row r="135" ht="64" customHeight="1">
      <x:c r="A135" s="28" t="str">
        <x:v>VEG-0134</x:v>
      </x:c>
      <x:c r="B135" s="28" t="str">
        <x:v>болгарский перец</x:v>
      </x:c>
      <x:c r="C135" s="28" t="str">
        <x:v>Напитки</x:v>
      </x:c>
      <x:c r="D135" s="28" t="str">
        <x:v>болгарский перец</x:v>
      </x:c>
      <x:c r="E135" s="28" t="str">
        <x:v>red bell pepper and paprika</x:v>
      </x:c>
      <x:c r="F135" s="28" t="str">
        <x:v>Плодовые овощи</x:v>
      </x:c>
      <x:c r="G135" s="28" t="str">
        <x:v>колумбийский кофе</x:v>
      </x:c>
      <x:c r="H135" s="28" t="str">
        <x:v>Colombian coffee</x:v>
      </x:c>
      <x:c r="I135" s="28" t="str">
        <x:v>Кофе</x:v>
      </x:c>
      <x:c r="J135" s="28" t="str">
        <x:v>зелёный, травянистый, фруктовый; у красного — сладкий и жареный</x:v>
      </x:c>
      <x:c r="K135" s="28" t="str">
        <x:v>жареный, карамельный, ореховый</x:v>
      </x:c>
      <x:c r="L135" s="28" t="str">
        <x:v>2-изобутил-3-метоксипиразин, гексаналь, лимонен, эфиры</x:v>
      </x:c>
      <x:c r="M135" s="28" t="str">
        <x:v>гваякол, пиразины, фураны</x:v>
      </x:c>
      <x:c r="N135" s="28" t="str">
        <x:v>прямое пересечение семейств не подтверждено</x:v>
      </x:c>
      <x:c r="O135" s="28" t="str">
        <x:v>надёжная общая ключевая молекула не установлена</x:v>
      </x:c>
      <x:c r="P135" s="28" t="str">
        <x:v>сенсорная комплементарность</x:v>
      </x:c>
      <x:c r="Q135" s="28" t="str">
        <x:v>Свежесть и водянистость требуют кислоты, соли или умами; избыток жирной матрицы может подавить зелёные ноты.</x:v>
      </x:c>
      <x:c r="R135" s="28" t="str">
        <x:v>минимальный</x:v>
      </x:c>
      <x:c r="S135" s="28" t="str">
        <x:v>водная плодовая матрица с кожицей и пектинами</x:v>
      </x:c>
      <x:c r="T13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5" s="28" t="str">
        <x:v>Болгарский перец имеет профиль «зелёный, травянистый, фруктовый; у красного — сладкий и жареный». Партнёр «колумбийский 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135" s="28" t="str">
        <x:v>зелёный перец может доминировать метоксипиразином; обугленную кожицу удалять; жареная горечь легко маскирует нежный овощной аромат</x:v>
      </x:c>
      <x:c r="W135" s="28" t="str">
        <x:v>сливки, орех или карамель</x:v>
      </x:c>
      <x:c r="X135" s="28" t="str">
        <x:v>сок, кордиал, гаспачо, салат, соус, маринад или коктейльный компонент с колумбийский кофе</x:v>
      </x:c>
      <x:c r="Y135" s="28" t="str">
        <x:v>напитки</x:v>
      </x:c>
      <x:c r="Z135" s="28" t="str">
        <x:v>Средняя</x:v>
      </x:c>
      <x:c r="AA135" s="28" t="str">
        <x:v>The Art &amp; Science of Foodpairing.pdf</x:v>
      </x:c>
      <x:c r="AB135" s="28" t="str">
        <x:v>The Art &amp; Science of Foodpairing.pdf: 108</x:v>
      </x:c>
      <x:c r="AC135" s="28" t="str">
        <x:v>связь из pairing grid, стр. 108</x:v>
      </x:c>
      <x:c r="AD135" s="28" t="n">
        <x:v>1</x:v>
      </x:c>
      <x:c r="AE135" s="28" t="n">
        <x:v>1</x:v>
      </x:c>
      <x:c r="AF135" s="28" t="n">
        <x:f>IF(Z135="Высокая",3,IF(Z135="Средняя",2,1))+AD135*2+MIN(AE135,3)</x:f>
        <x:v>5</x:v>
      </x:c>
    </x:row>
    <x:row r="136" ht="64" customHeight="1">
      <x:c r="A136" s="28" t="str">
        <x:v>VEG-0135</x:v>
      </x:c>
      <x:c r="B136" s="28" t="str">
        <x:v>болгарский перец</x:v>
      </x:c>
      <x:c r="C136" s="28" t="str">
        <x:v>Универсальные</x:v>
      </x:c>
      <x:c r="D136" s="28" t="str">
        <x:v>болгарский перец</x:v>
      </x:c>
      <x:c r="E136" s="28" t="str">
        <x:v>red bell pepper and paprika</x:v>
      </x:c>
      <x:c r="F136" s="28" t="str">
        <x:v>Плодовые овощи</x:v>
      </x:c>
      <x:c r="G136" s="28" t="str">
        <x:v>кольраби</x:v>
      </x:c>
      <x:c r="H136" s="28" t="str">
        <x:v>kohlrabi</x:v>
      </x:c>
      <x:c r="I136" s="28" t="str">
        <x:v>Прочее</x:v>
      </x:c>
      <x:c r="J136" s="28" t="str">
        <x:v>зелёный, травянистый, фруктовый; у красного — сладкий и жареный</x:v>
      </x:c>
      <x:c r="K136" s="28" t="str">
        <x:v>профиль зависит от конкретного продукта</x:v>
      </x:c>
      <x:c r="L136" s="28" t="str">
        <x:v>2-изобутил-3-метоксипиразин, гексаналь, лимонен, эфиры</x:v>
      </x:c>
      <x:c r="M136" s="28" t="str">
        <x:v>конкретный молекулярный профиль не указан</x:v>
      </x:c>
      <x:c r="N136" s="28" t="str">
        <x:v>прямое пересечение семейств не подтверждено</x:v>
      </x:c>
      <x:c r="O136" s="28" t="str">
        <x:v>надёжная общая ключевая молекула не установлена</x:v>
      </x:c>
      <x:c r="P136" s="28" t="str">
        <x:v>сенсорная комплементарность</x:v>
      </x:c>
      <x:c r="Q136" s="28" t="str">
        <x:v>Свежесть и водянистость требуют кислоты, соли или умами; избыток жирной матрицы может подавить зелёные ноты.</x:v>
      </x:c>
      <x:c r="R136" s="28" t="str">
        <x:v>минимальный</x:v>
      </x:c>
      <x:c r="S136" s="28" t="str">
        <x:v>водная плодовая матрица с кожицей и пектинами</x:v>
      </x:c>
      <x:c r="T13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6" s="28" t="str">
        <x:v>Болгарский перец имеет профиль «зелёный, травянистый, фруктовый; у красного — сладкий и жареный». Партнёр «кольраби»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36" s="28" t="str">
        <x:v>зелёный перец может доминировать метоксипиразином; обугленную кожицу удалять</x:v>
      </x:c>
      <x:c r="W136" s="28" t="str">
        <x:v>соль, кислота или ароматический жир</x:v>
      </x:c>
      <x:c r="X136" s="28" t="str">
        <x:v>сок, кордиал, гаспачо, салат, соус, маринад или коктейльный компонент с кольраби</x:v>
      </x:c>
      <x:c r="Y136" s="28" t="str">
        <x:v>универсальное</x:v>
      </x:c>
      <x:c r="Z136" s="28" t="str">
        <x:v>Средняя</x:v>
      </x:c>
      <x:c r="AA136" s="28" t="str">
        <x:v>The Art &amp; Science of Foodpairing.pdf</x:v>
      </x:c>
      <x:c r="AB136" s="28" t="str">
        <x:v>The Art &amp; Science of Foodpairing.pdf: 108</x:v>
      </x:c>
      <x:c r="AC136" s="28" t="str">
        <x:v>связь из pairing grid, стр. 108</x:v>
      </x:c>
      <x:c r="AD136" s="28" t="n">
        <x:v>1</x:v>
      </x:c>
      <x:c r="AE136" s="28" t="n">
        <x:v>1</x:v>
      </x:c>
      <x:c r="AF136" s="28" t="n">
        <x:f>IF(Z136="Высокая",3,IF(Z136="Средняя",2,1))+AD136*2+MIN(AE136,3)</x:f>
        <x:v>5</x:v>
      </x:c>
    </x:row>
    <x:row r="137" ht="64" customHeight="1">
      <x:c r="A137" s="28" t="str">
        <x:v>VEG-0136</x:v>
      </x:c>
      <x:c r="B137" s="28" t="str">
        <x:v>болгарский перец</x:v>
      </x:c>
      <x:c r="C137" s="28" t="str">
        <x:v>Еда и соусы</x:v>
      </x:c>
      <x:c r="D137" s="28" t="str">
        <x:v>болгарский перец</x:v>
      </x:c>
      <x:c r="E137" s="28" t="str">
        <x:v>red bell pepper and paprika</x:v>
      </x:c>
      <x:c r="F137" s="28" t="str">
        <x:v>Плодовые овощи</x:v>
      </x:c>
      <x:c r="G137" s="28" t="str">
        <x:v>красный болгарский перец</x:v>
      </x:c>
      <x:c r="H137" s="28" t="str">
        <x:v>roasted red bellpepper</x:v>
      </x:c>
      <x:c r="I137" s="28" t="str">
        <x:v>Плодовые и тыквенные овощи</x:v>
      </x:c>
      <x:c r="J137" s="28" t="str">
        <x:v>зелёный, травянистый, фруктовый; у красного — сладкий и жареный</x:v>
      </x:c>
      <x:c r="K137" s="28" t="str">
        <x:v>зелёный, фруктовый или водянистый</x:v>
      </x:c>
      <x:c r="L137" s="28" t="str">
        <x:v>2-изобутил-3-метоксипиразин, гексаналь, лимонен, эфиры</x:v>
      </x:c>
      <x:c r="M137" s="28" t="str">
        <x:v>альдегиды, эфиры</x:v>
      </x:c>
      <x:c r="N137" s="28" t="str">
        <x:v>зелёный, фруктовый</x:v>
      </x:c>
      <x:c r="O137" s="28" t="str">
        <x:v>эфиры</x:v>
      </x:c>
      <x:c r="P137" s="28" t="str">
        <x:v>общие характерные молекулы; пересечение ароматических семейств</x:v>
      </x:c>
      <x:c r="Q137" s="28" t="str">
        <x:v>Свежесть и водянистость требуют кислоты, соли или умами; избыток жирной матрицы может подавить зелёные ноты.</x:v>
      </x:c>
      <x:c r="R137" s="28" t="str">
        <x:v>минимальный</x:v>
      </x:c>
      <x:c r="S137" s="28" t="str">
        <x:v>водная плодовая матрица с кожицей и пектинами</x:v>
      </x:c>
      <x:c r="T13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7" s="28" t="str">
        <x:v>Болгарский перец имеет профиль «зелёный, травянистый, фруктовый; у красного — сладкий и жареный». Партнёр «красный болгарский перец» относится к группе «Плодовые и тыквенные овощи» и даёт зелёный, фруктовый или водянистый. Вероятный молекулярный мост: эфиры. Совместимость формируется за счёт баланса сладости, кислотности, горечи, умами и текстуры.</x:v>
      </x:c>
      <x:c r="V137" s="28" t="str">
        <x:v>зелёный перец может доминировать метоксипиразином; обугленную кожицу удалять</x:v>
      </x:c>
      <x:c r="W137" s="28" t="str">
        <x:v>соль, кислота или ароматический жир</x:v>
      </x:c>
      <x:c r="X137" s="28" t="str">
        <x:v>сок, кордиал, гаспачо, салат, соус, маринад или коктейльный компонент с красный болгарский перец</x:v>
      </x:c>
      <x:c r="Y137" s="28" t="str">
        <x:v>еда, соусы/маринады</x:v>
      </x:c>
      <x:c r="Z137" s="28" t="str">
        <x:v>Средняя</x:v>
      </x:c>
      <x:c r="AA137" s="28" t="str">
        <x:v>The Art &amp; Science of Foodpairing.pdf</x:v>
      </x:c>
      <x:c r="AB137" s="28" t="str">
        <x:v>The Art &amp; Science of Foodpairing.pdf: 108</x:v>
      </x:c>
      <x:c r="AC137" s="28" t="str">
        <x:v>связь из pairing grid, стр. 108</x:v>
      </x:c>
      <x:c r="AD137" s="28" t="n">
        <x:v>1</x:v>
      </x:c>
      <x:c r="AE137" s="28" t="n">
        <x:v>1</x:v>
      </x:c>
      <x:c r="AF137" s="28" t="n">
        <x:f>IF(Z137="Высокая",3,IF(Z137="Средняя",2,1))+AD137*2+MIN(AE137,3)</x:f>
        <x:v>5</x:v>
      </x:c>
    </x:row>
    <x:row r="138" ht="64" customHeight="1">
      <x:c r="A138" s="28" t="str">
        <x:v>VEG-0137</x:v>
      </x:c>
      <x:c r="B138" s="28" t="str">
        <x:v>болгарский перец</x:v>
      </x:c>
      <x:c r="C138" s="28" t="str">
        <x:v>Универсальные</x:v>
      </x:c>
      <x:c r="D138" s="28" t="str">
        <x:v>болгарский перец</x:v>
      </x:c>
      <x:c r="E138" s="28" t="str">
        <x:v>red bell pepper and paprika</x:v>
      </x:c>
      <x:c r="F138" s="28" t="str">
        <x:v>Плодовые овощи</x:v>
      </x:c>
      <x:c r="G138" s="28" t="str">
        <x:v>красный щавель</x:v>
      </x:c>
      <x:c r="H138" s="28" t="str">
        <x:v>red sorrel</x:v>
      </x:c>
      <x:c r="I138" s="28" t="str">
        <x:v>Прочее</x:v>
      </x:c>
      <x:c r="J138" s="28" t="str">
        <x:v>зелёный, травянистый, фруктовый; у красного — сладкий и жареный</x:v>
      </x:c>
      <x:c r="K138" s="28" t="str">
        <x:v>профиль зависит от конкретного продукта</x:v>
      </x:c>
      <x:c r="L138" s="28" t="str">
        <x:v>2-изобутил-3-метоксипиразин, гексаналь, лимонен, эфиры</x:v>
      </x:c>
      <x:c r="M138" s="28" t="str">
        <x:v>конкретный молекулярный профиль не указан</x:v>
      </x:c>
      <x:c r="N138" s="28" t="str">
        <x:v>прямое пересечение семейств не подтверждено</x:v>
      </x:c>
      <x:c r="O138" s="28" t="str">
        <x:v>надёжная общая ключевая молекула не установлена</x:v>
      </x:c>
      <x:c r="P138" s="28" t="str">
        <x:v>сенсорная комплементарность</x:v>
      </x:c>
      <x:c r="Q138" s="28" t="str">
        <x:v>Свежесть и водянистость требуют кислоты, соли или умами; избыток жирной матрицы может подавить зелёные ноты.</x:v>
      </x:c>
      <x:c r="R138" s="28" t="str">
        <x:v>минимальный</x:v>
      </x:c>
      <x:c r="S138" s="28" t="str">
        <x:v>водная плодовая матрица с кожицей и пектинами</x:v>
      </x:c>
      <x:c r="T13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8" s="28" t="str">
        <x:v>Болгарский перец имеет профиль «зелёный, травянистый, фруктовый; у красного — сладкий и жареный». Партнёр «красный щавель»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38" s="28" t="str">
        <x:v>зелёный перец может доминировать метоксипиразином; обугленную кожицу удалять</x:v>
      </x:c>
      <x:c r="W138" s="28" t="str">
        <x:v>соль, кислота или ароматический жир</x:v>
      </x:c>
      <x:c r="X138" s="28" t="str">
        <x:v>сок, кордиал, гаспачо, салат, соус, маринад или коктейльный компонент с красный щавель</x:v>
      </x:c>
      <x:c r="Y138" s="28" t="str">
        <x:v>универсальное</x:v>
      </x:c>
      <x:c r="Z138" s="28" t="str">
        <x:v>Средняя</x:v>
      </x:c>
      <x:c r="AA138" s="28" t="str">
        <x:v>The Art &amp; Science of Foodpairing.pdf</x:v>
      </x:c>
      <x:c r="AB138" s="28" t="str">
        <x:v>The Art &amp; Science of Foodpairing.pdf: 108</x:v>
      </x:c>
      <x:c r="AC138" s="28" t="str">
        <x:v>связь из pairing grid, стр. 108</x:v>
      </x:c>
      <x:c r="AD138" s="28" t="n">
        <x:v>1</x:v>
      </x:c>
      <x:c r="AE138" s="28" t="n">
        <x:v>1</x:v>
      </x:c>
      <x:c r="AF138" s="28" t="n">
        <x:f>IF(Z138="Высокая",3,IF(Z138="Средняя",2,1))+AD138*2+MIN(AE138,3)</x:f>
        <x:v>5</x:v>
      </x:c>
    </x:row>
    <x:row r="139" ht="64" customHeight="1">
      <x:c r="A139" s="28" t="str">
        <x:v>VEG-0138</x:v>
      </x:c>
      <x:c r="B139" s="28" t="str">
        <x:v>болгарский перец</x:v>
      </x:c>
      <x:c r="C139" s="28" t="str">
        <x:v>Еда и соусы</x:v>
      </x:c>
      <x:c r="D139" s="28" t="str">
        <x:v>болгарский перец</x:v>
      </x:c>
      <x:c r="E139" s="28" t="str">
        <x:v>red bell pepper and paprika</x:v>
      </x:c>
      <x:c r="F139" s="28" t="str">
        <x:v>Плодовые овощи</x:v>
      </x:c>
      <x:c r="G139" s="28" t="str">
        <x:v>лук-порей</x:v>
      </x:c>
      <x:c r="H139" s="28" t="str">
        <x:v>leek</x:v>
      </x:c>
      <x:c r="I139" s="28" t="str">
        <x:v>Луковые овощи</x:v>
      </x:c>
      <x:c r="J139" s="28" t="str">
        <x:v>зелёный, травянистый, фруктовый; у красного — сладкий и жареный</x:v>
      </x:c>
      <x:c r="K139" s="28" t="str">
        <x:v>сернистый, сладкий и жареный</x:v>
      </x:c>
      <x:c r="L139" s="28" t="str">
        <x:v>2-изобутил-3-метоксипиразин, гексаналь, лимонен, эфиры</x:v>
      </x:c>
      <x:c r="M139" s="28" t="str">
        <x:v>сернистые соединения, тиосульфинаты</x:v>
      </x:c>
      <x:c r="N139" s="28" t="str">
        <x:v>сладкий</x:v>
      </x:c>
      <x:c r="O139" s="28" t="str">
        <x:v>надёжная общая ключевая молекула не установлена</x:v>
      </x:c>
      <x:c r="P139" s="28" t="str">
        <x:v>пересечение ароматических семейств</x:v>
      </x:c>
      <x:c r="Q139" s="28" t="str">
        <x:v>Свежесть и водянистость требуют кислоты, соли или умами; избыток жирной матрицы может подавить зелёные ноты.</x:v>
      </x:c>
      <x:c r="R139" s="28" t="str">
        <x:v>минимальный</x:v>
      </x:c>
      <x:c r="S139" s="28" t="str">
        <x:v>водная плодовая матрица с кожицей и пектинами</x:v>
      </x:c>
      <x:c r="T13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39" s="28" t="str">
        <x:v>Болгарский перец имеет профиль «зелёный, травянистый, фруктовый; у красного — сладкий и жареный». Партнёр «лук-порей» относится к группе «Луковые овощи» и даёт сернистый,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V139" s="28" t="str">
        <x:v>зелёный перец может доминировать метоксипиразином; обугленную кожицу удалять</x:v>
      </x:c>
      <x:c r="W139" s="28" t="str">
        <x:v>соль, кислота или ароматический жир</x:v>
      </x:c>
      <x:c r="X139" s="28" t="str">
        <x:v>сок, кордиал, гаспачо, салат, соус, маринад или коктейльный компонент с лук-порей</x:v>
      </x:c>
      <x:c r="Y139" s="28" t="str">
        <x:v>еда, соусы/маринады</x:v>
      </x:c>
      <x:c r="Z139" s="28" t="str">
        <x:v>Средняя</x:v>
      </x:c>
      <x:c r="AA139" s="28" t="str">
        <x:v>The Art &amp; Science of Foodpairing.pdf</x:v>
      </x:c>
      <x:c r="AB139" s="28" t="str">
        <x:v>The Art &amp; Science of Foodpairing.pdf: 108</x:v>
      </x:c>
      <x:c r="AC139" s="28" t="str">
        <x:v>связь из pairing grid, стр. 108</x:v>
      </x:c>
      <x:c r="AD139" s="28" t="n">
        <x:v>1</x:v>
      </x:c>
      <x:c r="AE139" s="28" t="n">
        <x:v>1</x:v>
      </x:c>
      <x:c r="AF139" s="28" t="n">
        <x:f>IF(Z139="Высокая",3,IF(Z139="Средняя",2,1))+AD139*2+MIN(AE139,3)</x:f>
        <x:v>5</x:v>
      </x:c>
    </x:row>
    <x:row r="140" ht="64" customHeight="1">
      <x:c r="A140" s="28" t="str">
        <x:v>VEG-0139</x:v>
      </x:c>
      <x:c r="B140" s="28" t="str">
        <x:v>болгарский перец</x:v>
      </x:c>
      <x:c r="C140" s="28" t="str">
        <x:v>Десерты и выпечка</x:v>
      </x:c>
      <x:c r="D140" s="28" t="str">
        <x:v>болгарский перец</x:v>
      </x:c>
      <x:c r="E140" s="28" t="str">
        <x:v>red bell pepper and paprika</x:v>
      </x:c>
      <x:c r="F140" s="28" t="str">
        <x:v>Плодовые овощи</x:v>
      </x:c>
      <x:c r="G140" s="28" t="str">
        <x:v>манго</x:v>
      </x:c>
      <x:c r="H140" s="28" t="str">
        <x:v>Haden mango</x:v>
      </x:c>
      <x:c r="I140" s="28" t="str">
        <x:v>Фрукты и ягоды</x:v>
      </x:c>
      <x:c r="J140" s="28" t="str">
        <x:v>зелёный, травянистый, фруктовый; у красного — сладкий и жареный</x:v>
      </x:c>
      <x:c r="K140" s="28" t="str">
        <x:v>фруктовый, цветочный и свежий</x:v>
      </x:c>
      <x:c r="L140" s="28" t="str">
        <x:v>2-изобутил-3-метоксипиразин, гексаналь, лимонен, эфиры</x:v>
      </x:c>
      <x:c r="M140" s="28" t="str">
        <x:v>альдегиды, эфиры</x:v>
      </x:c>
      <x:c r="N140" s="28" t="str">
        <x:v>фруктовый</x:v>
      </x:c>
      <x:c r="O140" s="28" t="str">
        <x:v>эфиры</x:v>
      </x:c>
      <x:c r="P140" s="28" t="str">
        <x:v>общие характерные молекулы; пересечение ароматических семейств; кислотно-сладкий баланс</x:v>
      </x:c>
      <x:c r="Q140" s="28" t="str">
        <x:v>Свежесть и водянистость требуют кислоты, соли или умами; избыток жирной матрицы может подавить зелёные ноты.</x:v>
      </x:c>
      <x:c r="R140" s="28" t="str">
        <x:v>минимальный</x:v>
      </x:c>
      <x:c r="S140" s="28" t="str">
        <x:v>водная плодовая матрица с кожицей и пектинами Водная кислая фаза усиливает свежесть, но может разжижать пюре и нарушать молочную эмульсию.</x:v>
      </x:c>
      <x:c r="T14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0" s="28" t="str">
        <x:v>Болгарский перец имеет профиль «зелёный, травянистый, фруктовый; у красного — сладкий и жареный». Партнёр «манго»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140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W140" s="28" t="str">
        <x:v>цитрус, мёд или мягкая трава</x:v>
      </x:c>
      <x:c r="X140" s="28" t="str">
        <x:v>сок, кордиал, гаспачо, салат, соус, маринад или коктейльный компонент с манго</x:v>
      </x:c>
      <x:c r="Y140" s="28" t="str">
        <x:v>десерты</x:v>
      </x:c>
      <x:c r="Z140" s="28" t="str">
        <x:v>Средняя</x:v>
      </x:c>
      <x:c r="AA140" s="28" t="str">
        <x:v>The Art &amp; Science of Foodpairing.pdf</x:v>
      </x:c>
      <x:c r="AB140" s="28" t="str">
        <x:v>The Art &amp; Science of Foodpairing.pdf: 108</x:v>
      </x:c>
      <x:c r="AC140" s="28" t="str">
        <x:v>связь из pairing grid, стр. 108</x:v>
      </x:c>
      <x:c r="AD140" s="28" t="n">
        <x:v>1</x:v>
      </x:c>
      <x:c r="AE140" s="28" t="n">
        <x:v>1</x:v>
      </x:c>
      <x:c r="AF140" s="28" t="n">
        <x:f>IF(Z140="Высокая",3,IF(Z140="Средняя",2,1))+AD140*2+MIN(AE140,3)</x:f>
        <x:v>5</x:v>
      </x:c>
    </x:row>
    <x:row r="141" ht="64" customHeight="1">
      <x:c r="A141" s="28" t="str">
        <x:v>VEG-0140</x:v>
      </x:c>
      <x:c r="B141" s="28" t="str">
        <x:v>болгарский перец</x:v>
      </x:c>
      <x:c r="C141" s="28" t="str">
        <x:v>Еда и соусы</x:v>
      </x:c>
      <x:c r="D141" s="28" t="str">
        <x:v>болгарский перец</x:v>
      </x:c>
      <x:c r="E141" s="28" t="str">
        <x:v>red bell pepper and paprika | Болгарский перец | болгарский перец</x:v>
      </x:c>
      <x:c r="F141" s="28" t="str">
        <x:v>Плодовые овощи</x:v>
      </x:c>
      <x:c r="G141" s="28" t="str">
        <x:v>моллюски</x:v>
      </x:c>
      <x:c r="H141" s="28" t="str">
        <x:v>cooked clams | Моллюски | моллюски</x:v>
      </x:c>
      <x:c r="I141" s="28" t="str">
        <x:v>Рыба и морепродукты</x:v>
      </x:c>
      <x:c r="J141" s="28" t="str">
        <x:v>зелёный, травянистый, фруктовый; у красного — сладкий и жареный</x:v>
      </x:c>
      <x:c r="K141" s="28" t="str">
        <x:v>морской, солоноватый и умами</x:v>
      </x:c>
      <x:c r="L141" s="28" t="str">
        <x:v>2-изобутил-3-метоксипиразин, гексаналь, лимонен, эфиры</x:v>
      </x:c>
      <x:c r="M141" s="28" t="str">
        <x:v>альдегиды, амины</x:v>
      </x:c>
      <x:c r="N141" s="28" t="str">
        <x:v>прямое пересечение семейств не подтверждено</x:v>
      </x:c>
      <x:c r="O141" s="28" t="str">
        <x:v>надёжная общая ключевая молекула не установлена</x:v>
      </x:c>
      <x:c r="P141" s="28" t="str">
        <x:v>умами и солёный контраст</x:v>
      </x:c>
      <x:c r="Q141" s="28" t="str">
        <x:v>Свежесть и водянистость требуют кислоты, соли или умами; избыток жирной матрицы может подавить зелёные ноты.</x:v>
      </x:c>
      <x:c r="R141" s="28" t="str">
        <x:v>минимальный</x:v>
      </x:c>
      <x:c r="S141" s="28" t="str">
        <x:v>водная плодовая матрица с кожицей и пектинами Белок и жир требуют контроля воды: для жареной ароматики поверхность должна подсохнуть.</x:v>
      </x:c>
      <x:c r="T14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1" s="28" t="str">
        <x:v>Болгарский перец имеет профиль «зелёный, травянистый, фруктовый; у красного — сладкий и жареный».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41" s="28" t="str">
        <x:v>зелёный перец может доминировать метоксипиразином; обугленную кожицу удалять</x:v>
      </x:c>
      <x:c r="W141" s="28" t="str">
        <x:v>сливочное масло, соевый соус или тимьян</x:v>
      </x:c>
      <x:c r="X141" s="28" t="str">
        <x:v>сок, кордиал, гаспачо, салат, соус, маринад или коктейльный компонент с моллюски</x:v>
      </x:c>
      <x:c r="Y141" s="28" t="str">
        <x:v>еда, соусы/маринады</x:v>
      </x:c>
      <x:c r="Z141" s="28" t="str">
        <x:v>Высокая</x:v>
      </x:c>
      <x:c r="AA141" s="28" t="str">
        <x:v>The Art &amp; Science of Foodpairing.pdf | Тезариус вкусов (Ники Сегнит)(1).pdf</x:v>
      </x:c>
      <x:c r="AB141" s="28" t="str">
        <x:v>Тезариус вкусов (Ники Сегнит)(1).pdf: 367, 547; The Art &amp; Science of Foodpairing.pdf: 108</x:v>
      </x:c>
      <x:c r="AC141" s="28" t="str">
        <x:v>развёрнутая пара/статья, стр. 367; развёрнутая пара/статья, стр. 547; связь из pairing grid, стр. 108</x:v>
      </x:c>
      <x:c r="AD141" s="28" t="n">
        <x:v>2</x:v>
      </x:c>
      <x:c r="AE141" s="28" t="n">
        <x:v>3</x:v>
      </x:c>
      <x:c r="AF141" s="28" t="n">
        <x:f>IF(Z141="Высокая",3,IF(Z141="Средняя",2,1))+AD141*2+MIN(AE141,3)</x:f>
        <x:v>10</x:v>
      </x:c>
    </x:row>
    <x:row r="142" ht="64" customHeight="1">
      <x:c r="A142" s="28" t="str">
        <x:v>VEG-0141</x:v>
      </x:c>
      <x:c r="B142" s="28" t="str">
        <x:v>болгарский перец</x:v>
      </x:c>
      <x:c r="C142" s="28" t="str">
        <x:v>Еда и соусы</x:v>
      </x:c>
      <x:c r="D142" s="28" t="str">
        <x:v>болгарский перец</x:v>
      </x:c>
      <x:c r="E142" s="28" t="str">
        <x:v>red bell pepper and paprika</x:v>
      </x:c>
      <x:c r="F142" s="28" t="str">
        <x:v>Плодовые овощи</x:v>
      </x:c>
      <x:c r="G142" s="28" t="str">
        <x:v>морской гребешок</x:v>
      </x:c>
      <x:c r="H142" s="28" t="str">
        <x:v>king scallop</x:v>
      </x:c>
      <x:c r="I142" s="28" t="str">
        <x:v>Рыба и морепродукты</x:v>
      </x:c>
      <x:c r="J142" s="28" t="str">
        <x:v>зелёный, травянистый, фруктовый; у красного — сладкий и жареный</x:v>
      </x:c>
      <x:c r="K142" s="28" t="str">
        <x:v>морской, солоноватый и умами</x:v>
      </x:c>
      <x:c r="L142" s="28" t="str">
        <x:v>2-изобутил-3-метоксипиразин, гексаналь, лимонен, эфиры</x:v>
      </x:c>
      <x:c r="M142" s="28" t="str">
        <x:v>альдегиды, амины</x:v>
      </x:c>
      <x:c r="N142" s="28" t="str">
        <x:v>прямое пересечение семейств не подтверждено</x:v>
      </x:c>
      <x:c r="O142" s="28" t="str">
        <x:v>надёжная общая ключевая молекула не установлена</x:v>
      </x:c>
      <x:c r="P142" s="28" t="str">
        <x:v>умами и солёный контраст</x:v>
      </x:c>
      <x:c r="Q142" s="28" t="str">
        <x:v>Свежесть и водянистость требуют кислоты, соли или умами; избыток жирной матрицы может подавить зелёные ноты.</x:v>
      </x:c>
      <x:c r="R142" s="28" t="str">
        <x:v>минимальный</x:v>
      </x:c>
      <x:c r="S142" s="28" t="str">
        <x:v>водная плодовая матрица с кожицей и пектинами Белок и жир требуют контроля воды: для жареной ароматики поверхность должна подсохнуть.</x:v>
      </x:c>
      <x:c r="T14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2" s="28" t="str">
        <x:v>Болгарский перец имеет профиль «зелёный, травянистый, фруктовый; у красного — сладкий и жареный». Партнёр «морской гребешок»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42" s="28" t="str">
        <x:v>зелёный перец может доминировать метоксипиразином; обугленную кожицу удалять</x:v>
      </x:c>
      <x:c r="W142" s="28" t="str">
        <x:v>сливочное масло, соевый соус или тимьян</x:v>
      </x:c>
      <x:c r="X142" s="28" t="str">
        <x:v>сок, кордиал, гаспачо, салат, соус, маринад или коктейльный компонент с морской гребешок</x:v>
      </x:c>
      <x:c r="Y142" s="28" t="str">
        <x:v>еда, соусы/маринады</x:v>
      </x:c>
      <x:c r="Z142" s="28" t="str">
        <x:v>Средняя</x:v>
      </x:c>
      <x:c r="AA142" s="28" t="str">
        <x:v>The Art &amp; Science of Foodpairing.pdf</x:v>
      </x:c>
      <x:c r="AB142" s="28" t="str">
        <x:v>The Art &amp; Science of Foodpairing.pdf: 108</x:v>
      </x:c>
      <x:c r="AC142" s="28" t="str">
        <x:v>связь из pairing grid, стр. 108</x:v>
      </x:c>
      <x:c r="AD142" s="28" t="n">
        <x:v>1</x:v>
      </x:c>
      <x:c r="AE142" s="28" t="n">
        <x:v>1</x:v>
      </x:c>
      <x:c r="AF142" s="28" t="n">
        <x:f>IF(Z142="Высокая",3,IF(Z142="Средняя",2,1))+AD142*2+MIN(AE142,3)</x:f>
        <x:v>5</x:v>
      </x:c>
    </x:row>
    <x:row r="143" ht="64" customHeight="1">
      <x:c r="A143" s="28" t="str">
        <x:v>VEG-0142</x:v>
      </x:c>
      <x:c r="B143" s="28" t="str">
        <x:v>болгарский перец</x:v>
      </x:c>
      <x:c r="C143" s="28" t="str">
        <x:v>Десерты и выпечка</x:v>
      </x:c>
      <x:c r="D143" s="28" t="str">
        <x:v>болгарский перец</x:v>
      </x:c>
      <x:c r="E143" s="28" t="str">
        <x:v>Болгарский перец | болгарский перец</x:v>
      </x:c>
      <x:c r="F143" s="28" t="str">
        <x:v>Плодовые овощи</x:v>
      </x:c>
      <x:c r="G143" s="28" t="str">
        <x:v>мягкий сыр</x:v>
      </x:c>
      <x:c r="H143" s="28" t="str">
        <x:v>Мягкий сыр | мягкий сыр</x:v>
      </x:c>
      <x:c r="I143" s="28" t="str">
        <x:v>Молочные продукты и сыры</x:v>
      </x:c>
      <x:c r="J143" s="28" t="str">
        <x:v>зелёный, травянистый, фруктовый; у красного — сладкий и жареный</x:v>
      </x:c>
      <x:c r="K143" s="28" t="str">
        <x:v>молочный, умами, ферментированный</x:v>
      </x:c>
      <x:c r="L143" s="28" t="str">
        <x:v>2-изобутил-3-метоксипиразин, гексаналь, лимонен, эфиры</x:v>
      </x:c>
      <x:c r="M143" s="28" t="str">
        <x:v>диацетил, жирные кислоты</x:v>
      </x:c>
      <x:c r="N143" s="28" t="str">
        <x:v>прямое пересечение семейств не подтверждено</x:v>
      </x:c>
      <x:c r="O143" s="28" t="str">
        <x:v>надёжная общая ключевая молекула не установлена</x:v>
      </x:c>
      <x:c r="P143" s="28" t="str">
        <x:v>жировая матрица</x:v>
      </x:c>
      <x:c r="Q143" s="28" t="str">
        <x:v>Свежесть и водянистость требуют кислоты, соли или умами; избыток жирной матрицы может подавить зелёные ноты.</x:v>
      </x:c>
      <x:c r="R143" s="28" t="str">
        <x:v>минимальный</x:v>
      </x:c>
      <x:c r="S143" s="28" t="str">
        <x:v>водная плодовая матрица с кожицей и пектинами Жировая фаза удерживает гидрофобные молекулы, но может сделать вкус тяжёлым.</x:v>
      </x:c>
      <x:c r="T14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3" s="28" t="str">
        <x:v>Болгарский перец имеет профиль «зелёный, травянистый, фруктовый; у красного — сладкий и жареный».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143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W143" s="28" t="str">
        <x:v>кислота, зелень или жареный орех</x:v>
      </x:c>
      <x:c r="X143" s="28" t="str">
        <x:v>сок, кордиал, гаспачо, салат, соус, маринад или коктейльный компонент с мягкий сыр</x:v>
      </x:c>
      <x:c r="Y143" s="28" t="str">
        <x:v>десерты</x:v>
      </x:c>
      <x:c r="Z143" s="28" t="str">
        <x:v>Средняя</x:v>
      </x:c>
      <x:c r="AA143" s="28" t="str">
        <x:v>Тезариус вкусов (Ники Сегнит)(1).pdf</x:v>
      </x:c>
      <x:c r="AB143" s="28" t="str">
        <x:v>Тезариус вкусов (Ники Сегнит)(1).pdf: 181, 547</x:v>
      </x:c>
      <x:c r="AC143" s="28" t="str">
        <x:v>развёрнутая пара/статья, стр. 181; развёрнутая пара/статья, стр. 547</x:v>
      </x:c>
      <x:c r="AD143" s="28" t="n">
        <x:v>1</x:v>
      </x:c>
      <x:c r="AE143" s="28" t="n">
        <x:v>2</x:v>
      </x:c>
      <x:c r="AF143" s="28" t="n">
        <x:f>IF(Z143="Высокая",3,IF(Z143="Средняя",2,1))+AD143*2+MIN(AE143,3)</x:f>
        <x:v>6</x:v>
      </x:c>
    </x:row>
    <x:row r="144" ht="64" customHeight="1">
      <x:c r="A144" s="28" t="str">
        <x:v>VEG-0143</x:v>
      </x:c>
      <x:c r="B144" s="28" t="str">
        <x:v>болгарский перец</x:v>
      </x:c>
      <x:c r="C144" s="28" t="str">
        <x:v>Универсальные</x:v>
      </x:c>
      <x:c r="D144" s="28" t="str">
        <x:v>болгарский перец</x:v>
      </x:c>
      <x:c r="E144" s="28" t="str">
        <x:v>red bell pepper and paprika</x:v>
      </x:c>
      <x:c r="F144" s="28" t="str">
        <x:v>Плодовые овощи</x:v>
      </x:c>
      <x:c r="G144" s="28" t="str">
        <x:v>мята</x:v>
      </x:c>
      <x:c r="H144" s="28" t="str">
        <x:v>mint</x:v>
      </x:c>
      <x:c r="I144" s="28" t="str">
        <x:v>Травы, цветы и листья</x:v>
      </x:c>
      <x:c r="J144" s="28" t="str">
        <x:v>зелёный, травянистый, фруктовый; у красного — сладкий и жареный</x:v>
      </x:c>
      <x:c r="K144" s="28" t="str">
        <x:v>зелёный, холодящий</x:v>
      </x:c>
      <x:c r="L144" s="28" t="str">
        <x:v>2-изобутил-3-метоксипиразин, гексаналь, лимонен, эфиры</x:v>
      </x:c>
      <x:c r="M144" s="28" t="str">
        <x:v>ментол</x:v>
      </x:c>
      <x:c r="N144" s="28" t="str">
        <x:v>зелёный</x:v>
      </x:c>
      <x:c r="O144" s="28" t="str">
        <x:v>надёжная общая ключевая молекула не установлена</x:v>
      </x:c>
      <x:c r="P144" s="28" t="str">
        <x:v>пересечение ароматических семейств</x:v>
      </x:c>
      <x:c r="Q144" s="28" t="str">
        <x:v>Свежесть и водянистость требуют кислоты, соли или умами; избыток жирной матрицы может подавить зелёные ноты.</x:v>
      </x:c>
      <x:c r="R144" s="28" t="str">
        <x:v>минимальный</x:v>
      </x:c>
      <x:c r="S144" s="28" t="str">
        <x:v>водная плодовая матрица с кожицей и пектинами</x:v>
      </x:c>
      <x:c r="T14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4" s="28" t="str">
        <x:v>Болгарский перец имеет профиль «зелёный, травянистый, фруктовый; у красного — сладкий и жареный».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144" s="28" t="str">
        <x:v>зелёный перец может доминировать метоксипиразином; обугленную кожицу удалять; длительный нагрев уносит свежие терпены и зелёные альдегиды</x:v>
      </x:c>
      <x:c r="W144" s="28" t="str">
        <x:v>оливковое масло, лимон или сыр</x:v>
      </x:c>
      <x:c r="X144" s="28" t="str">
        <x:v>сок, кордиал, гаспачо, салат, соус, маринад или коктейльный компонент с мята</x:v>
      </x:c>
      <x:c r="Y144" s="28" t="str">
        <x:v>универсальное</x:v>
      </x:c>
      <x:c r="Z144" s="28" t="str">
        <x:v>Средняя</x:v>
      </x:c>
      <x:c r="AA144" s="28" t="str">
        <x:v>The Art &amp; Science of Foodpairing.pdf</x:v>
      </x:c>
      <x:c r="AB144" s="28" t="str">
        <x:v>The Art &amp; Science of Foodpairing.pdf: 108</x:v>
      </x:c>
      <x:c r="AC144" s="28" t="str">
        <x:v>связь из pairing grid, стр. 108</x:v>
      </x:c>
      <x:c r="AD144" s="28" t="n">
        <x:v>1</x:v>
      </x:c>
      <x:c r="AE144" s="28" t="n">
        <x:v>1</x:v>
      </x:c>
      <x:c r="AF144" s="28" t="n">
        <x:f>IF(Z144="Высокая",3,IF(Z144="Средняя",2,1))+AD144*2+MIN(AE144,3)</x:f>
        <x:v>5</x:v>
      </x:c>
    </x:row>
    <x:row r="145" ht="64" customHeight="1">
      <x:c r="A145" s="28" t="str">
        <x:v>VEG-0144</x:v>
      </x:c>
      <x:c r="B145" s="28" t="str">
        <x:v>болгарский перец</x:v>
      </x:c>
      <x:c r="C145" s="28" t="str">
        <x:v>Универсальные</x:v>
      </x:c>
      <x:c r="D145" s="28" t="str">
        <x:v>болгарский перец</x:v>
      </x:c>
      <x:c r="E145" s="28" t="str">
        <x:v>red bell pepper and paprika</x:v>
      </x:c>
      <x:c r="F145" s="28" t="str">
        <x:v>Плодовые овощи</x:v>
      </x:c>
      <x:c r="G145" s="28" t="str">
        <x:v>огурец</x:v>
      </x:c>
      <x:c r="H145" s="28" t="str">
        <x:v>cucumber | pickled cucumber</x:v>
      </x:c>
      <x:c r="I145" s="28" t="str">
        <x:v>Тыквенные</x:v>
      </x:c>
      <x:c r="J145" s="28" t="str">
        <x:v>зелёный, травянистый, фруктовый; у красного — сладкий и жареный</x:v>
      </x:c>
      <x:c r="K145" s="28" t="str">
        <x:v>зелёный, водянистый, свежий и дынный</x:v>
      </x:c>
      <x:c r="L145" s="28" t="str">
        <x:v>2-изобутил-3-метоксипиразин, гексаналь, лимонен, эфиры</x:v>
      </x:c>
      <x:c r="M145" s="28" t="str">
        <x:v>(E)-2-ноненаль, (E,Z)-2,6-нонадиеналь, гексаналь</x:v>
      </x:c>
      <x:c r="N145" s="28" t="str">
        <x:v>зелёный</x:v>
      </x:c>
      <x:c r="O145" s="28" t="str">
        <x:v>гексаналь</x:v>
      </x:c>
      <x:c r="P145" s="28" t="str">
        <x:v>общие характерные молекулы; пересечение ароматических семейств</x:v>
      </x:c>
      <x:c r="Q145" s="28" t="str">
        <x:v>Свежесть и водянистость требуют кислоты, соли или умами; избыток жирной матрицы может подавить зелёные ноты.</x:v>
      </x:c>
      <x:c r="R145" s="28" t="str">
        <x:v>минимальный</x:v>
      </x:c>
      <x:c r="S145" s="28" t="str">
        <x:v>водная плодовая матрица с кожицей и пектинами</x:v>
      </x:c>
      <x:c r="T14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5" s="28" t="str">
        <x:v>Болгарский перец имеет профиль «зелёный, травянистый, фруктовый; у красного — сладкий и жареный». Партнёр «огурец» относится к группе «Тыквенные» и даёт зелёный, водянистый, свежий и дынный. Вероятный молекулярный мост: гексаналь. Совместимость формируется за счёт баланса сладости, кислотности, горечи, умами и текстуры.</x:v>
      </x:c>
      <x:c r="V145" s="28" t="str">
        <x:v>зелёный перец может доминировать метоксипиразином; обугленную кожицу удалять</x:v>
      </x:c>
      <x:c r="W145" s="28" t="str">
        <x:v>соль, кислота или ароматический жир</x:v>
      </x:c>
      <x:c r="X145" s="28" t="str">
        <x:v>сок, кордиал, гаспачо, салат, соус, маринад или коктейльный компонент с огурец</x:v>
      </x:c>
      <x:c r="Y145" s="28" t="str">
        <x:v>универсальное</x:v>
      </x:c>
      <x:c r="Z145" s="28" t="str">
        <x:v>Средняя</x:v>
      </x:c>
      <x:c r="AA145" s="28" t="str">
        <x:v>The Art &amp; Science of Foodpairing.pdf</x:v>
      </x:c>
      <x:c r="AB145" s="28" t="str">
        <x:v>The Art &amp; Science of Foodpairing.pdf: 108</x:v>
      </x:c>
      <x:c r="AC145" s="28" t="str">
        <x:v>связь из pairing grid, стр. 108; связь из pairing grid, стр. 108; связь из pairing grid, стр. 108</x:v>
      </x:c>
      <x:c r="AD145" s="28" t="n">
        <x:v>1</x:v>
      </x:c>
      <x:c r="AE145" s="28" t="n">
        <x:v>3</x:v>
      </x:c>
      <x:c r="AF145" s="28" t="n">
        <x:f>IF(Z145="Высокая",3,IF(Z145="Средняя",2,1))+AD145*2+MIN(AE145,3)</x:f>
        <x:v>7</x:v>
      </x:c>
    </x:row>
    <x:row r="146" ht="64" customHeight="1">
      <x:c r="A146" s="28" t="str">
        <x:v>VEG-0145</x:v>
      </x:c>
      <x:c r="B146" s="28" t="str">
        <x:v>болгарский перец</x:v>
      </x:c>
      <x:c r="C146" s="28" t="str">
        <x:v>Универсальные</x:v>
      </x:c>
      <x:c r="D146" s="28" t="str">
        <x:v>болгарский перец</x:v>
      </x:c>
      <x:c r="E146" s="28" t="str">
        <x:v>Болгарский перец | болгарский перец</x:v>
      </x:c>
      <x:c r="F146" s="28" t="str">
        <x:v>Плодовые овощи</x:v>
      </x:c>
      <x:c r="G146" s="28" t="str">
        <x:v>оливки</x:v>
      </x:c>
      <x:c r="H146" s="28" t="str">
        <x:v>Оливки | оливки</x:v>
      </x:c>
      <x:c r="I146" s="28" t="str">
        <x:v>Прочее</x:v>
      </x:c>
      <x:c r="J146" s="28" t="str">
        <x:v>зелёный, травянистый, фруктовый; у красного — сладкий и жареный</x:v>
      </x:c>
      <x:c r="K146" s="28" t="str">
        <x:v>профиль зависит от конкретного продукта</x:v>
      </x:c>
      <x:c r="L146" s="28" t="str">
        <x:v>2-изобутил-3-метоксипиразин, гексаналь, лимонен, эфиры</x:v>
      </x:c>
      <x:c r="M146" s="28" t="str">
        <x:v>конкретный молекулярный профиль не указан</x:v>
      </x:c>
      <x:c r="N146" s="28" t="str">
        <x:v>прямое пересечение семейств не подтверждено</x:v>
      </x:c>
      <x:c r="O146" s="28" t="str">
        <x:v>надёжная общая ключевая молекула не установлена</x:v>
      </x:c>
      <x:c r="P146" s="28" t="str">
        <x:v>сенсорная комплементарность</x:v>
      </x:c>
      <x:c r="Q146" s="28" t="str">
        <x:v>Свежесть и водянистость требуют кислоты, соли или умами; избыток жирной матрицы может подавить зелёные ноты.</x:v>
      </x:c>
      <x:c r="R146" s="28" t="str">
        <x:v>минимальный</x:v>
      </x:c>
      <x:c r="S146" s="28" t="str">
        <x:v>водная плодовая матрица с кожицей и пектинами</x:v>
      </x:c>
      <x:c r="T14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6" s="28" t="str">
        <x:v>Болгарский перец имеет профиль «зелёный, травянистый, фруктовый; у красного — сладкий и жареный».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46" s="28" t="str">
        <x:v>зелёный перец может доминировать метоксипиразином; обугленную кожицу удалять</x:v>
      </x:c>
      <x:c r="W146" s="28" t="str">
        <x:v>соль, кислота или ароматический жир</x:v>
      </x:c>
      <x:c r="X146" s="28" t="str">
        <x:v>сок, кордиал, гаспачо, салат, соус, маринад или коктейльный компонент с оливки</x:v>
      </x:c>
      <x:c r="Y146" s="28" t="str">
        <x:v>универсальное</x:v>
      </x:c>
      <x:c r="Z146" s="28" t="str">
        <x:v>Средняя</x:v>
      </x:c>
      <x:c r="AA146" s="28" t="str">
        <x:v>Тезариус вкусов (Ники Сегнит)(1).pdf</x:v>
      </x:c>
      <x:c r="AB146" s="28" t="str">
        <x:v>Тезариус вкусов (Ники Сегнит)(1).pdf: 464, 547</x:v>
      </x:c>
      <x:c r="AC146" s="28" t="str">
        <x:v>развёрнутая пара/статья, стр. 464; развёрнутая пара/статья, стр. 547</x:v>
      </x:c>
      <x:c r="AD146" s="28" t="n">
        <x:v>1</x:v>
      </x:c>
      <x:c r="AE146" s="28" t="n">
        <x:v>2</x:v>
      </x:c>
      <x:c r="AF146" s="28" t="n">
        <x:f>IF(Z146="Высокая",3,IF(Z146="Средняя",2,1))+AD146*2+MIN(AE146,3)</x:f>
        <x:v>6</x:v>
      </x:c>
    </x:row>
    <x:row r="147" ht="64" customHeight="1">
      <x:c r="A147" s="28" t="str">
        <x:v>VEG-0146</x:v>
      </x:c>
      <x:c r="B147" s="28" t="str">
        <x:v>болгарский перец</x:v>
      </x:c>
      <x:c r="C147" s="28" t="str">
        <x:v>Универсальные</x:v>
      </x:c>
      <x:c r="D147" s="28" t="str">
        <x:v>болгарский перец</x:v>
      </x:c>
      <x:c r="E147" s="28" t="str">
        <x:v>red bell pepper and paprika</x:v>
      </x:c>
      <x:c r="F147" s="28" t="str">
        <x:v>Плодовые овощи</x:v>
      </x:c>
      <x:c r="G147" s="28" t="str">
        <x:v>пюре имбиря</x:v>
      </x:c>
      <x:c r="H147" s="28" t="str">
        <x:v>ginger puree</x:v>
      </x:c>
      <x:c r="I147" s="28" t="str">
        <x:v>Специи</x:v>
      </x:c>
      <x:c r="J147" s="28" t="str">
        <x:v>зелёный, травянистый, фруктовый; у красного — сладкий и жареный</x:v>
      </x:c>
      <x:c r="K147" s="28" t="str">
        <x:v>пряный и древесный</x:v>
      </x:c>
      <x:c r="L147" s="28" t="str">
        <x:v>2-изобутил-3-метоксипиразин, гексаналь, лимонен, эфиры</x:v>
      </x:c>
      <x:c r="M147" s="28" t="str">
        <x:v>терпены, фенилпропаноиды</x:v>
      </x:c>
      <x:c r="N147" s="28" t="str">
        <x:v>прямое пересечение семейств не подтверждено</x:v>
      </x:c>
      <x:c r="O147" s="28" t="str">
        <x:v>надёжная общая ключевая молекула не установлена</x:v>
      </x:c>
      <x:c r="P147" s="28" t="str">
        <x:v>сенсорная комплементарность</x:v>
      </x:c>
      <x:c r="Q147" s="28" t="str">
        <x:v>Свежесть и водянистость требуют кислоты, соли или умами; избыток жирной матрицы может подавить зелёные ноты.</x:v>
      </x:c>
      <x:c r="R147" s="28" t="str">
        <x:v>минимальный</x:v>
      </x:c>
      <x:c r="S147" s="28" t="str">
        <x:v>водная плодовая матрица с кожицей и пектинами</x:v>
      </x:c>
      <x:c r="T14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7" s="28" t="str">
        <x:v>Болгарский перец имеет профиль «зелёный, травянистый, фруктовый; у красного — сладкий и жареный». Партнёр «пюре имбиря»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147" s="28" t="str">
        <x:v>зелёный перец может доминировать метоксипиразином; обугленную кожицу удалять</x:v>
      </x:c>
      <x:c r="W147" s="28" t="str">
        <x:v>цитрус, йогурт или мёд</x:v>
      </x:c>
      <x:c r="X147" s="28" t="str">
        <x:v>сок, кордиал, гаспачо, салат, соус, маринад или коктейльный компонент с пюре имбиря</x:v>
      </x:c>
      <x:c r="Y147" s="28" t="str">
        <x:v>универсальное</x:v>
      </x:c>
      <x:c r="Z147" s="28" t="str">
        <x:v>Средняя</x:v>
      </x:c>
      <x:c r="AA147" s="28" t="str">
        <x:v>The Art &amp; Science of Foodpairing.pdf</x:v>
      </x:c>
      <x:c r="AB147" s="28" t="str">
        <x:v>The Art &amp; Science of Foodpairing.pdf: 108</x:v>
      </x:c>
      <x:c r="AC147" s="28" t="str">
        <x:v>связь из pairing grid, стр. 108</x:v>
      </x:c>
      <x:c r="AD147" s="28" t="n">
        <x:v>1</x:v>
      </x:c>
      <x:c r="AE147" s="28" t="n">
        <x:v>1</x:v>
      </x:c>
      <x:c r="AF147" s="28" t="n">
        <x:f>IF(Z147="Высокая",3,IF(Z147="Средняя",2,1))+AD147*2+MIN(AE147,3)</x:f>
        <x:v>5</x:v>
      </x:c>
    </x:row>
    <x:row r="148" ht="64" customHeight="1">
      <x:c r="A148" s="28" t="str">
        <x:v>VEG-0147</x:v>
      </x:c>
      <x:c r="B148" s="28" t="str">
        <x:v>болгарский перец</x:v>
      </x:c>
      <x:c r="C148" s="28" t="str">
        <x:v>Универсальные</x:v>
      </x:c>
      <x:c r="D148" s="28" t="str">
        <x:v>болгарский перец</x:v>
      </x:c>
      <x:c r="E148" s="28" t="str">
        <x:v>red bell pepper and paprika</x:v>
      </x:c>
      <x:c r="F148" s="28" t="str">
        <x:v>Плодовые овощи</x:v>
      </x:c>
      <x:c r="G148" s="28" t="str">
        <x:v>руккола</x:v>
      </x:c>
      <x:c r="H148" s="28" t="str">
        <x:v>rocket</x:v>
      </x:c>
      <x:c r="I148" s="28" t="str">
        <x:v>Прочее</x:v>
      </x:c>
      <x:c r="J148" s="28" t="str">
        <x:v>зелёный, травянистый, фруктовый; у красного — сладкий и жареный</x:v>
      </x:c>
      <x:c r="K148" s="28" t="str">
        <x:v>профиль зависит от конкретного продукта</x:v>
      </x:c>
      <x:c r="L148" s="28" t="str">
        <x:v>2-изобутил-3-метоксипиразин, гексаналь, лимонен, эфиры</x:v>
      </x:c>
      <x:c r="M148" s="28" t="str">
        <x:v>конкретный молекулярный профиль не указан</x:v>
      </x:c>
      <x:c r="N148" s="28" t="str">
        <x:v>прямое пересечение семейств не подтверждено</x:v>
      </x:c>
      <x:c r="O148" s="28" t="str">
        <x:v>надёжная общая ключевая молекула не установлена</x:v>
      </x:c>
      <x:c r="P148" s="28" t="str">
        <x:v>сенсорная комплементарность</x:v>
      </x:c>
      <x:c r="Q148" s="28" t="str">
        <x:v>Свежесть и водянистость требуют кислоты, соли или умами; избыток жирной матрицы может подавить зелёные ноты.</x:v>
      </x:c>
      <x:c r="R148" s="28" t="str">
        <x:v>минимальный</x:v>
      </x:c>
      <x:c r="S148" s="28" t="str">
        <x:v>водная плодовая матрица с кожицей и пектинами</x:v>
      </x:c>
      <x:c r="T14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8" s="28" t="str">
        <x:v>Болгарский перец имеет профиль «зелёный, травянистый, фруктовый; у красного — сладкий и жареный». Партнёр «руккола»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48" s="28" t="str">
        <x:v>зелёный перец может доминировать метоксипиразином; обугленную кожицу удалять</x:v>
      </x:c>
      <x:c r="W148" s="28" t="str">
        <x:v>соль, кислота или ароматический жир</x:v>
      </x:c>
      <x:c r="X148" s="28" t="str">
        <x:v>сок, кордиал, гаспачо, салат, соус, маринад или коктейльный компонент с руккола</x:v>
      </x:c>
      <x:c r="Y148" s="28" t="str">
        <x:v>универсальное</x:v>
      </x:c>
      <x:c r="Z148" s="28" t="str">
        <x:v>Средняя</x:v>
      </x:c>
      <x:c r="AA148" s="28" t="str">
        <x:v>The Art &amp; Science of Foodpairing.pdf</x:v>
      </x:c>
      <x:c r="AB148" s="28" t="str">
        <x:v>The Art &amp; Science of Foodpairing.pdf: 108</x:v>
      </x:c>
      <x:c r="AC148" s="28" t="str">
        <x:v>связь из pairing grid, стр. 108</x:v>
      </x:c>
      <x:c r="AD148" s="28" t="n">
        <x:v>1</x:v>
      </x:c>
      <x:c r="AE148" s="28" t="n">
        <x:v>1</x:v>
      </x:c>
      <x:c r="AF148" s="28" t="n">
        <x:f>IF(Z148="Высокая",3,IF(Z148="Средняя",2,1))+AD148*2+MIN(AE148,3)</x:f>
        <x:v>5</x:v>
      </x:c>
    </x:row>
    <x:row r="149" ht="64" customHeight="1">
      <x:c r="A149" s="28" t="str">
        <x:v>VEG-0148</x:v>
      </x:c>
      <x:c r="B149" s="28" t="str">
        <x:v>болгарский перец</x:v>
      </x:c>
      <x:c r="C149" s="28" t="str">
        <x:v>Еда и соусы</x:v>
      </x:c>
      <x:c r="D149" s="28" t="str">
        <x:v>болгарский перец</x:v>
      </x:c>
      <x:c r="E149" s="28" t="str">
        <x:v>red bell pepper and paprika</x:v>
      </x:c>
      <x:c r="F149" s="28" t="str">
        <x:v>Плодовые овощи</x:v>
      </x:c>
      <x:c r="G149" s="28" t="str">
        <x:v>сардина</x:v>
      </x:c>
      <x:c r="H149" s="28" t="str">
        <x:v>sardine</x:v>
      </x:c>
      <x:c r="I149" s="28" t="str">
        <x:v>Рыба и морепродукты</x:v>
      </x:c>
      <x:c r="J149" s="28" t="str">
        <x:v>зелёный, травянистый, фруктовый; у красного — сладкий и жареный</x:v>
      </x:c>
      <x:c r="K149" s="28" t="str">
        <x:v>морской, солоноватый и умами</x:v>
      </x:c>
      <x:c r="L149" s="28" t="str">
        <x:v>2-изобутил-3-метоксипиразин, гексаналь, лимонен, эфиры</x:v>
      </x:c>
      <x:c r="M149" s="28" t="str">
        <x:v>альдегиды, амины</x:v>
      </x:c>
      <x:c r="N149" s="28" t="str">
        <x:v>прямое пересечение семейств не подтверждено</x:v>
      </x:c>
      <x:c r="O149" s="28" t="str">
        <x:v>надёжная общая ключевая молекула не установлена</x:v>
      </x:c>
      <x:c r="P149" s="28" t="str">
        <x:v>умами и солёный контраст</x:v>
      </x:c>
      <x:c r="Q149" s="28" t="str">
        <x:v>Свежесть и водянистость требуют кислоты, соли или умами; избыток жирной матрицы может подавить зелёные ноты.</x:v>
      </x:c>
      <x:c r="R149" s="28" t="str">
        <x:v>минимальный</x:v>
      </x:c>
      <x:c r="S149" s="28" t="str">
        <x:v>водная плодовая матрица с кожицей и пектинами Белок и жир требуют контроля воды: для жареной ароматики поверхность должна подсохнуть.</x:v>
      </x:c>
      <x:c r="T14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49" s="28" t="str">
        <x:v>Болгарский перец имеет профиль «зелёный, травянистый, фруктовый; у красного — сладкий и жареный». Партнёр «сардина»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49" s="28" t="str">
        <x:v>зелёный перец может доминировать метоксипиразином; обугленную кожицу удалять</x:v>
      </x:c>
      <x:c r="W149" s="28" t="str">
        <x:v>сливочное масло, соевый соус или тимьян</x:v>
      </x:c>
      <x:c r="X149" s="28" t="str">
        <x:v>сок, кордиал, гаспачо, салат, соус, маринад или коктейльный компонент с сардина</x:v>
      </x:c>
      <x:c r="Y149" s="28" t="str">
        <x:v>еда, соусы/маринады</x:v>
      </x:c>
      <x:c r="Z149" s="28" t="str">
        <x:v>Средняя</x:v>
      </x:c>
      <x:c r="AA149" s="28" t="str">
        <x:v>The Art &amp; Science of Foodpairing.pdf</x:v>
      </x:c>
      <x:c r="AB149" s="28" t="str">
        <x:v>The Art &amp; Science of Foodpairing.pdf: 108</x:v>
      </x:c>
      <x:c r="AC149" s="28" t="str">
        <x:v>связь из pairing grid, стр. 108</x:v>
      </x:c>
      <x:c r="AD149" s="28" t="n">
        <x:v>1</x:v>
      </x:c>
      <x:c r="AE149" s="28" t="n">
        <x:v>1</x:v>
      </x:c>
      <x:c r="AF149" s="28" t="n">
        <x:f>IF(Z149="Высокая",3,IF(Z149="Средняя",2,1))+AD149*2+MIN(AE149,3)</x:f>
        <x:v>5</x:v>
      </x:c>
    </x:row>
    <x:row r="150" ht="64" customHeight="1">
      <x:c r="A150" s="28" t="str">
        <x:v>VEG-0149</x:v>
      </x:c>
      <x:c r="B150" s="28" t="str">
        <x:v>болгарский перец</x:v>
      </x:c>
      <x:c r="C150" s="28" t="str">
        <x:v>Десерты и выпечка</x:v>
      </x:c>
      <x:c r="D150" s="28" t="str">
        <x:v>болгарский перец</x:v>
      </x:c>
      <x:c r="E150" s="28" t="str">
        <x:v>red bell pepper and paprika</x:v>
      </x:c>
      <x:c r="F150" s="28" t="str">
        <x:v>Плодовые овощи</x:v>
      </x:c>
      <x:c r="G150" s="28" t="str">
        <x:v>сметана</x:v>
      </x:c>
      <x:c r="H150" s="28" t="str">
        <x:v>sour cream</x:v>
      </x:c>
      <x:c r="I150" s="28" t="str">
        <x:v>Молочные продукты и сыры</x:v>
      </x:c>
      <x:c r="J150" s="28" t="str">
        <x:v>зелёный, травянистый, фруктовый; у красного — сладкий и жареный</x:v>
      </x:c>
      <x:c r="K150" s="28" t="str">
        <x:v>молочный, сливочный и ферментированный</x:v>
      </x:c>
      <x:c r="L150" s="28" t="str">
        <x:v>2-изобутил-3-метоксипиразин, гексаналь, лимонен, эфиры</x:v>
      </x:c>
      <x:c r="M150" s="28" t="str">
        <x:v>диацетил, жирные кислоты, лактоны</x:v>
      </x:c>
      <x:c r="N150" s="28" t="str">
        <x:v>прямое пересечение семейств не подтверждено</x:v>
      </x:c>
      <x:c r="O150" s="28" t="str">
        <x:v>надёжная общая ключевая молекула не установлена</x:v>
      </x:c>
      <x:c r="P150" s="28" t="str">
        <x:v>жировая матрица</x:v>
      </x:c>
      <x:c r="Q150" s="28" t="str">
        <x:v>Свежесть и водянистость требуют кислоты, соли или умами; избыток жирной матрицы может подавить зелёные ноты.</x:v>
      </x:c>
      <x:c r="R150" s="28" t="str">
        <x:v>минимальный</x:v>
      </x:c>
      <x:c r="S150" s="28" t="str">
        <x:v>водная плодовая матрица с кожицей и пектинами Жировая фаза удерживает гидрофобные молекулы, но может сделать вкус тяжёлым.</x:v>
      </x:c>
      <x:c r="T15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0" s="28" t="str">
        <x:v>Болгарский перец имеет профиль «зелёный, травянистый, фруктовый; у красного — сладкий и жареный». Партнёр «сметана» относится к группе «Молочные продукты и сыры» и даёт молочный, сливочный и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150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W150" s="28" t="str">
        <x:v>кислота, зелень или жареный орех</x:v>
      </x:c>
      <x:c r="X150" s="28" t="str">
        <x:v>сок, кордиал, гаспачо, салат, соус, маринад или коктейльный компонент с сметана</x:v>
      </x:c>
      <x:c r="Y150" s="28" t="str">
        <x:v>десерты</x:v>
      </x:c>
      <x:c r="Z150" s="28" t="str">
        <x:v>Средняя</x:v>
      </x:c>
      <x:c r="AA150" s="28" t="str">
        <x:v>The Art &amp; Science of Foodpairing.pdf</x:v>
      </x:c>
      <x:c r="AB150" s="28" t="str">
        <x:v>The Art &amp; Science of Foodpairing.pdf: 108</x:v>
      </x:c>
      <x:c r="AC150" s="28" t="str">
        <x:v>связь из pairing grid, стр. 108</x:v>
      </x:c>
      <x:c r="AD150" s="28" t="n">
        <x:v>1</x:v>
      </x:c>
      <x:c r="AE150" s="28" t="n">
        <x:v>1</x:v>
      </x:c>
      <x:c r="AF150" s="28" t="n">
        <x:f>IF(Z150="Высокая",3,IF(Z150="Средняя",2,1))+AD150*2+MIN(AE150,3)</x:f>
        <x:v>5</x:v>
      </x:c>
    </x:row>
    <x:row r="151" ht="64" customHeight="1">
      <x:c r="A151" s="28" t="str">
        <x:v>VEG-0150</x:v>
      </x:c>
      <x:c r="B151" s="28" t="str">
        <x:v>болгарский перец</x:v>
      </x:c>
      <x:c r="C151" s="28" t="str">
        <x:v>Еда и соусы</x:v>
      </x:c>
      <x:c r="D151" s="28" t="str">
        <x:v>болгарский перец</x:v>
      </x:c>
      <x:c r="E151" s="28" t="str">
        <x:v>red bell pepper and paprika</x:v>
      </x:c>
      <x:c r="F151" s="28" t="str">
        <x:v>Плодовые овощи</x:v>
      </x:c>
      <x:c r="G151" s="28" t="str">
        <x:v>соевый соус</x:v>
      </x:c>
      <x:c r="H151" s="28" t="str">
        <x:v>(twice-brewed soy sauce) | usukuchi (lightsoy sauce)</x:v>
      </x:c>
      <x:c r="I151" s="28" t="str">
        <x:v>Ферментированные продукты и соусы</x:v>
      </x:c>
      <x:c r="J151" s="28" t="str">
        <x:v>зелёный, травянистый, фруктовый; у красного — сладкий и жареный</x:v>
      </x:c>
      <x:c r="K151" s="28" t="str">
        <x:v>жареный, умами, ферментированный</x:v>
      </x:c>
      <x:c r="L151" s="28" t="str">
        <x:v>2-изобутил-3-метоксипиразин, гексаналь, лимонен, эфиры</x:v>
      </x:c>
      <x:c r="M151" s="28" t="str">
        <x:v>пиразины, фураны, эфиры</x:v>
      </x:c>
      <x:c r="N151" s="28" t="str">
        <x:v>прямое пересечение семейств не подтверждено</x:v>
      </x:c>
      <x:c r="O151" s="28" t="str">
        <x:v>эфиры</x:v>
      </x:c>
      <x:c r="P151" s="28" t="str">
        <x:v>общие характерные молекулы; умами и солёный контраст</x:v>
      </x:c>
      <x:c r="Q151" s="28" t="str">
        <x:v>Свежесть и водянистость требуют кислоты, соли или умами; избыток жирной матрицы может подавить зелёные ноты.</x:v>
      </x:c>
      <x:c r="R151" s="28" t="str">
        <x:v>минимальный</x:v>
      </x:c>
      <x:c r="S151" s="28" t="str">
        <x:v>водная плодовая матрица с кожицей и пектинами</x:v>
      </x:c>
      <x:c r="T15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1" s="28" t="str">
        <x:v>Болгарский перец имеет профиль «зелёный, травянистый, фруктовый; у красного — сладкий и жареный». Партнёр «соевый соус» относится к группе «Ферментированные продукты и соусы» и даёт жареный, умами, ферментированный. Вероятный молекулярный мост: эфиры. Умами, соль и нуклеотиды усиливают savoury-профиль, а жарка формирует общую систему пиразинов, фуранов и сернистых молекул.</x:v>
      </x:c>
      <x:c r="V151" s="28" t="str">
        <x:v>зелёный перец может доминировать метоксипиразином; обугленную кожицу удалять</x:v>
      </x:c>
      <x:c r="W151" s="28" t="str">
        <x:v>имбирь, чеснок или кунжут</x:v>
      </x:c>
      <x:c r="X151" s="28" t="str">
        <x:v>сок, кордиал, гаспачо, салат, соус, маринад или коктейльный компонент с соевый соус</x:v>
      </x:c>
      <x:c r="Y151" s="28" t="str">
        <x:v>еда, соусы/маринады</x:v>
      </x:c>
      <x:c r="Z151" s="28" t="str">
        <x:v>Средняя</x:v>
      </x:c>
      <x:c r="AA151" s="28" t="str">
        <x:v>The Art &amp; Science of Foodpairing.pdf</x:v>
      </x:c>
      <x:c r="AB151" s="28" t="str">
        <x:v>The Art &amp; Science of Foodpairing.pdf: 108</x:v>
      </x:c>
      <x:c r="AC151" s="28" t="str">
        <x:v>связь из pairing grid, стр. 108; связь из pairing grid, стр. 108</x:v>
      </x:c>
      <x:c r="AD151" s="28" t="n">
        <x:v>1</x:v>
      </x:c>
      <x:c r="AE151" s="28" t="n">
        <x:v>2</x:v>
      </x:c>
      <x:c r="AF151" s="28" t="n">
        <x:f>IF(Z151="Высокая",3,IF(Z151="Средняя",2,1))+AD151*2+MIN(AE151,3)</x:f>
        <x:v>6</x:v>
      </x:c>
    </x:row>
    <x:row r="152" ht="64" customHeight="1">
      <x:c r="A152" s="28" t="str">
        <x:v>VEG-0151</x:v>
      </x:c>
      <x:c r="B152" s="28" t="str">
        <x:v>болгарский перец</x:v>
      </x:c>
      <x:c r="C152" s="28" t="str">
        <x:v>Еда и соусы</x:v>
      </x:c>
      <x:c r="D152" s="28" t="str">
        <x:v>болгарский перец</x:v>
      </x:c>
      <x:c r="E152" s="28" t="str">
        <x:v>red bell pepper and paprika</x:v>
      </x:c>
      <x:c r="F152" s="28" t="str">
        <x:v>Плодовые овощи</x:v>
      </x:c>
      <x:c r="G152" s="28" t="str">
        <x:v>соевый соус сайсикоми</x:v>
      </x:c>
      <x:c r="H152" s="28" t="str">
        <x:v>saishikomi</x:v>
      </x:c>
      <x:c r="I152" s="28" t="str">
        <x:v>Ферментированные продукты и соусы</x:v>
      </x:c>
      <x:c r="J152" s="28" t="str">
        <x:v>зелёный, травянистый, фруктовый; у красного — сладкий и жареный</x:v>
      </x:c>
      <x:c r="K152" s="28" t="str">
        <x:v>жареный, умами, ферментированный</x:v>
      </x:c>
      <x:c r="L152" s="28" t="str">
        <x:v>2-изобутил-3-метоксипиразин, гексаналь, лимонен, эфиры</x:v>
      </x:c>
      <x:c r="M152" s="28" t="str">
        <x:v>пиразины, фураны, эфиры</x:v>
      </x:c>
      <x:c r="N152" s="28" t="str">
        <x:v>прямое пересечение семейств не подтверждено</x:v>
      </x:c>
      <x:c r="O152" s="28" t="str">
        <x:v>эфиры</x:v>
      </x:c>
      <x:c r="P152" s="28" t="str">
        <x:v>общие характерные молекулы; умами и солёный контраст</x:v>
      </x:c>
      <x:c r="Q152" s="28" t="str">
        <x:v>Свежесть и водянистость требуют кислоты, соли или умами; избыток жирной матрицы может подавить зелёные ноты.</x:v>
      </x:c>
      <x:c r="R152" s="28" t="str">
        <x:v>минимальный</x:v>
      </x:c>
      <x:c r="S152" s="28" t="str">
        <x:v>водная плодовая матрица с кожицей и пектинами</x:v>
      </x:c>
      <x:c r="T15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2" s="28" t="str">
        <x:v>Болгарский перец имеет профиль «зелёный, травянистый, фруктовый; у красного — сладкий и жареный». Партнёр «соевый соус сайсикоми» относится к группе «Ферментированные продукты и соусы» и даёт жареный, умами, ферментированный. Вероятный молекулярный мост: эфиры. Умами, соль и нуклеотиды усиливают savoury-профиль, а жарка формирует общую систему пиразинов, фуранов и сернистых молекул.</x:v>
      </x:c>
      <x:c r="V152" s="28" t="str">
        <x:v>зелёный перец может доминировать метоксипиразином; обугленную кожицу удалять</x:v>
      </x:c>
      <x:c r="W152" s="28" t="str">
        <x:v>имбирь, чеснок или кунжут</x:v>
      </x:c>
      <x:c r="X152" s="28" t="str">
        <x:v>сок, кордиал, гаспачо, салат, соус, маринад или коктейльный компонент с соевый соус сайсикоми</x:v>
      </x:c>
      <x:c r="Y152" s="28" t="str">
        <x:v>еда, соусы/маринады</x:v>
      </x:c>
      <x:c r="Z152" s="28" t="str">
        <x:v>Средняя</x:v>
      </x:c>
      <x:c r="AA152" s="28" t="str">
        <x:v>The Art &amp; Science of Foodpairing.pdf</x:v>
      </x:c>
      <x:c r="AB152" s="28" t="str">
        <x:v>The Art &amp; Science of Foodpairing.pdf: 108</x:v>
      </x:c>
      <x:c r="AC152" s="28" t="str">
        <x:v>связь из pairing grid, стр. 108</x:v>
      </x:c>
      <x:c r="AD152" s="28" t="n">
        <x:v>1</x:v>
      </x:c>
      <x:c r="AE152" s="28" t="n">
        <x:v>1</x:v>
      </x:c>
      <x:c r="AF152" s="28" t="n">
        <x:f>IF(Z152="Высокая",3,IF(Z152="Средняя",2,1))+AD152*2+MIN(AE152,3)</x:f>
        <x:v>5</x:v>
      </x:c>
    </x:row>
    <x:row r="153" ht="64" customHeight="1">
      <x:c r="A153" s="28" t="str">
        <x:v>VEG-0152</x:v>
      </x:c>
      <x:c r="B153" s="28" t="str">
        <x:v>болгарский перец</x:v>
      </x:c>
      <x:c r="C153" s="28" t="str">
        <x:v>Универсальные</x:v>
      </x:c>
      <x:c r="D153" s="28" t="str">
        <x:v>болгарский перец</x:v>
      </x:c>
      <x:c r="E153" s="28" t="str">
        <x:v>bell pepper</x:v>
      </x:c>
      <x:c r="F153" s="28" t="str">
        <x:v>Плодовые овощи</x:v>
      </x:c>
      <x:c r="G153" s="28" t="str">
        <x:v>соус тукупи</x:v>
      </x:c>
      <x:c r="H153" s="28" t="str">
        <x:v>tucupi sauce</x:v>
      </x:c>
      <x:c r="I153" s="28" t="str">
        <x:v>Прочее</x:v>
      </x:c>
      <x:c r="J153" s="28" t="str">
        <x:v>зелёный, травянистый, фруктовый; у красного — сладкий и жареный</x:v>
      </x:c>
      <x:c r="K153" s="28" t="str">
        <x:v>профиль зависит от конкретного продукта</x:v>
      </x:c>
      <x:c r="L153" s="28" t="str">
        <x:v>2-изобутил-3-метоксипиразин, гексаналь, лимонен, эфиры</x:v>
      </x:c>
      <x:c r="M153" s="28" t="str">
        <x:v>конкретный молекулярный профиль не указан</x:v>
      </x:c>
      <x:c r="N153" s="28" t="str">
        <x:v>прямое пересечение семейств не подтверждено</x:v>
      </x:c>
      <x:c r="O153" s="28" t="str">
        <x:v>надёжная общая ключевая молекула не установлена</x:v>
      </x:c>
      <x:c r="P153" s="28" t="str">
        <x:v>сенсорная комплементарность</x:v>
      </x:c>
      <x:c r="Q153" s="28" t="str">
        <x:v>Свежесть и водянистость требуют кислоты, соли или умами; избыток жирной матрицы может подавить зелёные ноты.</x:v>
      </x:c>
      <x:c r="R153" s="28" t="str">
        <x:v>минимальный</x:v>
      </x:c>
      <x:c r="S153" s="28" t="str">
        <x:v>водная плодовая матрица с кожицей и пектинами</x:v>
      </x:c>
      <x:c r="T15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3" s="28" t="str">
        <x:v>Болгарский перец имеет профиль «зелёный, травянистый, фруктовый; у красного — сладкий и жареный». Партнёр «соус тукупи»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53" s="28" t="str">
        <x:v>зелёный перец может доминировать метоксипиразином; обугленную кожицу удалять</x:v>
      </x:c>
      <x:c r="W153" s="28" t="str">
        <x:v>соль, кислота или ароматический жир</x:v>
      </x:c>
      <x:c r="X153" s="28" t="str">
        <x:v>сок, кордиал, гаспачо, салат, соус, маринад или коктейльный компонент с соус тукупи</x:v>
      </x:c>
      <x:c r="Y153" s="28" t="str">
        <x:v>соусы/маринады</x:v>
      </x:c>
      <x:c r="Z153" s="28" t="str">
        <x:v>Высокая</x:v>
      </x:c>
      <x:c r="AA153" s="28" t="str">
        <x:v>The Art &amp; Science of Foodpairing.pdf</x:v>
      </x:c>
      <x:c r="AB153" s="28" t="str">
        <x:v>The Art &amp; Science of Foodpairing.pdf: 250</x:v>
      </x:c>
      <x:c r="AC153" s="28" t="str">
        <x:v>прямая Potential pairing, стр. 250</x:v>
      </x:c>
      <x:c r="AD153" s="28" t="n">
        <x:v>1</x:v>
      </x:c>
      <x:c r="AE153" s="28" t="n">
        <x:v>1</x:v>
      </x:c>
      <x:c r="AF153" s="28" t="n">
        <x:f>IF(Z153="Высокая",3,IF(Z153="Средняя",2,1))+AD153*2+MIN(AE153,3)</x:f>
        <x:v>6</x:v>
      </x:c>
    </x:row>
    <x:row r="154" ht="64" customHeight="1">
      <x:c r="A154" s="28" t="str">
        <x:v>VEG-0153</x:v>
      </x:c>
      <x:c r="B154" s="28" t="str">
        <x:v>болгарский перец</x:v>
      </x:c>
      <x:c r="C154" s="28" t="str">
        <x:v>Универсальные</x:v>
      </x:c>
      <x:c r="D154" s="28" t="str">
        <x:v>болгарский перец</x:v>
      </x:c>
      <x:c r="E154" s="28" t="str">
        <x:v>red bell pepper and paprika</x:v>
      </x:c>
      <x:c r="F154" s="28" t="str">
        <x:v>Плодовые овощи</x:v>
      </x:c>
      <x:c r="G154" s="28" t="str">
        <x:v>стилтон</x:v>
      </x:c>
      <x:c r="H154" s="28" t="str">
        <x:v>Stilton</x:v>
      </x:c>
      <x:c r="I154" s="28" t="str">
        <x:v>Прочее</x:v>
      </x:c>
      <x:c r="J154" s="28" t="str">
        <x:v>зелёный, травянистый, фруктовый; у красного — сладкий и жареный</x:v>
      </x:c>
      <x:c r="K154" s="28" t="str">
        <x:v>профиль зависит от конкретного продукта</x:v>
      </x:c>
      <x:c r="L154" s="28" t="str">
        <x:v>2-изобутил-3-метоксипиразин, гексаналь, лимонен, эфиры</x:v>
      </x:c>
      <x:c r="M154" s="28" t="str">
        <x:v>конкретный молекулярный профиль не указан</x:v>
      </x:c>
      <x:c r="N154" s="28" t="str">
        <x:v>прямое пересечение семейств не подтверждено</x:v>
      </x:c>
      <x:c r="O154" s="28" t="str">
        <x:v>надёжная общая ключевая молекула не установлена</x:v>
      </x:c>
      <x:c r="P154" s="28" t="str">
        <x:v>сенсорная комплементарность</x:v>
      </x:c>
      <x:c r="Q154" s="28" t="str">
        <x:v>Свежесть и водянистость требуют кислоты, соли или умами; избыток жирной матрицы может подавить зелёные ноты.</x:v>
      </x:c>
      <x:c r="R154" s="28" t="str">
        <x:v>минимальный</x:v>
      </x:c>
      <x:c r="S154" s="28" t="str">
        <x:v>водная плодовая матрица с кожицей и пектинами</x:v>
      </x:c>
      <x:c r="T15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4" s="28" t="str">
        <x:v>Болгарский перец имеет профиль «зелёный, травянистый, фруктовый; у красного — сладкий и жареный». Партнёр «стилтон»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54" s="28" t="str">
        <x:v>зелёный перец может доминировать метоксипиразином; обугленную кожицу удалять</x:v>
      </x:c>
      <x:c r="W154" s="28" t="str">
        <x:v>соль, кислота или ароматический жир</x:v>
      </x:c>
      <x:c r="X154" s="28" t="str">
        <x:v>сок, кордиал, гаспачо, салат, соус, маринад или коктейльный компонент с стилтон</x:v>
      </x:c>
      <x:c r="Y154" s="28" t="str">
        <x:v>универсальное</x:v>
      </x:c>
      <x:c r="Z154" s="28" t="str">
        <x:v>Средняя</x:v>
      </x:c>
      <x:c r="AA154" s="28" t="str">
        <x:v>The Art &amp; Science of Foodpairing.pdf</x:v>
      </x:c>
      <x:c r="AB154" s="28" t="str">
        <x:v>The Art &amp; Science of Foodpairing.pdf: 108</x:v>
      </x:c>
      <x:c r="AC154" s="28" t="str">
        <x:v>связь из pairing grid, стр. 108</x:v>
      </x:c>
      <x:c r="AD154" s="28" t="n">
        <x:v>1</x:v>
      </x:c>
      <x:c r="AE154" s="28" t="n">
        <x:v>1</x:v>
      </x:c>
      <x:c r="AF154" s="28" t="n">
        <x:f>IF(Z154="Высокая",3,IF(Z154="Средняя",2,1))+AD154*2+MIN(AE154,3)</x:f>
        <x:v>5</x:v>
      </x:c>
    </x:row>
    <x:row r="155" ht="64" customHeight="1">
      <x:c r="A155" s="28" t="str">
        <x:v>VEG-0154</x:v>
      </x:c>
      <x:c r="B155" s="28" t="str">
        <x:v>болгарский перец</x:v>
      </x:c>
      <x:c r="C155" s="28" t="str">
        <x:v>Универсальные</x:v>
      </x:c>
      <x:c r="D155" s="28" t="str">
        <x:v>болгарский перец</x:v>
      </x:c>
      <x:c r="E155" s="28" t="str">
        <x:v>red bell pepper | red bell pepper and paprika</x:v>
      </x:c>
      <x:c r="F155" s="28" t="str">
        <x:v>Плодовые овощи</x:v>
      </x:c>
      <x:c r="G155" s="28" t="str">
        <x:v>телятина</x:v>
      </x:c>
      <x:c r="H155" s="28" t="str">
        <x:v>oven-baked veal | veal</x:v>
      </x:c>
      <x:c r="I155" s="28" t="str">
        <x:v>Прочее</x:v>
      </x:c>
      <x:c r="J155" s="28" t="str">
        <x:v>зелёный, травянистый, фруктовый; у красного — сладкий и жареный</x:v>
      </x:c>
      <x:c r="K155" s="28" t="str">
        <x:v>профиль зависит от конкретного продукта</x:v>
      </x:c>
      <x:c r="L155" s="28" t="str">
        <x:v>2-изобутил-3-метоксипиразин, гексаналь, лимонен, эфиры</x:v>
      </x:c>
      <x:c r="M155" s="28" t="str">
        <x:v>конкретный молекулярный профиль не указан</x:v>
      </x:c>
      <x:c r="N155" s="28" t="str">
        <x:v>прямое пересечение семейств не подтверждено</x:v>
      </x:c>
      <x:c r="O155" s="28" t="str">
        <x:v>надёжная общая ключевая молекула не установлена</x:v>
      </x:c>
      <x:c r="P155" s="28" t="str">
        <x:v>сенсорная комплементарность</x:v>
      </x:c>
      <x:c r="Q155" s="28" t="str">
        <x:v>Свежесть и водянистость требуют кислоты, соли или умами; избыток жирной матрицы может подавить зелёные ноты.</x:v>
      </x:c>
      <x:c r="R155" s="28" t="str">
        <x:v>минимальный</x:v>
      </x:c>
      <x:c r="S155" s="28" t="str">
        <x:v>водная плодовая матрица с кожицей и пектинами</x:v>
      </x:c>
      <x:c r="T15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5" s="28" t="str">
        <x:v>Болгарский перец имеет профиль «зелёный, травянистый, фруктовый; у красного — сладкий и жареный». Партнёр «телятина»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55" s="28" t="str">
        <x:v>зелёный перец может доминировать метоксипиразином; обугленную кожицу удалять</x:v>
      </x:c>
      <x:c r="W155" s="28" t="str">
        <x:v>соль, кислота или ароматический жир</x:v>
      </x:c>
      <x:c r="X155" s="28" t="str">
        <x:v>сок, кордиал, гаспачо, салат, соус, маринад или коктейльный компонент с телятина</x:v>
      </x:c>
      <x:c r="Y155" s="28" t="str">
        <x:v>универсальное</x:v>
      </x:c>
      <x:c r="Z155" s="28" t="str">
        <x:v>Высокая</x:v>
      </x:c>
      <x:c r="AA155" s="28" t="str">
        <x:v>The Art &amp; Science of Foodpairing.pdf</x:v>
      </x:c>
      <x:c r="AB155" s="28" t="str">
        <x:v>The Art &amp; Science of Foodpairing.pdf: 108</x:v>
      </x:c>
      <x:c r="AC155" s="28" t="str">
        <x:v>прямая Classic pairing, стр. 108; связь из pairing grid, стр. 108</x:v>
      </x:c>
      <x:c r="AD155" s="28" t="n">
        <x:v>1</x:v>
      </x:c>
      <x:c r="AE155" s="28" t="n">
        <x:v>2</x:v>
      </x:c>
      <x:c r="AF155" s="28" t="n">
        <x:f>IF(Z155="Высокая",3,IF(Z155="Средняя",2,1))+AD155*2+MIN(AE155,3)</x:f>
        <x:v>7</x:v>
      </x:c>
    </x:row>
    <x:row r="156" ht="64" customHeight="1">
      <x:c r="A156" s="28" t="str">
        <x:v>VEG-0155</x:v>
      </x:c>
      <x:c r="B156" s="28" t="str">
        <x:v>болгарский перец</x:v>
      </x:c>
      <x:c r="C156" s="28" t="str">
        <x:v>Универсальные</x:v>
      </x:c>
      <x:c r="D156" s="28" t="str">
        <x:v>болгарский перец</x:v>
      </x:c>
      <x:c r="E156" s="28" t="str">
        <x:v>red bell pepper and paprika</x:v>
      </x:c>
      <x:c r="F156" s="28" t="str">
        <x:v>Плодовые овощи</x:v>
      </x:c>
      <x:c r="G156" s="28" t="str">
        <x:v>телячьи зобные железы</x:v>
      </x:c>
      <x:c r="H156" s="28" t="str">
        <x:v>roasted veal sweetbreads</x:v>
      </x:c>
      <x:c r="I156" s="28" t="str">
        <x:v>Прочее</x:v>
      </x:c>
      <x:c r="J156" s="28" t="str">
        <x:v>зелёный, травянистый, фруктовый; у красного — сладкий и жареный</x:v>
      </x:c>
      <x:c r="K156" s="28" t="str">
        <x:v>профиль зависит от конкретного продукта</x:v>
      </x:c>
      <x:c r="L156" s="28" t="str">
        <x:v>2-изобутил-3-метоксипиразин, гексаналь, лимонен, эфиры</x:v>
      </x:c>
      <x:c r="M156" s="28" t="str">
        <x:v>конкретный молекулярный профиль не указан</x:v>
      </x:c>
      <x:c r="N156" s="28" t="str">
        <x:v>прямое пересечение семейств не подтверждено</x:v>
      </x:c>
      <x:c r="O156" s="28" t="str">
        <x:v>надёжная общая ключевая молекула не установлена</x:v>
      </x:c>
      <x:c r="P156" s="28" t="str">
        <x:v>сенсорная комплементарность</x:v>
      </x:c>
      <x:c r="Q156" s="28" t="str">
        <x:v>Свежесть и водянистость требуют кислоты, соли или умами; избыток жирной матрицы может подавить зелёные ноты.</x:v>
      </x:c>
      <x:c r="R156" s="28" t="str">
        <x:v>минимальный</x:v>
      </x:c>
      <x:c r="S156" s="28" t="str">
        <x:v>водная плодовая матрица с кожицей и пектинами</x:v>
      </x:c>
      <x:c r="T15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6" s="28" t="str">
        <x:v>Болгарский перец имеет профиль «зелёный, травянистый, фруктовый; у красного — сладкий и жареный». Партнёр «телячьи зобные железы»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56" s="28" t="str">
        <x:v>зелёный перец может доминировать метоксипиразином; обугленную кожицу удалять</x:v>
      </x:c>
      <x:c r="W156" s="28" t="str">
        <x:v>соль, кислота или ароматический жир</x:v>
      </x:c>
      <x:c r="X156" s="28" t="str">
        <x:v>сок, кордиал, гаспачо, салат, соус, маринад или коктейльный компонент с телячьи зобные железы</x:v>
      </x:c>
      <x:c r="Y156" s="28" t="str">
        <x:v>универсальное</x:v>
      </x:c>
      <x:c r="Z156" s="28" t="str">
        <x:v>Средняя</x:v>
      </x:c>
      <x:c r="AA156" s="28" t="str">
        <x:v>The Art &amp; Science of Foodpairing.pdf</x:v>
      </x:c>
      <x:c r="AB156" s="28" t="str">
        <x:v>The Art &amp; Science of Foodpairing.pdf: 108</x:v>
      </x:c>
      <x:c r="AC156" s="28" t="str">
        <x:v>связь из pairing grid, стр. 108</x:v>
      </x:c>
      <x:c r="AD156" s="28" t="n">
        <x:v>1</x:v>
      </x:c>
      <x:c r="AE156" s="28" t="n">
        <x:v>1</x:v>
      </x:c>
      <x:c r="AF156" s="28" t="n">
        <x:f>IF(Z156="Высокая",3,IF(Z156="Средняя",2,1))+AD156*2+MIN(AE156,3)</x:f>
        <x:v>5</x:v>
      </x:c>
    </x:row>
    <x:row r="157" ht="64" customHeight="1">
      <x:c r="A157" s="28" t="str">
        <x:v>VEG-0156</x:v>
      </x:c>
      <x:c r="B157" s="28" t="str">
        <x:v>болгарский перец</x:v>
      </x:c>
      <x:c r="C157" s="28" t="str">
        <x:v>Универсальные</x:v>
      </x:c>
      <x:c r="D157" s="28" t="str">
        <x:v>болгарский перец</x:v>
      </x:c>
      <x:c r="E157" s="28" t="str">
        <x:v>Болгарский перец | болгарский перец</x:v>
      </x:c>
      <x:c r="F157" s="28" t="str">
        <x:v>Плодовые овощи</x:v>
      </x:c>
      <x:c r="G157" s="28" t="str">
        <x:v>томат</x:v>
      </x:c>
      <x:c r="H157" s="28" t="str">
        <x:v>Томаты | томаты</x:v>
      </x:c>
      <x:c r="I157" s="28" t="str">
        <x:v>Плодовые овощи</x:v>
      </x:c>
      <x:c r="J157" s="28" t="str">
        <x:v>зелёный, травянистый, фруктовый; у красного — сладкий и жареный</x:v>
      </x:c>
      <x:c r="K157" s="28" t="str">
        <x:v>зелёный, фруктовый, листовой, сернистый и умами</x:v>
      </x:c>
      <x:c r="L157" s="28" t="str">
        <x:v>2-изобутил-3-метоксипиразин, гексаналь, лимонен, эфиры</x:v>
      </x:c>
      <x:c r="M157" s="28" t="str">
        <x:v>β-ионон, гексаналь, глутамат, метиональ, цис-3-гексеналь</x:v>
      </x:c>
      <x:c r="N157" s="28" t="str">
        <x:v>зелёный, фруктовый</x:v>
      </x:c>
      <x:c r="O157" s="28" t="str">
        <x:v>гексаналь</x:v>
      </x:c>
      <x:c r="P157" s="28" t="str">
        <x:v>общие характерные молекулы; пересечение ароматических семейств</x:v>
      </x:c>
      <x:c r="Q157" s="28" t="str">
        <x:v>Свежесть и водянистость требуют кислоты, соли или умами; избыток жирной матрицы может подавить зелёные ноты.</x:v>
      </x:c>
      <x:c r="R157" s="28" t="str">
        <x:v>минимальный</x:v>
      </x:c>
      <x:c r="S157" s="28" t="str">
        <x:v>водная плодовая матрица с кожицей и пектинами</x:v>
      </x:c>
      <x:c r="T15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7" s="28" t="str">
        <x:v>Болгарский перец имеет профиль «зелёный, травянистый, фруктовый; у красного — сладкий и жареный». Партнёр «томат» относится к группе «Плодовые овощи» и даёт зелёный, фруктовый, листовой, сернистый и умами. Вероятный молекулярный мост: гексаналь. Совместимость формируется за счёт баланса сладости, кислотности, горечи, умами и текстуры.</x:v>
      </x:c>
      <x:c r="V157" s="28" t="str">
        <x:v>зелёный перец может доминировать метоксипиразином; обугленную кожицу удалять</x:v>
      </x:c>
      <x:c r="W157" s="28" t="str">
        <x:v>соль, кислота или ароматический жир</x:v>
      </x:c>
      <x:c r="X157" s="28" t="str">
        <x:v>сок, кордиал, гаспачо, салат, соус, маринад или коктейльный компонент с томат</x:v>
      </x:c>
      <x:c r="Y157" s="28" t="str">
        <x:v>универсальное</x:v>
      </x:c>
      <x:c r="Z157" s="28" t="str">
        <x:v>Средняя</x:v>
      </x:c>
      <x:c r="AA157" s="28" t="str">
        <x:v>Тезариус вкусов (Ники Сегнит)(1).pdf</x:v>
      </x:c>
      <x:c r="AB157" s="28" t="str">
        <x:v>Тезариус вкусов (Ники Сегнит)(1).pdf: 548, 684</x:v>
      </x:c>
      <x:c r="AC157" s="28" t="str">
        <x:v>развёрнутая пара/статья, стр. 548; развёрнутая пара/статья, стр. 684</x:v>
      </x:c>
      <x:c r="AD157" s="28" t="n">
        <x:v>1</x:v>
      </x:c>
      <x:c r="AE157" s="28" t="n">
        <x:v>2</x:v>
      </x:c>
      <x:c r="AF157" s="28" t="n">
        <x:f>IF(Z157="Высокая",3,IF(Z157="Средняя",2,1))+AD157*2+MIN(AE157,3)</x:f>
        <x:v>6</x:v>
      </x:c>
    </x:row>
    <x:row r="158" ht="64" customHeight="1">
      <x:c r="A158" s="28" t="str">
        <x:v>VEG-0157</x:v>
      </x:c>
      <x:c r="B158" s="28" t="str">
        <x:v>болгарский перец</x:v>
      </x:c>
      <x:c r="C158" s="28" t="str">
        <x:v>Еда и соусы</x:v>
      </x:c>
      <x:c r="D158" s="28" t="str">
        <x:v>болгарский перец</x:v>
      </x:c>
      <x:c r="E158" s="28" t="str">
        <x:v>red bell pepper and paprika</x:v>
      </x:c>
      <x:c r="F158" s="28" t="str">
        <x:v>Плодовые овощи</x:v>
      </x:c>
      <x:c r="G158" s="28" t="str">
        <x:v>томат черри</x:v>
      </x:c>
      <x:c r="H158" s="28" t="str">
        <x:v>cherrytomato</x:v>
      </x:c>
      <x:c r="I158" s="28" t="str">
        <x:v>Плодовые и тыквенные овощи</x:v>
      </x:c>
      <x:c r="J158" s="28" t="str">
        <x:v>зелёный, травянистый, фруктовый; у красного — сладкий и жареный</x:v>
      </x:c>
      <x:c r="K158" s="28" t="str">
        <x:v>зелёный, фруктовый или водянистый</x:v>
      </x:c>
      <x:c r="L158" s="28" t="str">
        <x:v>2-изобутил-3-метоксипиразин, гексаналь, лимонен, эфиры</x:v>
      </x:c>
      <x:c r="M158" s="28" t="str">
        <x:v>альдегиды, эфиры</x:v>
      </x:c>
      <x:c r="N158" s="28" t="str">
        <x:v>зелёный, фруктовый</x:v>
      </x:c>
      <x:c r="O158" s="28" t="str">
        <x:v>эфиры</x:v>
      </x:c>
      <x:c r="P158" s="28" t="str">
        <x:v>общие характерные молекулы; пересечение ароматических семейств</x:v>
      </x:c>
      <x:c r="Q158" s="28" t="str">
        <x:v>Свежесть и водянистость требуют кислоты, соли или умами; избыток жирной матрицы может подавить зелёные ноты.</x:v>
      </x:c>
      <x:c r="R158" s="28" t="str">
        <x:v>минимальный</x:v>
      </x:c>
      <x:c r="S158" s="28" t="str">
        <x:v>водная плодовая матрица с кожицей и пектинами</x:v>
      </x:c>
      <x:c r="T15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8" s="28" t="str">
        <x:v>Болгарский перец имеет профиль «зелёный, травянистый, фруктовый; у красного — сладкий и жареный». Партнёр «томат черри» относится к группе «Плодовые и тыквенные овощи» и даёт зелёный, фруктовый или водянистый. Вероятный молекулярный мост: эфиры. Совместимость формируется за счёт баланса сладости, кислотности, горечи, умами и текстуры.</x:v>
      </x:c>
      <x:c r="V158" s="28" t="str">
        <x:v>зелёный перец может доминировать метоксипиразином; обугленную кожицу удалять</x:v>
      </x:c>
      <x:c r="W158" s="28" t="str">
        <x:v>соль, кислота или ароматический жир</x:v>
      </x:c>
      <x:c r="X158" s="28" t="str">
        <x:v>сок, кордиал, гаспачо, салат, соус, маринад или коктейльный компонент с томат черри</x:v>
      </x:c>
      <x:c r="Y158" s="28" t="str">
        <x:v>еда, соусы/маринады</x:v>
      </x:c>
      <x:c r="Z158" s="28" t="str">
        <x:v>Средняя</x:v>
      </x:c>
      <x:c r="AA158" s="28" t="str">
        <x:v>The Art &amp; Science of Foodpairing.pdf</x:v>
      </x:c>
      <x:c r="AB158" s="28" t="str">
        <x:v>The Art &amp; Science of Foodpairing.pdf: 108</x:v>
      </x:c>
      <x:c r="AC158" s="28" t="str">
        <x:v>связь из pairing grid, стр. 108</x:v>
      </x:c>
      <x:c r="AD158" s="28" t="n">
        <x:v>1</x:v>
      </x:c>
      <x:c r="AE158" s="28" t="n">
        <x:v>1</x:v>
      </x:c>
      <x:c r="AF158" s="28" t="n">
        <x:f>IF(Z158="Высокая",3,IF(Z158="Средняя",2,1))+AD158*2+MIN(AE158,3)</x:f>
        <x:v>5</x:v>
      </x:c>
    </x:row>
    <x:row r="159" ht="64" customHeight="1">
      <x:c r="A159" s="28" t="str">
        <x:v>VEG-0158</x:v>
      </x:c>
      <x:c r="B159" s="28" t="str">
        <x:v>болгарский перец</x:v>
      </x:c>
      <x:c r="C159" s="28" t="str">
        <x:v>Универсальные</x:v>
      </x:c>
      <x:c r="D159" s="28" t="str">
        <x:v>болгарский перец</x:v>
      </x:c>
      <x:c r="E159" s="28" t="str">
        <x:v>red bell pepper and paprika</x:v>
      </x:c>
      <x:c r="F159" s="28" t="str">
        <x:v>Плодовые овощи</x:v>
      </x:c>
      <x:c r="G159" s="28" t="str">
        <x:v>франкфуртская колбаска</x:v>
      </x:c>
      <x:c r="H159" s="28" t="str">
        <x:v>cooked Frankfurter</x:v>
      </x:c>
      <x:c r="I159" s="28" t="str">
        <x:v>Прочее</x:v>
      </x:c>
      <x:c r="J159" s="28" t="str">
        <x:v>зелёный, травянистый, фруктовый; у красного — сладкий и жареный</x:v>
      </x:c>
      <x:c r="K159" s="28" t="str">
        <x:v>профиль зависит от конкретного продукта</x:v>
      </x:c>
      <x:c r="L159" s="28" t="str">
        <x:v>2-изобутил-3-метоксипиразин, гексаналь, лимонен, эфиры</x:v>
      </x:c>
      <x:c r="M159" s="28" t="str">
        <x:v>конкретный молекулярный профиль не указан</x:v>
      </x:c>
      <x:c r="N159" s="28" t="str">
        <x:v>прямое пересечение семейств не подтверждено</x:v>
      </x:c>
      <x:c r="O159" s="28" t="str">
        <x:v>надёжная общая ключевая молекула не установлена</x:v>
      </x:c>
      <x:c r="P159" s="28" t="str">
        <x:v>сенсорная комплементарность</x:v>
      </x:c>
      <x:c r="Q159" s="28" t="str">
        <x:v>Свежесть и водянистость требуют кислоты, соли или умами; избыток жирной матрицы может подавить зелёные ноты.</x:v>
      </x:c>
      <x:c r="R159" s="28" t="str">
        <x:v>минимальный</x:v>
      </x:c>
      <x:c r="S159" s="28" t="str">
        <x:v>водная плодовая матрица с кожицей и пектинами</x:v>
      </x:c>
      <x:c r="T15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59" s="28" t="str">
        <x:v>Болгарский перец имеет профиль «зелёный, травянистый, фруктовый; у красного — сладкий и жареный». Партнёр «франкфуртская колбаска»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59" s="28" t="str">
        <x:v>зелёный перец может доминировать метоксипиразином; обугленную кожицу удалять</x:v>
      </x:c>
      <x:c r="W159" s="28" t="str">
        <x:v>соль, кислота или ароматический жир</x:v>
      </x:c>
      <x:c r="X159" s="28" t="str">
        <x:v>сок, кордиал, гаспачо, салат, соус, маринад или коктейльный компонент с франкфуртская колбаска</x:v>
      </x:c>
      <x:c r="Y159" s="28" t="str">
        <x:v>универсальное</x:v>
      </x:c>
      <x:c r="Z159" s="28" t="str">
        <x:v>Средняя</x:v>
      </x:c>
      <x:c r="AA159" s="28" t="str">
        <x:v>The Art &amp; Science of Foodpairing.pdf</x:v>
      </x:c>
      <x:c r="AB159" s="28" t="str">
        <x:v>The Art &amp; Science of Foodpairing.pdf: 108</x:v>
      </x:c>
      <x:c r="AC159" s="28" t="str">
        <x:v>связь из pairing grid, стр. 108</x:v>
      </x:c>
      <x:c r="AD159" s="28" t="n">
        <x:v>1</x:v>
      </x:c>
      <x:c r="AE159" s="28" t="n">
        <x:v>1</x:v>
      </x:c>
      <x:c r="AF159" s="28" t="n">
        <x:f>IF(Z159="Высокая",3,IF(Z159="Средняя",2,1))+AD159*2+MIN(AE159,3)</x:f>
        <x:v>5</x:v>
      </x:c>
    </x:row>
    <x:row r="160" ht="64" customHeight="1">
      <x:c r="A160" s="28" t="str">
        <x:v>VEG-0159</x:v>
      </x:c>
      <x:c r="B160" s="28" t="str">
        <x:v>болгарский перец</x:v>
      </x:c>
      <x:c r="C160" s="28" t="str">
        <x:v>Десерты и выпечка</x:v>
      </x:c>
      <x:c r="D160" s="28" t="str">
        <x:v>болгарский перец</x:v>
      </x:c>
      <x:c r="E160" s="28" t="str">
        <x:v>red bell pepper and paprika</x:v>
      </x:c>
      <x:c r="F160" s="28" t="str">
        <x:v>Плодовые овощи</x:v>
      </x:c>
      <x:c r="G160" s="28" t="str">
        <x:v>фундук</x:v>
      </x:c>
      <x:c r="H160" s="28" t="str">
        <x:v>roasted hazelnut</x:v>
      </x:c>
      <x:c r="I160" s="28" t="str">
        <x:v>Орехи и семена</x:v>
      </x:c>
      <x:c r="J160" s="28" t="str">
        <x:v>зелёный, травянистый, фруктовый; у красного — сладкий и жареный</x:v>
      </x:c>
      <x:c r="K160" s="28" t="str">
        <x:v>жареный, какаовый, ореховый</x:v>
      </x:c>
      <x:c r="L160" s="28" t="str">
        <x:v>2-изобутил-3-метоксипиразин, гексаналь, лимонен, эфиры</x:v>
      </x:c>
      <x:c r="M160" s="28" t="str">
        <x:v>пиразины, фильбертон</x:v>
      </x:c>
      <x:c r="N160" s="28" t="str">
        <x:v>прямое пересечение семейств не подтверждено</x:v>
      </x:c>
      <x:c r="O160" s="28" t="str">
        <x:v>надёжная общая ключевая молекула не установлена</x:v>
      </x:c>
      <x:c r="P160" s="28" t="str">
        <x:v>сенсорная комплементарность</x:v>
      </x:c>
      <x:c r="Q160" s="28" t="str">
        <x:v>Свежесть и водянистость требуют кислоты, соли или умами; избыток жирной матрицы может подавить зелёные ноты.</x:v>
      </x:c>
      <x:c r="R160" s="28" t="str">
        <x:v>минимальный</x:v>
      </x:c>
      <x:c r="S160" s="28" t="str">
        <x:v>водная плодовая матрица с кожицей и пектинами</x:v>
      </x:c>
      <x:c r="T16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0" s="28" t="str">
        <x:v>Болгарский перец имеет профиль «зелёный, травянистый, фруктовый; у красного — сладкий и жареный».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160" s="28" t="str">
        <x:v>зелёный перец может доминировать метоксипиразином; обугленную кожицу удалять</x:v>
      </x:c>
      <x:c r="W160" s="28" t="str">
        <x:v>соль, кислота или ароматический жир</x:v>
      </x:c>
      <x:c r="X160" s="28" t="str">
        <x:v>сок, кордиал, гаспачо, салат, соус, маринад или коктейльный компонент с фундук</x:v>
      </x:c>
      <x:c r="Y160" s="28" t="str">
        <x:v>десерты</x:v>
      </x:c>
      <x:c r="Z160" s="28" t="str">
        <x:v>Средняя</x:v>
      </x:c>
      <x:c r="AA160" s="28" t="str">
        <x:v>The Art &amp; Science of Foodpairing.pdf</x:v>
      </x:c>
      <x:c r="AB160" s="28" t="str">
        <x:v>The Art &amp; Science of Foodpairing.pdf: 108</x:v>
      </x:c>
      <x:c r="AC160" s="28" t="str">
        <x:v>связь из pairing grid, стр. 108</x:v>
      </x:c>
      <x:c r="AD160" s="28" t="n">
        <x:v>1</x:v>
      </x:c>
      <x:c r="AE160" s="28" t="n">
        <x:v>1</x:v>
      </x:c>
      <x:c r="AF160" s="28" t="n">
        <x:f>IF(Z160="Высокая",3,IF(Z160="Средняя",2,1))+AD160*2+MIN(AE160,3)</x:f>
        <x:v>5</x:v>
      </x:c>
    </x:row>
    <x:row r="161" ht="64" customHeight="1">
      <x:c r="A161" s="28" t="str">
        <x:v>VEG-0160</x:v>
      </x:c>
      <x:c r="B161" s="28" t="str">
        <x:v>болгарский перец</x:v>
      </x:c>
      <x:c r="C161" s="28" t="str">
        <x:v>Десерты и выпечка</x:v>
      </x:c>
      <x:c r="D161" s="28" t="str">
        <x:v>болгарский перец</x:v>
      </x:c>
      <x:c r="E161" s="28" t="str">
        <x:v>red bell pepper and paprika</x:v>
      </x:c>
      <x:c r="F161" s="28" t="str">
        <x:v>Плодовые овощи</x:v>
      </x:c>
      <x:c r="G161" s="28" t="str">
        <x:v>хлеб на закваске</x:v>
      </x:c>
      <x:c r="H161" s="28" t="str">
        <x:v>San Francisco sourdough bread</x:v>
      </x:c>
      <x:c r="I161" s="28" t="str">
        <x:v>Выпечка, крупы, сахара и десерты</x:v>
      </x:c>
      <x:c r="J161" s="28" t="str">
        <x:v>зелёный, травянистый, фруктовый; у красного — сладкий и жареный</x:v>
      </x:c>
      <x:c r="K161" s="28" t="str">
        <x:v>жареный, зерновой</x:v>
      </x:c>
      <x:c r="L161" s="28" t="str">
        <x:v>2-изобутил-3-метоксипиразин, гексаналь, лимонен, эфиры</x:v>
      </x:c>
      <x:c r="M161" s="28" t="str">
        <x:v>3-метилбутаналь, пиразины, фураны</x:v>
      </x:c>
      <x:c r="N161" s="28" t="str">
        <x:v>прямое пересечение семейств не подтверждено</x:v>
      </x:c>
      <x:c r="O161" s="28" t="str">
        <x:v>надёжная общая ключевая молекула не установлена</x:v>
      </x:c>
      <x:c r="P161" s="28" t="str">
        <x:v>сенсорная комплементарность</x:v>
      </x:c>
      <x:c r="Q161" s="28" t="str">
        <x:v>Свежесть и водянистость требуют кислоты, соли или умами; избыток жирной матрицы может подавить зелёные ноты.</x:v>
      </x:c>
      <x:c r="R161" s="28" t="str">
        <x:v>минимальный</x:v>
      </x:c>
      <x:c r="S161" s="28" t="str">
        <x:v>водная плодовая матрица с кожицей и пектинами</x:v>
      </x:c>
      <x:c r="T16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1" s="28" t="str">
        <x:v>Болгарский перец имеет профиль «зелёный, травянистый, фруктовый; у красного — сладкий и жареный». Партнёр «хлеб на закваске»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161" s="28" t="str">
        <x:v>зелёный перец может доминировать метоксипиразином; обугленную кожицу удалять</x:v>
      </x:c>
      <x:c r="W161" s="28" t="str">
        <x:v>соль, кислота или ароматический жир</x:v>
      </x:c>
      <x:c r="X161" s="28" t="str">
        <x:v>сок, кордиал, гаспачо, салат, соус, маринад или коктейльный компонент с хлеб на закваске</x:v>
      </x:c>
      <x:c r="Y161" s="28" t="str">
        <x:v>десерты</x:v>
      </x:c>
      <x:c r="Z161" s="28" t="str">
        <x:v>Средняя</x:v>
      </x:c>
      <x:c r="AA161" s="28" t="str">
        <x:v>The Art &amp; Science of Foodpairing.pdf</x:v>
      </x:c>
      <x:c r="AB161" s="28" t="str">
        <x:v>The Art &amp; Science of Foodpairing.pdf: 108</x:v>
      </x:c>
      <x:c r="AC161" s="28" t="str">
        <x:v>связь из pairing grid, стр. 108</x:v>
      </x:c>
      <x:c r="AD161" s="28" t="n">
        <x:v>1</x:v>
      </x:c>
      <x:c r="AE161" s="28" t="n">
        <x:v>1</x:v>
      </x:c>
      <x:c r="AF161" s="28" t="n">
        <x:f>IF(Z161="Высокая",3,IF(Z161="Средняя",2,1))+AD161*2+MIN(AE161,3)</x:f>
        <x:v>5</x:v>
      </x:c>
    </x:row>
    <x:row r="162" ht="64" customHeight="1">
      <x:c r="A162" s="28" t="str">
        <x:v>VEG-0161</x:v>
      </x:c>
      <x:c r="B162" s="28" t="str">
        <x:v>болгарский перец</x:v>
      </x:c>
      <x:c r="C162" s="28" t="str">
        <x:v>Универсальные</x:v>
      </x:c>
      <x:c r="D162" s="28" t="str">
        <x:v>болгарский перец</x:v>
      </x:c>
      <x:c r="E162" s="28" t="str">
        <x:v>Болгарский перец | болгарский перец</x:v>
      </x:c>
      <x:c r="F162" s="28" t="str">
        <x:v>Плодовые овощи</x:v>
      </x:c>
      <x:c r="G162" s="28" t="str">
        <x:v>цыпленок</x:v>
      </x:c>
      <x:c r="H162" s="28" t="str">
        <x:v>Цыпленок | цыпленок</x:v>
      </x:c>
      <x:c r="I162" s="28" t="str">
        <x:v>Прочее</x:v>
      </x:c>
      <x:c r="J162" s="28" t="str">
        <x:v>зелёный, травянистый, фруктовый; у красного — сладкий и жареный</x:v>
      </x:c>
      <x:c r="K162" s="28" t="str">
        <x:v>профиль зависит от конкретного продукта</x:v>
      </x:c>
      <x:c r="L162" s="28" t="str">
        <x:v>2-изобутил-3-метоксипиразин, гексаналь, лимонен, эфиры</x:v>
      </x:c>
      <x:c r="M162" s="28" t="str">
        <x:v>конкретный молекулярный профиль не указан</x:v>
      </x:c>
      <x:c r="N162" s="28" t="str">
        <x:v>прямое пересечение семейств не подтверждено</x:v>
      </x:c>
      <x:c r="O162" s="28" t="str">
        <x:v>надёжная общая ключевая молекула не установлена</x:v>
      </x:c>
      <x:c r="P162" s="28" t="str">
        <x:v>сенсорная комплементарность</x:v>
      </x:c>
      <x:c r="Q162" s="28" t="str">
        <x:v>Свежесть и водянистость требуют кислоты, соли или умами; избыток жирной матрицы может подавить зелёные ноты.</x:v>
      </x:c>
      <x:c r="R162" s="28" t="str">
        <x:v>минимальный</x:v>
      </x:c>
      <x:c r="S162" s="28" t="str">
        <x:v>водная плодовая матрица с кожицей и пектинами</x:v>
      </x:c>
      <x:c r="T16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2" s="28" t="str">
        <x:v>Болгарский перец имеет профиль «зелёный, травянистый, фруктовый; у красного — сладкий и жареный».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62" s="28" t="str">
        <x:v>зелёный перец может доминировать метоксипиразином; обугленную кожицу удалять</x:v>
      </x:c>
      <x:c r="W162" s="28" t="str">
        <x:v>соль, кислота или ароматический жир</x:v>
      </x:c>
      <x:c r="X162" s="28" t="str">
        <x:v>сок, кордиал, гаспачо, салат, соус, маринад или коктейльный компонент с цыпленок</x:v>
      </x:c>
      <x:c r="Y162" s="28" t="str">
        <x:v>универсальное</x:v>
      </x:c>
      <x:c r="Z162" s="28" t="str">
        <x:v>Средняя</x:v>
      </x:c>
      <x:c r="AA162" s="28" t="str">
        <x:v>Тезариус вкусов (Ники Сегнит)(1).pdf</x:v>
      </x:c>
      <x:c r="AB162" s="28" t="str">
        <x:v>Тезариус вкусов (Ники Сегнит)(1).pdf: 63, 548</x:v>
      </x:c>
      <x:c r="AC162" s="28" t="str">
        <x:v>развёрнутая пара/статья, стр. 63; развёрнутая пара/статья, стр. 548</x:v>
      </x:c>
      <x:c r="AD162" s="28" t="n">
        <x:v>1</x:v>
      </x:c>
      <x:c r="AE162" s="28" t="n">
        <x:v>2</x:v>
      </x:c>
      <x:c r="AF162" s="28" t="n">
        <x:f>IF(Z162="Высокая",3,IF(Z162="Средняя",2,1))+AD162*2+MIN(AE162,3)</x:f>
        <x:v>6</x:v>
      </x:c>
    </x:row>
    <x:row r="163" ht="64" customHeight="1">
      <x:c r="A163" s="28" t="str">
        <x:v>VEG-0162</x:v>
      </x:c>
      <x:c r="B163" s="28" t="str">
        <x:v>болгарский перец</x:v>
      </x:c>
      <x:c r="C163" s="28" t="str">
        <x:v>Универсальные</x:v>
      </x:c>
      <x:c r="D163" s="28" t="str">
        <x:v>болгарский перец</x:v>
      </x:c>
      <x:c r="E163" s="28" t="str">
        <x:v>red bell pepper and paprika</x:v>
      </x:c>
      <x:c r="F163" s="28" t="str">
        <x:v>Плодовые овощи</x:v>
      </x:c>
      <x:c r="G163" s="28" t="str">
        <x:v>черешня</x:v>
      </x:c>
      <x:c r="H163" s="28" t="str">
        <x:v>Lapins cherry</x:v>
      </x:c>
      <x:c r="I163" s="28" t="str">
        <x:v>Прочее</x:v>
      </x:c>
      <x:c r="J163" s="28" t="str">
        <x:v>зелёный, травянистый, фруктовый; у красного — сладкий и жареный</x:v>
      </x:c>
      <x:c r="K163" s="28" t="str">
        <x:v>профиль зависит от конкретного продукта</x:v>
      </x:c>
      <x:c r="L163" s="28" t="str">
        <x:v>2-изобутил-3-метоксипиразин, гексаналь, лимонен, эфиры</x:v>
      </x:c>
      <x:c r="M163" s="28" t="str">
        <x:v>конкретный молекулярный профиль не указан</x:v>
      </x:c>
      <x:c r="N163" s="28" t="str">
        <x:v>прямое пересечение семейств не подтверждено</x:v>
      </x:c>
      <x:c r="O163" s="28" t="str">
        <x:v>надёжная общая ключевая молекула не установлена</x:v>
      </x:c>
      <x:c r="P163" s="28" t="str">
        <x:v>сенсорная комплементарность</x:v>
      </x:c>
      <x:c r="Q163" s="28" t="str">
        <x:v>Свежесть и водянистость требуют кислоты, соли или умами; избыток жирной матрицы может подавить зелёные ноты.</x:v>
      </x:c>
      <x:c r="R163" s="28" t="str">
        <x:v>минимальный</x:v>
      </x:c>
      <x:c r="S163" s="28" t="str">
        <x:v>водная плодовая матрица с кожицей и пектинами</x:v>
      </x:c>
      <x:c r="T16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3" s="28" t="str">
        <x:v>Болгарский перец имеет профиль «зелёный, травянистый, фруктовый; у красного — сладкий и жареный». Партнёр «черешня»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63" s="28" t="str">
        <x:v>зелёный перец может доминировать метоксипиразином; обугленную кожицу удалять</x:v>
      </x:c>
      <x:c r="W163" s="28" t="str">
        <x:v>соль, кислота или ароматический жир</x:v>
      </x:c>
      <x:c r="X163" s="28" t="str">
        <x:v>сок, кордиал, гаспачо, салат, соус, маринад или коктейльный компонент с черешня</x:v>
      </x:c>
      <x:c r="Y163" s="28" t="str">
        <x:v>универсальное</x:v>
      </x:c>
      <x:c r="Z163" s="28" t="str">
        <x:v>Средняя</x:v>
      </x:c>
      <x:c r="AA163" s="28" t="str">
        <x:v>The Art &amp; Science of Foodpairing.pdf</x:v>
      </x:c>
      <x:c r="AB163" s="28" t="str">
        <x:v>The Art &amp; Science of Foodpairing.pdf: 108</x:v>
      </x:c>
      <x:c r="AC163" s="28" t="str">
        <x:v>связь из pairing grid, стр. 108</x:v>
      </x:c>
      <x:c r="AD163" s="28" t="n">
        <x:v>1</x:v>
      </x:c>
      <x:c r="AE163" s="28" t="n">
        <x:v>1</x:v>
      </x:c>
      <x:c r="AF163" s="28" t="n">
        <x:f>IF(Z163="Высокая",3,IF(Z163="Средняя",2,1))+AD163*2+MIN(AE163,3)</x:f>
        <x:v>5</x:v>
      </x:c>
    </x:row>
    <x:row r="164" ht="64" customHeight="1">
      <x:c r="A164" s="28" t="str">
        <x:v>VEG-0163</x:v>
      </x:c>
      <x:c r="B164" s="28" t="str">
        <x:v>болгарский перец</x:v>
      </x:c>
      <x:c r="C164" s="28" t="str">
        <x:v>Универсальные</x:v>
      </x:c>
      <x:c r="D164" s="28" t="str">
        <x:v>болгарский перец</x:v>
      </x:c>
      <x:c r="E164" s="28" t="str">
        <x:v>red bell pepper and paprika</x:v>
      </x:c>
      <x:c r="F164" s="28" t="str">
        <x:v>Плодовые овощи</x:v>
      </x:c>
      <x:c r="G164" s="28" t="str">
        <x:v>чиабатта</x:v>
      </x:c>
      <x:c r="H164" s="28" t="str">
        <x:v>ciabatta</x:v>
      </x:c>
      <x:c r="I164" s="28" t="str">
        <x:v>Прочее</x:v>
      </x:c>
      <x:c r="J164" s="28" t="str">
        <x:v>зелёный, травянистый, фруктовый; у красного — сладкий и жареный</x:v>
      </x:c>
      <x:c r="K164" s="28" t="str">
        <x:v>профиль зависит от конкретного продукта</x:v>
      </x:c>
      <x:c r="L164" s="28" t="str">
        <x:v>2-изобутил-3-метоксипиразин, гексаналь, лимонен, эфиры</x:v>
      </x:c>
      <x:c r="M164" s="28" t="str">
        <x:v>конкретный молекулярный профиль не указан</x:v>
      </x:c>
      <x:c r="N164" s="28" t="str">
        <x:v>прямое пересечение семейств не подтверждено</x:v>
      </x:c>
      <x:c r="O164" s="28" t="str">
        <x:v>надёжная общая ключевая молекула не установлена</x:v>
      </x:c>
      <x:c r="P164" s="28" t="str">
        <x:v>сенсорная комплементарность</x:v>
      </x:c>
      <x:c r="Q164" s="28" t="str">
        <x:v>Свежесть и водянистость требуют кислоты, соли или умами; избыток жирной матрицы может подавить зелёные ноты.</x:v>
      </x:c>
      <x:c r="R164" s="28" t="str">
        <x:v>минимальный</x:v>
      </x:c>
      <x:c r="S164" s="28" t="str">
        <x:v>водная плодовая матрица с кожицей и пектинами</x:v>
      </x:c>
      <x:c r="T16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4" s="28" t="str">
        <x:v>Болгарский перец имеет профиль «зелёный, травянистый, фруктовый; у красного — сладкий и жареный».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64" s="28" t="str">
        <x:v>зелёный перец может доминировать метоксипиразином; обугленную кожицу удалять</x:v>
      </x:c>
      <x:c r="W164" s="28" t="str">
        <x:v>соль, кислота или ароматический жир</x:v>
      </x:c>
      <x:c r="X164" s="28" t="str">
        <x:v>сок, кордиал, гаспачо, салат, соус, маринад или коктейльный компонент с чиабатта</x:v>
      </x:c>
      <x:c r="Y164" s="28" t="str">
        <x:v>универсальное</x:v>
      </x:c>
      <x:c r="Z164" s="28" t="str">
        <x:v>Средняя</x:v>
      </x:c>
      <x:c r="AA164" s="28" t="str">
        <x:v>The Art &amp; Science of Foodpairing.pdf</x:v>
      </x:c>
      <x:c r="AB164" s="28" t="str">
        <x:v>The Art &amp; Science of Foodpairing.pdf: 108</x:v>
      </x:c>
      <x:c r="AC164" s="28" t="str">
        <x:v>связь из pairing grid, стр. 108</x:v>
      </x:c>
      <x:c r="AD164" s="28" t="n">
        <x:v>1</x:v>
      </x:c>
      <x:c r="AE164" s="28" t="n">
        <x:v>1</x:v>
      </x:c>
      <x:c r="AF164" s="28" t="n">
        <x:f>IF(Z164="Высокая",3,IF(Z164="Средняя",2,1))+AD164*2+MIN(AE164,3)</x:f>
        <x:v>5</x:v>
      </x:c>
    </x:row>
    <x:row r="165" ht="64" customHeight="1">
      <x:c r="A165" s="28" t="str">
        <x:v>VEG-0164</x:v>
      </x:c>
      <x:c r="B165" s="28" t="str">
        <x:v>болгарский перец</x:v>
      </x:c>
      <x:c r="C165" s="28" t="str">
        <x:v>Универсальные</x:v>
      </x:c>
      <x:c r="D165" s="28" t="str">
        <x:v>болгарский перец</x:v>
      </x:c>
      <x:c r="E165" s="28" t="str">
        <x:v>roasted red bell pepper puree | Болгарский перец | болгарский перец</x:v>
      </x:c>
      <x:c r="F165" s="28" t="str">
        <x:v>Плодовые овощи</x:v>
      </x:c>
      <x:c r="G165" s="28" t="str">
        <x:v>чили</x:v>
      </x:c>
      <x:c r="H165" s="28" t="str">
        <x:v>chilli peppers | Чили | чили</x:v>
      </x:c>
      <x:c r="I165" s="28" t="str">
        <x:v>Специи</x:v>
      </x:c>
      <x:c r="J165" s="28" t="str">
        <x:v>зелёный, травянистый, фруктовый; у красного — сладкий и жареный</x:v>
      </x:c>
      <x:c r="K165" s="28" t="str">
        <x:v>пряный и древесный</x:v>
      </x:c>
      <x:c r="L165" s="28" t="str">
        <x:v>2-изобутил-3-метоксипиразин, гексаналь, лимонен, эфиры</x:v>
      </x:c>
      <x:c r="M165" s="28" t="str">
        <x:v>терпены, фенилпропаноиды</x:v>
      </x:c>
      <x:c r="N165" s="28" t="str">
        <x:v>прямое пересечение семейств не подтверждено</x:v>
      </x:c>
      <x:c r="O165" s="28" t="str">
        <x:v>надёжная общая ключевая молекула не установлена</x:v>
      </x:c>
      <x:c r="P165" s="28" t="str">
        <x:v>сенсорная комплементарность</x:v>
      </x:c>
      <x:c r="Q165" s="28" t="str">
        <x:v>Свежесть и водянистость требуют кислоты, соли или умами; избыток жирной матрицы может подавить зелёные ноты.</x:v>
      </x:c>
      <x:c r="R165" s="28" t="str">
        <x:v>минимальный</x:v>
      </x:c>
      <x:c r="S165" s="28" t="str">
        <x:v>водная плодовая матрица с кожицей и пектинами</x:v>
      </x:c>
      <x:c r="T16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5" s="28" t="str">
        <x:v>Болгарский перец имеет профиль «зелёный, травянистый, фруктовый; у красного — сладкий и жареный».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165" s="28" t="str">
        <x:v>зелёный перец может доминировать метоксипиразином; обугленную кожицу удалять</x:v>
      </x:c>
      <x:c r="W165" s="28" t="str">
        <x:v>цитрус, йогурт или мёд</x:v>
      </x:c>
      <x:c r="X165" s="28" t="str">
        <x:v>сок, кордиал, гаспачо, салат, соус, маринад или коктейльный компонент с чили</x:v>
      </x:c>
      <x:c r="Y165" s="28" t="str">
        <x:v>универсальное</x:v>
      </x:c>
      <x:c r="Z165" s="28" t="str">
        <x:v>Высокая</x:v>
      </x:c>
      <x:c r="AA165" s="28" t="str">
        <x:v>The Art &amp; Science of Foodpairing.pdf | Тезариус вкусов (Ники Сегнит)(1).pdf</x:v>
      </x:c>
      <x:c r="AB165" s="28" t="str">
        <x:v>Тезариус вкусов (Ники Сегнит)(1).pdf: 548, 553; The Art &amp; Science of Foodpairing.pdf: 94</x:v>
      </x:c>
      <x:c r="AC165" s="28" t="str">
        <x:v>развёрнутая пара/статья, стр. 548; развёрнутая пара/статья, стр. 553; связь из pairing grid, стр. 94</x:v>
      </x:c>
      <x:c r="AD165" s="28" t="n">
        <x:v>2</x:v>
      </x:c>
      <x:c r="AE165" s="28" t="n">
        <x:v>3</x:v>
      </x:c>
      <x:c r="AF165" s="28" t="n">
        <x:f>IF(Z165="Высокая",3,IF(Z165="Средняя",2,1))+AD165*2+MIN(AE165,3)</x:f>
        <x:v>10</x:v>
      </x:c>
    </x:row>
    <x:row r="166" ht="64" customHeight="1">
      <x:c r="A166" s="28" t="str">
        <x:v>VEG-0165</x:v>
      </x:c>
      <x:c r="B166" s="28" t="str">
        <x:v>болгарский перец</x:v>
      </x:c>
      <x:c r="C166" s="28" t="str">
        <x:v>Универсальные</x:v>
      </x:c>
      <x:c r="D166" s="28" t="str">
        <x:v>болгарский перец</x:v>
      </x:c>
      <x:c r="E166" s="28" t="str">
        <x:v>red bell pepper</x:v>
      </x:c>
      <x:c r="F166" s="28" t="str">
        <x:v>Плодовые овощи</x:v>
      </x:c>
      <x:c r="G166" s="28" t="str">
        <x:v>чоризо</x:v>
      </x:c>
      <x:c r="H166" s="28" t="str">
        <x:v>chorizo</x:v>
      </x:c>
      <x:c r="I166" s="28" t="str">
        <x:v>Прочее</x:v>
      </x:c>
      <x:c r="J166" s="28" t="str">
        <x:v>зелёный, травянистый, фруктовый; у красного — сладкий и жареный</x:v>
      </x:c>
      <x:c r="K166" s="28" t="str">
        <x:v>профиль зависит от конкретного продукта</x:v>
      </x:c>
      <x:c r="L166" s="28" t="str">
        <x:v>2-изобутил-3-метоксипиразин, гексаналь, лимонен, эфиры</x:v>
      </x:c>
      <x:c r="M166" s="28" t="str">
        <x:v>конкретный молекулярный профиль не указан</x:v>
      </x:c>
      <x:c r="N166" s="28" t="str">
        <x:v>прямое пересечение семейств не подтверждено</x:v>
      </x:c>
      <x:c r="O166" s="28" t="str">
        <x:v>надёжная общая ключевая молекула не установлена</x:v>
      </x:c>
      <x:c r="P166" s="28" t="str">
        <x:v>сенсорная комплементарность</x:v>
      </x:c>
      <x:c r="Q166" s="28" t="str">
        <x:v>Свежесть и водянистость требуют кислоты, соли или умами; избыток жирной матрицы может подавить зелёные ноты.</x:v>
      </x:c>
      <x:c r="R166" s="28" t="str">
        <x:v>минимальный</x:v>
      </x:c>
      <x:c r="S166" s="28" t="str">
        <x:v>водная плодовая матрица с кожицей и пектинами</x:v>
      </x:c>
      <x:c r="T16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6" s="28" t="str">
        <x:v>Болгарский перец имеет профиль «зелёный, травянистый, фруктовый; у красного — сладкий и жареный».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66" s="28" t="str">
        <x:v>зелёный перец может доминировать метоксипиразином; обугленную кожицу удалять</x:v>
      </x:c>
      <x:c r="W166" s="28" t="str">
        <x:v>соль, кислота или ароматический жир</x:v>
      </x:c>
      <x:c r="X166" s="28" t="str">
        <x:v>сок, кордиал, гаспачо, салат, соус, маринад или коктейльный компонент с чоризо</x:v>
      </x:c>
      <x:c r="Y166" s="28" t="str">
        <x:v>универсальное</x:v>
      </x:c>
      <x:c r="Z166" s="28" t="str">
        <x:v>Средняя</x:v>
      </x:c>
      <x:c r="AA166" s="28" t="str">
        <x:v>The Art &amp; Science of Foodpairing.pdf</x:v>
      </x:c>
      <x:c r="AB166" s="28" t="str">
        <x:v>The Art &amp; Science of Foodpairing.pdf: 288</x:v>
      </x:c>
      <x:c r="AC166" s="28" t="str">
        <x:v>связь из pairing grid, стр. 288</x:v>
      </x:c>
      <x:c r="AD166" s="28" t="n">
        <x:v>1</x:v>
      </x:c>
      <x:c r="AE166" s="28" t="n">
        <x:v>1</x:v>
      </x:c>
      <x:c r="AF166" s="28" t="n">
        <x:f>IF(Z166="Высокая",3,IF(Z166="Средняя",2,1))+AD166*2+MIN(AE166,3)</x:f>
        <x:v>5</x:v>
      </x:c>
    </x:row>
    <x:row r="167" ht="64" customHeight="1">
      <x:c r="A167" s="28" t="str">
        <x:v>VEG-0166</x:v>
      </x:c>
      <x:c r="B167" s="28" t="str">
        <x:v>болгарский перец</x:v>
      </x:c>
      <x:c r="C167" s="28" t="str">
        <x:v>Универсальные</x:v>
      </x:c>
      <x:c r="D167" s="28" t="str">
        <x:v>болгарский перец</x:v>
      </x:c>
      <x:c r="E167" s="28" t="str">
        <x:v>red bell pepper coulis</x:v>
      </x:c>
      <x:c r="F167" s="28" t="str">
        <x:v>Плодовые овощи</x:v>
      </x:c>
      <x:c r="G167" s="28" t="str">
        <x:v>чёрный перец</x:v>
      </x:c>
      <x:c r="H167" s="28" t="str">
        <x:v>peppercorns</x:v>
      </x:c>
      <x:c r="I167" s="28" t="str">
        <x:v>Специи</x:v>
      </x:c>
      <x:c r="J167" s="28" t="str">
        <x:v>зелёный, травянистый, фруктовый; у красного — сладкий и жареный</x:v>
      </x:c>
      <x:c r="K167" s="28" t="str">
        <x:v>древесный, пряный, цитрусовый</x:v>
      </x:c>
      <x:c r="L167" s="28" t="str">
        <x:v>2-изобутил-3-метоксипиразин, гексаналь, лимонен, эфиры</x:v>
      </x:c>
      <x:c r="M167" s="28" t="str">
        <x:v>лимонен, пинен, пиперин</x:v>
      </x:c>
      <x:c r="N167" s="28" t="str">
        <x:v>прямое пересечение семейств не подтверждено</x:v>
      </x:c>
      <x:c r="O167" s="28" t="str">
        <x:v>лимонен</x:v>
      </x:c>
      <x:c r="P167" s="28" t="str">
        <x:v>общие характерные молекулы</x:v>
      </x:c>
      <x:c r="Q167" s="28" t="str">
        <x:v>Свежесть и водянистость требуют кислоты, соли или умами; избыток жирной матрицы может подавить зелёные ноты.</x:v>
      </x:c>
      <x:c r="R167" s="28" t="str">
        <x:v>минимальный</x:v>
      </x:c>
      <x:c r="S167" s="28" t="str">
        <x:v>водная плодовая матрица с кожицей и пектинами</x:v>
      </x:c>
      <x:c r="T16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7" s="28" t="str">
        <x:v>Болгарский перец имеет профиль «зелёный, травянистый, фруктовый; у красного — сладкий и жареный». Партнёр «чёрный перец» относится к группе «Специи» и даёт древесный, пряный, цитрусовый. Вероятный молекулярный мост: лимонен.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167" s="28" t="str">
        <x:v>зелёный перец может доминировать метоксипиразином; обугленную кожицу удалять</x:v>
      </x:c>
      <x:c r="W167" s="28" t="str">
        <x:v>цитрус, йогурт или мёд</x:v>
      </x:c>
      <x:c r="X167" s="28" t="str">
        <x:v>сок, кордиал, гаспачо, салат, соус, маринад или коктейльный компонент с чёрный перец</x:v>
      </x:c>
      <x:c r="Y167" s="28" t="str">
        <x:v>универсальное</x:v>
      </x:c>
      <x:c r="Z167" s="28" t="str">
        <x:v>Средняя</x:v>
      </x:c>
      <x:c r="AA167" s="28" t="str">
        <x:v>The Art &amp; Science of Foodpairing.pdf</x:v>
      </x:c>
      <x:c r="AB167" s="28" t="str">
        <x:v>The Art &amp; Science of Foodpairing.pdf: 273</x:v>
      </x:c>
      <x:c r="AC167" s="28" t="str">
        <x:v>связь из pairing grid, стр. 273</x:v>
      </x:c>
      <x:c r="AD167" s="28" t="n">
        <x:v>1</x:v>
      </x:c>
      <x:c r="AE167" s="28" t="n">
        <x:v>1</x:v>
      </x:c>
      <x:c r="AF167" s="28" t="n">
        <x:f>IF(Z167="Высокая",3,IF(Z167="Средняя",2,1))+AD167*2+MIN(AE167,3)</x:f>
        <x:v>5</x:v>
      </x:c>
    </x:row>
    <x:row r="168" ht="64" customHeight="1">
      <x:c r="A168" s="28" t="str">
        <x:v>VEG-0167</x:v>
      </x:c>
      <x:c r="B168" s="28" t="str">
        <x:v>болгарский перец</x:v>
      </x:c>
      <x:c r="C168" s="28" t="str">
        <x:v>Напитки</x:v>
      </x:c>
      <x:c r="D168" s="28" t="str">
        <x:v>болгарский перец</x:v>
      </x:c>
      <x:c r="E168" s="28" t="str">
        <x:v>red bell pepper and paprika</x:v>
      </x:c>
      <x:c r="F168" s="28" t="str">
        <x:v>Плодовые овощи</x:v>
      </x:c>
      <x:c r="G168" s="28" t="str">
        <x:v>чёрный чай</x:v>
      </x:c>
      <x:c r="H168" s="28" t="str">
        <x:v>blacktea</x:v>
      </x:c>
      <x:c r="I168" s="28" t="str">
        <x:v>Чай</x:v>
      </x:c>
      <x:c r="J168" s="28" t="str">
        <x:v>зелёный, травянистый, фруктовый; у красного — сладкий и жареный</x:v>
      </x:c>
      <x:c r="K168" s="28" t="str">
        <x:v>цветочный, древесный или зелёный</x:v>
      </x:c>
      <x:c r="L168" s="28" t="str">
        <x:v>2-изобутил-3-метоксипиразин, гексаналь, лимонен, эфиры</x:v>
      </x:c>
      <x:c r="M168" s="28" t="str">
        <x:v>линалоол, полифенолы</x:v>
      </x:c>
      <x:c r="N168" s="28" t="str">
        <x:v>зелёный</x:v>
      </x:c>
      <x:c r="O168" s="28" t="str">
        <x:v>надёжная общая ключевая молекула не установлена</x:v>
      </x:c>
      <x:c r="P168" s="28" t="str">
        <x:v>пересечение ароматических семейств</x:v>
      </x:c>
      <x:c r="Q168" s="28" t="str">
        <x:v>Свежесть и водянистость требуют кислоты, соли или умами; избыток жирной матрицы может подавить зелёные ноты.</x:v>
      </x:c>
      <x:c r="R168" s="28" t="str">
        <x:v>минимальный</x:v>
      </x:c>
      <x:c r="S168" s="28" t="str">
        <x:v>водная плодовая матрица с кожицей и пектинами</x:v>
      </x:c>
      <x:c r="T16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8" s="28" t="str">
        <x:v>Болгарский перец имеет профиль «зелёный, травянистый, фруктовый; у красного — сладкий и жареный». Партнёр «чёрный 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V168" s="28" t="str">
        <x:v>зелёный перец может доминировать метоксипиразином; обугленную кожицу удалять</x:v>
      </x:c>
      <x:c r="W168" s="28" t="str">
        <x:v>соль, кислота или ароматический жир</x:v>
      </x:c>
      <x:c r="X168" s="28" t="str">
        <x:v>сок, кордиал, гаспачо, салат, соус, маринад или коктейльный компонент с чёрный чай</x:v>
      </x:c>
      <x:c r="Y168" s="28" t="str">
        <x:v>напитки</x:v>
      </x:c>
      <x:c r="Z168" s="28" t="str">
        <x:v>Средняя</x:v>
      </x:c>
      <x:c r="AA168" s="28" t="str">
        <x:v>The Art &amp; Science of Foodpairing.pdf</x:v>
      </x:c>
      <x:c r="AB168" s="28" t="str">
        <x:v>The Art &amp; Science of Foodpairing.pdf: 108</x:v>
      </x:c>
      <x:c r="AC168" s="28" t="str">
        <x:v>связь из pairing grid, стр. 108</x:v>
      </x:c>
      <x:c r="AD168" s="28" t="n">
        <x:v>1</x:v>
      </x:c>
      <x:c r="AE168" s="28" t="n">
        <x:v>1</x:v>
      </x:c>
      <x:c r="AF168" s="28" t="n">
        <x:f>IF(Z168="Высокая",3,IF(Z168="Средняя",2,1))+AD168*2+MIN(AE168,3)</x:f>
        <x:v>5</x:v>
      </x:c>
    </x:row>
    <x:row r="169" ht="64" customHeight="1">
      <x:c r="A169" s="28" t="str">
        <x:v>VEG-0168</x:v>
      </x:c>
      <x:c r="B169" s="28" t="str">
        <x:v>болгарский перец</x:v>
      </x:c>
      <x:c r="C169" s="28" t="str">
        <x:v>Универсальные</x:v>
      </x:c>
      <x:c r="D169" s="28" t="str">
        <x:v>болгарский перец</x:v>
      </x:c>
      <x:c r="E169" s="28" t="str">
        <x:v>red bell pepper and paprika</x:v>
      </x:c>
      <x:c r="F169" s="28" t="str">
        <x:v>Плодовые овощи</x:v>
      </x:c>
      <x:c r="G169" s="28" t="str">
        <x:v>эмменталь</x:v>
      </x:c>
      <x:c r="H169" s="28" t="str">
        <x:v>Emmental</x:v>
      </x:c>
      <x:c r="I169" s="28" t="str">
        <x:v>Прочее</x:v>
      </x:c>
      <x:c r="J169" s="28" t="str">
        <x:v>зелёный, травянистый, фруктовый; у красного — сладкий и жареный</x:v>
      </x:c>
      <x:c r="K169" s="28" t="str">
        <x:v>профиль зависит от конкретного продукта</x:v>
      </x:c>
      <x:c r="L169" s="28" t="str">
        <x:v>2-изобутил-3-метоксипиразин, гексаналь, лимонен, эфиры</x:v>
      </x:c>
      <x:c r="M169" s="28" t="str">
        <x:v>конкретный молекулярный профиль не указан</x:v>
      </x:c>
      <x:c r="N169" s="28" t="str">
        <x:v>прямое пересечение семейств не подтверждено</x:v>
      </x:c>
      <x:c r="O169" s="28" t="str">
        <x:v>надёжная общая ключевая молекула не установлена</x:v>
      </x:c>
      <x:c r="P169" s="28" t="str">
        <x:v>сенсорная комплементарность</x:v>
      </x:c>
      <x:c r="Q169" s="28" t="str">
        <x:v>Свежесть и водянистость требуют кислоты, соли или умами; избыток жирной матрицы может подавить зелёные ноты.</x:v>
      </x:c>
      <x:c r="R169" s="28" t="str">
        <x:v>минимальный</x:v>
      </x:c>
      <x:c r="S169" s="28" t="str">
        <x:v>водная плодовая матрица с кожицей и пектинами</x:v>
      </x:c>
      <x:c r="T16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69" s="28" t="str">
        <x:v>Болгарский перец имеет профиль «зелёный, травянистый, фруктовый; у красного — сладкий и жареный». Партнёр «эмменталь»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69" s="28" t="str">
        <x:v>зелёный перец может доминировать метоксипиразином; обугленную кожицу удалять</x:v>
      </x:c>
      <x:c r="W169" s="28" t="str">
        <x:v>соль, кислота или ароматический жир</x:v>
      </x:c>
      <x:c r="X169" s="28" t="str">
        <x:v>сок, кордиал, гаспачо, салат, соус, маринад или коктейльный компонент с эмменталь</x:v>
      </x:c>
      <x:c r="Y169" s="28" t="str">
        <x:v>универсальное</x:v>
      </x:c>
      <x:c r="Z169" s="28" t="str">
        <x:v>Средняя</x:v>
      </x:c>
      <x:c r="AA169" s="28" t="str">
        <x:v>The Art &amp; Science of Foodpairing.pdf</x:v>
      </x:c>
      <x:c r="AB169" s="28" t="str">
        <x:v>The Art &amp; Science of Foodpairing.pdf: 108</x:v>
      </x:c>
      <x:c r="AC169" s="28" t="str">
        <x:v>связь из pairing grid, стр. 108</x:v>
      </x:c>
      <x:c r="AD169" s="28" t="n">
        <x:v>1</x:v>
      </x:c>
      <x:c r="AE169" s="28" t="n">
        <x:v>1</x:v>
      </x:c>
      <x:c r="AF169" s="28" t="n">
        <x:f>IF(Z169="Высокая",3,IF(Z169="Средняя",2,1))+AD169*2+MIN(AE169,3)</x:f>
        <x:v>5</x:v>
      </x:c>
    </x:row>
    <x:row r="170" ht="64" customHeight="1">
      <x:c r="A170" s="28" t="str">
        <x:v>VEG-0169</x:v>
      </x:c>
      <x:c r="B170" s="28" t="str">
        <x:v>болгарский перец</x:v>
      </x:c>
      <x:c r="C170" s="28" t="str">
        <x:v>Универсальные</x:v>
      </x:c>
      <x:c r="D170" s="28" t="str">
        <x:v>болгарский перец</x:v>
      </x:c>
      <x:c r="E170" s="28" t="str">
        <x:v>red bell pepper and paprika</x:v>
      </x:c>
      <x:c r="F170" s="28" t="str">
        <x:v>Плодовые овощи</x:v>
      </x:c>
      <x:c r="G170" s="28" t="str">
        <x:v>яблочное пюре</x:v>
      </x:c>
      <x:c r="H170" s="28" t="str">
        <x:v>applesauce</x:v>
      </x:c>
      <x:c r="I170" s="28" t="str">
        <x:v>Прочее</x:v>
      </x:c>
      <x:c r="J170" s="28" t="str">
        <x:v>зелёный, травянистый, фруктовый; у красного — сладкий и жареный</x:v>
      </x:c>
      <x:c r="K170" s="28" t="str">
        <x:v>профиль зависит от конкретного продукта</x:v>
      </x:c>
      <x:c r="L170" s="28" t="str">
        <x:v>2-изобутил-3-метоксипиразин, гексаналь, лимонен, эфиры</x:v>
      </x:c>
      <x:c r="M170" s="28" t="str">
        <x:v>конкретный молекулярный профиль не указан</x:v>
      </x:c>
      <x:c r="N170" s="28" t="str">
        <x:v>прямое пересечение семейств не подтверждено</x:v>
      </x:c>
      <x:c r="O170" s="28" t="str">
        <x:v>надёжная общая ключевая молекула не установлена</x:v>
      </x:c>
      <x:c r="P170" s="28" t="str">
        <x:v>сенсорная комплементарность</x:v>
      </x:c>
      <x:c r="Q170" s="28" t="str">
        <x:v>Свежесть и водянистость требуют кислоты, соли или умами; избыток жирной матрицы может подавить зелёные ноты.</x:v>
      </x:c>
      <x:c r="R170" s="28" t="str">
        <x:v>минимальный</x:v>
      </x:c>
      <x:c r="S170" s="28" t="str">
        <x:v>водная плодовая матрица с кожицей и пектинами</x:v>
      </x:c>
      <x:c r="T17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70" s="28" t="str">
        <x:v>Болгарский перец имеет профиль «зелёный, травянистый, фруктовый; у красного — сладкий и жареный». Партнёр «яблочное пюре»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70" s="28" t="str">
        <x:v>зелёный перец может доминировать метоксипиразином; обугленную кожицу удалять</x:v>
      </x:c>
      <x:c r="W170" s="28" t="str">
        <x:v>соль, кислота или ароматический жир</x:v>
      </x:c>
      <x:c r="X170" s="28" t="str">
        <x:v>сок, кордиал, гаспачо, салат, соус, маринад или коктейльный компонент с яблочное пюре</x:v>
      </x:c>
      <x:c r="Y170" s="28" t="str">
        <x:v>универсальное</x:v>
      </x:c>
      <x:c r="Z170" s="28" t="str">
        <x:v>Средняя</x:v>
      </x:c>
      <x:c r="AA170" s="28" t="str">
        <x:v>The Art &amp; Science of Foodpairing.pdf</x:v>
      </x:c>
      <x:c r="AB170" s="28" t="str">
        <x:v>The Art &amp; Science of Foodpairing.pdf: 108</x:v>
      </x:c>
      <x:c r="AC170" s="28" t="str">
        <x:v>связь из pairing grid, стр. 108</x:v>
      </x:c>
      <x:c r="AD170" s="28" t="n">
        <x:v>1</x:v>
      </x:c>
      <x:c r="AE170" s="28" t="n">
        <x:v>1</x:v>
      </x:c>
      <x:c r="AF170" s="28" t="n">
        <x:f>IF(Z170="Высокая",3,IF(Z170="Средняя",2,1))+AD170*2+MIN(AE170,3)</x:f>
        <x:v>5</x:v>
      </x:c>
    </x:row>
    <x:row r="171" ht="64" customHeight="1">
      <x:c r="A171" s="28" t="str">
        <x:v>VEG-0170</x:v>
      </x:c>
      <x:c r="B171" s="28" t="str">
        <x:v>болгарский перец</x:v>
      </x:c>
      <x:c r="C171" s="28" t="str">
        <x:v>Универсальные</x:v>
      </x:c>
      <x:c r="D171" s="28" t="str">
        <x:v>болгарский перец</x:v>
      </x:c>
      <x:c r="E171" s="28" t="str">
        <x:v>Болгарский перец | болгарский перец</x:v>
      </x:c>
      <x:c r="F171" s="28" t="str">
        <x:v>Плодовые овощи</x:v>
      </x:c>
      <x:c r="G171" s="28" t="str">
        <x:v>яйца</x:v>
      </x:c>
      <x:c r="H171" s="28" t="str">
        <x:v>Яйца | яйца</x:v>
      </x:c>
      <x:c r="I171" s="28" t="str">
        <x:v>Прочее</x:v>
      </x:c>
      <x:c r="J171" s="28" t="str">
        <x:v>зелёный, травянистый, фруктовый; у красного — сладкий и жареный</x:v>
      </x:c>
      <x:c r="K171" s="28" t="str">
        <x:v>профиль зависит от конкретного продукта</x:v>
      </x:c>
      <x:c r="L171" s="28" t="str">
        <x:v>2-изобутил-3-метоксипиразин, гексаналь, лимонен, эфиры</x:v>
      </x:c>
      <x:c r="M171" s="28" t="str">
        <x:v>конкретный молекулярный профиль не указан</x:v>
      </x:c>
      <x:c r="N171" s="28" t="str">
        <x:v>прямое пересечение семейств не подтверждено</x:v>
      </x:c>
      <x:c r="O171" s="28" t="str">
        <x:v>надёжная общая ключевая молекула не установлена</x:v>
      </x:c>
      <x:c r="P171" s="28" t="str">
        <x:v>сенсорная комплементарность</x:v>
      </x:c>
      <x:c r="Q171" s="28" t="str">
        <x:v>Свежесть и водянистость требуют кислоты, соли или умами; избыток жирной матрицы может подавить зелёные ноты.</x:v>
      </x:c>
      <x:c r="R171" s="28" t="str">
        <x:v>минимальный</x:v>
      </x:c>
      <x:c r="S171" s="28" t="str">
        <x:v>водная плодовая матрица с кожицей и пектинами</x:v>
      </x:c>
      <x:c r="T17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U171" s="28" t="str">
        <x:v>Болгарский перец имеет профиль «зелёный, травянистый, фруктовый; у красного — сладкий и жареный».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71" s="28" t="str">
        <x:v>зелёный перец может доминировать метоксипиразином; обугленную кожицу удалять</x:v>
      </x:c>
      <x:c r="W171" s="28" t="str">
        <x:v>соль, кислота или ароматический жир</x:v>
      </x:c>
      <x:c r="X171" s="28" t="str">
        <x:v>сок, кордиал, гаспачо, салат, соус, маринад или коктейльный компонент с яйца</x:v>
      </x:c>
      <x:c r="Y171" s="28" t="str">
        <x:v>универсальное</x:v>
      </x:c>
      <x:c r="Z171" s="28" t="str">
        <x:v>Средняя</x:v>
      </x:c>
      <x:c r="AA171" s="28" t="str">
        <x:v>Тезариус вкусов (Ники Сегнит)(1).pdf</x:v>
      </x:c>
      <x:c r="AB171" s="28" t="str">
        <x:v>Тезариус вкусов (Ники Сегнит)(1).pdf: 351, 548</x:v>
      </x:c>
      <x:c r="AC171" s="28" t="str">
        <x:v>развёрнутая пара/статья, стр. 351; развёрнутая пара/статья, стр. 548</x:v>
      </x:c>
      <x:c r="AD171" s="28" t="n">
        <x:v>1</x:v>
      </x:c>
      <x:c r="AE171" s="28" t="n">
        <x:v>2</x:v>
      </x:c>
      <x:c r="AF171" s="28" t="n">
        <x:f>IF(Z171="Высокая",3,IF(Z171="Средняя",2,1))+AD171*2+MIN(AE171,3)</x:f>
        <x:v>6</x:v>
      </x:c>
    </x:row>
    <x:row r="172" ht="64" customHeight="1">
      <x:c r="A172" s="28" t="str">
        <x:v>VEG-0171</x:v>
      </x:c>
      <x:c r="B172" s="28" t="str">
        <x:v>брокколи</x:v>
      </x:c>
      <x:c r="C172" s="28" t="str">
        <x:v>Еда и соусы</x:v>
      </x:c>
      <x:c r="D172" s="28" t="str">
        <x:v>брокколи</x:v>
      </x:c>
      <x:c r="E172" s="28" t="str">
        <x:v>Брокколи | брокколи</x:v>
      </x:c>
      <x:c r="F172" s="28" t="str">
        <x:v>Крестоцветные</x:v>
      </x:c>
      <x:c r="G172" s="28" t="str">
        <x:v>анчоусы</x:v>
      </x:c>
      <x:c r="H172" s="28" t="str">
        <x:v>Анчоусы | анчоусы</x:v>
      </x:c>
      <x:c r="I172" s="28" t="str">
        <x:v>Рыба и морепродукты</x:v>
      </x:c>
      <x:c r="J172" s="28" t="str">
        <x:v>зелёный, капустный, сернистый и ореховый после жарки</x:v>
      </x:c>
      <x:c r="K172" s="28" t="str">
        <x:v>морской, солоноватый и умами</x:v>
      </x:c>
      <x:c r="L172" s="28" t="str">
        <x:v>диметилсульфид, изотиоцианаты, гексаналь, пиразины</x:v>
      </x:c>
      <x:c r="M172" s="28" t="str">
        <x:v>альдегиды, амины</x:v>
      </x:c>
      <x:c r="N172" s="28" t="str">
        <x:v>прямое пересечение семейств не подтверждено</x:v>
      </x:c>
      <x:c r="O172" s="28" t="str">
        <x:v>надёжная общая ключевая молекула не установлена</x:v>
      </x:c>
      <x:c r="P172" s="28" t="str">
        <x:v>умами и солёный контраст; сернистая или горчичная комплементарность</x:v>
      </x:c>
      <x:c r="Q17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72" s="28" t="str">
        <x:v>слабое горчичное покалывание</x:v>
      </x:c>
      <x:c r="S172" s="28" t="str">
        <x:v>водная волокнистая матрица; соцветия удерживают жир Белок и жир требуют контроля воды: для жареной ароматики поверхность должна подсохнуть.</x:v>
      </x:c>
      <x:c r="T172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72" s="28" t="str">
        <x:v>Брокколи имеет профиль «зелёный, капустный, сернистый и ореховый после жарки».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72" s="28" t="str">
        <x:v>переваривание даёт сернистый запах и тусклый цвет; толстые стебли требуют отдельной обработки</x:v>
      </x:c>
      <x:c r="W172" s="28" t="str">
        <x:v>сливочное масло, соевый соус или тимьян</x:v>
      </x:c>
      <x:c r="X172" s="28" t="str">
        <x:v>горячее блюдо, бульон, соус, пюре, ферментация или гарнир с анчоусы</x:v>
      </x:c>
      <x:c r="Y172" s="28" t="str">
        <x:v>еда, соусы/маринады</x:v>
      </x:c>
      <x:c r="Z172" s="28" t="str">
        <x:v>Средняя</x:v>
      </x:c>
      <x:c r="AA172" s="28" t="str">
        <x:v>Тезариус вкусов (Ники Сегнит)(1).pdf</x:v>
      </x:c>
      <x:c r="AB172" s="28" t="str">
        <x:v>Тезариус вкусов (Ники Сегнит)(1).pdf: 329, 424</x:v>
      </x:c>
      <x:c r="AC172" s="28" t="str">
        <x:v>развёрнутая пара/статья, стр. 329; развёрнутая пара/статья, стр. 424</x:v>
      </x:c>
      <x:c r="AD172" s="28" t="n">
        <x:v>1</x:v>
      </x:c>
      <x:c r="AE172" s="28" t="n">
        <x:v>2</x:v>
      </x:c>
      <x:c r="AF172" s="28" t="n">
        <x:f>IF(Z172="Высокая",3,IF(Z172="Средняя",2,1))+AD172*2+MIN(AE172,3)</x:f>
        <x:v>6</x:v>
      </x:c>
    </x:row>
    <x:row r="173" ht="64" customHeight="1">
      <x:c r="A173" s="28" t="str">
        <x:v>VEG-0172</x:v>
      </x:c>
      <x:c r="B173" s="28" t="str">
        <x:v>брокколи</x:v>
      </x:c>
      <x:c r="C173" s="28" t="str">
        <x:v>Десерты и выпечка</x:v>
      </x:c>
      <x:c r="D173" s="28" t="str">
        <x:v>брокколи</x:v>
      </x:c>
      <x:c r="E173" s="28" t="str">
        <x:v>Брокколи | брокколи</x:v>
      </x:c>
      <x:c r="F173" s="28" t="str">
        <x:v>Крестоцветные</x:v>
      </x:c>
      <x:c r="G173" s="28" t="str">
        <x:v>арахис</x:v>
      </x:c>
      <x:c r="H173" s="28" t="str">
        <x:v>Арахис | арахис</x:v>
      </x:c>
      <x:c r="I173" s="28" t="str">
        <x:v>Орехи и семена</x:v>
      </x:c>
      <x:c r="J173" s="28" t="str">
        <x:v>зелёный, капустный, сернистый и ореховый после жарки</x:v>
      </x:c>
      <x:c r="K173" s="28" t="str">
        <x:v>ореховый, жареный и жирный</x:v>
      </x:c>
      <x:c r="L173" s="28" t="str">
        <x:v>диметилсульфид, изотиоцианаты, гексаналь, пиразины</x:v>
      </x:c>
      <x:c r="M173" s="28" t="str">
        <x:v>альдегиды, пиразины, фураны</x:v>
      </x:c>
      <x:c r="N173" s="28" t="str">
        <x:v>жареный</x:v>
      </x:c>
      <x:c r="O173" s="28" t="str">
        <x:v>пиразины</x:v>
      </x:c>
      <x:c r="P173" s="28" t="str">
        <x:v>общие характерные молекулы; пересечение ароматических семейств; сернистая или горчичная комплементарность</x:v>
      </x:c>
      <x:c r="Q17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73" s="28" t="str">
        <x:v>слабое горчичное покалывание</x:v>
      </x:c>
      <x:c r="S173" s="28" t="str">
        <x:v>водная волокнистая матрица; соцветия удерживают жир</x:v>
      </x:c>
      <x:c r="T173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73" s="28" t="str">
        <x:v>Брокколи имеет профиль «зелёный, капустный, сернистый и ореховый после жарки». Партнёр «арахис»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73" s="28" t="str">
        <x:v>переваривание даёт сернистый запах и тусклый цвет; толстые стебли требуют отдельной обработки</x:v>
      </x:c>
      <x:c r="W173" s="28" t="str">
        <x:v>соль, кислота или ароматический жир</x:v>
      </x:c>
      <x:c r="X173" s="28" t="str">
        <x:v>горячее блюдо, бульон, соус, пюре, ферментация или гарнир с арахис</x:v>
      </x:c>
      <x:c r="Y173" s="28" t="str">
        <x:v>еда, десерты, соусы/маринады</x:v>
      </x:c>
      <x:c r="Z173" s="28" t="str">
        <x:v>Средняя</x:v>
      </x:c>
      <x:c r="AA173" s="28" t="str">
        <x:v>Тезариус вкусов (Ники Сегнит)(1).pdf</x:v>
      </x:c>
      <x:c r="AB173" s="28" t="str">
        <x:v>Тезариус вкусов (Ники Сегнит)(1).pdf: 51, 329</x:v>
      </x:c>
      <x:c r="AC173" s="28" t="str">
        <x:v>развёрнутая пара/статья, стр. 51; развёрнутая пара/статья, стр. 329</x:v>
      </x:c>
      <x:c r="AD173" s="28" t="n">
        <x:v>1</x:v>
      </x:c>
      <x:c r="AE173" s="28" t="n">
        <x:v>2</x:v>
      </x:c>
      <x:c r="AF173" s="28" t="n">
        <x:f>IF(Z173="Высокая",3,IF(Z173="Средняя",2,1))+AD173*2+MIN(AE173,3)</x:f>
        <x:v>6</x:v>
      </x:c>
    </x:row>
    <x:row r="174" ht="64" customHeight="1">
      <x:c r="A174" s="28" t="str">
        <x:v>VEG-0173</x:v>
      </x:c>
      <x:c r="B174" s="28" t="str">
        <x:v>брокколи</x:v>
      </x:c>
      <x:c r="C174" s="28" t="str">
        <x:v>Еда и соусы</x:v>
      </x:c>
      <x:c r="D174" s="28" t="str">
        <x:v>брокколи</x:v>
      </x:c>
      <x:c r="E174" s="28" t="str">
        <x:v>Брокколи | брокколи</x:v>
      </x:c>
      <x:c r="F174" s="28" t="str">
        <x:v>Крестоцветные</x:v>
      </x:c>
      <x:c r="G174" s="28" t="str">
        <x:v>бекон</x:v>
      </x:c>
      <x:c r="H174" s="28" t="str">
        <x:v>Бекон | бекон</x:v>
      </x:c>
      <x:c r="I174" s="28" t="str">
        <x:v>Мясо и птица</x:v>
      </x:c>
      <x:c r="J174" s="28" t="str">
        <x:v>зелёный, капустный, сернистый и ореховый после жарки</x:v>
      </x:c>
      <x:c r="K174" s="28" t="str">
        <x:v>дымный, жареный, умами</x:v>
      </x:c>
      <x:c r="L174" s="28" t="str">
        <x:v>диметилсульфид, изотиоцианаты, гексаналь, пиразины</x:v>
      </x:c>
      <x:c r="M174" s="28" t="str">
        <x:v>пиразины, фенолы</x:v>
      </x:c>
      <x:c r="N174" s="28" t="str">
        <x:v>жареный</x:v>
      </x:c>
      <x:c r="O174" s="28" t="str">
        <x:v>пиразины</x:v>
      </x:c>
      <x:c r="P174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Q17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74" s="28" t="str">
        <x:v>слабое горчичное покалывание</x:v>
      </x:c>
      <x:c r="S174" s="28" t="str">
        <x:v>водная волокнистая матрица; соцветия удерживают жир Белок и жир требуют контроля воды: для жареной ароматики поверхность должна подсохнуть.</x:v>
      </x:c>
      <x:c r="T174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74" s="28" t="str">
        <x:v>Брокколи имеет профиль «зелёный, капустный, сернистый и ореховый после жарки».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74" s="28" t="str">
        <x:v>переваривание даёт сернистый запах и тусклый цвет; толстые стебли требуют отдельной обработки</x:v>
      </x:c>
      <x:c r="W174" s="28" t="str">
        <x:v>сливочное масло, соевый соус или тимьян</x:v>
      </x:c>
      <x:c r="X174" s="28" t="str">
        <x:v>горячее блюдо, бульон, соус, пюре, ферментация или гарнир с бекон</x:v>
      </x:c>
      <x:c r="Y174" s="28" t="str">
        <x:v>еда, соусы/маринады</x:v>
      </x:c>
      <x:c r="Z174" s="28" t="str">
        <x:v>Средняя</x:v>
      </x:c>
      <x:c r="AA174" s="28" t="str">
        <x:v>Тезариус вкусов (Ники Сегнит)(1).pdf</x:v>
      </x:c>
      <x:c r="AB174" s="28" t="str">
        <x:v>Тезариус вкусов (Ники Сегнит)(1).pdf: 329, 442</x:v>
      </x:c>
      <x:c r="AC174" s="28" t="str">
        <x:v>развёрнутая пара/статья, стр. 329; развёрнутая пара/статья, стр. 442</x:v>
      </x:c>
      <x:c r="AD174" s="28" t="n">
        <x:v>1</x:v>
      </x:c>
      <x:c r="AE174" s="28" t="n">
        <x:v>2</x:v>
      </x:c>
      <x:c r="AF174" s="28" t="n">
        <x:f>IF(Z174="Высокая",3,IF(Z174="Средняя",2,1))+AD174*2+MIN(AE174,3)</x:f>
        <x:v>6</x:v>
      </x:c>
    </x:row>
    <x:row r="175" ht="64" customHeight="1">
      <x:c r="A175" s="28" t="str">
        <x:v>VEG-0174</x:v>
      </x:c>
      <x:c r="B175" s="28" t="str">
        <x:v>брокколи</x:v>
      </x:c>
      <x:c r="C175" s="28" t="str">
        <x:v>Еда и соусы</x:v>
      </x:c>
      <x:c r="D175" s="28" t="str">
        <x:v>брокколи</x:v>
      </x:c>
      <x:c r="E175" s="28" t="str">
        <x:v>Брокколи | брокколи</x:v>
      </x:c>
      <x:c r="F175" s="28" t="str">
        <x:v>Крестоцветные</x:v>
      </x:c>
      <x:c r="G175" s="28" t="str">
        <x:v>говядина</x:v>
      </x:c>
      <x:c r="H175" s="28" t="str">
        <x:v>Говядина | говядина</x:v>
      </x:c>
      <x:c r="I175" s="28" t="str">
        <x:v>Мясо и птица</x:v>
      </x:c>
      <x:c r="J175" s="28" t="str">
        <x:v>зелёный, капустный, сернистый и ореховый после жарки</x:v>
      </x:c>
      <x:c r="K175" s="28" t="str">
        <x:v>жареный, мясной и умами</x:v>
      </x:c>
      <x:c r="L175" s="28" t="str">
        <x:v>диметилсульфид, изотиоцианаты, гексаналь, пиразины</x:v>
      </x:c>
      <x:c r="M175" s="28" t="str">
        <x:v>пиразины, сернистые соединения</x:v>
      </x:c>
      <x:c r="N175" s="28" t="str">
        <x:v>жареный</x:v>
      </x:c>
      <x:c r="O175" s="28" t="str">
        <x:v>пиразины</x:v>
      </x:c>
      <x:c r="P175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Q17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75" s="28" t="str">
        <x:v>слабое горчичное покалывание</x:v>
      </x:c>
      <x:c r="S175" s="28" t="str">
        <x:v>водная волокнистая матрица; соцветия удерживают жир Белок и жир требуют контроля воды: для жареной ароматики поверхность должна подсохнуть.</x:v>
      </x:c>
      <x:c r="T175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75" s="28" t="str">
        <x:v>Брокколи имеет профиль «зелёный, капустный, сернистый и ореховый после жарки».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75" s="28" t="str">
        <x:v>переваривание даёт сернистый запах и тусклый цвет; толстые стебли требуют отдельной обработки</x:v>
      </x:c>
      <x:c r="W175" s="28" t="str">
        <x:v>сливочное масло, соевый соус или тимьян</x:v>
      </x:c>
      <x:c r="X175" s="28" t="str">
        <x:v>горячее блюдо, бульон, соус, пюре, ферментация или гарнир с говядина</x:v>
      </x:c>
      <x:c r="Y175" s="28" t="str">
        <x:v>еда, соусы/маринады</x:v>
      </x:c>
      <x:c r="Z175" s="28" t="str">
        <x:v>Средняя</x:v>
      </x:c>
      <x:c r="AA175" s="28" t="str">
        <x:v>Тезариус вкусов (Ники Сегнит)(1).pdf</x:v>
      </x:c>
      <x:c r="AB175" s="28" t="str">
        <x:v>Тезариус вкусов (Ники Сегнит)(1).pdf: 106, 330</x:v>
      </x:c>
      <x:c r="AC175" s="28" t="str">
        <x:v>развёрнутая пара/статья, стр. 106; развёрнутая пара/статья, стр. 330</x:v>
      </x:c>
      <x:c r="AD175" s="28" t="n">
        <x:v>1</x:v>
      </x:c>
      <x:c r="AE175" s="28" t="n">
        <x:v>2</x:v>
      </x:c>
      <x:c r="AF175" s="28" t="n">
        <x:f>IF(Z175="Высокая",3,IF(Z175="Средняя",2,1))+AD175*2+MIN(AE175,3)</x:f>
        <x:v>6</x:v>
      </x:c>
    </x:row>
    <x:row r="176" ht="64" customHeight="1">
      <x:c r="A176" s="28" t="str">
        <x:v>VEG-0175</x:v>
      </x:c>
      <x:c r="B176" s="28" t="str">
        <x:v>брокколи</x:v>
      </x:c>
      <x:c r="C176" s="28" t="str">
        <x:v>Десерты и выпечка</x:v>
      </x:c>
      <x:c r="D176" s="28" t="str">
        <x:v>брокколи</x:v>
      </x:c>
      <x:c r="E176" s="28" t="str">
        <x:v>Брокколи | брокколи</x:v>
      </x:c>
      <x:c r="F176" s="28" t="str">
        <x:v>Крестоцветные</x:v>
      </x:c>
      <x:c r="G176" s="28" t="str">
        <x:v>голубой сыр</x:v>
      </x:c>
      <x:c r="H176" s="28" t="str">
        <x:v>Голубой сыр | голубой сыр</x:v>
      </x:c>
      <x:c r="I176" s="28" t="str">
        <x:v>Молочные продукты и сыры</x:v>
      </x:c>
      <x:c r="J176" s="28" t="str">
        <x:v>зелёный, капустный, сернистый и ореховый после жарки</x:v>
      </x:c>
      <x:c r="K176" s="28" t="str">
        <x:v>молочный, умами, ферментированный</x:v>
      </x:c>
      <x:c r="L176" s="28" t="str">
        <x:v>диметилсульфид, изотиоцианаты, гексаналь, пиразины</x:v>
      </x:c>
      <x:c r="M176" s="28" t="str">
        <x:v>диацетил, жирные кислоты</x:v>
      </x:c>
      <x:c r="N176" s="28" t="str">
        <x:v>прямое пересечение семейств не подтверждено</x:v>
      </x:c>
      <x:c r="O176" s="28" t="str">
        <x:v>надёжная общая ключевая молекула не установлена</x:v>
      </x:c>
      <x:c r="P176" s="28" t="str">
        <x:v>жировая матрица; сернистая или горчичная комплементарность</x:v>
      </x:c>
      <x:c r="Q17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76" s="28" t="str">
        <x:v>слабое горчичное покалывание</x:v>
      </x:c>
      <x:c r="S176" s="28" t="str">
        <x:v>водная волокнистая матрица; соцветия удерживают жир Жировая фаза удерживает гидрофобные молекулы, но может сделать вкус тяжёлым.</x:v>
      </x:c>
      <x:c r="T176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76" s="28" t="str">
        <x:v>Брокколи имеет профиль «зелёный, капустный, сернистый и ореховый после жарки».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76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W176" s="28" t="str">
        <x:v>кислота, зелень или жареный орех</x:v>
      </x:c>
      <x:c r="X176" s="28" t="str">
        <x:v>горячее блюдо, бульон, соус, пюре, ферментация или гарнир с голубой сыр</x:v>
      </x:c>
      <x:c r="Y176" s="28" t="str">
        <x:v>еда, десерты, соусы/маринады</x:v>
      </x:c>
      <x:c r="Z176" s="28" t="str">
        <x:v>Средняя</x:v>
      </x:c>
      <x:c r="AA176" s="28" t="str">
        <x:v>Тезариус вкусов (Ники Сегнит)(1).pdf</x:v>
      </x:c>
      <x:c r="AB176" s="28" t="str">
        <x:v>Тезариус вкусов (Ники Сегнит)(1).pdf: 155, 331</x:v>
      </x:c>
      <x:c r="AC176" s="28" t="str">
        <x:v>развёрнутая пара/статья, стр. 155; развёрнутая пара/статья, стр. 331</x:v>
      </x:c>
      <x:c r="AD176" s="28" t="n">
        <x:v>1</x:v>
      </x:c>
      <x:c r="AE176" s="28" t="n">
        <x:v>2</x:v>
      </x:c>
      <x:c r="AF176" s="28" t="n">
        <x:f>IF(Z176="Высокая",3,IF(Z176="Средняя",2,1))+AD176*2+MIN(AE176,3)</x:f>
        <x:v>6</x:v>
      </x:c>
    </x:row>
    <x:row r="177" ht="64" customHeight="1">
      <x:c r="A177" s="28" t="str">
        <x:v>VEG-0176</x:v>
      </x:c>
      <x:c r="B177" s="28" t="str">
        <x:v>брокколи</x:v>
      </x:c>
      <x:c r="C177" s="28" t="str">
        <x:v>Десерты и выпечка</x:v>
      </x:c>
      <x:c r="D177" s="28" t="str">
        <x:v>брокколи</x:v>
      </x:c>
      <x:c r="E177" s="28" t="str">
        <x:v>Брокколи | брокколи</x:v>
      </x:c>
      <x:c r="F177" s="28" t="str">
        <x:v>Крестоцветные</x:v>
      </x:c>
      <x:c r="G177" s="28" t="str">
        <x:v>грецкий орех</x:v>
      </x:c>
      <x:c r="H177" s="28" t="str">
        <x:v>Грецкий орех | грецкий орех</x:v>
      </x:c>
      <x:c r="I177" s="28" t="str">
        <x:v>Орехи и семена</x:v>
      </x:c>
      <x:c r="J177" s="28" t="str">
        <x:v>зелёный, капустный, сернистый и ореховый после жарки</x:v>
      </x:c>
      <x:c r="K177" s="28" t="str">
        <x:v>древесный, землистый, ореховый</x:v>
      </x:c>
      <x:c r="L177" s="28" t="str">
        <x:v>диметилсульфид, изотиоцианаты, гексаналь, пиразины</x:v>
      </x:c>
      <x:c r="M177" s="28" t="str">
        <x:v>альдегиды, пиразины</x:v>
      </x:c>
      <x:c r="N177" s="28" t="str">
        <x:v>прямое пересечение семейств не подтверждено</x:v>
      </x:c>
      <x:c r="O177" s="28" t="str">
        <x:v>пиразины</x:v>
      </x:c>
      <x:c r="P177" s="28" t="str">
        <x:v>общие характерные молекулы; сернистая или горчичная комплементарность</x:v>
      </x:c>
      <x:c r="Q17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77" s="28" t="str">
        <x:v>слабое горчичное покалывание</x:v>
      </x:c>
      <x:c r="S177" s="28" t="str">
        <x:v>водная волокнистая матрица; соцветия удерживают жир</x:v>
      </x:c>
      <x:c r="T177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77" s="28" t="str">
        <x:v>Брокколи имеет профиль «зелёный, капустный, сернистый и ореховый после жарки».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77" s="28" t="str">
        <x:v>переваривание даёт сернистый запах и тусклый цвет; толстые стебли требуют отдельной обработки</x:v>
      </x:c>
      <x:c r="W177" s="28" t="str">
        <x:v>соль, кислота или ароматический жир</x:v>
      </x:c>
      <x:c r="X177" s="28" t="str">
        <x:v>горячее блюдо, бульон, соус, пюре, ферментация или гарнир с грецкий орех</x:v>
      </x:c>
      <x:c r="Y177" s="28" t="str">
        <x:v>еда, десерты, соусы/маринады</x:v>
      </x:c>
      <x:c r="Z177" s="28" t="str">
        <x:v>Средняя</x:v>
      </x:c>
      <x:c r="AA177" s="28" t="str">
        <x:v>Тезариус вкусов (Ники Сегнит)(1).pdf</x:v>
      </x:c>
      <x:c r="AB177" s="28" t="str">
        <x:v>Тезариус вкусов (Ники Сегнит)(1).pdf: 331, 624</x:v>
      </x:c>
      <x:c r="AC177" s="28" t="str">
        <x:v>развёрнутая пара/статья, стр. 331; развёрнутая пара/статья, стр. 624</x:v>
      </x:c>
      <x:c r="AD177" s="28" t="n">
        <x:v>1</x:v>
      </x:c>
      <x:c r="AE177" s="28" t="n">
        <x:v>2</x:v>
      </x:c>
      <x:c r="AF177" s="28" t="n">
        <x:f>IF(Z177="Высокая",3,IF(Z177="Средняя",2,1))+AD177*2+MIN(AE177,3)</x:f>
        <x:v>6</x:v>
      </x:c>
    </x:row>
    <x:row r="178" ht="64" customHeight="1">
      <x:c r="A178" s="28" t="str">
        <x:v>VEG-0177</x:v>
      </x:c>
      <x:c r="B178" s="28" t="str">
        <x:v>брокколи</x:v>
      </x:c>
      <x:c r="C178" s="28" t="str">
        <x:v>Напитки</x:v>
      </x:c>
      <x:c r="D178" s="28" t="str">
        <x:v>брокколи</x:v>
      </x:c>
      <x:c r="E178" s="28" t="str">
        <x:v>boiled broccoli</x:v>
      </x:c>
      <x:c r="F178" s="28" t="str">
        <x:v>Крестоцветные</x:v>
      </x:c>
      <x:c r="G178" s="28" t="str">
        <x:v>джин</x:v>
      </x:c>
      <x:c r="H178" s="28" t="str">
        <x:v>gin</x:v>
      </x:c>
      <x:c r="I178" s="28" t="str">
        <x:v>Алкогольные напитки</x:v>
      </x:c>
      <x:c r="J178" s="28" t="str">
        <x:v>зелёный, капустный, сернистый и ореховый после жарки</x:v>
      </x:c>
      <x:c r="K178" s="28" t="str">
        <x:v>спиртовой, фруктовый или древесный</x:v>
      </x:c>
      <x:c r="L178" s="28" t="str">
        <x:v>диметилсульфид, изотиоцианаты, гексаналь, пиразины</x:v>
      </x:c>
      <x:c r="M178" s="28" t="str">
        <x:v>альдегиды, эфиры</x:v>
      </x:c>
      <x:c r="N178" s="28" t="str">
        <x:v>прямое пересечение семейств не подтверждено</x:v>
      </x:c>
      <x:c r="O178" s="28" t="str">
        <x:v>надёжная общая ключевая молекула не установлена</x:v>
      </x:c>
      <x:c r="P178" s="28" t="str">
        <x:v>сернистая или горчичная комплементарность</x:v>
      </x:c>
      <x:c r="Q17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78" s="28" t="str">
        <x:v>слабое горчичное покалывание</x:v>
      </x:c>
      <x:c r="S178" s="28" t="str">
        <x:v>водная волокнистая матрица; соцветия удерживают жир Этанол извлекает терпены и сернистые соединения эффективнее воды; время контакта ограничивать.</x:v>
      </x:c>
      <x:c r="T178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78" s="28" t="str">
        <x:v>Брокколи имеет профиль «зелёный, капустный, сернистый и ореховый после жарки».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78" s="28" t="str">
        <x:v>переваривание даёт сернистый запах и тусклый цвет; толстые стебли требуют отдельной обработки</x:v>
      </x:c>
      <x:c r="W178" s="28" t="str">
        <x:v>соль, кислота или ароматический жир</x:v>
      </x:c>
      <x:c r="X178" s="28" t="str">
        <x:v>горячее блюдо, бульон, соус, пюре, ферментация или гарнир с джин</x:v>
      </x:c>
      <x:c r="Y178" s="28" t="str">
        <x:v>напитки, еда, соусы/маринады</x:v>
      </x:c>
      <x:c r="Z178" s="28" t="str">
        <x:v>Средняя</x:v>
      </x:c>
      <x:c r="AA178" s="28" t="str">
        <x:v>The Art &amp; Science of Foodpairing.pdf</x:v>
      </x:c>
      <x:c r="AB178" s="28" t="str">
        <x:v>The Art &amp; Science of Foodpairing.pdf: 215</x:v>
      </x:c>
      <x:c r="AC178" s="28" t="str">
        <x:v>связь из pairing grid, стр. 215</x:v>
      </x:c>
      <x:c r="AD178" s="28" t="n">
        <x:v>1</x:v>
      </x:c>
      <x:c r="AE178" s="28" t="n">
        <x:v>1</x:v>
      </x:c>
      <x:c r="AF178" s="28" t="n">
        <x:f>IF(Z178="Высокая",3,IF(Z178="Средняя",2,1))+AD178*2+MIN(AE178,3)</x:f>
        <x:v>5</x:v>
      </x:c>
    </x:row>
    <x:row r="179" ht="64" customHeight="1">
      <x:c r="A179" s="28" t="str">
        <x:v>VEG-0178</x:v>
      </x:c>
      <x:c r="B179" s="28" t="str">
        <x:v>брокколи</x:v>
      </x:c>
      <x:c r="C179" s="28" t="str">
        <x:v>Универсальные</x:v>
      </x:c>
      <x:c r="D179" s="28" t="str">
        <x:v>брокколи</x:v>
      </x:c>
      <x:c r="E179" s="28" t="str">
        <x:v>boiled broccoli</x:v>
      </x:c>
      <x:c r="F179" s="28" t="str">
        <x:v>Крестоцветные</x:v>
      </x:c>
      <x:c r="G179" s="28" t="str">
        <x:v>имбирь</x:v>
      </x:c>
      <x:c r="H179" s="28" t="str">
        <x:v>ginger</x:v>
      </x:c>
      <x:c r="I179" s="28" t="str">
        <x:v>Специи</x:v>
      </x:c>
      <x:c r="J179" s="28" t="str">
        <x:v>зелёный, капустный, сернистый и ореховый после жарки</x:v>
      </x:c>
      <x:c r="K179" s="28" t="str">
        <x:v>пряный, тёплый, цитрусовый</x:v>
      </x:c>
      <x:c r="L179" s="28" t="str">
        <x:v>диметилсульфид, изотиоцианаты, гексаналь, пиразины</x:v>
      </x:c>
      <x:c r="M179" s="28" t="str">
        <x:v>гингеролы, цитраль</x:v>
      </x:c>
      <x:c r="N179" s="28" t="str">
        <x:v>прямое пересечение семейств не подтверждено</x:v>
      </x:c>
      <x:c r="O179" s="28" t="str">
        <x:v>надёжная общая ключевая молекула не установлена</x:v>
      </x:c>
      <x:c r="P179" s="28" t="str">
        <x:v>сернистая или горчичная комплементарность</x:v>
      </x:c>
      <x:c r="Q17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79" s="28" t="str">
        <x:v>слабое горчичное покалывание</x:v>
      </x:c>
      <x:c r="S179" s="28" t="str">
        <x:v>водная волокнистая матрица; соцветия удерживают жир</x:v>
      </x:c>
      <x:c r="T179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79" s="28" t="str">
        <x:v>Брокколи имеет профиль «зелёный, капустный, сернистый и ореховый после жарки».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79" s="28" t="str">
        <x:v>переваривание даёт сернистый запах и тусклый цвет; толстые стебли требуют отдельной обработки</x:v>
      </x:c>
      <x:c r="W179" s="28" t="str">
        <x:v>цитрус, йогурт или мёд</x:v>
      </x:c>
      <x:c r="X179" s="28" t="str">
        <x:v>горячее блюдо, бульон, соус, пюре, ферментация или гарнир с имбирь</x:v>
      </x:c>
      <x:c r="Y179" s="28" t="str">
        <x:v>еда, соусы/маринады</x:v>
      </x:c>
      <x:c r="Z179" s="28" t="str">
        <x:v>Средняя</x:v>
      </x:c>
      <x:c r="AA179" s="28" t="str">
        <x:v>The Art &amp; Science of Foodpairing.pdf</x:v>
      </x:c>
      <x:c r="AB179" s="28" t="str">
        <x:v>The Art &amp; Science of Foodpairing.pdf: 142</x:v>
      </x:c>
      <x:c r="AC179" s="28" t="str">
        <x:v>связь из pairing grid, стр. 142</x:v>
      </x:c>
      <x:c r="AD179" s="28" t="n">
        <x:v>1</x:v>
      </x:c>
      <x:c r="AE179" s="28" t="n">
        <x:v>1</x:v>
      </x:c>
      <x:c r="AF179" s="28" t="n">
        <x:f>IF(Z179="Высокая",3,IF(Z179="Средняя",2,1))+AD179*2+MIN(AE179,3)</x:f>
        <x:v>5</x:v>
      </x:c>
    </x:row>
    <x:row r="180" ht="64" customHeight="1">
      <x:c r="A180" s="28" t="str">
        <x:v>VEG-0179</x:v>
      </x:c>
      <x:c r="B180" s="28" t="str">
        <x:v>брокколи</x:v>
      </x:c>
      <x:c r="C180" s="28" t="str">
        <x:v>Десерты и выпечка</x:v>
      </x:c>
      <x:c r="D180" s="28" t="str">
        <x:v>брокколи</x:v>
      </x:c>
      <x:c r="E180" s="28" t="str">
        <x:v>boiled broccoli</x:v>
      </x:c>
      <x:c r="F180" s="28" t="str">
        <x:v>Крестоцветные</x:v>
      </x:c>
      <x:c r="G180" s="28" t="str">
        <x:v>кунжут, халва и тахини</x:v>
      </x:c>
      <x:c r="H180" s="28" t="str">
        <x:v>sesame seeds, halva and tahini</x:v>
      </x:c>
      <x:c r="I180" s="28" t="str">
        <x:v>Орехи и семена</x:v>
      </x:c>
      <x:c r="J180" s="28" t="str">
        <x:v>зелёный, капустный, сернистый и ореховый после жарки</x:v>
      </x:c>
      <x:c r="K180" s="28" t="str">
        <x:v>ореховый, жареный и жирный</x:v>
      </x:c>
      <x:c r="L180" s="28" t="str">
        <x:v>диметилсульфид, изотиоцианаты, гексаналь, пиразины</x:v>
      </x:c>
      <x:c r="M180" s="28" t="str">
        <x:v>альдегиды, пиразины, фураны</x:v>
      </x:c>
      <x:c r="N180" s="28" t="str">
        <x:v>жареный</x:v>
      </x:c>
      <x:c r="O180" s="28" t="str">
        <x:v>пиразины</x:v>
      </x:c>
      <x:c r="P180" s="28" t="str">
        <x:v>общие характерные молекулы; пересечение ароматических семейств; сернистая или горчичная комплементарность</x:v>
      </x:c>
      <x:c r="Q18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0" s="28" t="str">
        <x:v>слабое горчичное покалывание</x:v>
      </x:c>
      <x:c r="S180" s="28" t="str">
        <x:v>водная волокнистая матрица; соцветия удерживают жир</x:v>
      </x:c>
      <x:c r="T180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80" s="28" t="str">
        <x:v>Брокколи имеет профиль «зелёный, капустный, сернистый и ореховый после жарки». Партнёр «кунжут, халва и тахини»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0" s="28" t="str">
        <x:v>переваривание даёт сернистый запах и тусклый цвет; толстые стебли требуют отдельной обработки</x:v>
      </x:c>
      <x:c r="W180" s="28" t="str">
        <x:v>соль, кислота или ароматический жир</x:v>
      </x:c>
      <x:c r="X180" s="28" t="str">
        <x:v>горячее блюдо, бульон, соус, пюре, ферментация или гарнир с кунжут, халва и тахини</x:v>
      </x:c>
      <x:c r="Y180" s="28" t="str">
        <x:v>еда, десерты, соусы/маринады</x:v>
      </x:c>
      <x:c r="Z180" s="28" t="str">
        <x:v>Средняя</x:v>
      </x:c>
      <x:c r="AA180" s="28" t="str">
        <x:v>The Art &amp; Science of Foodpairing.pdf</x:v>
      </x:c>
      <x:c r="AB180" s="28" t="str">
        <x:v>The Art &amp; Science of Foodpairing.pdf: 308</x:v>
      </x:c>
      <x:c r="AC180" s="28" t="str">
        <x:v>связь из pairing grid, стр. 308</x:v>
      </x:c>
      <x:c r="AD180" s="28" t="n">
        <x:v>1</x:v>
      </x:c>
      <x:c r="AE180" s="28" t="n">
        <x:v>1</x:v>
      </x:c>
      <x:c r="AF180" s="28" t="n">
        <x:f>IF(Z180="Высокая",3,IF(Z180="Средняя",2,1))+AD180*2+MIN(AE180,3)</x:f>
        <x:v>5</x:v>
      </x:c>
    </x:row>
    <x:row r="181" ht="64" customHeight="1">
      <x:c r="A181" s="28" t="str">
        <x:v>VEG-0180</x:v>
      </x:c>
      <x:c r="B181" s="28" t="str">
        <x:v>брокколи</x:v>
      </x:c>
      <x:c r="C181" s="28" t="str">
        <x:v>Десерты и выпечка</x:v>
      </x:c>
      <x:c r="D181" s="28" t="str">
        <x:v>брокколи</x:v>
      </x:c>
      <x:c r="E181" s="28" t="str">
        <x:v>Брокколи | брокколи</x:v>
      </x:c>
      <x:c r="F181" s="28" t="str">
        <x:v>Крестоцветные</x:v>
      </x:c>
      <x:c r="G181" s="28" t="str">
        <x:v>лимон</x:v>
      </x:c>
      <x:c r="H181" s="28" t="str">
        <x:v>Лимон | лимон</x:v>
      </x:c>
      <x:c r="I181" s="28" t="str">
        <x:v>Фрукты и ягоды</x:v>
      </x:c>
      <x:c r="J181" s="28" t="str">
        <x:v>зелёный, капустный, сернистый и ореховый после жарки</x:v>
      </x:c>
      <x:c r="K181" s="28" t="str">
        <x:v>кислый, свежий, цитрусовый</x:v>
      </x:c>
      <x:c r="L181" s="28" t="str">
        <x:v>диметилсульфид, изотиоцианаты, гексаналь, пиразины</x:v>
      </x:c>
      <x:c r="M181" s="28" t="str">
        <x:v>лимонен, цитраль</x:v>
      </x:c>
      <x:c r="N181" s="28" t="str">
        <x:v>прямое пересечение семейств не подтверждено</x:v>
      </x:c>
      <x:c r="O181" s="28" t="str">
        <x:v>надёжная общая ключевая молекула не установлена</x:v>
      </x:c>
      <x:c r="P181" s="28" t="str">
        <x:v>кислотно-сладкий баланс; сернистая или горчичная комплементарность</x:v>
      </x:c>
      <x:c r="Q18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1" s="28" t="str">
        <x:v>слабое горчичное покалывание</x:v>
      </x:c>
      <x:c r="S181" s="28" t="str">
        <x:v>водная волокнистая матрица; соцветия удерживают жир Водная кислая фаза усиливает свежесть, но может разжижать пюре и нарушать молочную эмульсию.</x:v>
      </x:c>
      <x:c r="T181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81" s="28" t="str">
        <x:v>Брокколи имеет профиль «зелёный, капустный, сернистый и ореховый после жарки».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1" s="28" t="str">
        <x:v>переваривание даёт сернистый запах и тусклый цвет; толстые стебли требуют отдельной обработки; избыток кислоты или воды может сделать овощной вкус тонким и разрушить сливочную эмульсию</x:v>
      </x:c>
      <x:c r="W181" s="28" t="str">
        <x:v>цитрус, мёд или мягкая трава</x:v>
      </x:c>
      <x:c r="X181" s="28" t="str">
        <x:v>горячее блюдо, бульон, соус, пюре, ферментация или гарнир с лимон</x:v>
      </x:c>
      <x:c r="Y181" s="28" t="str">
        <x:v>еда, десерты, соусы/маринады</x:v>
      </x:c>
      <x:c r="Z181" s="28" t="str">
        <x:v>Средняя</x:v>
      </x:c>
      <x:c r="AA181" s="28" t="str">
        <x:v>Тезариус вкусов (Ники Сегнит)(1).pdf</x:v>
      </x:c>
      <x:c r="AB181" s="28" t="str">
        <x:v>Тезариус вкусов (Ники Сегнит)(1).pdf: 331, 801</x:v>
      </x:c>
      <x:c r="AC181" s="28" t="str">
        <x:v>развёрнутая пара/статья, стр. 331; развёрнутая пара/статья, стр. 801</x:v>
      </x:c>
      <x:c r="AD181" s="28" t="n">
        <x:v>1</x:v>
      </x:c>
      <x:c r="AE181" s="28" t="n">
        <x:v>2</x:v>
      </x:c>
      <x:c r="AF181" s="28" t="n">
        <x:f>IF(Z181="Высокая",3,IF(Z181="Средняя",2,1))+AD181*2+MIN(AE181,3)</x:f>
        <x:v>6</x:v>
      </x:c>
    </x:row>
    <x:row r="182" ht="64" customHeight="1">
      <x:c r="A182" s="28" t="str">
        <x:v>VEG-0181</x:v>
      </x:c>
      <x:c r="B182" s="28" t="str">
        <x:v>брокколи</x:v>
      </x:c>
      <x:c r="C182" s="28" t="str">
        <x:v>Универсальные</x:v>
      </x:c>
      <x:c r="D182" s="28" t="str">
        <x:v>брокколи</x:v>
      </x:c>
      <x:c r="E182" s="28" t="str">
        <x:v>boiled broccoli</x:v>
      </x:c>
      <x:c r="F182" s="28" t="str">
        <x:v>Крестоцветные</x:v>
      </x:c>
      <x:c r="G182" s="28" t="str">
        <x:v>пармезан</x:v>
      </x:c>
      <x:c r="H182" s="28" t="str">
        <x:v>Parmigiano-Reggiano</x:v>
      </x:c>
      <x:c r="I182" s="28" t="str">
        <x:v>Прочее</x:v>
      </x:c>
      <x:c r="J182" s="28" t="str">
        <x:v>зелёный, капустный, сернистый и ореховый после жарки</x:v>
      </x:c>
      <x:c r="K182" s="28" t="str">
        <x:v>профиль зависит от конкретного продукта</x:v>
      </x:c>
      <x:c r="L182" s="28" t="str">
        <x:v>диметилсульфид, изотиоцианаты, гексаналь, пиразины</x:v>
      </x:c>
      <x:c r="M182" s="28" t="str">
        <x:v>конкретный молекулярный профиль не указан</x:v>
      </x:c>
      <x:c r="N182" s="28" t="str">
        <x:v>прямое пересечение семейств не подтверждено</x:v>
      </x:c>
      <x:c r="O182" s="28" t="str">
        <x:v>надёжная общая ключевая молекула не установлена</x:v>
      </x:c>
      <x:c r="P182" s="28" t="str">
        <x:v>сернистая или горчичная комплементарность</x:v>
      </x:c>
      <x:c r="Q18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2" s="28" t="str">
        <x:v>слабое горчичное покалывание</x:v>
      </x:c>
      <x:c r="S182" s="28" t="str">
        <x:v>водная волокнистая матрица; соцветия удерживают жир</x:v>
      </x:c>
      <x:c r="T182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82" s="28" t="str">
        <x:v>Брокколи имеет профиль «зелёный, капустный, сернистый и ореховый после жарки».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2" s="28" t="str">
        <x:v>переваривание даёт сернистый запах и тусклый цвет; толстые стебли требуют отдельной обработки</x:v>
      </x:c>
      <x:c r="W182" s="28" t="str">
        <x:v>соль, кислота или ароматический жир</x:v>
      </x:c>
      <x:c r="X182" s="28" t="str">
        <x:v>горячее блюдо, бульон, соус, пюре, ферментация или гарнир с пармезан</x:v>
      </x:c>
      <x:c r="Y182" s="28" t="str">
        <x:v>еда, соусы/маринады</x:v>
      </x:c>
      <x:c r="Z182" s="28" t="str">
        <x:v>Средняя</x:v>
      </x:c>
      <x:c r="AA182" s="28" t="str">
        <x:v>The Art &amp; Science of Foodpairing.pdf</x:v>
      </x:c>
      <x:c r="AB182" s="28" t="str">
        <x:v>The Art &amp; Science of Foodpairing.pdf: 282</x:v>
      </x:c>
      <x:c r="AC182" s="28" t="str">
        <x:v>связь из pairing grid, стр. 282</x:v>
      </x:c>
      <x:c r="AD182" s="28" t="n">
        <x:v>1</x:v>
      </x:c>
      <x:c r="AE182" s="28" t="n">
        <x:v>1</x:v>
      </x:c>
      <x:c r="AF182" s="28" t="n">
        <x:f>IF(Z182="Высокая",3,IF(Z182="Средняя",2,1))+AD182*2+MIN(AE182,3)</x:f>
        <x:v>5</x:v>
      </x:c>
    </x:row>
    <x:row r="183" ht="64" customHeight="1">
      <x:c r="A183" s="28" t="str">
        <x:v>VEG-0182</x:v>
      </x:c>
      <x:c r="B183" s="28" t="str">
        <x:v>брокколи</x:v>
      </x:c>
      <x:c r="C183" s="28" t="str">
        <x:v>Еда и соусы</x:v>
      </x:c>
      <x:c r="D183" s="28" t="str">
        <x:v>брокколи</x:v>
      </x:c>
      <x:c r="E183" s="28" t="str">
        <x:v>Брокколи | брокколи</x:v>
      </x:c>
      <x:c r="F183" s="28" t="str">
        <x:v>Крестоцветные</x:v>
      </x:c>
      <x:c r="G183" s="28" t="str">
        <x:v>свинина</x:v>
      </x:c>
      <x:c r="H183" s="28" t="str">
        <x:v>Свинина | свинина</x:v>
      </x:c>
      <x:c r="I183" s="28" t="str">
        <x:v>Мясо и птица</x:v>
      </x:c>
      <x:c r="J183" s="28" t="str">
        <x:v>зелёный, капустный, сернистый и ореховый после жарки</x:v>
      </x:c>
      <x:c r="K183" s="28" t="str">
        <x:v>жареный, мясной и умами</x:v>
      </x:c>
      <x:c r="L183" s="28" t="str">
        <x:v>диметилсульфид, изотиоцианаты, гексаналь, пиразины</x:v>
      </x:c>
      <x:c r="M183" s="28" t="str">
        <x:v>пиразины, сернистые соединения</x:v>
      </x:c>
      <x:c r="N183" s="28" t="str">
        <x:v>жареный</x:v>
      </x:c>
      <x:c r="O183" s="28" t="str">
        <x:v>пиразины</x:v>
      </x:c>
      <x:c r="P183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Q18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3" s="28" t="str">
        <x:v>слабое горчичное покалывание</x:v>
      </x:c>
      <x:c r="S183" s="28" t="str">
        <x:v>водная волокнистая матрица; соцветия удерживают жир Белок и жир требуют контроля воды: для жареной ароматики поверхность должна подсохнуть.</x:v>
      </x:c>
      <x:c r="T183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83" s="28" t="str">
        <x:v>Брокколи имеет профиль «зелёный, капустный, сернистый и ореховый после жарки».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3" s="28" t="str">
        <x:v>переваривание даёт сернистый запах и тусклый цвет; толстые стебли требуют отдельной обработки</x:v>
      </x:c>
      <x:c r="W183" s="28" t="str">
        <x:v>сливочное масло, соевый соус или тимьян</x:v>
      </x:c>
      <x:c r="X183" s="28" t="str">
        <x:v>горячее блюдо, бульон, соус, пюре, ферментация или гарнир с свинина</x:v>
      </x:c>
      <x:c r="Y183" s="28" t="str">
        <x:v>еда, соусы/маринады</x:v>
      </x:c>
      <x:c r="Z183" s="28" t="str">
        <x:v>Средняя</x:v>
      </x:c>
      <x:c r="AA183" s="28" t="str">
        <x:v>Тезариус вкусов (Ники Сегнит)(1).pdf</x:v>
      </x:c>
      <x:c r="AB183" s="28" t="str">
        <x:v>Тезариус вкусов (Ники Сегнит)(1).pdf: 80, 332</x:v>
      </x:c>
      <x:c r="AC183" s="28" t="str">
        <x:v>развёрнутая пара/статья, стр. 80; развёрнутая пара/статья, стр. 332</x:v>
      </x:c>
      <x:c r="AD183" s="28" t="n">
        <x:v>1</x:v>
      </x:c>
      <x:c r="AE183" s="28" t="n">
        <x:v>2</x:v>
      </x:c>
      <x:c r="AF183" s="28" t="n">
        <x:f>IF(Z183="Высокая",3,IF(Z183="Средняя",2,1))+AD183*2+MIN(AE183,3)</x:f>
        <x:v>6</x:v>
      </x:c>
    </x:row>
    <x:row r="184" ht="64" customHeight="1">
      <x:c r="A184" s="28" t="str">
        <x:v>VEG-0183</x:v>
      </x:c>
      <x:c r="B184" s="28" t="str">
        <x:v>брокколи</x:v>
      </x:c>
      <x:c r="C184" s="28" t="str">
        <x:v>Десерты и выпечка</x:v>
      </x:c>
      <x:c r="D184" s="28" t="str">
        <x:v>брокколи</x:v>
      </x:c>
      <x:c r="E184" s="28" t="str">
        <x:v>Брокколи | брокколи</x:v>
      </x:c>
      <x:c r="F184" s="28" t="str">
        <x:v>Крестоцветные</x:v>
      </x:c>
      <x:c r="G184" s="28" t="str">
        <x:v>твердый сыр</x:v>
      </x:c>
      <x:c r="H184" s="28" t="str">
        <x:v>Твердый сыр | твердый сыр</x:v>
      </x:c>
      <x:c r="I184" s="28" t="str">
        <x:v>Молочные продукты и сыры</x:v>
      </x:c>
      <x:c r="J184" s="28" t="str">
        <x:v>зелёный, капустный, сернистый и ореховый после жарки</x:v>
      </x:c>
      <x:c r="K184" s="28" t="str">
        <x:v>молочный, умами, ферментированный</x:v>
      </x:c>
      <x:c r="L184" s="28" t="str">
        <x:v>диметилсульфид, изотиоцианаты, гексаналь, пиразины</x:v>
      </x:c>
      <x:c r="M184" s="28" t="str">
        <x:v>диацетил, жирные кислоты</x:v>
      </x:c>
      <x:c r="N184" s="28" t="str">
        <x:v>прямое пересечение семейств не подтверждено</x:v>
      </x:c>
      <x:c r="O184" s="28" t="str">
        <x:v>надёжная общая ключевая молекула не установлена</x:v>
      </x:c>
      <x:c r="P184" s="28" t="str">
        <x:v>жировая матрица; сернистая или горчичная комплементарность</x:v>
      </x:c>
      <x:c r="Q18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4" s="28" t="str">
        <x:v>слабое горчичное покалывание</x:v>
      </x:c>
      <x:c r="S184" s="28" t="str">
        <x:v>водная волокнистая матрица; соцветия удерживают жир Жировая фаза удерживает гидрофобные молекулы, но может сделать вкус тяжёлым.</x:v>
      </x:c>
      <x:c r="T184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84" s="28" t="str">
        <x:v>Брокколи имеет профиль «зелёный, капустный, сернистый и ореховый после жарки».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4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W184" s="28" t="str">
        <x:v>кислота, зелень или жареный орех</x:v>
      </x:c>
      <x:c r="X184" s="28" t="str">
        <x:v>горячее блюдо, бульон, соус, пюре, ферментация или гарнир с твердый сыр</x:v>
      </x:c>
      <x:c r="Y184" s="28" t="str">
        <x:v>еда, десерты, соусы/маринады</x:v>
      </x:c>
      <x:c r="Z184" s="28" t="str">
        <x:v>Средняя</x:v>
      </x:c>
      <x:c r="AA184" s="28" t="str">
        <x:v>Тезариус вкусов (Ники Сегнит)(1).pdf</x:v>
      </x:c>
      <x:c r="AB184" s="28" t="str">
        <x:v>Тезариус вкусов (Ники Сегнит)(1).pdf: 168, 332</x:v>
      </x:c>
      <x:c r="AC184" s="28" t="str">
        <x:v>развёрнутая пара/статья, стр. 168; развёрнутая пара/статья, стр. 332</x:v>
      </x:c>
      <x:c r="AD184" s="28" t="n">
        <x:v>1</x:v>
      </x:c>
      <x:c r="AE184" s="28" t="n">
        <x:v>2</x:v>
      </x:c>
      <x:c r="AF184" s="28" t="n">
        <x:f>IF(Z184="Высокая",3,IF(Z184="Средняя",2,1))+AD184*2+MIN(AE184,3)</x:f>
        <x:v>6</x:v>
      </x:c>
    </x:row>
    <x:row r="185" ht="64" customHeight="1">
      <x:c r="A185" s="28" t="str">
        <x:v>VEG-0184</x:v>
      </x:c>
      <x:c r="B185" s="28" t="str">
        <x:v>брокколи</x:v>
      </x:c>
      <x:c r="C185" s="28" t="str">
        <x:v>Десерты и выпечка</x:v>
      </x:c>
      <x:c r="D185" s="28" t="str">
        <x:v>брокколи</x:v>
      </x:c>
      <x:c r="E185" s="28" t="str">
        <x:v>broccoli</x:v>
      </x:c>
      <x:c r="F185" s="28" t="str">
        <x:v>Крестоцветные</x:v>
      </x:c>
      <x:c r="G185" s="28" t="str">
        <x:v>тёмный шоколад</x:v>
      </x:c>
      <x:c r="H185" s="28" t="str">
        <x:v>dark chocolate</x:v>
      </x:c>
      <x:c r="I185" s="28" t="str">
        <x:v>Какао и шоколад</x:v>
      </x:c>
      <x:c r="J185" s="28" t="str">
        <x:v>зелёный, капустный, сернистый и ореховый после жарки</x:v>
      </x:c>
      <x:c r="K185" s="28" t="str">
        <x:v>жареный, какаовый, карамельный</x:v>
      </x:c>
      <x:c r="L185" s="28" t="str">
        <x:v>диметилсульфид, изотиоцианаты, гексаналь, пиразины</x:v>
      </x:c>
      <x:c r="M185" s="28" t="str">
        <x:v>пиразины, фураны</x:v>
      </x:c>
      <x:c r="N185" s="28" t="str">
        <x:v>жареный</x:v>
      </x:c>
      <x:c r="O185" s="28" t="str">
        <x:v>пиразины</x:v>
      </x:c>
      <x:c r="P185" s="28" t="str">
        <x:v>общие характерные молекулы; пересечение ароматических семейств; сернистая или горчичная комплементарность</x:v>
      </x:c>
      <x:c r="Q18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5" s="28" t="str">
        <x:v>слабое горчичное покалывание</x:v>
      </x:c>
      <x:c r="S185" s="28" t="str">
        <x:v>водная волокнистая матрица; соцветия удерживают жир</x:v>
      </x:c>
      <x:c r="T185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85" s="28" t="str">
        <x:v>Брокколи имеет профиль «зелёный, капустный, сернистый и ореховый после жарки». Партнёр «тёмный 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5" s="28" t="str">
        <x:v>переваривание даёт сернистый запах и тусклый цвет; толстые стебли требуют отдельной обработки; жареная горечь легко маскирует нежный овощной аромат</x:v>
      </x:c>
      <x:c r="W185" s="28" t="str">
        <x:v>сливки, орех или карамель</x:v>
      </x:c>
      <x:c r="X185" s="28" t="str">
        <x:v>горячее блюдо, бульон, соус, пюре, ферментация или гарнир с тёмный шоколад</x:v>
      </x:c>
      <x:c r="Y185" s="28" t="str">
        <x:v>еда, десерты, соусы/маринады</x:v>
      </x:c>
      <x:c r="Z185" s="28" t="str">
        <x:v>Высокая</x:v>
      </x:c>
      <x:c r="AA185" s="28" t="str">
        <x:v>The Art &amp; Science of Foodpairing.pdf</x:v>
      </x:c>
      <x:c r="AB185" s="28" t="str">
        <x:v>The Art &amp; Science of Foodpairing.pdf: 60</x:v>
      </x:c>
      <x:c r="AC185" s="28" t="str">
        <x:v>прямая Potential pairing, стр. 60</x:v>
      </x:c>
      <x:c r="AD185" s="28" t="n">
        <x:v>1</x:v>
      </x:c>
      <x:c r="AE185" s="28" t="n">
        <x:v>1</x:v>
      </x:c>
      <x:c r="AF185" s="28" t="n">
        <x:f>IF(Z185="Высокая",3,IF(Z185="Средняя",2,1))+AD185*2+MIN(AE185,3)</x:f>
        <x:v>6</x:v>
      </x:c>
    </x:row>
    <x:row r="186" ht="64" customHeight="1">
      <x:c r="A186" s="28" t="str">
        <x:v>VEG-0185</x:v>
      </x:c>
      <x:c r="B186" s="28" t="str">
        <x:v>брокколи</x:v>
      </x:c>
      <x:c r="C186" s="28" t="str">
        <x:v>Универсальные</x:v>
      </x:c>
      <x:c r="D186" s="28" t="str">
        <x:v>брокколи</x:v>
      </x:c>
      <x:c r="E186" s="28" t="str">
        <x:v>Брокколи | брокколи</x:v>
      </x:c>
      <x:c r="F186" s="28" t="str">
        <x:v>Крестоцветные</x:v>
      </x:c>
      <x:c r="G186" s="28" t="str">
        <x:v>чили</x:v>
      </x:c>
      <x:c r="H186" s="28" t="str">
        <x:v>Чили | чили</x:v>
      </x:c>
      <x:c r="I186" s="28" t="str">
        <x:v>Специи</x:v>
      </x:c>
      <x:c r="J186" s="28" t="str">
        <x:v>зелёный, капустный, сернистый и ореховый после жарки</x:v>
      </x:c>
      <x:c r="K186" s="28" t="str">
        <x:v>пряный и древесный</x:v>
      </x:c>
      <x:c r="L186" s="28" t="str">
        <x:v>диметилсульфид, изотиоцианаты, гексаналь, пиразины</x:v>
      </x:c>
      <x:c r="M186" s="28" t="str">
        <x:v>терпены, фенилпропаноиды</x:v>
      </x:c>
      <x:c r="N186" s="28" t="str">
        <x:v>прямое пересечение семейств не подтверждено</x:v>
      </x:c>
      <x:c r="O186" s="28" t="str">
        <x:v>надёжная общая ключевая молекула не установлена</x:v>
      </x:c>
      <x:c r="P186" s="28" t="str">
        <x:v>сернистая или горчичная комплементарность</x:v>
      </x:c>
      <x:c r="Q18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6" s="28" t="str">
        <x:v>слабое горчичное покалывание</x:v>
      </x:c>
      <x:c r="S186" s="28" t="str">
        <x:v>водная волокнистая матрица; соцветия удерживают жир</x:v>
      </x:c>
      <x:c r="T186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U186" s="28" t="str">
        <x:v>Брокколи имеет профиль «зелёный, капустный, сернистый и ореховый после жарки».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6" s="28" t="str">
        <x:v>переваривание даёт сернистый запах и тусклый цвет; толстые стебли требуют отдельной обработки</x:v>
      </x:c>
      <x:c r="W186" s="28" t="str">
        <x:v>цитрус, йогурт или мёд</x:v>
      </x:c>
      <x:c r="X186" s="28" t="str">
        <x:v>горячее блюдо, бульон, соус, пюре, ферментация или гарнир с чили</x:v>
      </x:c>
      <x:c r="Y186" s="28" t="str">
        <x:v>еда, соусы/маринады</x:v>
      </x:c>
      <x:c r="Z186" s="28" t="str">
        <x:v>Средняя</x:v>
      </x:c>
      <x:c r="AA186" s="28" t="str">
        <x:v>Тезариус вкусов (Ники Сегнит)(1).pdf</x:v>
      </x:c>
      <x:c r="AB186" s="28" t="str">
        <x:v>Тезариус вкусов (Ники Сегнит)(1).pdf: 333, 554</x:v>
      </x:c>
      <x:c r="AC186" s="28" t="str">
        <x:v>развёрнутая пара/статья, стр. 333; развёрнутая пара/статья, стр. 554</x:v>
      </x:c>
      <x:c r="AD186" s="28" t="n">
        <x:v>1</x:v>
      </x:c>
      <x:c r="AE186" s="28" t="n">
        <x:v>2</x:v>
      </x:c>
      <x:c r="AF186" s="28" t="n">
        <x:f>IF(Z186="Высокая",3,IF(Z186="Средняя",2,1))+AD186*2+MIN(AE186,3)</x:f>
        <x:v>6</x:v>
      </x:c>
    </x:row>
    <x:row r="187" ht="64" customHeight="1">
      <x:c r="A187" s="28" t="str">
        <x:v>VEG-0186</x:v>
      </x:c>
      <x:c r="B187" s="28" t="str">
        <x:v>брюква</x:v>
      </x:c>
      <x:c r="C187" s="28" t="str">
        <x:v>Универсальные</x:v>
      </x:c>
      <x:c r="D187" s="28" t="str">
        <x:v>брюква</x:v>
      </x:c>
      <x:c r="E187" s="28" t="str">
        <x:v>Брюква | брюква</x:v>
      </x:c>
      <x:c r="F187" s="28" t="str">
        <x:v>Корнеплоды и крестоцветные</x:v>
      </x:c>
      <x:c r="G187" s="28" t="str">
        <x:v>анис</x:v>
      </x:c>
      <x:c r="H187" s="28" t="str">
        <x:v>Анис | анис</x:v>
      </x:c>
      <x:c r="I187" s="28" t="str">
        <x:v>Прочее</x:v>
      </x:c>
      <x:c r="J187" s="28" t="str">
        <x:v>землистый, капустный, сладкий и слегка горчичный</x:v>
      </x:c>
      <x:c r="K187" s="28" t="str">
        <x:v>профиль зависит от конкретного продукта</x:v>
      </x:c>
      <x:c r="L187" s="28" t="str">
        <x:v>глюкозинолаты, изотиоцианаты, диметилсульфид, фураны</x:v>
      </x:c>
      <x:c r="M187" s="28" t="str">
        <x:v>конкретный молекулярный профиль не указан</x:v>
      </x:c>
      <x:c r="N187" s="28" t="str">
        <x:v>прямое пересечение семейств не подтверждено</x:v>
      </x:c>
      <x:c r="O187" s="28" t="str">
        <x:v>надёжная общая ключевая молекула не установлена</x:v>
      </x:c>
      <x:c r="P187" s="28" t="str">
        <x:v>сернистая или горчичная комплементарность</x:v>
      </x:c>
      <x:c r="Q18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7" s="28" t="str">
        <x:v>умеренное горчичное покалывание</x:v>
      </x:c>
      <x:c r="S187" s="28" t="str">
        <x:v>плотная водно-углеводная матрица</x:v>
      </x:c>
      <x:c r="T187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U187" s="28" t="str">
        <x:v>Брюква имеет профиль «землистый, капустный, сладкий и слегка горчичный».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7" s="28" t="str">
        <x:v>переваривание усиливает сернистость; крупные старые корнеплоды могут быть волокнистыми</x:v>
      </x:c>
      <x:c r="W187" s="28" t="str">
        <x:v>соль, кислота или ароматический жир</x:v>
      </x:c>
      <x:c r="X187" s="28" t="str">
        <x:v>салат, гарнир, суп, соус, маринад, ферментация или напиток с анис</x:v>
      </x:c>
      <x:c r="Y187" s="28" t="str">
        <x:v>универсальное</x:v>
      </x:c>
      <x:c r="Z187" s="28" t="str">
        <x:v>Средняя</x:v>
      </x:c>
      <x:c r="AA187" s="28" t="str">
        <x:v>Тезариус вкусов (Ники Сегнит)(1).pdf</x:v>
      </x:c>
      <x:c r="AB187" s="28" t="str">
        <x:v>Тезариус вкусов (Ники Сегнит)(1).pdf: 318, 481</x:v>
      </x:c>
      <x:c r="AC187" s="28" t="str">
        <x:v>развёрнутая пара/статья, стр. 318; развёрнутая пара/статья, стр. 481</x:v>
      </x:c>
      <x:c r="AD187" s="28" t="n">
        <x:v>1</x:v>
      </x:c>
      <x:c r="AE187" s="28" t="n">
        <x:v>2</x:v>
      </x:c>
      <x:c r="AF187" s="28" t="n">
        <x:f>IF(Z187="Высокая",3,IF(Z187="Средняя",2,1))+AD187*2+MIN(AE187,3)</x:f>
        <x:v>6</x:v>
      </x:c>
    </x:row>
    <x:row r="188" ht="64" customHeight="1">
      <x:c r="A188" s="28" t="str">
        <x:v>VEG-0187</x:v>
      </x:c>
      <x:c r="B188" s="28" t="str">
        <x:v>брюква</x:v>
      </x:c>
      <x:c r="C188" s="28" t="str">
        <x:v>Еда и соусы</x:v>
      </x:c>
      <x:c r="D188" s="28" t="str">
        <x:v>брюква</x:v>
      </x:c>
      <x:c r="E188" s="28" t="str">
        <x:v>Брюква | брюква</x:v>
      </x:c>
      <x:c r="F188" s="28" t="str">
        <x:v>Корнеплоды и крестоцветные</x:v>
      </x:c>
      <x:c r="G188" s="28" t="str">
        <x:v>баранина</x:v>
      </x:c>
      <x:c r="H188" s="28" t="str">
        <x:v>Баранина | баранина</x:v>
      </x:c>
      <x:c r="I188" s="28" t="str">
        <x:v>Мясо и птица</x:v>
      </x:c>
      <x:c r="J188" s="28" t="str">
        <x:v>землистый, капустный, сладкий и слегка горчичный</x:v>
      </x:c>
      <x:c r="K188" s="28" t="str">
        <x:v>жареный, мясной и умами</x:v>
      </x:c>
      <x:c r="L188" s="28" t="str">
        <x:v>глюкозинолаты, изотиоцианаты, диметилсульфид, фураны</x:v>
      </x:c>
      <x:c r="M188" s="28" t="str">
        <x:v>пиразины, сернистые соединения</x:v>
      </x:c>
      <x:c r="N188" s="28" t="str">
        <x:v>прямое пересечение семейств не подтверждено</x:v>
      </x:c>
      <x:c r="O188" s="28" t="str">
        <x:v>надёжная общая ключевая молекула не установлена</x:v>
      </x:c>
      <x:c r="P188" s="28" t="str">
        <x:v>умами и солёный контраст; сернистая или горчичная комплементарность</x:v>
      </x:c>
      <x:c r="Q18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8" s="28" t="str">
        <x:v>умеренное горчичное покалывание</x:v>
      </x:c>
      <x:c r="S188" s="28" t="str">
        <x:v>плотная водно-углеводная матрица Белок и жир требуют контроля воды: для жареной ароматики поверхность должна подсохнуть.</x:v>
      </x:c>
      <x:c r="T188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U188" s="28" t="str">
        <x:v>Брюква имеет профиль «землистый, капустный, сладкий и слегка горчичный».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8" s="28" t="str">
        <x:v>переваривание усиливает сернистость; крупные старые корнеплоды могут быть волокнистыми</x:v>
      </x:c>
      <x:c r="W188" s="28" t="str">
        <x:v>сливочное масло, соевый соус или тимьян</x:v>
      </x:c>
      <x:c r="X188" s="28" t="str">
        <x:v>салат, гарнир, суп, соус, маринад, ферментация или напиток с баранина</x:v>
      </x:c>
      <x:c r="Y188" s="28" t="str">
        <x:v>еда, соусы/маринады</x:v>
      </x:c>
      <x:c r="Z188" s="28" t="str">
        <x:v>Средняя</x:v>
      </x:c>
      <x:c r="AA188" s="28" t="str">
        <x:v>Тезариус вкусов (Ники Сегнит)(1).pdf</x:v>
      </x:c>
      <x:c r="AB188" s="28" t="str">
        <x:v>Тезариус вкусов (Ники Сегнит)(1).pdf: 126, 318</x:v>
      </x:c>
      <x:c r="AC188" s="28" t="str">
        <x:v>развёрнутая пара/статья, стр. 126; развёрнутая пара/статья, стр. 318</x:v>
      </x:c>
      <x:c r="AD188" s="28" t="n">
        <x:v>1</x:v>
      </x:c>
      <x:c r="AE188" s="28" t="n">
        <x:v>2</x:v>
      </x:c>
      <x:c r="AF188" s="28" t="n">
        <x:f>IF(Z188="Высокая",3,IF(Z188="Средняя",2,1))+AD188*2+MIN(AE188,3)</x:f>
        <x:v>6</x:v>
      </x:c>
    </x:row>
    <x:row r="189" ht="64" customHeight="1">
      <x:c r="A189" s="28" t="str">
        <x:v>VEG-0188</x:v>
      </x:c>
      <x:c r="B189" s="28" t="str">
        <x:v>брюква</x:v>
      </x:c>
      <x:c r="C189" s="28" t="str">
        <x:v>Универсальные</x:v>
      </x:c>
      <x:c r="D189" s="28" t="str">
        <x:v>брюква</x:v>
      </x:c>
      <x:c r="E189" s="28" t="str">
        <x:v>swede</x:v>
      </x:c>
      <x:c r="F189" s="28" t="str">
        <x:v>Корнеплоды и крестоцветные</x:v>
      </x:c>
      <x:c r="G189" s="28" t="str">
        <x:v>болгарский перец</x:v>
      </x:c>
      <x:c r="H189" s="28" t="str">
        <x:v>red bell pepper and paprika</x:v>
      </x:c>
      <x:c r="I189" s="28" t="str">
        <x:v>Плодовые овощи</x:v>
      </x:c>
      <x:c r="J189" s="28" t="str">
        <x:v>землистый, капустный, сладкий и слегка горчичный</x:v>
      </x:c>
      <x:c r="K189" s="28" t="str">
        <x:v>зелёный, травянистый, фруктовый; у красного — сладкий и жареный</x:v>
      </x:c>
      <x:c r="L189" s="28" t="str">
        <x:v>глюкозинолаты, изотиоцианаты, диметилсульфид, фураны</x:v>
      </x:c>
      <x:c r="M189" s="28" t="str">
        <x:v>2-изобутил-3-метоксипиразин, гексаналь, лимонен, эфиры</x:v>
      </x:c>
      <x:c r="N189" s="28" t="str">
        <x:v>сладкий</x:v>
      </x:c>
      <x:c r="O189" s="28" t="str">
        <x:v>надёжная общая ключевая молекула не установлена</x:v>
      </x:c>
      <x:c r="P189" s="28" t="str">
        <x:v>пересечение ароматических семейств; сернистая или горчичная комплементарность</x:v>
      </x:c>
      <x:c r="Q18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89" s="28" t="str">
        <x:v>умеренное горчичное покалывание</x:v>
      </x:c>
      <x:c r="S189" s="28" t="str">
        <x:v>плотная водно-углеводная матрица</x:v>
      </x:c>
      <x:c r="T189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U189" s="28" t="str">
        <x:v>Брюква имеет профиль «землистый, капустный, сладкий и слегка горчичный».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89" s="28" t="str">
        <x:v>переваривание усиливает сернистость; крупные старые корнеплоды могут быть волокнистыми</x:v>
      </x:c>
      <x:c r="W189" s="28" t="str">
        <x:v>соль, кислота или ароматический жир</x:v>
      </x:c>
      <x:c r="X189" s="28" t="str">
        <x:v>салат, гарнир, суп, соус, маринад, ферментация или напиток с болгарский перец</x:v>
      </x:c>
      <x:c r="Y189" s="28" t="str">
        <x:v>универсальное</x:v>
      </x:c>
      <x:c r="Z189" s="28" t="str">
        <x:v>Средняя</x:v>
      </x:c>
      <x:c r="AA189" s="28" t="str">
        <x:v>The Art &amp; Science of Foodpairing.pdf</x:v>
      </x:c>
      <x:c r="AB189" s="28" t="str">
        <x:v>The Art &amp; Science of Foodpairing.pdf: 108</x:v>
      </x:c>
      <x:c r="AC189" s="28" t="str">
        <x:v>связь из pairing grid, стр. 108</x:v>
      </x:c>
      <x:c r="AD189" s="28" t="n">
        <x:v>1</x:v>
      </x:c>
      <x:c r="AE189" s="28" t="n">
        <x:v>1</x:v>
      </x:c>
      <x:c r="AF189" s="28" t="n">
        <x:f>IF(Z189="Высокая",3,IF(Z189="Средняя",2,1))+AD189*2+MIN(AE189,3)</x:f>
        <x:v>5</x:v>
      </x:c>
    </x:row>
    <x:row r="190" ht="64" customHeight="1">
      <x:c r="A190" s="28" t="str">
        <x:v>VEG-0189</x:v>
      </x:c>
      <x:c r="B190" s="28" t="str">
        <x:v>брюква</x:v>
      </x:c>
      <x:c r="C190" s="28" t="str">
        <x:v>Еда и соусы</x:v>
      </x:c>
      <x:c r="D190" s="28" t="str">
        <x:v>брюква</x:v>
      </x:c>
      <x:c r="E190" s="28" t="str">
        <x:v>Брюква | брюква</x:v>
      </x:c>
      <x:c r="F190" s="28" t="str">
        <x:v>Корнеплоды и крестоцветные</x:v>
      </x:c>
      <x:c r="G190" s="28" t="str">
        <x:v>говядина</x:v>
      </x:c>
      <x:c r="H190" s="28" t="str">
        <x:v>Говядина | говядина</x:v>
      </x:c>
      <x:c r="I190" s="28" t="str">
        <x:v>Мясо и птица</x:v>
      </x:c>
      <x:c r="J190" s="28" t="str">
        <x:v>землистый, капустный, сладкий и слегка горчичный</x:v>
      </x:c>
      <x:c r="K190" s="28" t="str">
        <x:v>жареный, мясной и умами</x:v>
      </x:c>
      <x:c r="L190" s="28" t="str">
        <x:v>глюкозинолаты, изотиоцианаты, диметилсульфид, фураны</x:v>
      </x:c>
      <x:c r="M190" s="28" t="str">
        <x:v>пиразины, сернистые соединения</x:v>
      </x:c>
      <x:c r="N190" s="28" t="str">
        <x:v>прямое пересечение семейств не подтверждено</x:v>
      </x:c>
      <x:c r="O190" s="28" t="str">
        <x:v>надёжная общая ключевая молекула не установлена</x:v>
      </x:c>
      <x:c r="P190" s="28" t="str">
        <x:v>умами и солёный контраст; сернистая или горчичная комплементарность</x:v>
      </x:c>
      <x:c r="Q19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90" s="28" t="str">
        <x:v>умеренное горчичное покалывание</x:v>
      </x:c>
      <x:c r="S190" s="28" t="str">
        <x:v>плотная водно-углеводная матрица Белок и жир требуют контроля воды: для жареной ароматики поверхность должна подсохнуть.</x:v>
      </x:c>
      <x:c r="T190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U190" s="28" t="str">
        <x:v>Брюква имеет профиль «землистый, капустный, сладкий и слегка горчичный».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90" s="28" t="str">
        <x:v>переваривание усиливает сернистость; крупные старые корнеплоды могут быть волокнистыми</x:v>
      </x:c>
      <x:c r="W190" s="28" t="str">
        <x:v>сливочное масло, соевый соус или тимьян</x:v>
      </x:c>
      <x:c r="X190" s="28" t="str">
        <x:v>салат, гарнир, суп, соус, маринад, ферментация или напиток с говядина</x:v>
      </x:c>
      <x:c r="Y190" s="28" t="str">
        <x:v>еда, соусы/маринады</x:v>
      </x:c>
      <x:c r="Z190" s="28" t="str">
        <x:v>Средняя</x:v>
      </x:c>
      <x:c r="AA190" s="28" t="str">
        <x:v>Тезариус вкусов (Ники Сегнит)(1).pdf</x:v>
      </x:c>
      <x:c r="AB190" s="28" t="str">
        <x:v>Тезариус вкусов (Ники Сегнит)(1).pdf: 106, 318</x:v>
      </x:c>
      <x:c r="AC190" s="28" t="str">
        <x:v>развёрнутая пара/статья, стр. 106; развёрнутая пара/статья, стр. 318</x:v>
      </x:c>
      <x:c r="AD190" s="28" t="n">
        <x:v>1</x:v>
      </x:c>
      <x:c r="AE190" s="28" t="n">
        <x:v>2</x:v>
      </x:c>
      <x:c r="AF190" s="28" t="n">
        <x:f>IF(Z190="Высокая",3,IF(Z190="Средняя",2,1))+AD190*2+MIN(AE190,3)</x:f>
        <x:v>6</x:v>
      </x:c>
    </x:row>
    <x:row r="191" ht="64" customHeight="1">
      <x:c r="A191" s="28" t="str">
        <x:v>VEG-0190</x:v>
      </x:c>
      <x:c r="B191" s="28" t="str">
        <x:v>брюква</x:v>
      </x:c>
      <x:c r="C191" s="28" t="str">
        <x:v>Универсальные</x:v>
      </x:c>
      <x:c r="D191" s="28" t="str">
        <x:v>брюква</x:v>
      </x:c>
      <x:c r="E191" s="28" t="str">
        <x:v>Брюква | брюква</x:v>
      </x:c>
      <x:c r="F191" s="28" t="str">
        <x:v>Корнеплоды и крестоцветные</x:v>
      </x:c>
      <x:c r="G191" s="28" t="str">
        <x:v>морковь</x:v>
      </x:c>
      <x:c r="H191" s="28" t="str">
        <x:v>Морковь | морковь</x:v>
      </x:c>
      <x:c r="I191" s="28" t="str">
        <x:v>Корнеплоды</x:v>
      </x:c>
      <x:c r="J191" s="28" t="str">
        <x:v>землистый, капустный, сладкий и слегка горчичный</x:v>
      </x:c>
      <x:c r="K191" s="28" t="str">
        <x:v>сладкий, землистый, древесный и слегка цитрусовый</x:v>
      </x:c>
      <x:c r="L191" s="28" t="str">
        <x:v>глюкозинолаты, изотиоцианаты, диметилсульфид, фураны</x:v>
      </x:c>
      <x:c r="M191" s="28" t="str">
        <x:v>β-ионон, каротол, пинены, терпинолен</x:v>
      </x:c>
      <x:c r="N191" s="28" t="str">
        <x:v>землистый, сладкий</x:v>
      </x:c>
      <x:c r="O191" s="28" t="str">
        <x:v>надёжная общая ключевая молекула не установлена</x:v>
      </x:c>
      <x:c r="P191" s="28" t="str">
        <x:v>пересечение ароматических семейств; сернистая или горчичная комплементарность</x:v>
      </x:c>
      <x:c r="Q19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91" s="28" t="str">
        <x:v>умеренное горчичное покалывание</x:v>
      </x:c>
      <x:c r="S191" s="28" t="str">
        <x:v>плотная водно-углеводная матрица</x:v>
      </x:c>
      <x:c r="T191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U191" s="28" t="str">
        <x:v>Брюква имеет профиль «землистый, капустный, сладкий и слегка горчичный».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землистый,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91" s="28" t="str">
        <x:v>переваривание усиливает сернистость; крупные старые корнеплоды могут быть волокнистыми</x:v>
      </x:c>
      <x:c r="W191" s="28" t="str">
        <x:v>соль, кислота или ароматический жир</x:v>
      </x:c>
      <x:c r="X191" s="28" t="str">
        <x:v>салат, гарнир, суп, соус, маринад, ферментация или напиток с морковь</x:v>
      </x:c>
      <x:c r="Y191" s="28" t="str">
        <x:v>универсальное</x:v>
      </x:c>
      <x:c r="Z191" s="28" t="str">
        <x:v>Средняя</x:v>
      </x:c>
      <x:c r="AA191" s="28" t="str">
        <x:v>Тезариус вкусов (Ники Сегнит)(1).pdf</x:v>
      </x:c>
      <x:c r="AB191" s="28" t="str">
        <x:v>Тезариус вкусов (Ники Сегнит)(1).pdf: 318, 602</x:v>
      </x:c>
      <x:c r="AC191" s="28" t="str">
        <x:v>развёрнутая пара/статья, стр. 318; развёрнутая пара/статья, стр. 602</x:v>
      </x:c>
      <x:c r="AD191" s="28" t="n">
        <x:v>1</x:v>
      </x:c>
      <x:c r="AE191" s="28" t="n">
        <x:v>2</x:v>
      </x:c>
      <x:c r="AF191" s="28" t="n">
        <x:f>IF(Z191="Высокая",3,IF(Z191="Средняя",2,1))+AD191*2+MIN(AE191,3)</x:f>
        <x:v>6</x:v>
      </x:c>
    </x:row>
    <x:row r="192" ht="64" customHeight="1">
      <x:c r="A192" s="28" t="str">
        <x:v>VEG-0191</x:v>
      </x:c>
      <x:c r="B192" s="28" t="str">
        <x:v>брюква</x:v>
      </x:c>
      <x:c r="C192" s="28" t="str">
        <x:v>Еда и соусы</x:v>
      </x:c>
      <x:c r="D192" s="28" t="str">
        <x:v>брюква</x:v>
      </x:c>
      <x:c r="E192" s="28" t="str">
        <x:v>Брюква | брюква</x:v>
      </x:c>
      <x:c r="F192" s="28" t="str">
        <x:v>Корнеплоды и крестоцветные</x:v>
      </x:c>
      <x:c r="G192" s="28" t="str">
        <x:v>мускатный орех</x:v>
      </x:c>
      <x:c r="H192" s="28" t="str">
        <x:v>Мускатный орех | мускатный орех</x:v>
      </x:c>
      <x:c r="I192" s="28" t="str">
        <x:v>Рыба и морепродукты</x:v>
      </x:c>
      <x:c r="J192" s="28" t="str">
        <x:v>землистый, капустный, сладкий и слегка горчичный</x:v>
      </x:c>
      <x:c r="K192" s="28" t="str">
        <x:v>камфорный, ореховый, пряный</x:v>
      </x:c>
      <x:c r="L192" s="28" t="str">
        <x:v>глюкозинолаты, изотиоцианаты, диметилсульфид, фураны</x:v>
      </x:c>
      <x:c r="M192" s="28" t="str">
        <x:v>пинены, сабинен</x:v>
      </x:c>
      <x:c r="N192" s="28" t="str">
        <x:v>прямое пересечение семейств не подтверждено</x:v>
      </x:c>
      <x:c r="O192" s="28" t="str">
        <x:v>надёжная общая ключевая молекула не установлена</x:v>
      </x:c>
      <x:c r="P192" s="28" t="str">
        <x:v>умами и солёный контраст; сернистая или горчичная комплементарность</x:v>
      </x:c>
      <x:c r="Q19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92" s="28" t="str">
        <x:v>умеренное горчичное покалывание</x:v>
      </x:c>
      <x:c r="S192" s="28" t="str">
        <x:v>плотная водно-углеводная матрица Белок и жир требуют контроля воды: для жареной ароматики поверхность должна подсохнуть.</x:v>
      </x:c>
      <x:c r="T192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U192" s="28" t="str">
        <x:v>Брюква имеет профиль «землистый, капустный, сладкий и слегка горчичный».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92" s="28" t="str">
        <x:v>переваривание усиливает сернистость; крупные старые корнеплоды могут быть волокнистыми</x:v>
      </x:c>
      <x:c r="W192" s="28" t="str">
        <x:v>сливочное масло, соевый соус или тимьян</x:v>
      </x:c>
      <x:c r="X192" s="28" t="str">
        <x:v>салат, гарнир, суп, соус, маринад, ферментация или напиток с мускатный орех</x:v>
      </x:c>
      <x:c r="Y192" s="28" t="str">
        <x:v>еда, соусы/маринады</x:v>
      </x:c>
      <x:c r="Z192" s="28" t="str">
        <x:v>Средняя</x:v>
      </x:c>
      <x:c r="AA192" s="28" t="str">
        <x:v>Тезариус вкусов (Ники Сегнит)(1).pdf</x:v>
      </x:c>
      <x:c r="AB192" s="28" t="str">
        <x:v>Тезариус вкусов (Ники Сегнит)(1).pdf: 319, 588</x:v>
      </x:c>
      <x:c r="AC192" s="28" t="str">
        <x:v>развёрнутая пара/статья, стр. 319; развёрнутая пара/статья, стр. 588</x:v>
      </x:c>
      <x:c r="AD192" s="28" t="n">
        <x:v>1</x:v>
      </x:c>
      <x:c r="AE192" s="28" t="n">
        <x:v>2</x:v>
      </x:c>
      <x:c r="AF192" s="28" t="n">
        <x:f>IF(Z192="Высокая",3,IF(Z192="Средняя",2,1))+AD192*2+MIN(AE192,3)</x:f>
        <x:v>6</x:v>
      </x:c>
    </x:row>
    <x:row r="193" ht="64" customHeight="1">
      <x:c r="A193" s="28" t="str">
        <x:v>VEG-0192</x:v>
      </x:c>
      <x:c r="B193" s="28" t="str">
        <x:v>брюква</x:v>
      </x:c>
      <x:c r="C193" s="28" t="str">
        <x:v>Еда и соусы</x:v>
      </x:c>
      <x:c r="D193" s="28" t="str">
        <x:v>брюква</x:v>
      </x:c>
      <x:c r="E193" s="28" t="str">
        <x:v>swede</x:v>
      </x:c>
      <x:c r="F193" s="28" t="str">
        <x:v>Корнеплоды и крестоцветные</x:v>
      </x:c>
      <x:c r="G193" s="28" t="str">
        <x:v>мясо</x:v>
      </x:c>
      <x:c r="H193" s="28" t="str">
        <x:v>meat</x:v>
      </x:c>
      <x:c r="I193" s="28" t="str">
        <x:v>Мясо и птица</x:v>
      </x:c>
      <x:c r="J193" s="28" t="str">
        <x:v>землистый, капустный, сладкий и слегка горчичный</x:v>
      </x:c>
      <x:c r="K193" s="28" t="str">
        <x:v>жареный, жирный, умами</x:v>
      </x:c>
      <x:c r="L193" s="28" t="str">
        <x:v>глюкозинолаты, изотиоцианаты, диметилсульфид, фураны</x:v>
      </x:c>
      <x:c r="M193" s="28" t="str">
        <x:v>пиразины, сернистые соединения</x:v>
      </x:c>
      <x:c r="N193" s="28" t="str">
        <x:v>прямое пересечение семейств не подтверждено</x:v>
      </x:c>
      <x:c r="O193" s="28" t="str">
        <x:v>надёжная общая ключевая молекула не установлена</x:v>
      </x:c>
      <x:c r="P193" s="28" t="str">
        <x:v>умами и солёный контраст; сернистая или горчичная комплементарность</x:v>
      </x:c>
      <x:c r="Q19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93" s="28" t="str">
        <x:v>умеренное горчичное покалывание</x:v>
      </x:c>
      <x:c r="S193" s="28" t="str">
        <x:v>плотная водно-углеводная матрица Белок и жир требуют контроля воды: для жареной ароматики поверхность должна подсохнуть.</x:v>
      </x:c>
      <x:c r="T193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U193" s="28" t="str">
        <x:v>Брюква имеет профиль «землистый, капустный, сладкий и слегка горчичный». Партнёр «мясо» относится к группе «Мясо и птица» и даёт жареный, жирный,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93" s="28" t="str">
        <x:v>переваривание усиливает сернистость; крупные старые корнеплоды могут быть волокнистыми</x:v>
      </x:c>
      <x:c r="W193" s="28" t="str">
        <x:v>сливочное масло, соевый соус или тимьян</x:v>
      </x:c>
      <x:c r="X193" s="28" t="str">
        <x:v>салат, гарнир, суп, соус, маринад, ферментация или напиток с мясо</x:v>
      </x:c>
      <x:c r="Y193" s="28" t="str">
        <x:v>еда, соусы/маринады</x:v>
      </x:c>
      <x:c r="Z193" s="28" t="str">
        <x:v>Средняя</x:v>
      </x:c>
      <x:c r="AA193" s="28" t="str">
        <x:v>The Art &amp; Science of Foodpairing.pdf</x:v>
      </x:c>
      <x:c r="AB193" s="28" t="str">
        <x:v>The Art &amp; Science of Foodpairing.pdf: 186</x:v>
      </x:c>
      <x:c r="AC193" s="28" t="str">
        <x:v>связь из pairing grid, стр. 186</x:v>
      </x:c>
      <x:c r="AD193" s="28" t="n">
        <x:v>1</x:v>
      </x:c>
      <x:c r="AE193" s="28" t="n">
        <x:v>1</x:v>
      </x:c>
      <x:c r="AF193" s="28" t="n">
        <x:f>IF(Z193="Высокая",3,IF(Z193="Средняя",2,1))+AD193*2+MIN(AE193,3)</x:f>
        <x:v>5</x:v>
      </x:c>
    </x:row>
    <x:row r="194" ht="64" customHeight="1">
      <x:c r="A194" s="28" t="str">
        <x:v>VEG-0193</x:v>
      </x:c>
      <x:c r="B194" s="28" t="str">
        <x:v>брюква</x:v>
      </x:c>
      <x:c r="C194" s="28" t="str">
        <x:v>Еда и соусы</x:v>
      </x:c>
      <x:c r="D194" s="28" t="str">
        <x:v>брюква</x:v>
      </x:c>
      <x:c r="E194" s="28" t="str">
        <x:v>Брюква | брюква</x:v>
      </x:c>
      <x:c r="F194" s="28" t="str">
        <x:v>Корнеплоды и крестоцветные</x:v>
      </x:c>
      <x:c r="G194" s="28" t="str">
        <x:v>свинина</x:v>
      </x:c>
      <x:c r="H194" s="28" t="str">
        <x:v>Свинина | свинина</x:v>
      </x:c>
      <x:c r="I194" s="28" t="str">
        <x:v>Мясо и птица</x:v>
      </x:c>
      <x:c r="J194" s="28" t="str">
        <x:v>землистый, капустный, сладкий и слегка горчичный</x:v>
      </x:c>
      <x:c r="K194" s="28" t="str">
        <x:v>жареный, мясной и умами</x:v>
      </x:c>
      <x:c r="L194" s="28" t="str">
        <x:v>глюкозинолаты, изотиоцианаты, диметилсульфид, фураны</x:v>
      </x:c>
      <x:c r="M194" s="28" t="str">
        <x:v>пиразины, сернистые соединения</x:v>
      </x:c>
      <x:c r="N194" s="28" t="str">
        <x:v>прямое пересечение семейств не подтверждено</x:v>
      </x:c>
      <x:c r="O194" s="28" t="str">
        <x:v>надёжная общая ключевая молекула не установлена</x:v>
      </x:c>
      <x:c r="P194" s="28" t="str">
        <x:v>умами и солёный контраст; сернистая или горчичная комплементарность</x:v>
      </x:c>
      <x:c r="Q19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94" s="28" t="str">
        <x:v>умеренное горчичное покалывание</x:v>
      </x:c>
      <x:c r="S194" s="28" t="str">
        <x:v>плотная водно-углеводная матрица Белок и жир требуют контроля воды: для жареной ароматики поверхность должна подсохнуть.</x:v>
      </x:c>
      <x:c r="T194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U194" s="28" t="str">
        <x:v>Брюква имеет профиль «землистый, капустный, сладкий и слегка горчичный».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94" s="28" t="str">
        <x:v>переваривание усиливает сернистость; крупные старые корнеплоды могут быть волокнистыми</x:v>
      </x:c>
      <x:c r="W194" s="28" t="str">
        <x:v>сливочное масло, соевый соус или тимьян</x:v>
      </x:c>
      <x:c r="X194" s="28" t="str">
        <x:v>салат, гарнир, суп, соус, маринад, ферментация или напиток с свинина</x:v>
      </x:c>
      <x:c r="Y194" s="28" t="str">
        <x:v>еда, соусы/маринады</x:v>
      </x:c>
      <x:c r="Z194" s="28" t="str">
        <x:v>Средняя</x:v>
      </x:c>
      <x:c r="AA194" s="28" t="str">
        <x:v>Тезариус вкусов (Ники Сегнит)(1).pdf</x:v>
      </x:c>
      <x:c r="AB194" s="28" t="str">
        <x:v>Тезариус вкусов (Ники Сегнит)(1).pdf: 81, 320</x:v>
      </x:c>
      <x:c r="AC194" s="28" t="str">
        <x:v>развёрнутая пара/статья, стр. 81; развёрнутая пара/статья, стр. 320</x:v>
      </x:c>
      <x:c r="AD194" s="28" t="n">
        <x:v>1</x:v>
      </x:c>
      <x:c r="AE194" s="28" t="n">
        <x:v>2</x:v>
      </x:c>
      <x:c r="AF194" s="28" t="n">
        <x:f>IF(Z194="Высокая",3,IF(Z194="Средняя",2,1))+AD194*2+MIN(AE194,3)</x:f>
        <x:v>6</x:v>
      </x:c>
    </x:row>
    <x:row r="195" ht="64" customHeight="1">
      <x:c r="A195" s="28" t="str">
        <x:v>VEG-0194</x:v>
      </x:c>
      <x:c r="B195" s="28" t="str">
        <x:v>горох</x:v>
      </x:c>
      <x:c r="C195" s="28" t="str">
        <x:v>Универсальные</x:v>
      </x:c>
      <x:c r="D195" s="28" t="str">
        <x:v>горох</x:v>
      </x:c>
      <x:c r="E195" s="28" t="str">
        <x:v>Горох | горох</x:v>
      </x:c>
      <x:c r="F195" s="28" t="str">
        <x:v>Бобовые</x:v>
      </x:c>
      <x:c r="G195" s="28" t="str">
        <x:v>анис</x:v>
      </x:c>
      <x:c r="H195" s="28" t="str">
        <x:v>Анис | анис</x:v>
      </x:c>
      <x:c r="I195" s="28" t="str">
        <x:v>Прочее</x:v>
      </x:c>
      <x:c r="J195" s="28" t="str">
        <x:v>зелёный, сладкий, бобовый и слегка цветочный</x:v>
      </x:c>
      <x:c r="K195" s="28" t="str">
        <x:v>профиль зависит от конкретного продукта</x:v>
      </x:c>
      <x:c r="L195" s="28" t="str">
        <x:v>гексаналь, цис-3-гексенол, метоксипиразины, эфиры</x:v>
      </x:c>
      <x:c r="M195" s="28" t="str">
        <x:v>конкретный молекулярный профиль не указан</x:v>
      </x:c>
      <x:c r="N195" s="28" t="str">
        <x:v>прямое пересечение семейств не подтверждено</x:v>
      </x:c>
      <x:c r="O195" s="28" t="str">
        <x:v>надёжная общая ключевая молекула не установлена</x:v>
      </x:c>
      <x:c r="P195" s="28" t="str">
        <x:v>сенсорная комплементарность</x:v>
      </x:c>
      <x:c r="Q195" s="28" t="str">
        <x:v>Свежесть и водянистость требуют кислоты, соли или умами; избыток жирной матрицы может подавить зелёные ноты.</x:v>
      </x:c>
      <x:c r="R195" s="28" t="str">
        <x:v>минимальный</x:v>
      </x:c>
      <x:c r="S195" s="28" t="str">
        <x:v>водная крахмалисто-белковая матрица</x:v>
      </x:c>
      <x:c r="T19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195" s="28" t="str">
        <x:v>Горох имеет профиль «зелёный, сладкий, бобовый и слегка цветочный».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195" s="28" t="str">
        <x:v>старый горох мучнистый; длительное хранение и нагрев снижают цвет и свежий аромат</x:v>
      </x:c>
      <x:c r="W195" s="28" t="str">
        <x:v>соль, кислота или ароматический жир</x:v>
      </x:c>
      <x:c r="X195" s="28" t="str">
        <x:v>салат, гарнир, суп, соус, маринад, ферментация или напиток с анис</x:v>
      </x:c>
      <x:c r="Y195" s="28" t="str">
        <x:v>еда, соусы/маринады</x:v>
      </x:c>
      <x:c r="Z195" s="28" t="str">
        <x:v>Средняя</x:v>
      </x:c>
      <x:c r="AA195" s="28" t="str">
        <x:v>Тезариус вкусов (Ники Сегнит)(1).pdf</x:v>
      </x:c>
      <x:c r="AB195" s="28" t="str">
        <x:v>Тезариус вкусов (Ники Сегнит)(1).pdf: 483, 534</x:v>
      </x:c>
      <x:c r="AC195" s="28" t="str">
        <x:v>развёрнутая пара/статья, стр. 483; развёрнутая пара/статья, стр. 534</x:v>
      </x:c>
      <x:c r="AD195" s="28" t="n">
        <x:v>1</x:v>
      </x:c>
      <x:c r="AE195" s="28" t="n">
        <x:v>2</x:v>
      </x:c>
      <x:c r="AF195" s="28" t="n">
        <x:f>IF(Z195="Высокая",3,IF(Z195="Средняя",2,1))+AD195*2+MIN(AE195,3)</x:f>
        <x:v>6</x:v>
      </x:c>
    </x:row>
    <x:row r="196" ht="64" customHeight="1">
      <x:c r="A196" s="28" t="str">
        <x:v>VEG-0195</x:v>
      </x:c>
      <x:c r="B196" s="28" t="str">
        <x:v>горох</x:v>
      </x:c>
      <x:c r="C196" s="28" t="str">
        <x:v>Десерты и выпечка</x:v>
      </x:c>
      <x:c r="D196" s="28" t="str">
        <x:v>горох</x:v>
      </x:c>
      <x:c r="E196" s="28" t="str">
        <x:v>pea</x:v>
      </x:c>
      <x:c r="F196" s="28" t="str">
        <x:v>Бобовые</x:v>
      </x:c>
      <x:c r="G196" s="28" t="str">
        <x:v>апельсин</x:v>
      </x:c>
      <x:c r="H196" s="28" t="str">
        <x:v>orange</x:v>
      </x:c>
      <x:c r="I196" s="28" t="str">
        <x:v>Фрукты и ягоды</x:v>
      </x:c>
      <x:c r="J196" s="28" t="str">
        <x:v>зелёный, сладкий, бобовый и слегка цветочный</x:v>
      </x:c>
      <x:c r="K196" s="28" t="str">
        <x:v>сладкий, цветочный, цитрусовый</x:v>
      </x:c>
      <x:c r="L196" s="28" t="str">
        <x:v>гексаналь, цис-3-гексенол, метоксипиразины, эфиры</x:v>
      </x:c>
      <x:c r="M196" s="28" t="str">
        <x:v>лимонен, линалоол</x:v>
      </x:c>
      <x:c r="N196" s="28" t="str">
        <x:v>сладкий</x:v>
      </x:c>
      <x:c r="O196" s="28" t="str">
        <x:v>надёжная общая ключевая молекула не установлена</x:v>
      </x:c>
      <x:c r="P196" s="28" t="str">
        <x:v>пересечение ароматических семейств; кислотно-сладкий баланс</x:v>
      </x:c>
      <x:c r="Q196" s="28" t="str">
        <x:v>Свежесть и водянистость требуют кислоты, соли или умами; избыток жирной матрицы может подавить зелёные ноты.</x:v>
      </x:c>
      <x:c r="R196" s="28" t="str">
        <x:v>минимальный</x:v>
      </x:c>
      <x:c r="S196" s="28" t="str">
        <x:v>водная крахмалисто-белковая матрица Водная кислая фаза усиливает свежесть, но может разжижать пюре и нарушать молочную эмульсию.</x:v>
      </x:c>
      <x:c r="T19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196" s="28" t="str">
        <x:v>Горох имеет профиль «зелёный, сладкий, бобовый и слегка цветочный».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196" s="28" t="str">
        <x:v>старый горох мучнистый; длительное хранение и нагрев снижают цвет и свежий аромат; избыток кислоты или воды может сделать овощной вкус тонким и разрушить сливочную эмульсию</x:v>
      </x:c>
      <x:c r="W196" s="28" t="str">
        <x:v>цитрус, мёд или мягкая трава</x:v>
      </x:c>
      <x:c r="X196" s="28" t="str">
        <x:v>салат, гарнир, суп, соус, маринад, ферментация или напиток с апельсин</x:v>
      </x:c>
      <x:c r="Y196" s="28" t="str">
        <x:v>еда, десерты, соусы/маринады</x:v>
      </x:c>
      <x:c r="Z196" s="28" t="str">
        <x:v>Средняя</x:v>
      </x:c>
      <x:c r="AA196" s="28" t="str">
        <x:v>The Art &amp; Science of Foodpairing.pdf</x:v>
      </x:c>
      <x:c r="AB196" s="28" t="str">
        <x:v>The Art &amp; Science of Foodpairing.pdf: 236</x:v>
      </x:c>
      <x:c r="AC196" s="28" t="str">
        <x:v>связь из pairing grid, стр. 236</x:v>
      </x:c>
      <x:c r="AD196" s="28" t="n">
        <x:v>1</x:v>
      </x:c>
      <x:c r="AE196" s="28" t="n">
        <x:v>1</x:v>
      </x:c>
      <x:c r="AF196" s="28" t="n">
        <x:f>IF(Z196="Высокая",3,IF(Z196="Средняя",2,1))+AD196*2+MIN(AE196,3)</x:f>
        <x:v>5</x:v>
      </x:c>
    </x:row>
    <x:row r="197" ht="64" customHeight="1">
      <x:c r="A197" s="28" t="str">
        <x:v>VEG-0196</x:v>
      </x:c>
      <x:c r="B197" s="28" t="str">
        <x:v>горох</x:v>
      </x:c>
      <x:c r="C197" s="28" t="str">
        <x:v>Еда и соусы</x:v>
      </x:c>
      <x:c r="D197" s="28" t="str">
        <x:v>горох</x:v>
      </x:c>
      <x:c r="E197" s="28" t="str">
        <x:v>Горох | горох</x:v>
      </x:c>
      <x:c r="F197" s="28" t="str">
        <x:v>Бобовые</x:v>
      </x:c>
      <x:c r="G197" s="28" t="str">
        <x:v>баранина</x:v>
      </x:c>
      <x:c r="H197" s="28" t="str">
        <x:v>Баранина | баранина</x:v>
      </x:c>
      <x:c r="I197" s="28" t="str">
        <x:v>Мясо и птица</x:v>
      </x:c>
      <x:c r="J197" s="28" t="str">
        <x:v>зелёный, сладкий, бобовый и слегка цветочный</x:v>
      </x:c>
      <x:c r="K197" s="28" t="str">
        <x:v>жареный, мясной и умами</x:v>
      </x:c>
      <x:c r="L197" s="28" t="str">
        <x:v>гексаналь, цис-3-гексенол, метоксипиразины, эфиры</x:v>
      </x:c>
      <x:c r="M197" s="28" t="str">
        <x:v>пиразины, сернистые соединения</x:v>
      </x:c>
      <x:c r="N197" s="28" t="str">
        <x:v>прямое пересечение семейств не подтверждено</x:v>
      </x:c>
      <x:c r="O197" s="28" t="str">
        <x:v>надёжная общая ключевая молекула не установлена</x:v>
      </x:c>
      <x:c r="P197" s="28" t="str">
        <x:v>умами и солёный контраст</x:v>
      </x:c>
      <x:c r="Q197" s="28" t="str">
        <x:v>Свежесть и водянистость требуют кислоты, соли или умами; избыток жирной матрицы может подавить зелёные ноты.</x:v>
      </x:c>
      <x:c r="R197" s="28" t="str">
        <x:v>минимальный</x:v>
      </x:c>
      <x:c r="S197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19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197" s="28" t="str">
        <x:v>Горох имеет профиль «зелёный, сладкий, бобовый и слегка цветочный».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97" s="28" t="str">
        <x:v>старый горох мучнистый; длительное хранение и нагрев снижают цвет и свежий аромат</x:v>
      </x:c>
      <x:c r="W197" s="28" t="str">
        <x:v>сливочное масло, соевый соус или тимьян</x:v>
      </x:c>
      <x:c r="X197" s="28" t="str">
        <x:v>салат, гарнир, суп, соус, маринад, ферментация или напиток с баранина</x:v>
      </x:c>
      <x:c r="Y197" s="28" t="str">
        <x:v>еда, соусы/маринады</x:v>
      </x:c>
      <x:c r="Z197" s="28" t="str">
        <x:v>Средняя</x:v>
      </x:c>
      <x:c r="AA197" s="28" t="str">
        <x:v>Тезариус вкусов (Ники Сегнит)(1).pdf</x:v>
      </x:c>
      <x:c r="AB197" s="28" t="str">
        <x:v>Тезариус вкусов (Ники Сегнит)(1).pdf: 128, 536</x:v>
      </x:c>
      <x:c r="AC197" s="28" t="str">
        <x:v>развёрнутая пара/статья, стр. 128; развёрнутая пара/статья, стр. 536</x:v>
      </x:c>
      <x:c r="AD197" s="28" t="n">
        <x:v>1</x:v>
      </x:c>
      <x:c r="AE197" s="28" t="n">
        <x:v>2</x:v>
      </x:c>
      <x:c r="AF197" s="28" t="n">
        <x:f>IF(Z197="Высокая",3,IF(Z197="Средняя",2,1))+AD197*2+MIN(AE197,3)</x:f>
        <x:v>6</x:v>
      </x:c>
    </x:row>
    <x:row r="198" ht="64" customHeight="1">
      <x:c r="A198" s="28" t="str">
        <x:v>VEG-0197</x:v>
      </x:c>
      <x:c r="B198" s="28" t="str">
        <x:v>горох</x:v>
      </x:c>
      <x:c r="C198" s="28" t="str">
        <x:v>Еда и соусы</x:v>
      </x:c>
      <x:c r="D198" s="28" t="str">
        <x:v>горох</x:v>
      </x:c>
      <x:c r="E198" s="28" t="str">
        <x:v>Горох | горох</x:v>
      </x:c>
      <x:c r="F198" s="28" t="str">
        <x:v>Бобовые</x:v>
      </x:c>
      <x:c r="G198" s="28" t="str">
        <x:v>бекон</x:v>
      </x:c>
      <x:c r="H198" s="28" t="str">
        <x:v>Бекон | бекон</x:v>
      </x:c>
      <x:c r="I198" s="28" t="str">
        <x:v>Мясо и птица</x:v>
      </x:c>
      <x:c r="J198" s="28" t="str">
        <x:v>зелёный, сладкий, бобовый и слегка цветочный</x:v>
      </x:c>
      <x:c r="K198" s="28" t="str">
        <x:v>дымный, жареный, умами</x:v>
      </x:c>
      <x:c r="L198" s="28" t="str">
        <x:v>гексаналь, цис-3-гексенол, метоксипиразины, эфиры</x:v>
      </x:c>
      <x:c r="M198" s="28" t="str">
        <x:v>пиразины, фенолы</x:v>
      </x:c>
      <x:c r="N198" s="28" t="str">
        <x:v>прямое пересечение семейств не подтверждено</x:v>
      </x:c>
      <x:c r="O198" s="28" t="str">
        <x:v>надёжная общая ключевая молекула не установлена</x:v>
      </x:c>
      <x:c r="P198" s="28" t="str">
        <x:v>умами и солёный контраст</x:v>
      </x:c>
      <x:c r="Q198" s="28" t="str">
        <x:v>Свежесть и водянистость требуют кислоты, соли или умами; избыток жирной матрицы может подавить зелёные ноты.</x:v>
      </x:c>
      <x:c r="R198" s="28" t="str">
        <x:v>минимальный</x:v>
      </x:c>
      <x:c r="S198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19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198" s="28" t="str">
        <x:v>Горох имеет профиль «зелёный, сладкий, бобовый и слегка цветочный».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98" s="28" t="str">
        <x:v>старый горох мучнистый; длительное хранение и нагрев снижают цвет и свежий аромат</x:v>
      </x:c>
      <x:c r="W198" s="28" t="str">
        <x:v>сливочное масло, соевый соус или тимьян</x:v>
      </x:c>
      <x:c r="X198" s="28" t="str">
        <x:v>салат, гарнир, суп, соус, маринад, ферментация или напиток с бекон</x:v>
      </x:c>
      <x:c r="Y198" s="28" t="str">
        <x:v>еда, соусы/маринады</x:v>
      </x:c>
      <x:c r="Z198" s="28" t="str">
        <x:v>Средняя</x:v>
      </x:c>
      <x:c r="AA198" s="28" t="str">
        <x:v>Тезариус вкусов (Ники Сегнит)(1).pdf</x:v>
      </x:c>
      <x:c r="AB198" s="28" t="str">
        <x:v>Тезариус вкусов (Ники Сегнит)(1).pdf: 444, 536</x:v>
      </x:c>
      <x:c r="AC198" s="28" t="str">
        <x:v>развёрнутая пара/статья, стр. 444; развёрнутая пара/статья, стр. 536</x:v>
      </x:c>
      <x:c r="AD198" s="28" t="n">
        <x:v>1</x:v>
      </x:c>
      <x:c r="AE198" s="28" t="n">
        <x:v>2</x:v>
      </x:c>
      <x:c r="AF198" s="28" t="n">
        <x:f>IF(Z198="Высокая",3,IF(Z198="Средняя",2,1))+AD198*2+MIN(AE198,3)</x:f>
        <x:v>6</x:v>
      </x:c>
    </x:row>
    <x:row r="199" ht="64" customHeight="1">
      <x:c r="A199" s="28" t="str">
        <x:v>VEG-0198</x:v>
      </x:c>
      <x:c r="B199" s="28" t="str">
        <x:v>горох</x:v>
      </x:c>
      <x:c r="C199" s="28" t="str">
        <x:v>Еда и соусы</x:v>
      </x:c>
      <x:c r="D199" s="28" t="str">
        <x:v>горох</x:v>
      </x:c>
      <x:c r="E199" s="28" t="str">
        <x:v>Горох | горох</x:v>
      </x:c>
      <x:c r="F199" s="28" t="str">
        <x:v>Бобовые</x:v>
      </x:c>
      <x:c r="G199" s="28" t="str">
        <x:v>белая рыба</x:v>
      </x:c>
      <x:c r="H199" s="28" t="str">
        <x:v>Белая рыба | белая рыба</x:v>
      </x:c>
      <x:c r="I199" s="28" t="str">
        <x:v>Рыба и морепродукты</x:v>
      </x:c>
      <x:c r="J199" s="28" t="str">
        <x:v>зелёный, сладкий, бобовый и слегка цветочный</x:v>
      </x:c>
      <x:c r="K199" s="28" t="str">
        <x:v>жирный, морской, умами</x:v>
      </x:c>
      <x:c r="L199" s="28" t="str">
        <x:v>гексаналь, цис-3-гексенол, метоксипиразины, эфиры</x:v>
      </x:c>
      <x:c r="M199" s="28" t="str">
        <x:v>альдегиды, амины</x:v>
      </x:c>
      <x:c r="N199" s="28" t="str">
        <x:v>прямое пересечение семейств не подтверждено</x:v>
      </x:c>
      <x:c r="O199" s="28" t="str">
        <x:v>надёжная общая ключевая молекула не установлена</x:v>
      </x:c>
      <x:c r="P199" s="28" t="str">
        <x:v>умами и солёный контраст</x:v>
      </x:c>
      <x:c r="Q199" s="28" t="str">
        <x:v>Свежесть и водянистость требуют кислоты, соли или умами; избыток жирной матрицы может подавить зелёные ноты.</x:v>
      </x:c>
      <x:c r="R199" s="28" t="str">
        <x:v>минимальный</x:v>
      </x:c>
      <x:c r="S199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19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199" s="28" t="str">
        <x:v>Горох имеет профиль «зелёный, сладкий, бобовый и слегка цветочный».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199" s="28" t="str">
        <x:v>старый горох мучнистый; длительное хранение и нагрев снижают цвет и свежий аромат</x:v>
      </x:c>
      <x:c r="W199" s="28" t="str">
        <x:v>сливочное масло, соевый соус или тимьян</x:v>
      </x:c>
      <x:c r="X199" s="28" t="str">
        <x:v>салат, гарнир, суп, соус, маринад, ферментация или напиток с белая рыба</x:v>
      </x:c>
      <x:c r="Y199" s="28" t="str">
        <x:v>еда, соусы/маринады</x:v>
      </x:c>
      <x:c r="Z199" s="28" t="str">
        <x:v>Средняя</x:v>
      </x:c>
      <x:c r="AA199" s="28" t="str">
        <x:v>Тезариус вкусов (Ники Сегнит)(1).pdf</x:v>
      </x:c>
      <x:c r="AB199" s="28" t="str">
        <x:v>Тезариус вкусов (Ники Сегнит)(1).pdf: 384, 536</x:v>
      </x:c>
      <x:c r="AC199" s="28" t="str">
        <x:v>развёрнутая пара/статья, стр. 384; развёрнутая пара/статья, стр. 536</x:v>
      </x:c>
      <x:c r="AD199" s="28" t="n">
        <x:v>1</x:v>
      </x:c>
      <x:c r="AE199" s="28" t="n">
        <x:v>2</x:v>
      </x:c>
      <x:c r="AF199" s="28" t="n">
        <x:f>IF(Z199="Высокая",3,IF(Z199="Средняя",2,1))+AD199*2+MIN(AE199,3)</x:f>
        <x:v>6</x:v>
      </x:c>
    </x:row>
    <x:row r="200" ht="64" customHeight="1">
      <x:c r="A200" s="28" t="str">
        <x:v>VEG-0199</x:v>
      </x:c>
      <x:c r="B200" s="28" t="str">
        <x:v>горох</x:v>
      </x:c>
      <x:c r="C200" s="28" t="str">
        <x:v>Еда и соусы</x:v>
      </x:c>
      <x:c r="D200" s="28" t="str">
        <x:v>горох</x:v>
      </x:c>
      <x:c r="E200" s="28" t="str">
        <x:v>Горох | горох</x:v>
      </x:c>
      <x:c r="F200" s="28" t="str">
        <x:v>Бобовые</x:v>
      </x:c>
      <x:c r="G200" s="28" t="str">
        <x:v>говядина</x:v>
      </x:c>
      <x:c r="H200" s="28" t="str">
        <x:v>Говядина | говядина</x:v>
      </x:c>
      <x:c r="I200" s="28" t="str">
        <x:v>Мясо и птица</x:v>
      </x:c>
      <x:c r="J200" s="28" t="str">
        <x:v>зелёный, сладкий, бобовый и слегка цветочный</x:v>
      </x:c>
      <x:c r="K200" s="28" t="str">
        <x:v>жареный, мясной и умами</x:v>
      </x:c>
      <x:c r="L200" s="28" t="str">
        <x:v>гексаналь, цис-3-гексенол, метоксипиразины, эфиры</x:v>
      </x:c>
      <x:c r="M200" s="28" t="str">
        <x:v>пиразины, сернистые соединения</x:v>
      </x:c>
      <x:c r="N200" s="28" t="str">
        <x:v>прямое пересечение семейств не подтверждено</x:v>
      </x:c>
      <x:c r="O200" s="28" t="str">
        <x:v>надёжная общая ключевая молекула не установлена</x:v>
      </x:c>
      <x:c r="P200" s="28" t="str">
        <x:v>умами и солёный контраст</x:v>
      </x:c>
      <x:c r="Q200" s="28" t="str">
        <x:v>Свежесть и водянистость требуют кислоты, соли или умами; избыток жирной матрицы может подавить зелёные ноты.</x:v>
      </x:c>
      <x:c r="R200" s="28" t="str">
        <x:v>минимальный</x:v>
      </x:c>
      <x:c r="S200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200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0" s="28" t="str">
        <x:v>Горох имеет профиль «зелёный, сладкий, бобовый и слегка цветочный».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00" s="28" t="str">
        <x:v>старый горох мучнистый; длительное хранение и нагрев снижают цвет и свежий аромат</x:v>
      </x:c>
      <x:c r="W200" s="28" t="str">
        <x:v>сливочное масло, соевый соус или тимьян</x:v>
      </x:c>
      <x:c r="X200" s="28" t="str">
        <x:v>салат, гарнир, суп, соус, маринад, ферментация или напиток с говядина</x:v>
      </x:c>
      <x:c r="Y200" s="28" t="str">
        <x:v>еда, соусы/маринады</x:v>
      </x:c>
      <x:c r="Z200" s="28" t="str">
        <x:v>Средняя</x:v>
      </x:c>
      <x:c r="AA200" s="28" t="str">
        <x:v>Тезариус вкусов (Ники Сегнит)(1).pdf</x:v>
      </x:c>
      <x:c r="AB200" s="28" t="str">
        <x:v>Тезариус вкусов (Ники Сегнит)(1).pdf: 108, 537</x:v>
      </x:c>
      <x:c r="AC200" s="28" t="str">
        <x:v>развёрнутая пара/статья, стр. 108; развёрнутая пара/статья, стр. 537</x:v>
      </x:c>
      <x:c r="AD200" s="28" t="n">
        <x:v>1</x:v>
      </x:c>
      <x:c r="AE200" s="28" t="n">
        <x:v>2</x:v>
      </x:c>
      <x:c r="AF200" s="28" t="n">
        <x:f>IF(Z200="Высокая",3,IF(Z200="Средняя",2,1))+AD200*2+MIN(AE200,3)</x:f>
        <x:v>6</x:v>
      </x:c>
    </x:row>
    <x:row r="201" ht="64" customHeight="1">
      <x:c r="A201" s="28" t="str">
        <x:v>VEG-0200</x:v>
      </x:c>
      <x:c r="B201" s="28" t="str">
        <x:v>горох</x:v>
      </x:c>
      <x:c r="C201" s="28" t="str">
        <x:v>Еда и соусы</x:v>
      </x:c>
      <x:c r="D201" s="28" t="str">
        <x:v>горох</x:v>
      </x:c>
      <x:c r="E201" s="28" t="str">
        <x:v>Горох | горох</x:v>
      </x:c>
      <x:c r="F201" s="28" t="str">
        <x:v>Бобовые</x:v>
      </x:c>
      <x:c r="G201" s="28" t="str">
        <x:v>жирная рыба</x:v>
      </x:c>
      <x:c r="H201" s="28" t="str">
        <x:v>Жирная рыба | жирная рыба</x:v>
      </x:c>
      <x:c r="I201" s="28" t="str">
        <x:v>Рыба и морепродукты</x:v>
      </x:c>
      <x:c r="J201" s="28" t="str">
        <x:v>зелёный, сладкий, бобовый и слегка цветочный</x:v>
      </x:c>
      <x:c r="K201" s="28" t="str">
        <x:v>жирный, морской, умами</x:v>
      </x:c>
      <x:c r="L201" s="28" t="str">
        <x:v>гексаналь, цис-3-гексенол, метоксипиразины, эфиры</x:v>
      </x:c>
      <x:c r="M201" s="28" t="str">
        <x:v>альдегиды, амины</x:v>
      </x:c>
      <x:c r="N201" s="28" t="str">
        <x:v>прямое пересечение семейств не подтверждено</x:v>
      </x:c>
      <x:c r="O201" s="28" t="str">
        <x:v>надёжная общая ключевая молекула не установлена</x:v>
      </x:c>
      <x:c r="P201" s="28" t="str">
        <x:v>умами и солёный контраст</x:v>
      </x:c>
      <x:c r="Q201" s="28" t="str">
        <x:v>Свежесть и водянистость требуют кислоты, соли или умами; избыток жирной матрицы может подавить зелёные ноты.</x:v>
      </x:c>
      <x:c r="R201" s="28" t="str">
        <x:v>минимальный</x:v>
      </x:c>
      <x:c r="S201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201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1" s="28" t="str">
        <x:v>Горох имеет профиль «зелёный, сладкий, бобовый и слегка цветочный».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01" s="28" t="str">
        <x:v>старый горох мучнистый; длительное хранение и нагрев снижают цвет и свежий аромат</x:v>
      </x:c>
      <x:c r="W201" s="28" t="str">
        <x:v>сливочное масло, соевый соус или тимьян</x:v>
      </x:c>
      <x:c r="X201" s="28" t="str">
        <x:v>салат, гарнир, суп, соус, маринад, ферментация или напиток с жирная рыба</x:v>
      </x:c>
      <x:c r="Y201" s="28" t="str">
        <x:v>еда, соусы/маринады</x:v>
      </x:c>
      <x:c r="Z201" s="28" t="str">
        <x:v>Средняя</x:v>
      </x:c>
      <x:c r="AA201" s="28" t="str">
        <x:v>Тезариус вкусов (Ники Сегнит)(1).pdf</x:v>
      </x:c>
      <x:c r="AB201" s="28" t="str">
        <x:v>Тезариус вкусов (Ники Сегнит)(1).pdf: 412, 538</x:v>
      </x:c>
      <x:c r="AC201" s="28" t="str">
        <x:v>развёрнутая пара/статья, стр. 412; развёрнутая пара/статья, стр. 538</x:v>
      </x:c>
      <x:c r="AD201" s="28" t="n">
        <x:v>1</x:v>
      </x:c>
      <x:c r="AE201" s="28" t="n">
        <x:v>2</x:v>
      </x:c>
      <x:c r="AF201" s="28" t="n">
        <x:f>IF(Z201="Высокая",3,IF(Z201="Средняя",2,1))+AD201*2+MIN(AE201,3)</x:f>
        <x:v>6</x:v>
      </x:c>
    </x:row>
    <x:row r="202" ht="64" customHeight="1">
      <x:c r="A202" s="28" t="str">
        <x:v>VEG-0201</x:v>
      </x:c>
      <x:c r="B202" s="28" t="str">
        <x:v>горох</x:v>
      </x:c>
      <x:c r="C202" s="28" t="str">
        <x:v>Еда и соусы</x:v>
      </x:c>
      <x:c r="D202" s="28" t="str">
        <x:v>горох</x:v>
      </x:c>
      <x:c r="E202" s="28" t="str">
        <x:v>Горох | горох</x:v>
      </x:c>
      <x:c r="F202" s="28" t="str">
        <x:v>Бобовые</x:v>
      </x:c>
      <x:c r="G202" s="28" t="str">
        <x:v>копченая рыба</x:v>
      </x:c>
      <x:c r="H202" s="28" t="str">
        <x:v>Копченая рыба | копченая рыба</x:v>
      </x:c>
      <x:c r="I202" s="28" t="str">
        <x:v>Рыба и морепродукты</x:v>
      </x:c>
      <x:c r="J202" s="28" t="str">
        <x:v>зелёный, сладкий, бобовый и слегка цветочный</x:v>
      </x:c>
      <x:c r="K202" s="28" t="str">
        <x:v>жирный, морской, умами</x:v>
      </x:c>
      <x:c r="L202" s="28" t="str">
        <x:v>гексаналь, цис-3-гексенол, метоксипиразины, эфиры</x:v>
      </x:c>
      <x:c r="M202" s="28" t="str">
        <x:v>альдегиды, амины</x:v>
      </x:c>
      <x:c r="N202" s="28" t="str">
        <x:v>прямое пересечение семейств не подтверждено</x:v>
      </x:c>
      <x:c r="O202" s="28" t="str">
        <x:v>надёжная общая ключевая молекула не установлена</x:v>
      </x:c>
      <x:c r="P202" s="28" t="str">
        <x:v>умами и солёный контраст</x:v>
      </x:c>
      <x:c r="Q202" s="28" t="str">
        <x:v>Свежесть и водянистость требуют кислоты, соли или умами; избыток жирной матрицы может подавить зелёные ноты.</x:v>
      </x:c>
      <x:c r="R202" s="28" t="str">
        <x:v>минимальный</x:v>
      </x:c>
      <x:c r="S202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20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2" s="28" t="str">
        <x:v>Горох имеет профиль «зелёный, сладкий, бобовый и слегка цветочный».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02" s="28" t="str">
        <x:v>старый горох мучнистый; длительное хранение и нагрев снижают цвет и свежий аромат</x:v>
      </x:c>
      <x:c r="W202" s="28" t="str">
        <x:v>сливочное масло, соевый соус или тимьян</x:v>
      </x:c>
      <x:c r="X202" s="28" t="str">
        <x:v>салат, гарнир, суп, соус, маринад, ферментация или напиток с копченая рыба</x:v>
      </x:c>
      <x:c r="Y202" s="28" t="str">
        <x:v>еда, соусы/маринады</x:v>
      </x:c>
      <x:c r="Z202" s="28" t="str">
        <x:v>Средняя</x:v>
      </x:c>
      <x:c r="AA202" s="28" t="str">
        <x:v>Тезариус вкусов (Ники Сегнит)(1).pdf</x:v>
      </x:c>
      <x:c r="AB202" s="28" t="str">
        <x:v>Тезариус вкусов (Ники Сегнит)(1).pdf: 435, 538</x:v>
      </x:c>
      <x:c r="AC202" s="28" t="str">
        <x:v>развёрнутая пара/статья, стр. 435; развёрнутая пара/статья, стр. 538</x:v>
      </x:c>
      <x:c r="AD202" s="28" t="n">
        <x:v>1</x:v>
      </x:c>
      <x:c r="AE202" s="28" t="n">
        <x:v>2</x:v>
      </x:c>
      <x:c r="AF202" s="28" t="n">
        <x:f>IF(Z202="Высокая",3,IF(Z202="Средняя",2,1))+AD202*2+MIN(AE202,3)</x:f>
        <x:v>6</x:v>
      </x:c>
    </x:row>
    <x:row r="203" ht="64" customHeight="1">
      <x:c r="A203" s="28" t="str">
        <x:v>VEG-0202</x:v>
      </x:c>
      <x:c r="B203" s="28" t="str">
        <x:v>горох</x:v>
      </x:c>
      <x:c r="C203" s="28" t="str">
        <x:v>Десерты и выпечка</x:v>
      </x:c>
      <x:c r="D203" s="28" t="str">
        <x:v>горох</x:v>
      </x:c>
      <x:c r="E203" s="28" t="str">
        <x:v>pea</x:v>
      </x:c>
      <x:c r="F203" s="28" t="str">
        <x:v>Бобовые</x:v>
      </x:c>
      <x:c r="G203" s="28" t="str">
        <x:v>кунжут, халва и тахини</x:v>
      </x:c>
      <x:c r="H203" s="28" t="str">
        <x:v>sesame seeds, halva and tahini</x:v>
      </x:c>
      <x:c r="I203" s="28" t="str">
        <x:v>Орехи и семена</x:v>
      </x:c>
      <x:c r="J203" s="28" t="str">
        <x:v>зелёный, сладкий, бобовый и слегка цветочный</x:v>
      </x:c>
      <x:c r="K203" s="28" t="str">
        <x:v>ореховый, жареный и жирный</x:v>
      </x:c>
      <x:c r="L203" s="28" t="str">
        <x:v>гексаналь, цис-3-гексенол, метоксипиразины, эфиры</x:v>
      </x:c>
      <x:c r="M203" s="28" t="str">
        <x:v>альдегиды, пиразины, фураны</x:v>
      </x:c>
      <x:c r="N203" s="28" t="str">
        <x:v>прямое пересечение семейств не подтверждено</x:v>
      </x:c>
      <x:c r="O203" s="28" t="str">
        <x:v>надёжная общая ключевая молекула не установлена</x:v>
      </x:c>
      <x:c r="P203" s="28" t="str">
        <x:v>сенсорная комплементарность</x:v>
      </x:c>
      <x:c r="Q203" s="28" t="str">
        <x:v>Свежесть и водянистость требуют кислоты, соли или умами; избыток жирной матрицы может подавить зелёные ноты.</x:v>
      </x:c>
      <x:c r="R203" s="28" t="str">
        <x:v>минимальный</x:v>
      </x:c>
      <x:c r="S203" s="28" t="str">
        <x:v>водная крахмалисто-белковая матрица</x:v>
      </x:c>
      <x:c r="T20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3" s="28" t="str">
        <x:v>Горох имеет профиль «зелёный, сладкий, бобовый и слегка цветочный».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203" s="28" t="str">
        <x:v>старый горох мучнистый; длительное хранение и нагрев снижают цвет и свежий аромат</x:v>
      </x:c>
      <x:c r="W203" s="28" t="str">
        <x:v>соль, кислота или ароматический жир</x:v>
      </x:c>
      <x:c r="X203" s="28" t="str">
        <x:v>салат, гарнир, суп, соус, маринад, ферментация или напиток с кунжут, халва и тахини</x:v>
      </x:c>
      <x:c r="Y203" s="28" t="str">
        <x:v>еда, десерты, соусы/маринады</x:v>
      </x:c>
      <x:c r="Z203" s="28" t="str">
        <x:v>Средняя</x:v>
      </x:c>
      <x:c r="AA203" s="28" t="str">
        <x:v>The Art &amp; Science of Foodpairing.pdf</x:v>
      </x:c>
      <x:c r="AB203" s="28" t="str">
        <x:v>The Art &amp; Science of Foodpairing.pdf: 308</x:v>
      </x:c>
      <x:c r="AC203" s="28" t="str">
        <x:v>связь из pairing grid, стр. 308</x:v>
      </x:c>
      <x:c r="AD203" s="28" t="n">
        <x:v>1</x:v>
      </x:c>
      <x:c r="AE203" s="28" t="n">
        <x:v>1</x:v>
      </x:c>
      <x:c r="AF203" s="28" t="n">
        <x:f>IF(Z203="Высокая",3,IF(Z203="Средняя",2,1))+AD203*2+MIN(AE203,3)</x:f>
        <x:v>5</x:v>
      </x:c>
    </x:row>
    <x:row r="204" ht="64" customHeight="1">
      <x:c r="A204" s="28" t="str">
        <x:v>VEG-0203</x:v>
      </x:c>
      <x:c r="B204" s="28" t="str">
        <x:v>горох</x:v>
      </x:c>
      <x:c r="C204" s="28" t="str">
        <x:v>Еда и соусы</x:v>
      </x:c>
      <x:c r="D204" s="28" t="str">
        <x:v>горох</x:v>
      </x:c>
      <x:c r="E204" s="28" t="str">
        <x:v>Горох | горох</x:v>
      </x:c>
      <x:c r="F204" s="28" t="str">
        <x:v>Бобовые</x:v>
      </x:c>
      <x:c r="G204" s="28" t="str">
        <x:v>моллюски</x:v>
      </x:c>
      <x:c r="H204" s="28" t="str">
        <x:v>Моллюски | моллюски</x:v>
      </x:c>
      <x:c r="I204" s="28" t="str">
        <x:v>Рыба и морепродукты</x:v>
      </x:c>
      <x:c r="J204" s="28" t="str">
        <x:v>зелёный, сладкий, бобовый и слегка цветочный</x:v>
      </x:c>
      <x:c r="K204" s="28" t="str">
        <x:v>морской, солоноватый и умами</x:v>
      </x:c>
      <x:c r="L204" s="28" t="str">
        <x:v>гексаналь, цис-3-гексенол, метоксипиразины, эфиры</x:v>
      </x:c>
      <x:c r="M204" s="28" t="str">
        <x:v>альдегиды, амины</x:v>
      </x:c>
      <x:c r="N204" s="28" t="str">
        <x:v>прямое пересечение семейств не подтверждено</x:v>
      </x:c>
      <x:c r="O204" s="28" t="str">
        <x:v>надёжная общая ключевая молекула не установлена</x:v>
      </x:c>
      <x:c r="P204" s="28" t="str">
        <x:v>умами и солёный контраст</x:v>
      </x:c>
      <x:c r="Q204" s="28" t="str">
        <x:v>Свежесть и водянистость требуют кислоты, соли или умами; избыток жирной матрицы может подавить зелёные ноты.</x:v>
      </x:c>
      <x:c r="R204" s="28" t="str">
        <x:v>минимальный</x:v>
      </x:c>
      <x:c r="S204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20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4" s="28" t="str">
        <x:v>Горох имеет профиль «зелёный, сладкий, бобовый и слегка цветочный».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04" s="28" t="str">
        <x:v>старый горох мучнистый; длительное хранение и нагрев снижают цвет и свежий аромат</x:v>
      </x:c>
      <x:c r="W204" s="28" t="str">
        <x:v>сливочное масло, соевый соус или тимьян</x:v>
      </x:c>
      <x:c r="X204" s="28" t="str">
        <x:v>салат, гарнир, суп, соус, маринад, ферментация или напиток с моллюски</x:v>
      </x:c>
      <x:c r="Y204" s="28" t="str">
        <x:v>еда, соусы/маринады</x:v>
      </x:c>
      <x:c r="Z204" s="28" t="str">
        <x:v>Средняя</x:v>
      </x:c>
      <x:c r="AA204" s="28" t="str">
        <x:v>Тезариус вкусов (Ники Сегнит)(1).pdf</x:v>
      </x:c>
      <x:c r="AB204" s="28" t="str">
        <x:v>Тезариус вкусов (Ники Сегнит)(1).pdf: 369, 539</x:v>
      </x:c>
      <x:c r="AC204" s="28" t="str">
        <x:v>развёрнутая пара/статья, стр. 369; развёрнутая пара/статья, стр. 539</x:v>
      </x:c>
      <x:c r="AD204" s="28" t="n">
        <x:v>1</x:v>
      </x:c>
      <x:c r="AE204" s="28" t="n">
        <x:v>2</x:v>
      </x:c>
      <x:c r="AF204" s="28" t="n">
        <x:f>IF(Z204="Высокая",3,IF(Z204="Средняя",2,1))+AD204*2+MIN(AE204,3)</x:f>
        <x:v>6</x:v>
      </x:c>
    </x:row>
    <x:row r="205" ht="64" customHeight="1">
      <x:c r="A205" s="28" t="str">
        <x:v>VEG-0204</x:v>
      </x:c>
      <x:c r="B205" s="28" t="str">
        <x:v>горох</x:v>
      </x:c>
      <x:c r="C205" s="28" t="str">
        <x:v>Универсальные</x:v>
      </x:c>
      <x:c r="D205" s="28" t="str">
        <x:v>горох</x:v>
      </x:c>
      <x:c r="E205" s="28" t="str">
        <x:v>pea</x:v>
      </x:c>
      <x:c r="F205" s="28" t="str">
        <x:v>Бобовые</x:v>
      </x:c>
      <x:c r="G205" s="28" t="str">
        <x:v>морковь</x:v>
      </x:c>
      <x:c r="H205" s="28" t="str">
        <x:v>carrot</x:v>
      </x:c>
      <x:c r="I205" s="28" t="str">
        <x:v>Корнеплоды</x:v>
      </x:c>
      <x:c r="J205" s="28" t="str">
        <x:v>зелёный, сладкий, бобовый и слегка цветочный</x:v>
      </x:c>
      <x:c r="K205" s="28" t="str">
        <x:v>сладкий, землистый, древесный и слегка цитрусовый</x:v>
      </x:c>
      <x:c r="L205" s="28" t="str">
        <x:v>гексаналь, цис-3-гексенол, метоксипиразины, эфиры</x:v>
      </x:c>
      <x:c r="M205" s="28" t="str">
        <x:v>β-ионон, каротол, пинены, терпинолен</x:v>
      </x:c>
      <x:c r="N205" s="28" t="str">
        <x:v>сладкий</x:v>
      </x:c>
      <x:c r="O205" s="28" t="str">
        <x:v>надёжная общая ключевая молекула не установлена</x:v>
      </x:c>
      <x:c r="P205" s="28" t="str">
        <x:v>пересечение ароматических семейств</x:v>
      </x:c>
      <x:c r="Q205" s="28" t="str">
        <x:v>Свежесть и водянистость требуют кислоты, соли или умами; избыток жирной матрицы может подавить зелёные ноты.</x:v>
      </x:c>
      <x:c r="R205" s="28" t="str">
        <x:v>минимальный</x:v>
      </x:c>
      <x:c r="S205" s="28" t="str">
        <x:v>водная крахмалисто-белковая матрица</x:v>
      </x:c>
      <x:c r="T20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5" s="28" t="str">
        <x:v>Горох имеет профиль «зелёный, сладкий, бобовый и слегка цветочный».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V205" s="28" t="str">
        <x:v>старый горох мучнистый; длительное хранение и нагрев снижают цвет и свежий аромат</x:v>
      </x:c>
      <x:c r="W205" s="28" t="str">
        <x:v>соль, кислота или ароматический жир</x:v>
      </x:c>
      <x:c r="X205" s="28" t="str">
        <x:v>салат, гарнир, суп, соус, маринад, ферментация или напиток с морковь</x:v>
      </x:c>
      <x:c r="Y205" s="28" t="str">
        <x:v>еда, соусы/маринады</x:v>
      </x:c>
      <x:c r="Z205" s="28" t="str">
        <x:v>Средняя</x:v>
      </x:c>
      <x:c r="AA205" s="28" t="str">
        <x:v>The Art &amp; Science of Foodpairing.pdf</x:v>
      </x:c>
      <x:c r="AB205" s="28" t="str">
        <x:v>The Art &amp; Science of Foodpairing.pdf: 232</x:v>
      </x:c>
      <x:c r="AC205" s="28" t="str">
        <x:v>связь из pairing grid, стр. 232</x:v>
      </x:c>
      <x:c r="AD205" s="28" t="n">
        <x:v>1</x:v>
      </x:c>
      <x:c r="AE205" s="28" t="n">
        <x:v>1</x:v>
      </x:c>
      <x:c r="AF205" s="28" t="n">
        <x:f>IF(Z205="Высокая",3,IF(Z205="Средняя",2,1))+AD205*2+MIN(AE205,3)</x:f>
        <x:v>5</x:v>
      </x:c>
    </x:row>
    <x:row r="206" ht="64" customHeight="1">
      <x:c r="A206" s="28" t="str">
        <x:v>VEG-0205</x:v>
      </x:c>
      <x:c r="B206" s="28" t="str">
        <x:v>горох</x:v>
      </x:c>
      <x:c r="C206" s="28" t="str">
        <x:v>Универсальные</x:v>
      </x:c>
      <x:c r="D206" s="28" t="str">
        <x:v>горох</x:v>
      </x:c>
      <x:c r="E206" s="28" t="str">
        <x:v>горох</x:v>
      </x:c>
      <x:c r="F206" s="28" t="str">
        <x:v>Бобовые</x:v>
      </x:c>
      <x:c r="G206" s="28" t="str">
        <x:v>мята</x:v>
      </x:c>
      <x:c r="H206" s="28" t="str">
        <x:v>Мята</x:v>
      </x:c>
      <x:c r="I206" s="28" t="str">
        <x:v>Травы, цветы и листья</x:v>
      </x:c>
      <x:c r="J206" s="28" t="str">
        <x:v>зелёный, сладкий, бобовый и слегка цветочный</x:v>
      </x:c>
      <x:c r="K206" s="28" t="str">
        <x:v>зелёный, холодящий</x:v>
      </x:c>
      <x:c r="L206" s="28" t="str">
        <x:v>гексаналь, цис-3-гексенол, метоксипиразины, эфиры</x:v>
      </x:c>
      <x:c r="M206" s="28" t="str">
        <x:v>ментол</x:v>
      </x:c>
      <x:c r="N206" s="28" t="str">
        <x:v>зелёный</x:v>
      </x:c>
      <x:c r="O206" s="28" t="str">
        <x:v>надёжная общая ключевая молекула не установлена</x:v>
      </x:c>
      <x:c r="P206" s="28" t="str">
        <x:v>пересечение ароматических семейств</x:v>
      </x:c>
      <x:c r="Q206" s="28" t="str">
        <x:v>Свежесть и водянистость требуют кислоты, соли или умами; избыток жирной матрицы может подавить зелёные ноты.</x:v>
      </x:c>
      <x:c r="R206" s="28" t="str">
        <x:v>минимальный</x:v>
      </x:c>
      <x:c r="S206" s="28" t="str">
        <x:v>водная крахмалисто-белковая матрица</x:v>
      </x:c>
      <x:c r="T20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6" s="28" t="str">
        <x:v>Горох имеет профиль «зелёный, сладкий, бобовый и слегка цветочный».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206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W206" s="28" t="str">
        <x:v>оливковое масло, лимон или сыр</x:v>
      </x:c>
      <x:c r="X206" s="28" t="str">
        <x:v>салат, гарнир, суп, соус, маринад, ферментация или напиток с мята</x:v>
      </x:c>
      <x:c r="Y206" s="28" t="str">
        <x:v>еда, соусы/маринады</x:v>
      </x:c>
      <x:c r="Z206" s="28" t="str">
        <x:v>Средняя</x:v>
      </x:c>
      <x:c r="AA206" s="28" t="str">
        <x:v>Тезариус вкусов (Ники Сегнит)(1).pdf</x:v>
      </x:c>
      <x:c r="AB206" s="28" t="str">
        <x:v>Тезариус вкусов (Ники Сегнит)(1).pdf: 866</x:v>
      </x:c>
      <x:c r="AC206" s="28" t="str">
        <x:v>развёрнутая пара/статья, стр. 866</x:v>
      </x:c>
      <x:c r="AD206" s="28" t="n">
        <x:v>1</x:v>
      </x:c>
      <x:c r="AE206" s="28" t="n">
        <x:v>1</x:v>
      </x:c>
      <x:c r="AF206" s="28" t="n">
        <x:f>IF(Z206="Высокая",3,IF(Z206="Средняя",2,1))+AD206*2+MIN(AE206,3)</x:f>
        <x:v>5</x:v>
      </x:c>
    </x:row>
    <x:row r="207" ht="64" customHeight="1">
      <x:c r="A207" s="28" t="str">
        <x:v>VEG-0206</x:v>
      </x:c>
      <x:c r="B207" s="28" t="str">
        <x:v>горох</x:v>
      </x:c>
      <x:c r="C207" s="28" t="str">
        <x:v>Универсальные</x:v>
      </x:c>
      <x:c r="D207" s="28" t="str">
        <x:v>горох</x:v>
      </x:c>
      <x:c r="E207" s="28" t="str">
        <x:v>pea</x:v>
      </x:c>
      <x:c r="F207" s="28" t="str">
        <x:v>Бобовые</x:v>
      </x:c>
      <x:c r="G207" s="28" t="str">
        <x:v>оливковое масло</x:v>
      </x:c>
      <x:c r="H207" s="28" t="str">
        <x:v>olive oil</x:v>
      </x:c>
      <x:c r="I207" s="28" t="str">
        <x:v>Масла и жиры</x:v>
      </x:c>
      <x:c r="J207" s="28" t="str">
        <x:v>зелёный, сладкий, бобовый и слегка цветочный</x:v>
      </x:c>
      <x:c r="K207" s="28" t="str">
        <x:v>жирный и мягкий</x:v>
      </x:c>
      <x:c r="L207" s="28" t="str">
        <x:v>гексаналь, цис-3-гексенол, метоксипиразины, эфиры</x:v>
      </x:c>
      <x:c r="M207" s="28" t="str">
        <x:v>альдегиды, лактоны</x:v>
      </x:c>
      <x:c r="N207" s="28" t="str">
        <x:v>прямое пересечение семейств не подтверждено</x:v>
      </x:c>
      <x:c r="O207" s="28" t="str">
        <x:v>надёжная общая ключевая молекула не установлена</x:v>
      </x:c>
      <x:c r="P207" s="28" t="str">
        <x:v>жировая матрица</x:v>
      </x:c>
      <x:c r="Q207" s="28" t="str">
        <x:v>Свежесть и водянистость требуют кислоты, соли или умами; избыток жирной матрицы может подавить зелёные ноты.</x:v>
      </x:c>
      <x:c r="R207" s="28" t="str">
        <x:v>минимальный</x:v>
      </x:c>
      <x:c r="S207" s="28" t="str">
        <x:v>водная крахмалисто-белковая матрица Жировая фаза удерживает гидрофобные молекулы, но может сделать вкус тяжёлым.</x:v>
      </x:c>
      <x:c r="T20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7" s="28" t="str">
        <x:v>Горох имеет профиль «зелёный, сладкий, бобовый и слегка цветочный».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07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W207" s="28" t="str">
        <x:v>кислота, зелень или жареный орех</x:v>
      </x:c>
      <x:c r="X207" s="28" t="str">
        <x:v>салат, гарнир, суп, соус, маринад, ферментация или напиток с оливковое масло</x:v>
      </x:c>
      <x:c r="Y207" s="28" t="str">
        <x:v>еда, соусы/маринады</x:v>
      </x:c>
      <x:c r="Z207" s="28" t="str">
        <x:v>Средняя</x:v>
      </x:c>
      <x:c r="AA207" s="28" t="str">
        <x:v>The Art &amp; Science of Foodpairing.pdf</x:v>
      </x:c>
      <x:c r="AB207" s="28" t="str">
        <x:v>The Art &amp; Science of Foodpairing.pdf: 172</x:v>
      </x:c>
      <x:c r="AC207" s="28" t="str">
        <x:v>связь из pairing grid, стр. 172</x:v>
      </x:c>
      <x:c r="AD207" s="28" t="n">
        <x:v>1</x:v>
      </x:c>
      <x:c r="AE207" s="28" t="n">
        <x:v>1</x:v>
      </x:c>
      <x:c r="AF207" s="28" t="n">
        <x:f>IF(Z207="Высокая",3,IF(Z207="Средняя",2,1))+AD207*2+MIN(AE207,3)</x:f>
        <x:v>5</x:v>
      </x:c>
    </x:row>
    <x:row r="208" ht="64" customHeight="1">
      <x:c r="A208" s="28" t="str">
        <x:v>VEG-0207</x:v>
      </x:c>
      <x:c r="B208" s="28" t="str">
        <x:v>горох</x:v>
      </x:c>
      <x:c r="C208" s="28" t="str">
        <x:v>Универсальные</x:v>
      </x:c>
      <x:c r="D208" s="28" t="str">
        <x:v>горох</x:v>
      </x:c>
      <x:c r="E208" s="28" t="str">
        <x:v>Горох | горох</x:v>
      </x:c>
      <x:c r="F208" s="28" t="str">
        <x:v>Бобовые</x:v>
      </x:c>
      <x:c r="G208" s="28" t="str">
        <x:v>пастернак</x:v>
      </x:c>
      <x:c r="H208" s="28" t="str">
        <x:v>Пастернак | пастернак</x:v>
      </x:c>
      <x:c r="I208" s="28" t="str">
        <x:v>Корнеплоды</x:v>
      </x:c>
      <x:c r="J208" s="28" t="str">
        <x:v>зелёный, сладкий, бобовый и слегка цветочный</x:v>
      </x:c>
      <x:c r="K208" s="28" t="str">
        <x:v>сладкий, пряный, древесный и слегка анисовый</x:v>
      </x:c>
      <x:c r="L208" s="28" t="str">
        <x:v>гексаналь, цис-3-гексенол, метоксипиразины, эфиры</x:v>
      </x:c>
      <x:c r="M208" s="28" t="str">
        <x:v>пинены, терпены, фенольные соединения, фураны</x:v>
      </x:c>
      <x:c r="N208" s="28" t="str">
        <x:v>сладкий</x:v>
      </x:c>
      <x:c r="O208" s="28" t="str">
        <x:v>надёжная общая ключевая молекула не установлена</x:v>
      </x:c>
      <x:c r="P208" s="28" t="str">
        <x:v>пересечение ароматических семейств</x:v>
      </x:c>
      <x:c r="Q208" s="28" t="str">
        <x:v>Свежесть и водянистость требуют кислоты, соли или умами; избыток жирной матрицы может подавить зелёные ноты.</x:v>
      </x:c>
      <x:c r="R208" s="28" t="str">
        <x:v>минимальный</x:v>
      </x:c>
      <x:c r="S208" s="28" t="str">
        <x:v>водная крахмалисто-белковая матрица</x:v>
      </x:c>
      <x:c r="T20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8" s="28" t="str">
        <x:v>Горох имеет профиль «зелёный, сладкий, бобовый и слегка цветочный».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V208" s="28" t="str">
        <x:v>старый горох мучнистый; длительное хранение и нагрев снижают цвет и свежий аромат</x:v>
      </x:c>
      <x:c r="W208" s="28" t="str">
        <x:v>соль, кислота или ароматический жир</x:v>
      </x:c>
      <x:c r="X208" s="28" t="str">
        <x:v>салат, гарнир, суп, соус, маринад, ферментация или напиток с пастернак</x:v>
      </x:c>
      <x:c r="Y208" s="28" t="str">
        <x:v>еда, соусы/маринады</x:v>
      </x:c>
      <x:c r="Z208" s="28" t="str">
        <x:v>Средняя</x:v>
      </x:c>
      <x:c r="AA208" s="28" t="str">
        <x:v>Тезариус вкусов (Ники Сегнит)(1).pdf</x:v>
      </x:c>
      <x:c r="AB208" s="28" t="str">
        <x:v>Тезариус вкусов (Ники Сегнит)(1).pdf: 539, 596</x:v>
      </x:c>
      <x:c r="AC208" s="28" t="str">
        <x:v>развёрнутая пара/статья, стр. 539; развёрнутая пара/статья, стр. 596</x:v>
      </x:c>
      <x:c r="AD208" s="28" t="n">
        <x:v>1</x:v>
      </x:c>
      <x:c r="AE208" s="28" t="n">
        <x:v>2</x:v>
      </x:c>
      <x:c r="AF208" s="28" t="n">
        <x:f>IF(Z208="Высокая",3,IF(Z208="Средняя",2,1))+AD208*2+MIN(AE208,3)</x:f>
        <x:v>6</x:v>
      </x:c>
    </x:row>
    <x:row r="209" ht="64" customHeight="1">
      <x:c r="A209" s="28" t="str">
        <x:v>VEG-0208</x:v>
      </x:c>
      <x:c r="B209" s="28" t="str">
        <x:v>горох</x:v>
      </x:c>
      <x:c r="C209" s="28" t="str">
        <x:v>Еда и соусы</x:v>
      </x:c>
      <x:c r="D209" s="28" t="str">
        <x:v>горох</x:v>
      </x:c>
      <x:c r="E209" s="28" t="str">
        <x:v>Горох | горох</x:v>
      </x:c>
      <x:c r="F209" s="28" t="str">
        <x:v>Бобовые</x:v>
      </x:c>
      <x:c r="G209" s="28" t="str">
        <x:v>прошутто</x:v>
      </x:c>
      <x:c r="H209" s="28" t="str">
        <x:v>Прошутто | прошутто</x:v>
      </x:c>
      <x:c r="I209" s="28" t="str">
        <x:v>Мясо и птица</x:v>
      </x:c>
      <x:c r="J209" s="28" t="str">
        <x:v>зелёный, сладкий, бобовый и слегка цветочный</x:v>
      </x:c>
      <x:c r="K209" s="28" t="str">
        <x:v>жареный, мясной и умами</x:v>
      </x:c>
      <x:c r="L209" s="28" t="str">
        <x:v>гексаналь, цис-3-гексенол, метоксипиразины, эфиры</x:v>
      </x:c>
      <x:c r="M209" s="28" t="str">
        <x:v>пиразины, сернистые соединения</x:v>
      </x:c>
      <x:c r="N209" s="28" t="str">
        <x:v>прямое пересечение семейств не подтверждено</x:v>
      </x:c>
      <x:c r="O209" s="28" t="str">
        <x:v>надёжная общая ключевая молекула не установлена</x:v>
      </x:c>
      <x:c r="P209" s="28" t="str">
        <x:v>умами и солёный контраст</x:v>
      </x:c>
      <x:c r="Q209" s="28" t="str">
        <x:v>Свежесть и водянистость требуют кислоты, соли или умами; избыток жирной матрицы может подавить зелёные ноты.</x:v>
      </x:c>
      <x:c r="R209" s="28" t="str">
        <x:v>минимальный</x:v>
      </x:c>
      <x:c r="S209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20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09" s="28" t="str">
        <x:v>Горох имеет профиль «зелёный, сладкий, бобовый и слегка цветочный».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09" s="28" t="str">
        <x:v>старый горох мучнистый; длительное хранение и нагрев снижают цвет и свежий аромат</x:v>
      </x:c>
      <x:c r="W209" s="28" t="str">
        <x:v>сливочное масло, соевый соус или тимьян</x:v>
      </x:c>
      <x:c r="X209" s="28" t="str">
        <x:v>салат, гарнир, суп, соус, маринад, ферментация или напиток с прошутто</x:v>
      </x:c>
      <x:c r="Y209" s="28" t="str">
        <x:v>еда, соусы/маринады</x:v>
      </x:c>
      <x:c r="Z209" s="28" t="str">
        <x:v>Средняя</x:v>
      </x:c>
      <x:c r="AA209" s="28" t="str">
        <x:v>Тезариус вкусов (Ники Сегнит)(1).pdf</x:v>
      </x:c>
      <x:c r="AB209" s="28" t="str">
        <x:v>Тезариус вкусов (Ники Сегнит)(1).pdf: 455, 539</x:v>
      </x:c>
      <x:c r="AC209" s="28" t="str">
        <x:v>развёрнутая пара/статья, стр. 455; развёрнутая пара/статья, стр. 539</x:v>
      </x:c>
      <x:c r="AD209" s="28" t="n">
        <x:v>1</x:v>
      </x:c>
      <x:c r="AE209" s="28" t="n">
        <x:v>2</x:v>
      </x:c>
      <x:c r="AF209" s="28" t="n">
        <x:f>IF(Z209="Высокая",3,IF(Z209="Средняя",2,1))+AD209*2+MIN(AE209,3)</x:f>
        <x:v>6</x:v>
      </x:c>
    </x:row>
    <x:row r="210" ht="64" customHeight="1">
      <x:c r="A210" s="28" t="str">
        <x:v>VEG-0209</x:v>
      </x:c>
      <x:c r="B210" s="28" t="str">
        <x:v>горох</x:v>
      </x:c>
      <x:c r="C210" s="28" t="str">
        <x:v>Универсальные</x:v>
      </x:c>
      <x:c r="D210" s="28" t="str">
        <x:v>горох</x:v>
      </x:c>
      <x:c r="E210" s="28" t="str">
        <x:v>Горох | горох</x:v>
      </x:c>
      <x:c r="F210" s="28" t="str">
        <x:v>Бобовые</x:v>
      </x:c>
      <x:c r="G210" s="28" t="str">
        <x:v>розмарин</x:v>
      </x:c>
      <x:c r="H210" s="28" t="str">
        <x:v>Розмарин | розмарин</x:v>
      </x:c>
      <x:c r="I210" s="28" t="str">
        <x:v>Травы, цветы и листья</x:v>
      </x:c>
      <x:c r="J210" s="28" t="str">
        <x:v>зелёный, сладкий, бобовый и слегка цветочный</x:v>
      </x:c>
      <x:c r="K210" s="28" t="str">
        <x:v>древесный, камфорный, хвойный</x:v>
      </x:c>
      <x:c r="L210" s="28" t="str">
        <x:v>гексаналь, цис-3-гексенол, метоксипиразины, эфиры</x:v>
      </x:c>
      <x:c r="M210" s="28" t="str">
        <x:v>1,8-цинеол, пинены</x:v>
      </x:c>
      <x:c r="N210" s="28" t="str">
        <x:v>прямое пересечение семейств не подтверждено</x:v>
      </x:c>
      <x:c r="O210" s="28" t="str">
        <x:v>надёжная общая ключевая молекула не установлена</x:v>
      </x:c>
      <x:c r="P210" s="28" t="str">
        <x:v>сенсорная комплементарность</x:v>
      </x:c>
      <x:c r="Q210" s="28" t="str">
        <x:v>Свежесть и водянистость требуют кислоты, соли или умами; избыток жирной матрицы может подавить зелёные ноты.</x:v>
      </x:c>
      <x:c r="R210" s="28" t="str">
        <x:v>минимальный</x:v>
      </x:c>
      <x:c r="S210" s="28" t="str">
        <x:v>водная крахмалисто-белковая матрица</x:v>
      </x:c>
      <x:c r="T210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10" s="28" t="str">
        <x:v>Горох имеет профиль «зелёный, сладкий, бобовый и слегка цветочный».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210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W210" s="28" t="str">
        <x:v>оливковое масло, лимон или сыр</x:v>
      </x:c>
      <x:c r="X210" s="28" t="str">
        <x:v>салат, гарнир, суп, соус, маринад, ферментация или напиток с розмарин</x:v>
      </x:c>
      <x:c r="Y210" s="28" t="str">
        <x:v>еда, соусы/маринады</x:v>
      </x:c>
      <x:c r="Z210" s="28" t="str">
        <x:v>Средняя</x:v>
      </x:c>
      <x:c r="AA210" s="28" t="str">
        <x:v>Тезариус вкусов (Ники Сегнит)(1).pdf</x:v>
      </x:c>
      <x:c r="AB210" s="28" t="str">
        <x:v>Тезариус вкусов (Ники Сегнит)(1).pdf: 539, 836</x:v>
      </x:c>
      <x:c r="AC210" s="28" t="str">
        <x:v>развёрнутая пара/статья, стр. 539; развёрнутая пара/статья, стр. 836</x:v>
      </x:c>
      <x:c r="AD210" s="28" t="n">
        <x:v>1</x:v>
      </x:c>
      <x:c r="AE210" s="28" t="n">
        <x:v>2</x:v>
      </x:c>
      <x:c r="AF210" s="28" t="n">
        <x:f>IF(Z210="Высокая",3,IF(Z210="Средняя",2,1))+AD210*2+MIN(AE210,3)</x:f>
        <x:v>6</x:v>
      </x:c>
    </x:row>
    <x:row r="211" ht="64" customHeight="1">
      <x:c r="A211" s="28" t="str">
        <x:v>VEG-0210</x:v>
      </x:c>
      <x:c r="B211" s="28" t="str">
        <x:v>горох</x:v>
      </x:c>
      <x:c r="C211" s="28" t="str">
        <x:v>Еда и соусы</x:v>
      </x:c>
      <x:c r="D211" s="28" t="str">
        <x:v>горох</x:v>
      </x:c>
      <x:c r="E211" s="28" t="str">
        <x:v>Горох | горох</x:v>
      </x:c>
      <x:c r="F211" s="28" t="str">
        <x:v>Бобовые</x:v>
      </x:c>
      <x:c r="G211" s="28" t="str">
        <x:v>свинина</x:v>
      </x:c>
      <x:c r="H211" s="28" t="str">
        <x:v>Свинина | свинина</x:v>
      </x:c>
      <x:c r="I211" s="28" t="str">
        <x:v>Мясо и птица</x:v>
      </x:c>
      <x:c r="J211" s="28" t="str">
        <x:v>зелёный, сладкий, бобовый и слегка цветочный</x:v>
      </x:c>
      <x:c r="K211" s="28" t="str">
        <x:v>жареный, мясной и умами</x:v>
      </x:c>
      <x:c r="L211" s="28" t="str">
        <x:v>гексаналь, цис-3-гексенол, метоксипиразины, эфиры</x:v>
      </x:c>
      <x:c r="M211" s="28" t="str">
        <x:v>пиразины, сернистые соединения</x:v>
      </x:c>
      <x:c r="N211" s="28" t="str">
        <x:v>прямое пересечение семейств не подтверждено</x:v>
      </x:c>
      <x:c r="O211" s="28" t="str">
        <x:v>надёжная общая ключевая молекула не установлена</x:v>
      </x:c>
      <x:c r="P211" s="28" t="str">
        <x:v>умами и солёный контраст</x:v>
      </x:c>
      <x:c r="Q211" s="28" t="str">
        <x:v>Свежесть и водянистость требуют кислоты, соли или умами; избыток жирной матрицы может подавить зелёные ноты.</x:v>
      </x:c>
      <x:c r="R211" s="28" t="str">
        <x:v>минимальный</x:v>
      </x:c>
      <x:c r="S211" s="28" t="str">
        <x:v>водная крахмалисто-белковая матрица Белок и жир требуют контроля воды: для жареной ароматики поверхность должна подсохнуть.</x:v>
      </x:c>
      <x:c r="T211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11" s="28" t="str">
        <x:v>Горох имеет профиль «зелёный, сладкий, бобовый и слегка цветочный».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11" s="28" t="str">
        <x:v>старый горох мучнистый; длительное хранение и нагрев снижают цвет и свежий аромат</x:v>
      </x:c>
      <x:c r="W211" s="28" t="str">
        <x:v>сливочное масло, соевый соус или тимьян</x:v>
      </x:c>
      <x:c r="X211" s="28" t="str">
        <x:v>салат, гарнир, суп, соус, маринад, ферментация или напиток с свинина</x:v>
      </x:c>
      <x:c r="Y211" s="28" t="str">
        <x:v>еда, соусы/маринады</x:v>
      </x:c>
      <x:c r="Z211" s="28" t="str">
        <x:v>Средняя</x:v>
      </x:c>
      <x:c r="AA211" s="28" t="str">
        <x:v>Тезариус вкусов (Ники Сегнит)(1).pdf</x:v>
      </x:c>
      <x:c r="AB211" s="28" t="str">
        <x:v>Тезариус вкусов (Ники Сегнит)(1).pdf: 82, 540</x:v>
      </x:c>
      <x:c r="AC211" s="28" t="str">
        <x:v>развёрнутая пара/статья, стр. 82; развёрнутая пара/статья, стр. 540</x:v>
      </x:c>
      <x:c r="AD211" s="28" t="n">
        <x:v>1</x:v>
      </x:c>
      <x:c r="AE211" s="28" t="n">
        <x:v>2</x:v>
      </x:c>
      <x:c r="AF211" s="28" t="n">
        <x:f>IF(Z211="Высокая",3,IF(Z211="Средняя",2,1))+AD211*2+MIN(AE211,3)</x:f>
        <x:v>6</x:v>
      </x:c>
    </x:row>
    <x:row r="212" ht="64" customHeight="1">
      <x:c r="A212" s="28" t="str">
        <x:v>VEG-0211</x:v>
      </x:c>
      <x:c r="B212" s="28" t="str">
        <x:v>горох</x:v>
      </x:c>
      <x:c r="C212" s="28" t="str">
        <x:v>Десерты и выпечка</x:v>
      </x:c>
      <x:c r="D212" s="28" t="str">
        <x:v>горох</x:v>
      </x:c>
      <x:c r="E212" s="28" t="str">
        <x:v>Горох | горох</x:v>
      </x:c>
      <x:c r="F212" s="28" t="str">
        <x:v>Бобовые</x:v>
      </x:c>
      <x:c r="G212" s="28" t="str">
        <x:v>твердый сыр</x:v>
      </x:c>
      <x:c r="H212" s="28" t="str">
        <x:v>Твердый сыр | твердый сыр</x:v>
      </x:c>
      <x:c r="I212" s="28" t="str">
        <x:v>Молочные продукты и сыры</x:v>
      </x:c>
      <x:c r="J212" s="28" t="str">
        <x:v>зелёный, сладкий, бобовый и слегка цветочный</x:v>
      </x:c>
      <x:c r="K212" s="28" t="str">
        <x:v>молочный, умами, ферментированный</x:v>
      </x:c>
      <x:c r="L212" s="28" t="str">
        <x:v>гексаналь, цис-3-гексенол, метоксипиразины, эфиры</x:v>
      </x:c>
      <x:c r="M212" s="28" t="str">
        <x:v>диацетил, жирные кислоты</x:v>
      </x:c>
      <x:c r="N212" s="28" t="str">
        <x:v>прямое пересечение семейств не подтверждено</x:v>
      </x:c>
      <x:c r="O212" s="28" t="str">
        <x:v>надёжная общая ключевая молекула не установлена</x:v>
      </x:c>
      <x:c r="P212" s="28" t="str">
        <x:v>жировая матрица</x:v>
      </x:c>
      <x:c r="Q212" s="28" t="str">
        <x:v>Свежесть и водянистость требуют кислоты, соли или умами; избыток жирной матрицы может подавить зелёные ноты.</x:v>
      </x:c>
      <x:c r="R212" s="28" t="str">
        <x:v>минимальный</x:v>
      </x:c>
      <x:c r="S212" s="28" t="str">
        <x:v>водная крахмалисто-белковая матрица Жировая фаза удерживает гидрофобные молекулы, но может сделать вкус тяжёлым.</x:v>
      </x:c>
      <x:c r="T21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12" s="28" t="str">
        <x:v>Горох имеет профиль «зелёный, сладкий, бобовый и слегка цветочный».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12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W212" s="28" t="str">
        <x:v>кислота, зелень или жареный орех</x:v>
      </x:c>
      <x:c r="X212" s="28" t="str">
        <x:v>салат, гарнир, суп, соус, маринад, ферментация или напиток с твердый сыр</x:v>
      </x:c>
      <x:c r="Y212" s="28" t="str">
        <x:v>еда, десерты, соусы/маринады</x:v>
      </x:c>
      <x:c r="Z212" s="28" t="str">
        <x:v>Средняя</x:v>
      </x:c>
      <x:c r="AA212" s="28" t="str">
        <x:v>Тезариус вкусов (Ники Сегнит)(1).pdf</x:v>
      </x:c>
      <x:c r="AB212" s="28" t="str">
        <x:v>Тезариус вкусов (Ники Сегнит)(1).pdf: 170, 541</x:v>
      </x:c>
      <x:c r="AC212" s="28" t="str">
        <x:v>развёрнутая пара/статья, стр. 170; развёрнутая пара/статья, стр. 541</x:v>
      </x:c>
      <x:c r="AD212" s="28" t="n">
        <x:v>1</x:v>
      </x:c>
      <x:c r="AE212" s="28" t="n">
        <x:v>2</x:v>
      </x:c>
      <x:c r="AF212" s="28" t="n">
        <x:f>IF(Z212="Высокая",3,IF(Z212="Средняя",2,1))+AD212*2+MIN(AE212,3)</x:f>
        <x:v>6</x:v>
      </x:c>
    </x:row>
    <x:row r="213" ht="64" customHeight="1">
      <x:c r="A213" s="28" t="str">
        <x:v>VEG-0212</x:v>
      </x:c>
      <x:c r="B213" s="28" t="str">
        <x:v>горох</x:v>
      </x:c>
      <x:c r="C213" s="28" t="str">
        <x:v>Универсальные</x:v>
      </x:c>
      <x:c r="D213" s="28" t="str">
        <x:v>горох</x:v>
      </x:c>
      <x:c r="E213" s="28" t="str">
        <x:v>Горох | горох</x:v>
      </x:c>
      <x:c r="F213" s="28" t="str">
        <x:v>Бобовые</x:v>
      </x:c>
      <x:c r="G213" s="28" t="str">
        <x:v>укроп</x:v>
      </x:c>
      <x:c r="H213" s="28" t="str">
        <x:v>Укроп | укроп</x:v>
      </x:c>
      <x:c r="I213" s="28" t="str">
        <x:v>Травы, цветы и листья</x:v>
      </x:c>
      <x:c r="J213" s="28" t="str">
        <x:v>зелёный, сладкий, бобовый и слегка цветочный</x:v>
      </x:c>
      <x:c r="K213" s="28" t="str">
        <x:v>анисовый, зелёный</x:v>
      </x:c>
      <x:c r="L213" s="28" t="str">
        <x:v>гексаналь, цис-3-гексенол, метоксипиразины, эфиры</x:v>
      </x:c>
      <x:c r="M213" s="28" t="str">
        <x:v>карвон, лимонен</x:v>
      </x:c>
      <x:c r="N213" s="28" t="str">
        <x:v>зелёный</x:v>
      </x:c>
      <x:c r="O213" s="28" t="str">
        <x:v>надёжная общая ключевая молекула не установлена</x:v>
      </x:c>
      <x:c r="P213" s="28" t="str">
        <x:v>пересечение ароматических семейств</x:v>
      </x:c>
      <x:c r="Q213" s="28" t="str">
        <x:v>Свежесть и водянистость требуют кислоты, соли или умами; избыток жирной матрицы может подавить зелёные ноты.</x:v>
      </x:c>
      <x:c r="R213" s="28" t="str">
        <x:v>минимальный</x:v>
      </x:c>
      <x:c r="S213" s="28" t="str">
        <x:v>водная крахмалисто-белковая матрица</x:v>
      </x:c>
      <x:c r="T21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13" s="28" t="str">
        <x:v>Горох имеет профиль «зелёный, сладкий, бобовый и слегка цветочный». Партнёр «укроп» относится к группе «Травы, цветы и листья» и даёт анисовый, зелёный.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213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W213" s="28" t="str">
        <x:v>оливковое масло, лимон или сыр</x:v>
      </x:c>
      <x:c r="X213" s="28" t="str">
        <x:v>салат, гарнир, суп, соус, маринад, ферментация или напиток с укроп</x:v>
      </x:c>
      <x:c r="Y213" s="28" t="str">
        <x:v>еда, соусы/маринады</x:v>
      </x:c>
      <x:c r="Z213" s="28" t="str">
        <x:v>Средняя</x:v>
      </x:c>
      <x:c r="AA213" s="28" t="str">
        <x:v>Тезариус вкусов (Ники Сегнит)(1).pdf</x:v>
      </x:c>
      <x:c r="AB213" s="28" t="str">
        <x:v>Тезариус вкусов (Ники Сегнит)(1).pdf: 502, 542</x:v>
      </x:c>
      <x:c r="AC213" s="28" t="str">
        <x:v>развёрнутая пара/статья, стр. 502; развёрнутая пара/статья, стр. 542</x:v>
      </x:c>
      <x:c r="AD213" s="28" t="n">
        <x:v>1</x:v>
      </x:c>
      <x:c r="AE213" s="28" t="n">
        <x:v>2</x:v>
      </x:c>
      <x:c r="AF213" s="28" t="n">
        <x:f>IF(Z213="Высокая",3,IF(Z213="Средняя",2,1))+AD213*2+MIN(AE213,3)</x:f>
        <x:v>6</x:v>
      </x:c>
    </x:row>
    <x:row r="214" ht="64" customHeight="1">
      <x:c r="A214" s="28" t="str">
        <x:v>VEG-0213</x:v>
      </x:c>
      <x:c r="B214" s="28" t="str">
        <x:v>горох</x:v>
      </x:c>
      <x:c r="C214" s="28" t="str">
        <x:v>Универсальные</x:v>
      </x:c>
      <x:c r="D214" s="28" t="str">
        <x:v>горох</x:v>
      </x:c>
      <x:c r="E214" s="28" t="str">
        <x:v>Горох | горох</x:v>
      </x:c>
      <x:c r="F214" s="28" t="str">
        <x:v>Бобовые</x:v>
      </x:c>
      <x:c r="G214" s="28" t="str">
        <x:v>хрен</x:v>
      </x:c>
      <x:c r="H214" s="28" t="str">
        <x:v>Хрен | хрен</x:v>
      </x:c>
      <x:c r="I214" s="28" t="str">
        <x:v>Прочее</x:v>
      </x:c>
      <x:c r="J214" s="28" t="str">
        <x:v>зелёный, сладкий, бобовый и слегка цветочный</x:v>
      </x:c>
      <x:c r="K214" s="28" t="str">
        <x:v>профиль зависит от конкретного продукта</x:v>
      </x:c>
      <x:c r="L214" s="28" t="str">
        <x:v>гексаналь, цис-3-гексенол, метоксипиразины, эфиры</x:v>
      </x:c>
      <x:c r="M214" s="28" t="str">
        <x:v>конкретный молекулярный профиль не указан</x:v>
      </x:c>
      <x:c r="N214" s="28" t="str">
        <x:v>прямое пересечение семейств не подтверждено</x:v>
      </x:c>
      <x:c r="O214" s="28" t="str">
        <x:v>надёжная общая ключевая молекула не установлена</x:v>
      </x:c>
      <x:c r="P214" s="28" t="str">
        <x:v>сенсорная комплементарность</x:v>
      </x:c>
      <x:c r="Q214" s="28" t="str">
        <x:v>Свежесть и водянистость требуют кислоты, соли или умами; избыток жирной матрицы может подавить зелёные ноты.</x:v>
      </x:c>
      <x:c r="R214" s="28" t="str">
        <x:v>минимальный</x:v>
      </x:c>
      <x:c r="S214" s="28" t="str">
        <x:v>водная крахмалисто-белковая матрица</x:v>
      </x:c>
      <x:c r="T21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14" s="28" t="str">
        <x:v>Горох имеет профиль «зелёный, сладкий, бобовый и слегка цветочный».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14" s="28" t="str">
        <x:v>старый горох мучнистый; длительное хранение и нагрев снижают цвет и свежий аромат</x:v>
      </x:c>
      <x:c r="W214" s="28" t="str">
        <x:v>соль, кислота или ароматический жир</x:v>
      </x:c>
      <x:c r="X214" s="28" t="str">
        <x:v>салат, гарнир, суп, соус, маринад, ферментация или напиток с хрен</x:v>
      </x:c>
      <x:c r="Y214" s="28" t="str">
        <x:v>еда, соусы/маринады</x:v>
      </x:c>
      <x:c r="Z214" s="28" t="str">
        <x:v>Средняя</x:v>
      </x:c>
      <x:c r="AA214" s="28" t="str">
        <x:v>Тезариус вкусов (Ники Сегнит)(1).pdf</x:v>
      </x:c>
      <x:c r="AB214" s="28" t="str">
        <x:v>Тезариус вкусов (Ники Сегнит)(1).pdf: 274, 542</x:v>
      </x:c>
      <x:c r="AC214" s="28" t="str">
        <x:v>развёрнутая пара/статья, стр. 274; развёрнутая пара/статья, стр. 542</x:v>
      </x:c>
      <x:c r="AD214" s="28" t="n">
        <x:v>1</x:v>
      </x:c>
      <x:c r="AE214" s="28" t="n">
        <x:v>2</x:v>
      </x:c>
      <x:c r="AF214" s="28" t="n">
        <x:f>IF(Z214="Высокая",3,IF(Z214="Средняя",2,1))+AD214*2+MIN(AE214,3)</x:f>
        <x:v>6</x:v>
      </x:c>
    </x:row>
    <x:row r="215" ht="64" customHeight="1">
      <x:c r="A215" s="28" t="str">
        <x:v>VEG-0214</x:v>
      </x:c>
      <x:c r="B215" s="28" t="str">
        <x:v>горох</x:v>
      </x:c>
      <x:c r="C215" s="28" t="str">
        <x:v>Универсальные</x:v>
      </x:c>
      <x:c r="D215" s="28" t="str">
        <x:v>горох</x:v>
      </x:c>
      <x:c r="E215" s="28" t="str">
        <x:v>Горох | горох</x:v>
      </x:c>
      <x:c r="F215" s="28" t="str">
        <x:v>Бобовые</x:v>
      </x:c>
      <x:c r="G215" s="28" t="str">
        <x:v>цыпленок</x:v>
      </x:c>
      <x:c r="H215" s="28" t="str">
        <x:v>Цыпленок | цыпленок</x:v>
      </x:c>
      <x:c r="I215" s="28" t="str">
        <x:v>Прочее</x:v>
      </x:c>
      <x:c r="J215" s="28" t="str">
        <x:v>зелёный, сладкий, бобовый и слегка цветочный</x:v>
      </x:c>
      <x:c r="K215" s="28" t="str">
        <x:v>профиль зависит от конкретного продукта</x:v>
      </x:c>
      <x:c r="L215" s="28" t="str">
        <x:v>гексаналь, цис-3-гексенол, метоксипиразины, эфиры</x:v>
      </x:c>
      <x:c r="M215" s="28" t="str">
        <x:v>конкретный молекулярный профиль не указан</x:v>
      </x:c>
      <x:c r="N215" s="28" t="str">
        <x:v>прямое пересечение семейств не подтверждено</x:v>
      </x:c>
      <x:c r="O215" s="28" t="str">
        <x:v>надёжная общая ключевая молекула не установлена</x:v>
      </x:c>
      <x:c r="P215" s="28" t="str">
        <x:v>сенсорная комплементарность</x:v>
      </x:c>
      <x:c r="Q215" s="28" t="str">
        <x:v>Свежесть и водянистость требуют кислоты, соли или умами; избыток жирной матрицы может подавить зелёные ноты.</x:v>
      </x:c>
      <x:c r="R215" s="28" t="str">
        <x:v>минимальный</x:v>
      </x:c>
      <x:c r="S215" s="28" t="str">
        <x:v>водная крахмалисто-белковая матрица</x:v>
      </x:c>
      <x:c r="T21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15" s="28" t="str">
        <x:v>Горох имеет профиль «зелёный, сладкий, бобовый и слегка цветочный».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15" s="28" t="str">
        <x:v>старый горох мучнистый; длительное хранение и нагрев снижают цвет и свежий аромат</x:v>
      </x:c>
      <x:c r="W215" s="28" t="str">
        <x:v>соль, кислота или ароматический жир</x:v>
      </x:c>
      <x:c r="X215" s="28" t="str">
        <x:v>салат, гарнир, суп, соус, маринад, ферментация или напиток с цыпленок</x:v>
      </x:c>
      <x:c r="Y215" s="28" t="str">
        <x:v>еда, соусы/маринады</x:v>
      </x:c>
      <x:c r="Z215" s="28" t="str">
        <x:v>Средняя</x:v>
      </x:c>
      <x:c r="AA215" s="28" t="str">
        <x:v>Тезариус вкусов (Ники Сегнит)(1).pdf</x:v>
      </x:c>
      <x:c r="AB215" s="28" t="str">
        <x:v>Тезариус вкусов (Ники Сегнит)(1).pdf: 64, 543</x:v>
      </x:c>
      <x:c r="AC215" s="28" t="str">
        <x:v>развёрнутая пара/статья, стр. 64; развёрнутая пара/статья, стр. 543</x:v>
      </x:c>
      <x:c r="AD215" s="28" t="n">
        <x:v>1</x:v>
      </x:c>
      <x:c r="AE215" s="28" t="n">
        <x:v>2</x:v>
      </x:c>
      <x:c r="AF215" s="28" t="n">
        <x:f>IF(Z215="Высокая",3,IF(Z215="Средняя",2,1))+AD215*2+MIN(AE215,3)</x:f>
        <x:v>6</x:v>
      </x:c>
    </x:row>
    <x:row r="216" ht="64" customHeight="1">
      <x:c r="A216" s="28" t="str">
        <x:v>VEG-0215</x:v>
      </x:c>
      <x:c r="B216" s="28" t="str">
        <x:v>горох</x:v>
      </x:c>
      <x:c r="C216" s="28" t="str">
        <x:v>Универсальные</x:v>
      </x:c>
      <x:c r="D216" s="28" t="str">
        <x:v>горох</x:v>
      </x:c>
      <x:c r="E216" s="28" t="str">
        <x:v>Горох | горох</x:v>
      </x:c>
      <x:c r="F216" s="28" t="str">
        <x:v>Бобовые</x:v>
      </x:c>
      <x:c r="G216" s="28" t="str">
        <x:v>яйца</x:v>
      </x:c>
      <x:c r="H216" s="28" t="str">
        <x:v>Яйца | яйца</x:v>
      </x:c>
      <x:c r="I216" s="28" t="str">
        <x:v>Прочее</x:v>
      </x:c>
      <x:c r="J216" s="28" t="str">
        <x:v>зелёный, сладкий, бобовый и слегка цветочный</x:v>
      </x:c>
      <x:c r="K216" s="28" t="str">
        <x:v>профиль зависит от конкретного продукта</x:v>
      </x:c>
      <x:c r="L216" s="28" t="str">
        <x:v>гексаналь, цис-3-гексенол, метоксипиразины, эфиры</x:v>
      </x:c>
      <x:c r="M216" s="28" t="str">
        <x:v>конкретный молекулярный профиль не указан</x:v>
      </x:c>
      <x:c r="N216" s="28" t="str">
        <x:v>прямое пересечение семейств не подтверждено</x:v>
      </x:c>
      <x:c r="O216" s="28" t="str">
        <x:v>надёжная общая ключевая молекула не установлена</x:v>
      </x:c>
      <x:c r="P216" s="28" t="str">
        <x:v>сенсорная комплементарность</x:v>
      </x:c>
      <x:c r="Q216" s="28" t="str">
        <x:v>Свежесть и водянистость требуют кислоты, соли или умами; избыток жирной матрицы может подавить зелёные ноты.</x:v>
      </x:c>
      <x:c r="R216" s="28" t="str">
        <x:v>минимальный</x:v>
      </x:c>
      <x:c r="S216" s="28" t="str">
        <x:v>водная крахмалисто-белковая матрица</x:v>
      </x:c>
      <x:c r="T21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U216" s="28" t="str">
        <x:v>Горох имеет профиль «зелёный, сладкий, бобовый и слегка цветочный».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16" s="28" t="str">
        <x:v>старый горох мучнистый; длительное хранение и нагрев снижают цвет и свежий аромат</x:v>
      </x:c>
      <x:c r="W216" s="28" t="str">
        <x:v>соль, кислота или ароматический жир</x:v>
      </x:c>
      <x:c r="X216" s="28" t="str">
        <x:v>салат, гарнир, суп, соус, маринад, ферментация или напиток с яйца</x:v>
      </x:c>
      <x:c r="Y216" s="28" t="str">
        <x:v>еда, соусы/маринады</x:v>
      </x:c>
      <x:c r="Z216" s="28" t="str">
        <x:v>Средняя</x:v>
      </x:c>
      <x:c r="AA216" s="28" t="str">
        <x:v>Тезариус вкусов (Ники Сегнит)(1).pdf</x:v>
      </x:c>
      <x:c r="AB216" s="28" t="str">
        <x:v>Тезариус вкусов (Ники Сегнит)(1).pdf: 351, 544</x:v>
      </x:c>
      <x:c r="AC216" s="28" t="str">
        <x:v>развёрнутая пара/статья, стр. 351; развёрнутая пара/статья, стр. 544</x:v>
      </x:c>
      <x:c r="AD216" s="28" t="n">
        <x:v>1</x:v>
      </x:c>
      <x:c r="AE216" s="28" t="n">
        <x:v>2</x:v>
      </x:c>
      <x:c r="AF216" s="28" t="n">
        <x:f>IF(Z216="Высокая",3,IF(Z216="Средняя",2,1))+AD216*2+MIN(AE216,3)</x:f>
        <x:v>6</x:v>
      </x:c>
    </x:row>
    <x:row r="217" ht="64" customHeight="1">
      <x:c r="A217" s="28" t="str">
        <x:v>VEG-0216</x:v>
      </x:c>
      <x:c r="B217" s="28" t="str">
        <x:v>грибы</x:v>
      </x:c>
      <x:c r="C217" s="28" t="str">
        <x:v>Десерты и выпечка</x:v>
      </x:c>
      <x:c r="D217" s="28" t="str">
        <x:v>грибы</x:v>
      </x:c>
      <x:c r="E217" s="28" t="str">
        <x:v>white button mushroom | Грибы | грибы</x:v>
      </x:c>
      <x:c r="F217" s="28" t="str">
        <x:v>Грибы</x:v>
      </x:c>
      <x:c r="G217" s="28" t="str">
        <x:v>абрикос</x:v>
      </x:c>
      <x:c r="H217" s="28" t="str">
        <x:v>apricot | Абрикос | абрикос</x:v>
      </x:c>
      <x:c r="I217" s="28" t="str">
        <x:v>Фрукты и ягоды</x:v>
      </x:c>
      <x:c r="J217" s="28" t="str">
        <x:v>землистый, лесной, жареный, мясной и слегка сернистый</x:v>
      </x:c>
      <x:c r="K217" s="28" t="str">
        <x:v>фруктовый, цветочный и свежий</x:v>
      </x:c>
      <x:c r="L217" s="28" t="str">
        <x:v>1-октен-3-ол, 1-октен-3-он, метиональ, глутамат, пиразины</x:v>
      </x:c>
      <x:c r="M217" s="28" t="str">
        <x:v>альдегиды, эфиры</x:v>
      </x:c>
      <x:c r="N217" s="28" t="str">
        <x:v>прямое пересечение семейств не подтверждено</x:v>
      </x:c>
      <x:c r="O217" s="28" t="str">
        <x:v>надёжная общая ключевая молекула не установлена</x:v>
      </x:c>
      <x:c r="P217" s="28" t="str">
        <x:v>кислотно-сладкий баланс</x:v>
      </x:c>
      <x:c r="Q21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17" s="28" t="str">
        <x:v>минимальный</x:v>
      </x:c>
      <x:c r="S217" s="28" t="str">
        <x:v>высокая влажность, хитиновая клеточная структура и природные нуклеотиды; хорошо впитывает жир Водная кислая фаза усиливает свежесть, но может разжижать пюре и нарушать молочную эмульсию.</x:v>
      </x:c>
      <x:c r="T21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17" s="28" t="str">
        <x:v>Грибы имеет профиль «землистый, лесной, жареный, мясной и слегка сернистый». Партнёр «абрикос»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21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W217" s="28" t="str">
        <x:v>цитрус, мёд или мягкая трава</x:v>
      </x:c>
      <x:c r="X217" s="28" t="str">
        <x:v>горячее блюдо, бульон, соус, пюре, ферментация или гарнир с абрикос</x:v>
      </x:c>
      <x:c r="Y217" s="28" t="str">
        <x:v>еда, десерты, соусы/маринады</x:v>
      </x:c>
      <x:c r="Z217" s="28" t="str">
        <x:v>Высокая</x:v>
      </x:c>
      <x:c r="AA217" s="28" t="str">
        <x:v>The Art &amp; Science of Foodpairing.pdf | Тезариус вкусов (Ники Сегнит)(1).pdf</x:v>
      </x:c>
      <x:c r="AB217" s="28" t="str">
        <x:v>Тезариус вкусов (Ники Сегнит)(1).pdf: 192, 742; The Art &amp; Science of Foodpairing.pdf: 206</x:v>
      </x:c>
      <x:c r="AC217" s="28" t="str">
        <x:v>развёрнутая пара/статья, стр. 192; развёрнутая пара/статья, стр. 742; связь из pairing grid, стр. 206</x:v>
      </x:c>
      <x:c r="AD217" s="28" t="n">
        <x:v>2</x:v>
      </x:c>
      <x:c r="AE217" s="28" t="n">
        <x:v>3</x:v>
      </x:c>
      <x:c r="AF217" s="28" t="n">
        <x:f>IF(Z217="Высокая",3,IF(Z217="Средняя",2,1))+AD217*2+MIN(AE217,3)</x:f>
        <x:v>10</x:v>
      </x:c>
    </x:row>
    <x:row r="218" ht="64" customHeight="1">
      <x:c r="A218" s="28" t="str">
        <x:v>VEG-0217</x:v>
      </x:c>
      <x:c r="B218" s="28" t="str">
        <x:v>грибы</x:v>
      </x:c>
      <x:c r="C218" s="28" t="str">
        <x:v>Универсальные</x:v>
      </x:c>
      <x:c r="D218" s="28" t="str">
        <x:v>грибы</x:v>
      </x:c>
      <x:c r="E218" s="28" t="str">
        <x:v>Грибы | грибы</x:v>
      </x:c>
      <x:c r="F218" s="28" t="str">
        <x:v>Грибы</x:v>
      </x:c>
      <x:c r="G218" s="28" t="str">
        <x:v>анис</x:v>
      </x:c>
      <x:c r="H218" s="28" t="str">
        <x:v>Анис | анис</x:v>
      </x:c>
      <x:c r="I218" s="28" t="str">
        <x:v>Прочее</x:v>
      </x:c>
      <x:c r="J218" s="28" t="str">
        <x:v>землистый, лесной, жареный, мясной и слегка сернистый</x:v>
      </x:c>
      <x:c r="K218" s="28" t="str">
        <x:v>профиль зависит от конкретного продукта</x:v>
      </x:c>
      <x:c r="L218" s="28" t="str">
        <x:v>1-октен-3-ол, 1-октен-3-он, метиональ, глутамат, пиразины</x:v>
      </x:c>
      <x:c r="M218" s="28" t="str">
        <x:v>конкретный молекулярный профиль не указан</x:v>
      </x:c>
      <x:c r="N218" s="28" t="str">
        <x:v>прямое пересечение семейств не подтверждено</x:v>
      </x:c>
      <x:c r="O218" s="28" t="str">
        <x:v>надёжная общая ключевая молекула не установлена</x:v>
      </x:c>
      <x:c r="P218" s="28" t="str">
        <x:v>сенсорная комплементарность</x:v>
      </x:c>
      <x:c r="Q21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18" s="28" t="str">
        <x:v>минимальный</x:v>
      </x:c>
      <x:c r="S218" s="28" t="str">
        <x:v>высокая влажность, хитиновая клеточная структура и природные нуклеотиды; хорошо впитывает жир</x:v>
      </x:c>
      <x:c r="T21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18" s="28" t="str">
        <x:v>Грибы имеет профиль «землистый, лесной, жареный, мясной и слегка сернистый».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1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18" s="28" t="str">
        <x:v>соль, кислота или ароматический жир</x:v>
      </x:c>
      <x:c r="X218" s="28" t="str">
        <x:v>горячее блюдо, бульон, соус, пюре, ферментация или гарнир с анис</x:v>
      </x:c>
      <x:c r="Y218" s="28" t="str">
        <x:v>еда, соусы/маринады</x:v>
      </x:c>
      <x:c r="Z218" s="28" t="str">
        <x:v>Средняя</x:v>
      </x:c>
      <x:c r="AA218" s="28" t="str">
        <x:v>Тезариус вкусов (Ники Сегнит)(1).pdf</x:v>
      </x:c>
      <x:c r="AB218" s="28" t="str">
        <x:v>Тезариус вкусов (Ники Сегнит)(1).pdf: 193, 483</x:v>
      </x:c>
      <x:c r="AC218" s="28" t="str">
        <x:v>развёрнутая пара/статья, стр. 193; развёрнутая пара/статья, стр. 483</x:v>
      </x:c>
      <x:c r="AD218" s="28" t="n">
        <x:v>1</x:v>
      </x:c>
      <x:c r="AE218" s="28" t="n">
        <x:v>2</x:v>
      </x:c>
      <x:c r="AF218" s="28" t="n">
        <x:f>IF(Z218="Высокая",3,IF(Z218="Средняя",2,1))+AD218*2+MIN(AE218,3)</x:f>
        <x:v>6</x:v>
      </x:c>
    </x:row>
    <x:row r="219" ht="64" customHeight="1">
      <x:c r="A219" s="28" t="str">
        <x:v>VEG-0218</x:v>
      </x:c>
      <x:c r="B219" s="28" t="str">
        <x:v>грибы</x:v>
      </x:c>
      <x:c r="C219" s="28" t="str">
        <x:v>Универсальные</x:v>
      </x:c>
      <x:c r="D219" s="28" t="str">
        <x:v>грибы</x:v>
      </x:c>
      <x:c r="E219" s="28" t="str">
        <x:v>dried porcini | mushroom sauce</x:v>
      </x:c>
      <x:c r="F219" s="28" t="str">
        <x:v>Грибы</x:v>
      </x:c>
      <x:c r="G219" s="28" t="str">
        <x:v>арбуз</x:v>
      </x:c>
      <x:c r="H219" s="28" t="str">
        <x:v>watermelon</x:v>
      </x:c>
      <x:c r="I219" s="28" t="str">
        <x:v>Прочее</x:v>
      </x:c>
      <x:c r="J219" s="28" t="str">
        <x:v>землистый, лесной, жареный, мясной и слегка сернистый</x:v>
      </x:c>
      <x:c r="K219" s="28" t="str">
        <x:v>профиль зависит от конкретного продукта</x:v>
      </x:c>
      <x:c r="L219" s="28" t="str">
        <x:v>1-октен-3-ол, 1-октен-3-он, метиональ, глутамат, пиразины</x:v>
      </x:c>
      <x:c r="M219" s="28" t="str">
        <x:v>конкретный молекулярный профиль не указан</x:v>
      </x:c>
      <x:c r="N219" s="28" t="str">
        <x:v>прямое пересечение семейств не подтверждено</x:v>
      </x:c>
      <x:c r="O219" s="28" t="str">
        <x:v>надёжная общая ключевая молекула не установлена</x:v>
      </x:c>
      <x:c r="P219" s="28" t="str">
        <x:v>сенсорная комплементарность</x:v>
      </x:c>
      <x:c r="Q21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19" s="28" t="str">
        <x:v>минимальный</x:v>
      </x:c>
      <x:c r="S219" s="28" t="str">
        <x:v>высокая влажность, хитиновая клеточная структура и природные нуклеотиды; хорошо впитывает жир</x:v>
      </x:c>
      <x:c r="T21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19" s="28" t="str">
        <x:v>Грибы имеет профиль «землистый, лесной, жареный, мясной и слегка сернистый».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1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19" s="28" t="str">
        <x:v>соль, кислота или ароматический жир</x:v>
      </x:c>
      <x:c r="X219" s="28" t="str">
        <x:v>горячее блюдо, бульон, соус, пюре, ферментация или гарнир с арбуз</x:v>
      </x:c>
      <x:c r="Y219" s="28" t="str">
        <x:v>еда, соусы/маринады</x:v>
      </x:c>
      <x:c r="Z219" s="28" t="str">
        <x:v>Средняя</x:v>
      </x:c>
      <x:c r="AA219" s="28" t="str">
        <x:v>The Art &amp; Science of Foodpairing.pdf</x:v>
      </x:c>
      <x:c r="AB219" s="28" t="str">
        <x:v>The Art &amp; Science of Foodpairing.pdf: 78</x:v>
      </x:c>
      <x:c r="AC219" s="28" t="str">
        <x:v>связь из pairing grid, стр. 78; связь из pairing grid, стр. 78</x:v>
      </x:c>
      <x:c r="AD219" s="28" t="n">
        <x:v>1</x:v>
      </x:c>
      <x:c r="AE219" s="28" t="n">
        <x:v>2</x:v>
      </x:c>
      <x:c r="AF219" s="28" t="n">
        <x:f>IF(Z219="Высокая",3,IF(Z219="Средняя",2,1))+AD219*2+MIN(AE219,3)</x:f>
        <x:v>6</x:v>
      </x:c>
    </x:row>
    <x:row r="220" ht="64" customHeight="1">
      <x:c r="A220" s="28" t="str">
        <x:v>VEG-0219</x:v>
      </x:c>
      <x:c r="B220" s="28" t="str">
        <x:v>грибы</x:v>
      </x:c>
      <x:c r="C220" s="28" t="str">
        <x:v>Еда и соусы</x:v>
      </x:c>
      <x:c r="D220" s="28" t="str">
        <x:v>грибы</x:v>
      </x:c>
      <x:c r="E220" s="28" t="str">
        <x:v>dried porcini</x:v>
      </x:c>
      <x:c r="F220" s="28" t="str">
        <x:v>Грибы</x:v>
      </x:c>
      <x:c r="G220" s="28" t="str">
        <x:v>бальзамический уксус</x:v>
      </x:c>
      <x:c r="H220" s="28" t="str">
        <x:v>balsamic vinegar</x:v>
      </x:c>
      <x:c r="I220" s="28" t="str">
        <x:v>Ферментированные продукты и соусы</x:v>
      </x:c>
      <x:c r="J220" s="28" t="str">
        <x:v>землистый, лесной, жареный, мясной и слегка сернистый</x:v>
      </x:c>
      <x:c r="K220" s="28" t="str">
        <x:v>ферментированный, умами и сложный</x:v>
      </x:c>
      <x:c r="L220" s="28" t="str">
        <x:v>1-октен-3-ол, 1-октен-3-он, метиональ, глутамат, пиразины</x:v>
      </x:c>
      <x:c r="M220" s="28" t="str">
        <x:v>пиразины, фураны, эфиры</x:v>
      </x:c>
      <x:c r="N220" s="28" t="str">
        <x:v>жареный, умами</x:v>
      </x:c>
      <x:c r="O220" s="28" t="str">
        <x:v>пиразины</x:v>
      </x:c>
      <x:c r="P220" s="28" t="str">
        <x:v>общие характерные молекулы; пересечение ароматических семейств; умами и солёный контраст</x:v>
      </x:c>
      <x:c r="Q22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0" s="28" t="str">
        <x:v>минимальный</x:v>
      </x:c>
      <x:c r="S220" s="28" t="str">
        <x:v>высокая влажность, хитиновая клеточная структура и природные нуклеотиды; хорошо впитывает жир</x:v>
      </x:c>
      <x:c r="T22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0" s="28" t="str">
        <x:v>Грибы имеет профиль «землистый, лесной, жареный, мясной и слегка сернистый». Партнёр «бальзамический уксус»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22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20" s="28" t="str">
        <x:v>имбирь, чеснок или кунжут</x:v>
      </x:c>
      <x:c r="X220" s="28" t="str">
        <x:v>горячее блюдо, бульон, соус, пюре, ферментация или гарнир с бальзамический уксус</x:v>
      </x:c>
      <x:c r="Y220" s="28" t="str">
        <x:v>еда, соусы/маринады</x:v>
      </x:c>
      <x:c r="Z220" s="28" t="str">
        <x:v>Средняя</x:v>
      </x:c>
      <x:c r="AA220" s="28" t="str">
        <x:v>The Art &amp; Science of Foodpairing.pdf</x:v>
      </x:c>
      <x:c r="AB220" s="28" t="str">
        <x:v>The Art &amp; Science of Foodpairing.pdf: 316</x:v>
      </x:c>
      <x:c r="AC220" s="28" t="str">
        <x:v>связь из pairing grid, стр. 316</x:v>
      </x:c>
      <x:c r="AD220" s="28" t="n">
        <x:v>1</x:v>
      </x:c>
      <x:c r="AE220" s="28" t="n">
        <x:v>1</x:v>
      </x:c>
      <x:c r="AF220" s="28" t="n">
        <x:f>IF(Z220="Высокая",3,IF(Z220="Средняя",2,1))+AD220*2+MIN(AE220,3)</x:f>
        <x:v>5</x:v>
      </x:c>
    </x:row>
    <x:row r="221" ht="64" customHeight="1">
      <x:c r="A221" s="28" t="str">
        <x:v>VEG-0220</x:v>
      </x:c>
      <x:c r="B221" s="28" t="str">
        <x:v>грибы</x:v>
      </x:c>
      <x:c r="C221" s="28" t="str">
        <x:v>Десерты и выпечка</x:v>
      </x:c>
      <x:c r="D221" s="28" t="str">
        <x:v>грибы</x:v>
      </x:c>
      <x:c r="E221" s="28" t="str">
        <x:v>white button mushroom</x:v>
      </x:c>
      <x:c r="F221" s="28" t="str">
        <x:v>Грибы</x:v>
      </x:c>
      <x:c r="G221" s="28" t="str">
        <x:v>банан</x:v>
      </x:c>
      <x:c r="H221" s="28" t="str">
        <x:v>banana</x:v>
      </x:c>
      <x:c r="I221" s="28" t="str">
        <x:v>Фрукты и ягоды</x:v>
      </x:c>
      <x:c r="J221" s="28" t="str">
        <x:v>землистый, лесной, жареный, мясной и слегка сернистый</x:v>
      </x:c>
      <x:c r="K221" s="28" t="str">
        <x:v>фруктовый, цветочный и свежий</x:v>
      </x:c>
      <x:c r="L221" s="28" t="str">
        <x:v>1-октен-3-ол, 1-октен-3-он, метиональ, глутамат, пиразины</x:v>
      </x:c>
      <x:c r="M221" s="28" t="str">
        <x:v>альдегиды, эфиры</x:v>
      </x:c>
      <x:c r="N221" s="28" t="str">
        <x:v>прямое пересечение семейств не подтверждено</x:v>
      </x:c>
      <x:c r="O221" s="28" t="str">
        <x:v>надёжная общая ключевая молекула не установлена</x:v>
      </x:c>
      <x:c r="P221" s="28" t="str">
        <x:v>кислотно-сладкий баланс</x:v>
      </x:c>
      <x:c r="Q22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1" s="28" t="str">
        <x:v>минимальный</x:v>
      </x:c>
      <x:c r="S221" s="28" t="str">
        <x:v>высокая влажность, хитиновая клеточная структура и природные нуклеотиды; хорошо впитывает жир Водная кислая фаза усиливает свежесть, но может разжижать пюре и нарушать молочную эмульсию.</x:v>
      </x:c>
      <x:c r="T22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1" s="28" t="str">
        <x:v>Грибы имеет профиль «землистый, лесной, жареный, мясной и слегка сернистый».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22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W221" s="28" t="str">
        <x:v>цитрус, мёд или мягкая трава</x:v>
      </x:c>
      <x:c r="X221" s="28" t="str">
        <x:v>горячее блюдо, бульон, соус, пюре, ферментация или гарнир с банан</x:v>
      </x:c>
      <x:c r="Y221" s="28" t="str">
        <x:v>еда, десерты, соусы/маринады</x:v>
      </x:c>
      <x:c r="Z221" s="28" t="str">
        <x:v>Средняя</x:v>
      </x:c>
      <x:c r="AA221" s="28" t="str">
        <x:v>The Art &amp; Science of Foodpairing.pdf</x:v>
      </x:c>
      <x:c r="AB221" s="28" t="str">
        <x:v>The Art &amp; Science of Foodpairing.pdf: 342</x:v>
      </x:c>
      <x:c r="AC221" s="28" t="str">
        <x:v>связь из pairing grid, стр. 342</x:v>
      </x:c>
      <x:c r="AD221" s="28" t="n">
        <x:v>1</x:v>
      </x:c>
      <x:c r="AE221" s="28" t="n">
        <x:v>1</x:v>
      </x:c>
      <x:c r="AF221" s="28" t="n">
        <x:f>IF(Z221="Высокая",3,IF(Z221="Средняя",2,1))+AD221*2+MIN(AE221,3)</x:f>
        <x:v>5</x:v>
      </x:c>
    </x:row>
    <x:row r="222" ht="64" customHeight="1">
      <x:c r="A222" s="28" t="str">
        <x:v>VEG-0221</x:v>
      </x:c>
      <x:c r="B222" s="28" t="str">
        <x:v>грибы</x:v>
      </x:c>
      <x:c r="C222" s="28" t="str">
        <x:v>Еда и соусы</x:v>
      </x:c>
      <x:c r="D222" s="28" t="str">
        <x:v>грибы</x:v>
      </x:c>
      <x:c r="E222" s="28" t="str">
        <x:v>dried oyster mushroom</x:v>
      </x:c>
      <x:c r="F222" s="28" t="str">
        <x:v>Грибы</x:v>
      </x:c>
      <x:c r="G222" s="28" t="str">
        <x:v>батат</x:v>
      </x:c>
      <x:c r="H222" s="28" t="str">
        <x:v>sweet potato</x:v>
      </x:c>
      <x:c r="I222" s="28" t="str">
        <x:v>Корнеплоды и клубни</x:v>
      </x:c>
      <x:c r="J222" s="28" t="str">
        <x:v>землистый, лесной, жареный, мясной и слегка сернистый</x:v>
      </x:c>
      <x:c r="K222" s="28" t="str">
        <x:v>сладкий, крахмалистый, цветочный, карамельный и ореховый после запекания</x:v>
      </x:c>
      <x:c r="L222" s="28" t="str">
        <x:v>1-октен-3-ол, 1-октен-3-он, метиональ, глутамат, пиразины</x:v>
      </x:c>
      <x:c r="M222" s="28" t="str">
        <x:v>мальтол, норизопреноиды, пиразины, фураны</x:v>
      </x:c>
      <x:c r="N222" s="28" t="str">
        <x:v>жареный</x:v>
      </x:c>
      <x:c r="O222" s="28" t="str">
        <x:v>пиразины</x:v>
      </x:c>
      <x:c r="P222" s="28" t="str">
        <x:v>общие характерные молекулы; пересечение ароматических семейств</x:v>
      </x:c>
      <x:c r="Q22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2" s="28" t="str">
        <x:v>минимальный</x:v>
      </x:c>
      <x:c r="S222" s="28" t="str">
        <x:v>высокая влажность, хитиновая клеточная структура и природные нуклеотиды; хорошо впитывает жир</x:v>
      </x:c>
      <x:c r="T22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2" s="28" t="str">
        <x:v>Грибы имеет профиль «землистый, лесной, жареный, мясной и слегка сернистый».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V22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22" s="28" t="str">
        <x:v>соль, кислота или ароматический жир</x:v>
      </x:c>
      <x:c r="X222" s="28" t="str">
        <x:v>горячее блюдо, бульон, соус, пюре, ферментация или гарнир с батат</x:v>
      </x:c>
      <x:c r="Y222" s="28" t="str">
        <x:v>еда, соусы/маринады</x:v>
      </x:c>
      <x:c r="Z222" s="28" t="str">
        <x:v>Средняя</x:v>
      </x:c>
      <x:c r="AA222" s="28" t="str">
        <x:v>The Art &amp; Science of Foodpairing.pdf</x:v>
      </x:c>
      <x:c r="AB222" s="28" t="str">
        <x:v>The Art &amp; Science of Foodpairing.pdf: 119</x:v>
      </x:c>
      <x:c r="AC222" s="28" t="str">
        <x:v>связь из pairing grid, стр. 119</x:v>
      </x:c>
      <x:c r="AD222" s="28" t="n">
        <x:v>1</x:v>
      </x:c>
      <x:c r="AE222" s="28" t="n">
        <x:v>1</x:v>
      </x:c>
      <x:c r="AF222" s="28" t="n">
        <x:f>IF(Z222="Высокая",3,IF(Z222="Средняя",2,1))+AD222*2+MIN(AE222,3)</x:f>
        <x:v>5</x:v>
      </x:c>
    </x:row>
    <x:row r="223" ht="64" customHeight="1">
      <x:c r="A223" s="28" t="str">
        <x:v>VEG-0222</x:v>
      </x:c>
      <x:c r="B223" s="28" t="str">
        <x:v>грибы</x:v>
      </x:c>
      <x:c r="C223" s="28" t="str">
        <x:v>Еда и соусы</x:v>
      </x:c>
      <x:c r="D223" s="28" t="str">
        <x:v>грибы</x:v>
      </x:c>
      <x:c r="E223" s="28" t="str">
        <x:v>Грибы | грибы</x:v>
      </x:c>
      <x:c r="F223" s="28" t="str">
        <x:v>Грибы</x:v>
      </x:c>
      <x:c r="G223" s="28" t="str">
        <x:v>бекон</x:v>
      </x:c>
      <x:c r="H223" s="28" t="str">
        <x:v>Бекон | бекон</x:v>
      </x:c>
      <x:c r="I223" s="28" t="str">
        <x:v>Мясо и птица</x:v>
      </x:c>
      <x:c r="J223" s="28" t="str">
        <x:v>землистый, лесной, жареный, мясной и слегка сернистый</x:v>
      </x:c>
      <x:c r="K223" s="28" t="str">
        <x:v>дымный, жареный, умами</x:v>
      </x:c>
      <x:c r="L223" s="28" t="str">
        <x:v>1-октен-3-ол, 1-октен-3-он, метиональ, глутамат, пиразины</x:v>
      </x:c>
      <x:c r="M223" s="28" t="str">
        <x:v>пиразины, фенолы</x:v>
      </x:c>
      <x:c r="N223" s="28" t="str">
        <x:v>жареный, умами</x:v>
      </x:c>
      <x:c r="O223" s="28" t="str">
        <x:v>пиразины</x:v>
      </x:c>
      <x:c r="P223" s="28" t="str">
        <x:v>общие характерные молекулы; пересечение ароматических семейств; умами и солёный контраст</x:v>
      </x:c>
      <x:c r="Q22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3" s="28" t="str">
        <x:v>минимальный</x:v>
      </x:c>
      <x:c r="S223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2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3" s="28" t="str">
        <x:v>Грибы имеет профиль «землистый, лесной, жареный, мясной и слегка сернистый».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22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23" s="28" t="str">
        <x:v>сливочное масло, соевый соус или тимьян</x:v>
      </x:c>
      <x:c r="X223" s="28" t="str">
        <x:v>горячее блюдо, бульон, соус, пюре, ферментация или гарнир с бекон</x:v>
      </x:c>
      <x:c r="Y223" s="28" t="str">
        <x:v>еда, соусы/маринады</x:v>
      </x:c>
      <x:c r="Z223" s="28" t="str">
        <x:v>Средняя</x:v>
      </x:c>
      <x:c r="AA223" s="28" t="str">
        <x:v>Тезариус вкусов (Ники Сегнит)(1).pdf</x:v>
      </x:c>
      <x:c r="AB223" s="28" t="str">
        <x:v>Тезариус вкусов (Ники Сегнит)(1).pdf: 194, 445</x:v>
      </x:c>
      <x:c r="AC223" s="28" t="str">
        <x:v>развёрнутая пара/статья, стр. 194; развёрнутая пара/статья, стр. 445</x:v>
      </x:c>
      <x:c r="AD223" s="28" t="n">
        <x:v>1</x:v>
      </x:c>
      <x:c r="AE223" s="28" t="n">
        <x:v>2</x:v>
      </x:c>
      <x:c r="AF223" s="28" t="n">
        <x:f>IF(Z223="Высокая",3,IF(Z223="Средняя",2,1))+AD223*2+MIN(AE223,3)</x:f>
        <x:v>6</x:v>
      </x:c>
    </x:row>
    <x:row r="224" ht="64" customHeight="1">
      <x:c r="A224" s="28" t="str">
        <x:v>VEG-0223</x:v>
      </x:c>
      <x:c r="B224" s="28" t="str">
        <x:v>грибы</x:v>
      </x:c>
      <x:c r="C224" s="28" t="str">
        <x:v>Еда и соусы</x:v>
      </x:c>
      <x:c r="D224" s="28" t="str">
        <x:v>грибы</x:v>
      </x:c>
      <x:c r="E224" s="28" t="str">
        <x:v>Грибы | грибы</x:v>
      </x:c>
      <x:c r="F224" s="28" t="str">
        <x:v>Грибы</x:v>
      </x:c>
      <x:c r="G224" s="28" t="str">
        <x:v>белая рыба</x:v>
      </x:c>
      <x:c r="H224" s="28" t="str">
        <x:v>Белая рыба | белая рыба</x:v>
      </x:c>
      <x:c r="I224" s="28" t="str">
        <x:v>Рыба и морепродукты</x:v>
      </x:c>
      <x:c r="J224" s="28" t="str">
        <x:v>землистый, лесной, жареный, мясной и слегка сернистый</x:v>
      </x:c>
      <x:c r="K224" s="28" t="str">
        <x:v>жирный, морской, умами</x:v>
      </x:c>
      <x:c r="L224" s="28" t="str">
        <x:v>1-октен-3-ол, 1-октен-3-он, метиональ, глутамат, пиразины</x:v>
      </x:c>
      <x:c r="M224" s="28" t="str">
        <x:v>альдегиды, амины</x:v>
      </x:c>
      <x:c r="N224" s="28" t="str">
        <x:v>умами</x:v>
      </x:c>
      <x:c r="O224" s="28" t="str">
        <x:v>надёжная общая ключевая молекула не установлена</x:v>
      </x:c>
      <x:c r="P224" s="28" t="str">
        <x:v>пересечение ароматических семейств; умами и солёный контраст</x:v>
      </x:c>
      <x:c r="Q22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4" s="28" t="str">
        <x:v>минимальный</x:v>
      </x:c>
      <x:c r="S224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2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4" s="28" t="str">
        <x:v>Грибы имеет профиль «землистый, лесной, жареный, мясной и слегка сернистый».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22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24" s="28" t="str">
        <x:v>сливочное масло, соевый соус или тимьян</x:v>
      </x:c>
      <x:c r="X224" s="28" t="str">
        <x:v>горячее блюдо, бульон, соус, пюре, ферментация или гарнир с белая рыба</x:v>
      </x:c>
      <x:c r="Y224" s="28" t="str">
        <x:v>еда, соусы/маринады</x:v>
      </x:c>
      <x:c r="Z224" s="28" t="str">
        <x:v>Средняя</x:v>
      </x:c>
      <x:c r="AA224" s="28" t="str">
        <x:v>Тезариус вкусов (Ники Сегнит)(1).pdf</x:v>
      </x:c>
      <x:c r="AB224" s="28" t="str">
        <x:v>Тезариус вкусов (Ники Сегнит)(1).pdf: 194, 384</x:v>
      </x:c>
      <x:c r="AC224" s="28" t="str">
        <x:v>развёрнутая пара/статья, стр. 194; развёрнутая пара/статья, стр. 384</x:v>
      </x:c>
      <x:c r="AD224" s="28" t="n">
        <x:v>1</x:v>
      </x:c>
      <x:c r="AE224" s="28" t="n">
        <x:v>2</x:v>
      </x:c>
      <x:c r="AF224" s="28" t="n">
        <x:f>IF(Z224="Высокая",3,IF(Z224="Средняя",2,1))+AD224*2+MIN(AE224,3)</x:f>
        <x:v>6</x:v>
      </x:c>
    </x:row>
    <x:row r="225" ht="64" customHeight="1">
      <x:c r="A225" s="28" t="str">
        <x:v>VEG-0224</x:v>
      </x:c>
      <x:c r="B225" s="28" t="str">
        <x:v>грибы</x:v>
      </x:c>
      <x:c r="C225" s="28" t="str">
        <x:v>Универсальные</x:v>
      </x:c>
      <x:c r="D225" s="28" t="str">
        <x:v>грибы</x:v>
      </x:c>
      <x:c r="E225" s="28" t="str">
        <x:v>shiitake</x:v>
      </x:c>
      <x:c r="F225" s="28" t="str">
        <x:v>Грибы</x:v>
      </x:c>
      <x:c r="G225" s="28" t="str">
        <x:v>гибискус</x:v>
      </x:c>
      <x:c r="H225" s="28" t="str">
        <x:v>hibiscus flower</x:v>
      </x:c>
      <x:c r="I225" s="28" t="str">
        <x:v>Прочее</x:v>
      </x:c>
      <x:c r="J225" s="28" t="str">
        <x:v>землистый, лесной, жареный, мясной и слегка сернистый</x:v>
      </x:c>
      <x:c r="K225" s="28" t="str">
        <x:v>профиль зависит от конкретного продукта</x:v>
      </x:c>
      <x:c r="L225" s="28" t="str">
        <x:v>1-октен-3-ол, 1-октен-3-он, метиональ, глутамат, пиразины</x:v>
      </x:c>
      <x:c r="M225" s="28" t="str">
        <x:v>конкретный молекулярный профиль не указан</x:v>
      </x:c>
      <x:c r="N225" s="28" t="str">
        <x:v>прямое пересечение семейств не подтверждено</x:v>
      </x:c>
      <x:c r="O225" s="28" t="str">
        <x:v>надёжная общая ключевая молекула не установлена</x:v>
      </x:c>
      <x:c r="P225" s="28" t="str">
        <x:v>сенсорная комплементарность</x:v>
      </x:c>
      <x:c r="Q22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5" s="28" t="str">
        <x:v>минимальный</x:v>
      </x:c>
      <x:c r="S225" s="28" t="str">
        <x:v>высокая влажность, хитиновая клеточная структура и природные нуклеотиды; хорошо впитывает жир</x:v>
      </x:c>
      <x:c r="T22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5" s="28" t="str">
        <x:v>Грибы имеет профиль «землистый, лесной, жареный, мясной и слегка сернистый».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2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25" s="28" t="str">
        <x:v>соль, кислота или ароматический жир</x:v>
      </x:c>
      <x:c r="X225" s="28" t="str">
        <x:v>горячее блюдо, бульон, соус, пюре, ферментация или гарнир с гибискус</x:v>
      </x:c>
      <x:c r="Y225" s="28" t="str">
        <x:v>еда, соусы/маринады</x:v>
      </x:c>
      <x:c r="Z225" s="28" t="str">
        <x:v>Высокая</x:v>
      </x:c>
      <x:c r="AA225" s="28" t="str">
        <x:v>The Art &amp; Science of Foodpairing.pdf</x:v>
      </x:c>
      <x:c r="AB225" s="28" t="str">
        <x:v>The Art &amp; Science of Foodpairing.pdf: 127</x:v>
      </x:c>
      <x:c r="AC225" s="28" t="str">
        <x:v>прямая Potential pairing, стр. 127</x:v>
      </x:c>
      <x:c r="AD225" s="28" t="n">
        <x:v>1</x:v>
      </x:c>
      <x:c r="AE225" s="28" t="n">
        <x:v>1</x:v>
      </x:c>
      <x:c r="AF225" s="28" t="n">
        <x:f>IF(Z225="Высокая",3,IF(Z225="Средняя",2,1))+AD225*2+MIN(AE225,3)</x:f>
        <x:v>6</x:v>
      </x:c>
    </x:row>
    <x:row r="226" ht="64" customHeight="1">
      <x:c r="A226" s="28" t="str">
        <x:v>VEG-0225</x:v>
      </x:c>
      <x:c r="B226" s="28" t="str">
        <x:v>грибы</x:v>
      </x:c>
      <x:c r="C226" s="28" t="str">
        <x:v>Еда и соусы</x:v>
      </x:c>
      <x:c r="D226" s="28" t="str">
        <x:v>грибы</x:v>
      </x:c>
      <x:c r="E226" s="28" t="str">
        <x:v>Грибы | грибы</x:v>
      </x:c>
      <x:c r="F226" s="28" t="str">
        <x:v>Грибы</x:v>
      </x:c>
      <x:c r="G226" s="28" t="str">
        <x:v>говядина</x:v>
      </x:c>
      <x:c r="H226" s="28" t="str">
        <x:v>Говядина | говядина</x:v>
      </x:c>
      <x:c r="I226" s="28" t="str">
        <x:v>Мясо и птица</x:v>
      </x:c>
      <x:c r="J226" s="28" t="str">
        <x:v>землистый, лесной, жареный, мясной и слегка сернистый</x:v>
      </x:c>
      <x:c r="K226" s="28" t="str">
        <x:v>жареный, мясной и умами</x:v>
      </x:c>
      <x:c r="L226" s="28" t="str">
        <x:v>1-октен-3-ол, 1-октен-3-он, метиональ, глутамат, пиразины</x:v>
      </x:c>
      <x:c r="M226" s="28" t="str">
        <x:v>пиразины, сернистые соединения</x:v>
      </x:c>
      <x:c r="N226" s="28" t="str">
        <x:v>жареный, умами</x:v>
      </x:c>
      <x:c r="O226" s="28" t="str">
        <x:v>пиразины</x:v>
      </x:c>
      <x:c r="P226" s="28" t="str">
        <x:v>общие характерные молекулы; пересечение ароматических семейств; умами и солёный контраст</x:v>
      </x:c>
      <x:c r="Q22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6" s="28" t="str">
        <x:v>минимальный</x:v>
      </x:c>
      <x:c r="S226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2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6" s="28" t="str">
        <x:v>Грибы имеет профиль «землистый, лесной, жареный, мясной и слегка сернистый».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22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26" s="28" t="str">
        <x:v>сливочное масло, соевый соус или тимьян</x:v>
      </x:c>
      <x:c r="X226" s="28" t="str">
        <x:v>горячее блюдо, бульон, соус, пюре, ферментация или гарнир с говядина</x:v>
      </x:c>
      <x:c r="Y226" s="28" t="str">
        <x:v>еда, соусы/маринады</x:v>
      </x:c>
      <x:c r="Z226" s="28" t="str">
        <x:v>Средняя</x:v>
      </x:c>
      <x:c r="AA226" s="28" t="str">
        <x:v>Тезариус вкусов (Ники Сегнит)(1).pdf</x:v>
      </x:c>
      <x:c r="AB226" s="28" t="str">
        <x:v>Тезариус вкусов (Ники Сегнит)(1).pdf: 108, 195</x:v>
      </x:c>
      <x:c r="AC226" s="28" t="str">
        <x:v>развёрнутая пара/статья, стр. 108; развёрнутая пара/статья, стр. 195</x:v>
      </x:c>
      <x:c r="AD226" s="28" t="n">
        <x:v>1</x:v>
      </x:c>
      <x:c r="AE226" s="28" t="n">
        <x:v>2</x:v>
      </x:c>
      <x:c r="AF226" s="28" t="n">
        <x:f>IF(Z226="Высокая",3,IF(Z226="Средняя",2,1))+AD226*2+MIN(AE226,3)</x:f>
        <x:v>6</x:v>
      </x:c>
    </x:row>
    <x:row r="227" ht="64" customHeight="1">
      <x:c r="A227" s="28" t="str">
        <x:v>VEG-0226</x:v>
      </x:c>
      <x:c r="B227" s="28" t="str">
        <x:v>грибы</x:v>
      </x:c>
      <x:c r="C227" s="28" t="str">
        <x:v>Десерты и выпечка</x:v>
      </x:c>
      <x:c r="D227" s="28" t="str">
        <x:v>грибы</x:v>
      </x:c>
      <x:c r="E227" s="28" t="str">
        <x:v>Грибы | грибы</x:v>
      </x:c>
      <x:c r="F227" s="28" t="str">
        <x:v>Грибы</x:v>
      </x:c>
      <x:c r="G227" s="28" t="str">
        <x:v>голубой сыр</x:v>
      </x:c>
      <x:c r="H227" s="28" t="str">
        <x:v>Голубой сыр | голубой сыр</x:v>
      </x:c>
      <x:c r="I227" s="28" t="str">
        <x:v>Молочные продукты и сыры</x:v>
      </x:c>
      <x:c r="J227" s="28" t="str">
        <x:v>землистый, лесной, жареный, мясной и слегка сернистый</x:v>
      </x:c>
      <x:c r="K227" s="28" t="str">
        <x:v>молочный, умами, ферментированный</x:v>
      </x:c>
      <x:c r="L227" s="28" t="str">
        <x:v>1-октен-3-ол, 1-октен-3-он, метиональ, глутамат, пиразины</x:v>
      </x:c>
      <x:c r="M227" s="28" t="str">
        <x:v>диацетил, жирные кислоты</x:v>
      </x:c>
      <x:c r="N227" s="28" t="str">
        <x:v>умами</x:v>
      </x:c>
      <x:c r="O227" s="28" t="str">
        <x:v>надёжная общая ключевая молекула не установлена</x:v>
      </x:c>
      <x:c r="P227" s="28" t="str">
        <x:v>пересечение ароматических семейств; жировая матрица</x:v>
      </x:c>
      <x:c r="Q22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7" s="28" t="str">
        <x:v>минимальный</x:v>
      </x:c>
      <x:c r="S227" s="28" t="str">
        <x:v>высокая влажность, хитиновая клеточная структура и природные нуклеотиды; хорошо впитывает жир Жировая фаза удерживает гидрофобные молекулы, но может сделать вкус тяжёлым.</x:v>
      </x:c>
      <x:c r="T22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7" s="28" t="str">
        <x:v>Грибы имеет профиль «землистый, лесной, жареный, мясной и слегка сернистый». Партнёр «голубой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2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W227" s="28" t="str">
        <x:v>кислота, зелень или жареный орех</x:v>
      </x:c>
      <x:c r="X227" s="28" t="str">
        <x:v>горячее блюдо, бульон, соус, пюре, ферментация или гарнир с голубой сыр</x:v>
      </x:c>
      <x:c r="Y227" s="28" t="str">
        <x:v>еда, десерты, соусы/маринады</x:v>
      </x:c>
      <x:c r="Z227" s="28" t="str">
        <x:v>Средняя</x:v>
      </x:c>
      <x:c r="AA227" s="28" t="str">
        <x:v>Тезариус вкусов (Ники Сегнит)(1).pdf</x:v>
      </x:c>
      <x:c r="AB227" s="28" t="str">
        <x:v>Тезариус вкусов (Ники Сегнит)(1).pdf: 157, 195</x:v>
      </x:c>
      <x:c r="AC227" s="28" t="str">
        <x:v>развёрнутая пара/статья, стр. 157; развёрнутая пара/статья, стр. 195</x:v>
      </x:c>
      <x:c r="AD227" s="28" t="n">
        <x:v>1</x:v>
      </x:c>
      <x:c r="AE227" s="28" t="n">
        <x:v>2</x:v>
      </x:c>
      <x:c r="AF227" s="28" t="n">
        <x:f>IF(Z227="Высокая",3,IF(Z227="Средняя",2,1))+AD227*2+MIN(AE227,3)</x:f>
        <x:v>6</x:v>
      </x:c>
    </x:row>
    <x:row r="228" ht="64" customHeight="1">
      <x:c r="A228" s="28" t="str">
        <x:v>VEG-0227</x:v>
      </x:c>
      <x:c r="B228" s="28" t="str">
        <x:v>грибы</x:v>
      </x:c>
      <x:c r="C228" s="28" t="str">
        <x:v>Десерты и выпечка</x:v>
      </x:c>
      <x:c r="D228" s="28" t="str">
        <x:v>грибы</x:v>
      </x:c>
      <x:c r="E228" s="28" t="str">
        <x:v>Грибы | грибы</x:v>
      </x:c>
      <x:c r="F228" s="28" t="str">
        <x:v>Грибы</x:v>
      </x:c>
      <x:c r="G228" s="28" t="str">
        <x:v>грецкий орех</x:v>
      </x:c>
      <x:c r="H228" s="28" t="str">
        <x:v>Грецкий орех | грецкий орех</x:v>
      </x:c>
      <x:c r="I228" s="28" t="str">
        <x:v>Орехи и семена</x:v>
      </x:c>
      <x:c r="J228" s="28" t="str">
        <x:v>землистый, лесной, жареный, мясной и слегка сернистый</x:v>
      </x:c>
      <x:c r="K228" s="28" t="str">
        <x:v>древесный, землистый, ореховый</x:v>
      </x:c>
      <x:c r="L228" s="28" t="str">
        <x:v>1-октен-3-ол, 1-октен-3-он, метиональ, глутамат, пиразины</x:v>
      </x:c>
      <x:c r="M228" s="28" t="str">
        <x:v>альдегиды, пиразины</x:v>
      </x:c>
      <x:c r="N228" s="28" t="str">
        <x:v>землистый</x:v>
      </x:c>
      <x:c r="O228" s="28" t="str">
        <x:v>пиразины</x:v>
      </x:c>
      <x:c r="P228" s="28" t="str">
        <x:v>общие характерные молекулы; пересечение ароматических семейств</x:v>
      </x:c>
      <x:c r="Q22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8" s="28" t="str">
        <x:v>минимальный</x:v>
      </x:c>
      <x:c r="S228" s="28" t="str">
        <x:v>высокая влажность, хитиновая клеточная структура и природные нуклеотиды; хорошо впитывает жир</x:v>
      </x:c>
      <x:c r="T22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8" s="28" t="str">
        <x:v>Грибы имеет профиль «землистый, лесной, жареный, мясной и слегка сернистый».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22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28" s="28" t="str">
        <x:v>соль, кислота или ароматический жир</x:v>
      </x:c>
      <x:c r="X228" s="28" t="str">
        <x:v>горячее блюдо, бульон, соус, пюре, ферментация или гарнир с грецкий орех</x:v>
      </x:c>
      <x:c r="Y228" s="28" t="str">
        <x:v>еда, десерты, соусы/маринады</x:v>
      </x:c>
      <x:c r="Z228" s="28" t="str">
        <x:v>Средняя</x:v>
      </x:c>
      <x:c r="AA228" s="28" t="str">
        <x:v>Тезариус вкусов (Ники Сегнит)(1).pdf</x:v>
      </x:c>
      <x:c r="AB228" s="28" t="str">
        <x:v>Тезариус вкусов (Ники Сегнит)(1).pdf: 195, 625</x:v>
      </x:c>
      <x:c r="AC228" s="28" t="str">
        <x:v>развёрнутая пара/статья, стр. 195; развёрнутая пара/статья, стр. 625</x:v>
      </x:c>
      <x:c r="AD228" s="28" t="n">
        <x:v>1</x:v>
      </x:c>
      <x:c r="AE228" s="28" t="n">
        <x:v>2</x:v>
      </x:c>
      <x:c r="AF228" s="28" t="n">
        <x:f>IF(Z228="Высокая",3,IF(Z228="Средняя",2,1))+AD228*2+MIN(AE228,3)</x:f>
        <x:v>6</x:v>
      </x:c>
    </x:row>
    <x:row r="229" ht="64" customHeight="1">
      <x:c r="A229" s="28" t="str">
        <x:v>VEG-0228</x:v>
      </x:c>
      <x:c r="B229" s="28" t="str">
        <x:v>грибы</x:v>
      </x:c>
      <x:c r="C229" s="28" t="str">
        <x:v>Напитки</x:v>
      </x:c>
      <x:c r="D229" s="28" t="str">
        <x:v>грибы</x:v>
      </x:c>
      <x:c r="E229" s="28" t="str">
        <x:v>cep mushroom</x:v>
      </x:c>
      <x:c r="F229" s="28" t="str">
        <x:v>Грибы</x:v>
      </x:c>
      <x:c r="G229" s="28" t="str">
        <x:v>джин</x:v>
      </x:c>
      <x:c r="H229" s="28" t="str">
        <x:v>gin</x:v>
      </x:c>
      <x:c r="I229" s="28" t="str">
        <x:v>Алкогольные напитки</x:v>
      </x:c>
      <x:c r="J229" s="28" t="str">
        <x:v>землистый, лесной, жареный, мясной и слегка сернистый</x:v>
      </x:c>
      <x:c r="K229" s="28" t="str">
        <x:v>спиртовой, фруктовый или древесный</x:v>
      </x:c>
      <x:c r="L229" s="28" t="str">
        <x:v>1-октен-3-ол, 1-октен-3-он, метиональ, глутамат, пиразины</x:v>
      </x:c>
      <x:c r="M229" s="28" t="str">
        <x:v>альдегиды, эфиры</x:v>
      </x:c>
      <x:c r="N229" s="28" t="str">
        <x:v>прямое пересечение семейств не подтверждено</x:v>
      </x:c>
      <x:c r="O229" s="28" t="str">
        <x:v>надёжная общая ключевая молекула не установлена</x:v>
      </x:c>
      <x:c r="P229" s="28" t="str">
        <x:v>сенсорная комплементарность</x:v>
      </x:c>
      <x:c r="Q22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29" s="28" t="str">
        <x:v>минимальный</x:v>
      </x:c>
      <x:c r="S229" s="28" t="str">
        <x:v>высокая влажность, хитиновая клеточная структура и природные нуклеотиды; хорошо впитывает жир Этанол извлекает терпены и сернистые соединения эффективнее воды; время контакта ограничивать.</x:v>
      </x:c>
      <x:c r="T22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29" s="28" t="str">
        <x:v>Грибы имеет профиль «землистый, лесной, жареный, мясной и слегка сернистый».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2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29" s="28" t="str">
        <x:v>соль, кислота или ароматический жир</x:v>
      </x:c>
      <x:c r="X229" s="28" t="str">
        <x:v>горячее блюдо, бульон, соус, пюре, ферментация или гарнир с джин</x:v>
      </x:c>
      <x:c r="Y229" s="28" t="str">
        <x:v>напитки, еда, соусы/маринады</x:v>
      </x:c>
      <x:c r="Z229" s="28" t="str">
        <x:v>Средняя</x:v>
      </x:c>
      <x:c r="AA229" s="28" t="str">
        <x:v>The Art &amp; Science of Foodpairing.pdf</x:v>
      </x:c>
      <x:c r="AB229" s="28" t="str">
        <x:v>The Art &amp; Science of Foodpairing.pdf: 215</x:v>
      </x:c>
      <x:c r="AC229" s="28" t="str">
        <x:v>связь из pairing grid, стр. 215</x:v>
      </x:c>
      <x:c r="AD229" s="28" t="n">
        <x:v>1</x:v>
      </x:c>
      <x:c r="AE229" s="28" t="n">
        <x:v>1</x:v>
      </x:c>
      <x:c r="AF229" s="28" t="n">
        <x:f>IF(Z229="Высокая",3,IF(Z229="Средняя",2,1))+AD229*2+MIN(AE229,3)</x:f>
        <x:v>5</x:v>
      </x:c>
    </x:row>
    <x:row r="230" ht="64" customHeight="1">
      <x:c r="A230" s="28" t="str">
        <x:v>VEG-0229</x:v>
      </x:c>
      <x:c r="B230" s="28" t="str">
        <x:v>грибы</x:v>
      </x:c>
      <x:c r="C230" s="28" t="str">
        <x:v>Универсальные</x:v>
      </x:c>
      <x:c r="D230" s="28" t="str">
        <x:v>грибы</x:v>
      </x:c>
      <x:c r="E230" s="28" t="str">
        <x:v>dried oyster mushroom</x:v>
      </x:c>
      <x:c r="F230" s="28" t="str">
        <x:v>Грибы</x:v>
      </x:c>
      <x:c r="G230" s="28" t="str">
        <x:v>жасмин</x:v>
      </x:c>
      <x:c r="H230" s="28" t="str">
        <x:v>Jasmine blossom</x:v>
      </x:c>
      <x:c r="I230" s="28" t="str">
        <x:v>Травы, цветы и листья</x:v>
      </x:c>
      <x:c r="J230" s="28" t="str">
        <x:v>землистый, лесной, жареный, мясной и слегка сернистый</x:v>
      </x:c>
      <x:c r="K230" s="28" t="str">
        <x:v>зелёный, цветочный и терпеновый</x:v>
      </x:c>
      <x:c r="L230" s="28" t="str">
        <x:v>1-октен-3-ол, 1-октен-3-он, метиональ, глутамат, пиразины</x:v>
      </x:c>
      <x:c r="M230" s="28" t="str">
        <x:v>линалоол, терпены</x:v>
      </x:c>
      <x:c r="N230" s="28" t="str">
        <x:v>прямое пересечение семейств не подтверждено</x:v>
      </x:c>
      <x:c r="O230" s="28" t="str">
        <x:v>надёжная общая ключевая молекула не установлена</x:v>
      </x:c>
      <x:c r="P230" s="28" t="str">
        <x:v>сенсорная комплементарность</x:v>
      </x:c>
      <x:c r="Q23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0" s="28" t="str">
        <x:v>минимальный</x:v>
      </x:c>
      <x:c r="S230" s="28" t="str">
        <x:v>высокая влажность, хитиновая клеточная структура и природные нуклеотиды; хорошо впитывает жир</x:v>
      </x:c>
      <x:c r="T23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0" s="28" t="str">
        <x:v>Грибы имеет профиль «землистый, лесной, жареный, мясной и слегка сернистый».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23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W230" s="28" t="str">
        <x:v>оливковое масло, лимон или сыр</x:v>
      </x:c>
      <x:c r="X230" s="28" t="str">
        <x:v>горячее блюдо, бульон, соус, пюре, ферментация или гарнир с жасмин</x:v>
      </x:c>
      <x:c r="Y230" s="28" t="str">
        <x:v>еда, соусы/маринады</x:v>
      </x:c>
      <x:c r="Z230" s="28" t="str">
        <x:v>Средняя</x:v>
      </x:c>
      <x:c r="AA230" s="28" t="str">
        <x:v>The Art &amp; Science of Foodpairing.pdf</x:v>
      </x:c>
      <x:c r="AB230" s="28" t="str">
        <x:v>The Art &amp; Science of Foodpairing.pdf: 210</x:v>
      </x:c>
      <x:c r="AC230" s="28" t="str">
        <x:v>связь из pairing grid, стр. 210</x:v>
      </x:c>
      <x:c r="AD230" s="28" t="n">
        <x:v>1</x:v>
      </x:c>
      <x:c r="AE230" s="28" t="n">
        <x:v>1</x:v>
      </x:c>
      <x:c r="AF230" s="28" t="n">
        <x:f>IF(Z230="Высокая",3,IF(Z230="Средняя",2,1))+AD230*2+MIN(AE230,3)</x:f>
        <x:v>5</x:v>
      </x:c>
    </x:row>
    <x:row r="231" ht="64" customHeight="1">
      <x:c r="A231" s="28" t="str">
        <x:v>VEG-0230</x:v>
      </x:c>
      <x:c r="B231" s="28" t="str">
        <x:v>грибы</x:v>
      </x:c>
      <x:c r="C231" s="28" t="str">
        <x:v>Еда и соусы</x:v>
      </x:c>
      <x:c r="D231" s="28" t="str">
        <x:v>грибы</x:v>
      </x:c>
      <x:c r="E231" s="28" t="str">
        <x:v>Грибы | грибы</x:v>
      </x:c>
      <x:c r="F231" s="28" t="str">
        <x:v>Грибы</x:v>
      </x:c>
      <x:c r="G231" s="28" t="str">
        <x:v>жирная рыба</x:v>
      </x:c>
      <x:c r="H231" s="28" t="str">
        <x:v>Жирная рыба | жирная рыба</x:v>
      </x:c>
      <x:c r="I231" s="28" t="str">
        <x:v>Рыба и морепродукты</x:v>
      </x:c>
      <x:c r="J231" s="28" t="str">
        <x:v>землистый, лесной, жареный, мясной и слегка сернистый</x:v>
      </x:c>
      <x:c r="K231" s="28" t="str">
        <x:v>жирный, морской, умами</x:v>
      </x:c>
      <x:c r="L231" s="28" t="str">
        <x:v>1-октен-3-ол, 1-октен-3-он, метиональ, глутамат, пиразины</x:v>
      </x:c>
      <x:c r="M231" s="28" t="str">
        <x:v>альдегиды, амины</x:v>
      </x:c>
      <x:c r="N231" s="28" t="str">
        <x:v>умами</x:v>
      </x:c>
      <x:c r="O231" s="28" t="str">
        <x:v>надёжная общая ключевая молекула не установлена</x:v>
      </x:c>
      <x:c r="P231" s="28" t="str">
        <x:v>пересечение ароматических семейств; умами и солёный контраст</x:v>
      </x:c>
      <x:c r="Q23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1" s="28" t="str">
        <x:v>минимальный</x:v>
      </x:c>
      <x:c r="S231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3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1" s="28" t="str">
        <x:v>Грибы имеет профиль «землистый, лесной, жареный, мясной и слегка сернистый». Партнёр «жирная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23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31" s="28" t="str">
        <x:v>сливочное масло, соевый соус или тимьян</x:v>
      </x:c>
      <x:c r="X231" s="28" t="str">
        <x:v>горячее блюдо, бульон, соус, пюре, ферментация или гарнир с жирная рыба</x:v>
      </x:c>
      <x:c r="Y231" s="28" t="str">
        <x:v>еда, соусы/маринады</x:v>
      </x:c>
      <x:c r="Z231" s="28" t="str">
        <x:v>Средняя</x:v>
      </x:c>
      <x:c r="AA231" s="28" t="str">
        <x:v>Тезариус вкусов (Ники Сегнит)(1).pdf</x:v>
      </x:c>
      <x:c r="AB231" s="28" t="str">
        <x:v>Тезариус вкусов (Ники Сегнит)(1).pdf: 196, 412</x:v>
      </x:c>
      <x:c r="AC231" s="28" t="str">
        <x:v>развёрнутая пара/статья, стр. 196; развёрнутая пара/статья, стр. 412</x:v>
      </x:c>
      <x:c r="AD231" s="28" t="n">
        <x:v>1</x:v>
      </x:c>
      <x:c r="AE231" s="28" t="n">
        <x:v>2</x:v>
      </x:c>
      <x:c r="AF231" s="28" t="n">
        <x:f>IF(Z231="Высокая",3,IF(Z231="Средняя",2,1))+AD231*2+MIN(AE231,3)</x:f>
        <x:v>6</x:v>
      </x:c>
    </x:row>
    <x:row r="232" ht="64" customHeight="1">
      <x:c r="A232" s="28" t="str">
        <x:v>VEG-0231</x:v>
      </x:c>
      <x:c r="B232" s="28" t="str">
        <x:v>грибы</x:v>
      </x:c>
      <x:c r="C232" s="28" t="str">
        <x:v>Еда и соусы</x:v>
      </x:c>
      <x:c r="D232" s="28" t="str">
        <x:v>грибы</x:v>
      </x:c>
      <x:c r="E232" s="28" t="str">
        <x:v>dried porcini | Грибы | грибы</x:v>
      </x:c>
      <x:c r="F232" s="28" t="str">
        <x:v>Грибы</x:v>
      </x:c>
      <x:c r="G232" s="28" t="str">
        <x:v>картофель</x:v>
      </x:c>
      <x:c r="H232" s="28" t="str">
        <x:v>French fries | Картофель | картофель</x:v>
      </x:c>
      <x:c r="I232" s="28" t="str">
        <x:v>Корнеплоды и клубни</x:v>
      </x:c>
      <x:c r="J232" s="28" t="str">
        <x:v>землистый, лесной, жареный, мясной и слегка сернистый</x:v>
      </x:c>
      <x:c r="K232" s="28" t="str">
        <x:v>крахмалистый, землистый, ореховый и жареный после нагрева</x:v>
      </x:c>
      <x:c r="L232" s="28" t="str">
        <x:v>1-октен-3-ол, 1-октен-3-он, метиональ, глутамат, пиразины</x:v>
      </x:c>
      <x:c r="M232" s="28" t="str">
        <x:v>2-ацетил-1-пирролин, альдегиды, метиональ, пиразины</x:v>
      </x:c>
      <x:c r="N232" s="28" t="str">
        <x:v>жареный, землистый, сернистый</x:v>
      </x:c>
      <x:c r="O232" s="28" t="str">
        <x:v>метиональ, пиразины</x:v>
      </x:c>
      <x:c r="P232" s="28" t="str">
        <x:v>общие характерные молекулы; пересечение ароматических семейств</x:v>
      </x:c>
      <x:c r="Q23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2" s="28" t="str">
        <x:v>минимальный</x:v>
      </x:c>
      <x:c r="S232" s="28" t="str">
        <x:v>высокая влажность, хитиновая клеточная структура и природные нуклеотиды; хорошо впитывает жир</x:v>
      </x:c>
      <x:c r="T23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2" s="28" t="str">
        <x:v>Грибы имеет профиль «землистый, лесной, жареный, мясной и слегка сернистый». Партнёр «картофель» относится к группе «Корнеплоды и клубни» и даёт крахмалистый, землистый, ореховый и жареный после нагрева. Вероятный молекулярный мост: метиональ, пиразины. Совместимость формируется за счёт баланса сладости, кислотности, горечи, умами и текстуры.</x:v>
      </x:c>
      <x:c r="V23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32" s="28" t="str">
        <x:v>соль, кислота или ароматический жир</x:v>
      </x:c>
      <x:c r="X232" s="28" t="str">
        <x:v>горячее блюдо, бульон, соус, пюре, ферментация или гарнир с картофель</x:v>
      </x:c>
      <x:c r="Y232" s="28" t="str">
        <x:v>еда, соусы/маринады</x:v>
      </x:c>
      <x:c r="Z232" s="28" t="str">
        <x:v>Высокая</x:v>
      </x:c>
      <x:c r="AA232" s="28" t="str">
        <x:v>The Art &amp; Science of Foodpairing.pdf | Тезариус вкусов (Ники Сегнит)(1).pdf</x:v>
      </x:c>
      <x:c r="AB232" s="28" t="str">
        <x:v>Тезариус вкусов (Ники Сегнит)(1).pdf: 197, 234; The Art &amp; Science of Foodpairing.pdf: 196</x:v>
      </x:c>
      <x:c r="AC232" s="28" t="str">
        <x:v>прямая Potential pairing, стр. 196; развёрнутая пара/статья, стр. 197; развёрнутая пара/статья, стр. 234; связь из pairing grid, стр. 196</x:v>
      </x:c>
      <x:c r="AD232" s="28" t="n">
        <x:v>2</x:v>
      </x:c>
      <x:c r="AE232" s="28" t="n">
        <x:v>4</x:v>
      </x:c>
      <x:c r="AF232" s="28" t="n">
        <x:f>IF(Z232="Высокая",3,IF(Z232="Средняя",2,1))+AD232*2+MIN(AE232,3)</x:f>
        <x:v>10</x:v>
      </x:c>
    </x:row>
    <x:row r="233" ht="64" customHeight="1">
      <x:c r="A233" s="28" t="str">
        <x:v>VEG-0232</x:v>
      </x:c>
      <x:c r="B233" s="28" t="str">
        <x:v>грибы</x:v>
      </x:c>
      <x:c r="C233" s="28" t="str">
        <x:v>Десерты и выпечка</x:v>
      </x:c>
      <x:c r="D233" s="28" t="str">
        <x:v>грибы</x:v>
      </x:c>
      <x:c r="E233" s="28" t="str">
        <x:v>Грибы | грибы</x:v>
      </x:c>
      <x:c r="F233" s="28" t="str">
        <x:v>Грибы</x:v>
      </x:c>
      <x:c r="G233" s="28" t="str">
        <x:v>каштаны</x:v>
      </x:c>
      <x:c r="H233" s="28" t="str">
        <x:v>Каштаны | каштаны</x:v>
      </x:c>
      <x:c r="I233" s="28" t="str">
        <x:v>Орехи и семена</x:v>
      </x:c>
      <x:c r="J233" s="28" t="str">
        <x:v>землистый, лесной, жареный, мясной и слегка сернистый</x:v>
      </x:c>
      <x:c r="K233" s="28" t="str">
        <x:v>ореховый, жареный и жирный</x:v>
      </x:c>
      <x:c r="L233" s="28" t="str">
        <x:v>1-октен-3-ол, 1-октен-3-он, метиональ, глутамат, пиразины</x:v>
      </x:c>
      <x:c r="M233" s="28" t="str">
        <x:v>альдегиды, пиразины, фураны</x:v>
      </x:c>
      <x:c r="N233" s="28" t="str">
        <x:v>жареный</x:v>
      </x:c>
      <x:c r="O233" s="28" t="str">
        <x:v>пиразины</x:v>
      </x:c>
      <x:c r="P233" s="28" t="str">
        <x:v>общие характерные молекулы; пересечение ароматических семейств</x:v>
      </x:c>
      <x:c r="Q23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3" s="28" t="str">
        <x:v>минимальный</x:v>
      </x:c>
      <x:c r="S233" s="28" t="str">
        <x:v>высокая влажность, хитиновая клеточная структура и природные нуклеотиды; хорошо впитывает жир</x:v>
      </x:c>
      <x:c r="T23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3" s="28" t="str">
        <x:v>Грибы имеет профиль «землистый, лесной, жареный, мясной и слегка сернистый». Партнёр «каштаны»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23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33" s="28" t="str">
        <x:v>соль, кислота или ароматический жир</x:v>
      </x:c>
      <x:c r="X233" s="28" t="str">
        <x:v>горячее блюдо, бульон, соус, пюре, ферментация или гарнир с каштаны</x:v>
      </x:c>
      <x:c r="Y233" s="28" t="str">
        <x:v>еда, десерты, соусы/маринады</x:v>
      </x:c>
      <x:c r="Z233" s="28" t="str">
        <x:v>Средняя</x:v>
      </x:c>
      <x:c r="AA233" s="28" t="str">
        <x:v>Тезариус вкусов (Ники Сегнит)(1).pdf</x:v>
      </x:c>
      <x:c r="AB233" s="28" t="str">
        <x:v>Тезариус вкусов (Ники Сегнит)(1).pdf: 197, 617</x:v>
      </x:c>
      <x:c r="AC233" s="28" t="str">
        <x:v>развёрнутая пара/статья, стр. 197; развёрнутая пара/статья, стр. 617</x:v>
      </x:c>
      <x:c r="AD233" s="28" t="n">
        <x:v>1</x:v>
      </x:c>
      <x:c r="AE233" s="28" t="n">
        <x:v>2</x:v>
      </x:c>
      <x:c r="AF233" s="28" t="n">
        <x:f>IF(Z233="Высокая",3,IF(Z233="Средняя",2,1))+AD233*2+MIN(AE233,3)</x:f>
        <x:v>6</x:v>
      </x:c>
    </x:row>
    <x:row r="234" ht="64" customHeight="1">
      <x:c r="A234" s="28" t="str">
        <x:v>VEG-0233</x:v>
      </x:c>
      <x:c r="B234" s="28" t="str">
        <x:v>грибы</x:v>
      </x:c>
      <x:c r="C234" s="28" t="str">
        <x:v>Еда и соусы</x:v>
      </x:c>
      <x:c r="D234" s="28" t="str">
        <x:v>грибы</x:v>
      </x:c>
      <x:c r="E234" s="28" t="str">
        <x:v>pan-fried white button mushroom</x:v>
      </x:c>
      <x:c r="F234" s="28" t="str">
        <x:v>Грибы</x:v>
      </x:c>
      <x:c r="G234" s="28" t="str">
        <x:v>кимчи</x:v>
      </x:c>
      <x:c r="H234" s="28" t="str">
        <x:v>baechu kimchi</x:v>
      </x:c>
      <x:c r="I234" s="28" t="str">
        <x:v>Ферментированные продукты и соусы</x:v>
      </x:c>
      <x:c r="J234" s="28" t="str">
        <x:v>землистый, лесной, жареный, мясной и слегка сернистый</x:v>
      </x:c>
      <x:c r="K234" s="28" t="str">
        <x:v>ферментированный, умами и сложный</x:v>
      </x:c>
      <x:c r="L234" s="28" t="str">
        <x:v>1-октен-3-ол, 1-октен-3-он, метиональ, глутамат, пиразины</x:v>
      </x:c>
      <x:c r="M234" s="28" t="str">
        <x:v>пиразины, фураны, эфиры</x:v>
      </x:c>
      <x:c r="N234" s="28" t="str">
        <x:v>жареный, умами</x:v>
      </x:c>
      <x:c r="O234" s="28" t="str">
        <x:v>пиразины</x:v>
      </x:c>
      <x:c r="P234" s="28" t="str">
        <x:v>общие характерные молекулы; пересечение ароматических семейств; умами и солёный контраст</x:v>
      </x:c>
      <x:c r="Q23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4" s="28" t="str">
        <x:v>минимальный</x:v>
      </x:c>
      <x:c r="S234" s="28" t="str">
        <x:v>высокая влажность, хитиновая клеточная структура и природные нуклеотиды; хорошо впитывает жир</x:v>
      </x:c>
      <x:c r="T23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4" s="28" t="str">
        <x:v>Грибы имеет профиль «землистый, лесной, жареный, мясной и слегка сернистый». Партнёр «кимчи»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23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34" s="28" t="str">
        <x:v>имбирь, чеснок или кунжут</x:v>
      </x:c>
      <x:c r="X234" s="28" t="str">
        <x:v>горячее блюдо, бульон, соус, пюре, ферментация или гарнир с кимчи</x:v>
      </x:c>
      <x:c r="Y234" s="28" t="str">
        <x:v>еда, соусы/маринады</x:v>
      </x:c>
      <x:c r="Z234" s="28" t="str">
        <x:v>Средняя</x:v>
      </x:c>
      <x:c r="AA234" s="28" t="str">
        <x:v>The Art &amp; Science of Foodpairing.pdf</x:v>
      </x:c>
      <x:c r="AB234" s="28" t="str">
        <x:v>The Art &amp; Science of Foodpairing.pdf: 305</x:v>
      </x:c>
      <x:c r="AC234" s="28" t="str">
        <x:v>связь из pairing grid, стр. 305</x:v>
      </x:c>
      <x:c r="AD234" s="28" t="n">
        <x:v>1</x:v>
      </x:c>
      <x:c r="AE234" s="28" t="n">
        <x:v>1</x:v>
      </x:c>
      <x:c r="AF234" s="28" t="n">
        <x:f>IF(Z234="Высокая",3,IF(Z234="Средняя",2,1))+AD234*2+MIN(AE234,3)</x:f>
        <x:v>5</x:v>
      </x:c>
    </x:row>
    <x:row r="235" ht="64" customHeight="1">
      <x:c r="A235" s="28" t="str">
        <x:v>VEG-0234</x:v>
      </x:c>
      <x:c r="B235" s="28" t="str">
        <x:v>грибы</x:v>
      </x:c>
      <x:c r="C235" s="28" t="str">
        <x:v>Десерты и выпечка</x:v>
      </x:c>
      <x:c r="D235" s="28" t="str">
        <x:v>грибы</x:v>
      </x:c>
      <x:c r="E235" s="28" t="str">
        <x:v>Грибы | грибы</x:v>
      </x:c>
      <x:c r="F235" s="28" t="str">
        <x:v>Грибы</x:v>
      </x:c>
      <x:c r="G235" s="28" t="str">
        <x:v>козий сыр</x:v>
      </x:c>
      <x:c r="H235" s="28" t="str">
        <x:v>Козий сыр | козий сыр</x:v>
      </x:c>
      <x:c r="I235" s="28" t="str">
        <x:v>Молочные продукты и сыры</x:v>
      </x:c>
      <x:c r="J235" s="28" t="str">
        <x:v>землистый, лесной, жареный, мясной и слегка сернистый</x:v>
      </x:c>
      <x:c r="K235" s="28" t="str">
        <x:v>молочный, умами, ферментированный</x:v>
      </x:c>
      <x:c r="L235" s="28" t="str">
        <x:v>1-октен-3-ол, 1-октен-3-он, метиональ, глутамат, пиразины</x:v>
      </x:c>
      <x:c r="M235" s="28" t="str">
        <x:v>диацетил, жирные кислоты</x:v>
      </x:c>
      <x:c r="N235" s="28" t="str">
        <x:v>умами</x:v>
      </x:c>
      <x:c r="O235" s="28" t="str">
        <x:v>надёжная общая ключевая молекула не установлена</x:v>
      </x:c>
      <x:c r="P235" s="28" t="str">
        <x:v>пересечение ароматических семейств; жировая матрица</x:v>
      </x:c>
      <x:c r="Q23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5" s="28" t="str">
        <x:v>минимальный</x:v>
      </x:c>
      <x:c r="S235" s="28" t="str">
        <x:v>высокая влажность, хитиновая клеточная структура и природные нуклеотиды; хорошо впитывает жир Жировая фаза удерживает гидрофобные молекулы, но может сделать вкус тяжёлым.</x:v>
      </x:c>
      <x:c r="T23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5" s="28" t="str">
        <x:v>Грибы имеет профиль «землистый, лесной, жареный, мясной и слегка сернистый».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3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W235" s="28" t="str">
        <x:v>кислота, зелень или жареный орех</x:v>
      </x:c>
      <x:c r="X235" s="28" t="str">
        <x:v>горячее блюдо, бульон, соус, пюре, ферментация или гарнир с козий сыр</x:v>
      </x:c>
      <x:c r="Y235" s="28" t="str">
        <x:v>еда, десерты, соусы/маринады</x:v>
      </x:c>
      <x:c r="Z235" s="28" t="str">
        <x:v>Средняя</x:v>
      </x:c>
      <x:c r="AA235" s="28" t="str">
        <x:v>Тезариус вкусов (Ники Сегнит)(1).pdf</x:v>
      </x:c>
      <x:c r="AB235" s="28" t="str">
        <x:v>Тезариус вкусов (Ники Сегнит)(1).pdf: 138, 198</x:v>
      </x:c>
      <x:c r="AC235" s="28" t="str">
        <x:v>развёрнутая пара/статья, стр. 138; развёрнутая пара/статья, стр. 198</x:v>
      </x:c>
      <x:c r="AD235" s="28" t="n">
        <x:v>1</x:v>
      </x:c>
      <x:c r="AE235" s="28" t="n">
        <x:v>2</x:v>
      </x:c>
      <x:c r="AF235" s="28" t="n">
        <x:f>IF(Z235="Высокая",3,IF(Z235="Средняя",2,1))+AD235*2+MIN(AE235,3)</x:f>
        <x:v>6</x:v>
      </x:c>
    </x:row>
    <x:row r="236" ht="64" customHeight="1">
      <x:c r="A236" s="28" t="str">
        <x:v>VEG-0235</x:v>
      </x:c>
      <x:c r="B236" s="28" t="str">
        <x:v>грибы</x:v>
      </x:c>
      <x:c r="C236" s="28" t="str">
        <x:v>Десерты и выпечка</x:v>
      </x:c>
      <x:c r="D236" s="28" t="str">
        <x:v>грибы</x:v>
      </x:c>
      <x:c r="E236" s="28" t="str">
        <x:v>dried porcini | floral-honeynotes as well as vegetable and mushroom aromas</x:v>
      </x:c>
      <x:c r="F236" s="28" t="str">
        <x:v>Грибы</x:v>
      </x:c>
      <x:c r="G236" s="28" t="str">
        <x:v>козий сыр и молоко</x:v>
      </x:c>
      <x:c r="H236" s="28" t="str">
        <x:v>goats' cheese and milk</x:v>
      </x:c>
      <x:c r="I236" s="28" t="str">
        <x:v>Молочные продукты и сыры</x:v>
      </x:c>
      <x:c r="J236" s="28" t="str">
        <x:v>землистый, лесной, жареный, мясной и слегка сернистый</x:v>
      </x:c>
      <x:c r="K236" s="28" t="str">
        <x:v>молочный, умами, ферментированный</x:v>
      </x:c>
      <x:c r="L236" s="28" t="str">
        <x:v>1-октен-3-ол, 1-октен-3-он, метиональ, глутамат, пиразины</x:v>
      </x:c>
      <x:c r="M236" s="28" t="str">
        <x:v>диацетил, жирные кислоты</x:v>
      </x:c>
      <x:c r="N236" s="28" t="str">
        <x:v>умами</x:v>
      </x:c>
      <x:c r="O236" s="28" t="str">
        <x:v>надёжная общая ключевая молекула не установлена</x:v>
      </x:c>
      <x:c r="P236" s="28" t="str">
        <x:v>пересечение ароматических семейств; жировая матрица</x:v>
      </x:c>
      <x:c r="Q23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6" s="28" t="str">
        <x:v>минимальный</x:v>
      </x:c>
      <x:c r="S236" s="28" t="str">
        <x:v>высокая влажность, хитиновая клеточная структура и природные нуклеотиды; хорошо впитывает жир Жировая фаза удерживает гидрофобные молекулы, но может сделать вкус тяжёлым.</x:v>
      </x:c>
      <x:c r="T23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6" s="28" t="str">
        <x:v>Грибы имеет профиль «землистый, лесной, жареный, мясной и слегка сернистый».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3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W236" s="28" t="str">
        <x:v>кислота, зелень или жареный орех</x:v>
      </x:c>
      <x:c r="X236" s="28" t="str">
        <x:v>горячее блюдо, бульон, соус, пюре, ферментация или гарнир с козий сыр и молоко</x:v>
      </x:c>
      <x:c r="Y236" s="28" t="str">
        <x:v>еда, десерты, соусы/маринады</x:v>
      </x:c>
      <x:c r="Z236" s="28" t="str">
        <x:v>Средняя</x:v>
      </x:c>
      <x:c r="AA236" s="28" t="str">
        <x:v>The Art &amp; Science of Foodpairing.pdf</x:v>
      </x:c>
      <x:c r="AB236" s="28" t="str">
        <x:v>The Art &amp; Science of Foodpairing.pdf: 200</x:v>
      </x:c>
      <x:c r="AC236" s="28" t="str">
        <x:v>связь из pairing grid, стр. 200; связь из pairing grid, стр. 200</x:v>
      </x:c>
      <x:c r="AD236" s="28" t="n">
        <x:v>1</x:v>
      </x:c>
      <x:c r="AE236" s="28" t="n">
        <x:v>2</x:v>
      </x:c>
      <x:c r="AF236" s="28" t="n">
        <x:f>IF(Z236="Высокая",3,IF(Z236="Средняя",2,1))+AD236*2+MIN(AE236,3)</x:f>
        <x:v>6</x:v>
      </x:c>
    </x:row>
    <x:row r="237" ht="64" customHeight="1">
      <x:c r="A237" s="28" t="str">
        <x:v>VEG-0236</x:v>
      </x:c>
      <x:c r="B237" s="28" t="str">
        <x:v>грибы</x:v>
      </x:c>
      <x:c r="C237" s="28" t="str">
        <x:v>Универсальные</x:v>
      </x:c>
      <x:c r="D237" s="28" t="str">
        <x:v>грибы</x:v>
      </x:c>
      <x:c r="E237" s="28" t="str">
        <x:v>cep mushroom</x:v>
      </x:c>
      <x:c r="F237" s="28" t="str">
        <x:v>Грибы</x:v>
      </x:c>
      <x:c r="G237" s="28" t="str">
        <x:v>кокос</x:v>
      </x:c>
      <x:c r="H237" s="28" t="str">
        <x:v>coconut</x:v>
      </x:c>
      <x:c r="I237" s="28" t="str">
        <x:v>Прочее</x:v>
      </x:c>
      <x:c r="J237" s="28" t="str">
        <x:v>землистый, лесной, жареный, мясной и слегка сернистый</x:v>
      </x:c>
      <x:c r="K237" s="28" t="str">
        <x:v>лактонный, сливочный</x:v>
      </x:c>
      <x:c r="L237" s="28" t="str">
        <x:v>1-октен-3-ол, 1-октен-3-он, метиональ, глутамат, пиразины</x:v>
      </x:c>
      <x:c r="M237" s="28" t="str">
        <x:v>лактоны</x:v>
      </x:c>
      <x:c r="N237" s="28" t="str">
        <x:v>прямое пересечение семейств не подтверждено</x:v>
      </x:c>
      <x:c r="O237" s="28" t="str">
        <x:v>надёжная общая ключевая молекула не установлена</x:v>
      </x:c>
      <x:c r="P237" s="28" t="str">
        <x:v>сенсорная комплементарность</x:v>
      </x:c>
      <x:c r="Q23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7" s="28" t="str">
        <x:v>минимальный</x:v>
      </x:c>
      <x:c r="S237" s="28" t="str">
        <x:v>высокая влажность, хитиновая клеточная структура и природные нуклеотиды; хорошо впитывает жир</x:v>
      </x:c>
      <x:c r="T23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7" s="28" t="str">
        <x:v>Грибы имеет профиль «землистый, лесной, жареный, мясной и слегка сернистый».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3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37" s="28" t="str">
        <x:v>соль, кислота или ароматический жир</x:v>
      </x:c>
      <x:c r="X237" s="28" t="str">
        <x:v>горячее блюдо, бульон, соус, пюре, ферментация или гарнир с кокос</x:v>
      </x:c>
      <x:c r="Y237" s="28" t="str">
        <x:v>еда, соусы/маринады</x:v>
      </x:c>
      <x:c r="Z237" s="28" t="str">
        <x:v>Средняя</x:v>
      </x:c>
      <x:c r="AA237" s="28" t="str">
        <x:v>The Art &amp; Science of Foodpairing.pdf</x:v>
      </x:c>
      <x:c r="AB237" s="28" t="str">
        <x:v>The Art &amp; Science of Foodpairing.pdf: 135</x:v>
      </x:c>
      <x:c r="AC237" s="28" t="str">
        <x:v>связь из pairing grid, стр. 135</x:v>
      </x:c>
      <x:c r="AD237" s="28" t="n">
        <x:v>1</x:v>
      </x:c>
      <x:c r="AE237" s="28" t="n">
        <x:v>1</x:v>
      </x:c>
      <x:c r="AF237" s="28" t="n">
        <x:f>IF(Z237="Высокая",3,IF(Z237="Средняя",2,1))+AD237*2+MIN(AE237,3)</x:f>
        <x:v>5</x:v>
      </x:c>
    </x:row>
    <x:row r="238" ht="64" customHeight="1">
      <x:c r="A238" s="28" t="str">
        <x:v>VEG-0237</x:v>
      </x:c>
      <x:c r="B238" s="28" t="str">
        <x:v>грибы</x:v>
      </x:c>
      <x:c r="C238" s="28" t="str">
        <x:v>Напитки</x:v>
      </x:c>
      <x:c r="D238" s="28" t="str">
        <x:v>грибы</x:v>
      </x:c>
      <x:c r="E238" s="28" t="str">
        <x:v>mushroom smell | shiitake mushroom</x:v>
      </x:c>
      <x:c r="F238" s="28" t="str">
        <x:v>Грибы</x:v>
      </x:c>
      <x:c r="G238" s="28" t="str">
        <x:v>коньяк</x:v>
      </x:c>
      <x:c r="H238" s="28" t="str">
        <x:v>cognac</x:v>
      </x:c>
      <x:c r="I238" s="28" t="str">
        <x:v>Алкогольные напитки</x:v>
      </x:c>
      <x:c r="J238" s="28" t="str">
        <x:v>землистый, лесной, жареный, мясной и слегка сернистый</x:v>
      </x:c>
      <x:c r="K238" s="28" t="str">
        <x:v>спиртовой, фруктовый или древесный</x:v>
      </x:c>
      <x:c r="L238" s="28" t="str">
        <x:v>1-октен-3-ол, 1-октен-3-он, метиональ, глутамат, пиразины</x:v>
      </x:c>
      <x:c r="M238" s="28" t="str">
        <x:v>альдегиды, эфиры</x:v>
      </x:c>
      <x:c r="N238" s="28" t="str">
        <x:v>прямое пересечение семейств не подтверждено</x:v>
      </x:c>
      <x:c r="O238" s="28" t="str">
        <x:v>надёжная общая ключевая молекула не установлена</x:v>
      </x:c>
      <x:c r="P238" s="28" t="str">
        <x:v>сенсорная комплементарность</x:v>
      </x:c>
      <x:c r="Q23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8" s="28" t="str">
        <x:v>минимальный</x:v>
      </x:c>
      <x:c r="S238" s="28" t="str">
        <x:v>высокая влажность, хитиновая клеточная структура и природные нуклеотиды; хорошо впитывает жир Этанол извлекает терпены и сернистые соединения эффективнее воды; время контакта ограничивать.</x:v>
      </x:c>
      <x:c r="T23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8" s="28" t="str">
        <x:v>Грибы имеет профиль «землистый, лесной, жареный, мясной и слегка сернистый».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3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38" s="28" t="str">
        <x:v>соль, кислота или ароматический жир</x:v>
      </x:c>
      <x:c r="X238" s="28" t="str">
        <x:v>горячее блюдо, бульон, соус, пюре, ферментация или гарнир с коньяк</x:v>
      </x:c>
      <x:c r="Y238" s="28" t="str">
        <x:v>напитки, еда, соусы/маринады</x:v>
      </x:c>
      <x:c r="Z238" s="28" t="str">
        <x:v>Высокая</x:v>
      </x:c>
      <x:c r="AA238" s="28" t="str">
        <x:v>The Art &amp; Science of Foodpairing.pdf</x:v>
      </x:c>
      <x:c r="AB238" s="28" t="str">
        <x:v>The Art &amp; Science of Foodpairing.pdf: 123</x:v>
      </x:c>
      <x:c r="AC238" s="28" t="str">
        <x:v>прямая Potential pairing, стр. 123; связь из pairing grid, стр. 123</x:v>
      </x:c>
      <x:c r="AD238" s="28" t="n">
        <x:v>1</x:v>
      </x:c>
      <x:c r="AE238" s="28" t="n">
        <x:v>2</x:v>
      </x:c>
      <x:c r="AF238" s="28" t="n">
        <x:f>IF(Z238="Высокая",3,IF(Z238="Средняя",2,1))+AD238*2+MIN(AE238,3)</x:f>
        <x:v>7</x:v>
      </x:c>
    </x:row>
    <x:row r="239" ht="64" customHeight="1">
      <x:c r="A239" s="28" t="str">
        <x:v>VEG-0238</x:v>
      </x:c>
      <x:c r="B239" s="28" t="str">
        <x:v>грибы</x:v>
      </x:c>
      <x:c r="C239" s="28" t="str">
        <x:v>Универсальные</x:v>
      </x:c>
      <x:c r="D239" s="28" t="str">
        <x:v>грибы</x:v>
      </x:c>
      <x:c r="E239" s="28" t="str">
        <x:v>shiitake, roast lily bulb</x:v>
      </x:c>
      <x:c r="F239" s="28" t="str">
        <x:v>Грибы</x:v>
      </x:c>
      <x:c r="G239" s="28" t="str">
        <x:v>корица</x:v>
      </x:c>
      <x:c r="H239" s="28" t="str">
        <x:v>cinnamon</x:v>
      </x:c>
      <x:c r="I239" s="28" t="str">
        <x:v>Специи</x:v>
      </x:c>
      <x:c r="J239" s="28" t="str">
        <x:v>землистый, лесной, жареный, мясной и слегка сернистый</x:v>
      </x:c>
      <x:c r="K239" s="28" t="str">
        <x:v>древесный, пряный, сладкий</x:v>
      </x:c>
      <x:c r="L239" s="28" t="str">
        <x:v>1-октен-3-ол, 1-октен-3-он, метиональ, глутамат, пиразины</x:v>
      </x:c>
      <x:c r="M239" s="28" t="str">
        <x:v>циннамальдегид, эвгенол</x:v>
      </x:c>
      <x:c r="N239" s="28" t="str">
        <x:v>прямое пересечение семейств не подтверждено</x:v>
      </x:c>
      <x:c r="O239" s="28" t="str">
        <x:v>надёжная общая ключевая молекула не установлена</x:v>
      </x:c>
      <x:c r="P239" s="28" t="str">
        <x:v>сенсорная комплементарность</x:v>
      </x:c>
      <x:c r="Q23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39" s="28" t="str">
        <x:v>минимальный</x:v>
      </x:c>
      <x:c r="S239" s="28" t="str">
        <x:v>высокая влажность, хитиновая клеточная структура и природные нуклеотиды; хорошо впитывает жир</x:v>
      </x:c>
      <x:c r="T23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39" s="28" t="str">
        <x:v>Грибы имеет профиль «землистый, лесной, жареный, мясной и слегка сернистый».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23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39" s="28" t="str">
        <x:v>цитрус, йогурт или мёд</x:v>
      </x:c>
      <x:c r="X239" s="28" t="str">
        <x:v>горячее блюдо, бульон, соус, пюре, ферментация или гарнир с корица</x:v>
      </x:c>
      <x:c r="Y239" s="28" t="str">
        <x:v>еда, соусы/маринады</x:v>
      </x:c>
      <x:c r="Z239" s="28" t="str">
        <x:v>Высокая</x:v>
      </x:c>
      <x:c r="AA239" s="28" t="str">
        <x:v>The Art &amp; Science of Foodpairing.pdf</x:v>
      </x:c>
      <x:c r="AB239" s="28" t="str">
        <x:v>The Art &amp; Science of Foodpairing.pdf: 127</x:v>
      </x:c>
      <x:c r="AC239" s="28" t="str">
        <x:v>прямая Potential pairing, стр. 127</x:v>
      </x:c>
      <x:c r="AD239" s="28" t="n">
        <x:v>1</x:v>
      </x:c>
      <x:c r="AE239" s="28" t="n">
        <x:v>1</x:v>
      </x:c>
      <x:c r="AF239" s="28" t="n">
        <x:f>IF(Z239="Высокая",3,IF(Z239="Средняя",2,1))+AD239*2+MIN(AE239,3)</x:f>
        <x:v>6</x:v>
      </x:c>
    </x:row>
    <x:row r="240" ht="64" customHeight="1">
      <x:c r="A240" s="28" t="str">
        <x:v>VEG-0239</x:v>
      </x:c>
      <x:c r="B240" s="28" t="str">
        <x:v>грибы</x:v>
      </x:c>
      <x:c r="C240" s="28" t="str">
        <x:v>Универсальные</x:v>
      </x:c>
      <x:c r="D240" s="28" t="str">
        <x:v>грибы</x:v>
      </x:c>
      <x:c r="E240" s="28" t="str">
        <x:v>dried porcini</x:v>
      </x:c>
      <x:c r="F240" s="28" t="str">
        <x:v>Грибы</x:v>
      </x:c>
      <x:c r="G240" s="28" t="str">
        <x:v>корица и кассия</x:v>
      </x:c>
      <x:c r="H240" s="28" t="str">
        <x:v>cinnaman and cassia bark</x:v>
      </x:c>
      <x:c r="I240" s="28" t="str">
        <x:v>Специи</x:v>
      </x:c>
      <x:c r="J240" s="28" t="str">
        <x:v>землистый, лесной, жареный, мясной и слегка сернистый</x:v>
      </x:c>
      <x:c r="K240" s="28" t="str">
        <x:v>древесный, пряный, сладкий</x:v>
      </x:c>
      <x:c r="L240" s="28" t="str">
        <x:v>1-октен-3-ол, 1-октен-3-он, метиональ, глутамат, пиразины</x:v>
      </x:c>
      <x:c r="M240" s="28" t="str">
        <x:v>циннамальдегид, эвгенол</x:v>
      </x:c>
      <x:c r="N240" s="28" t="str">
        <x:v>прямое пересечение семейств не подтверждено</x:v>
      </x:c>
      <x:c r="O240" s="28" t="str">
        <x:v>надёжная общая ключевая молекула не установлена</x:v>
      </x:c>
      <x:c r="P240" s="28" t="str">
        <x:v>сенсорная комплементарность</x:v>
      </x:c>
      <x:c r="Q24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0" s="28" t="str">
        <x:v>минимальный</x:v>
      </x:c>
      <x:c r="S240" s="28" t="str">
        <x:v>высокая влажность, хитиновая клеточная структура и природные нуклеотиды; хорошо впитывает жир</x:v>
      </x:c>
      <x:c r="T24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0" s="28" t="str">
        <x:v>Грибы имеет профиль «землистый, лесной, жареный, мясной и слегка сернистый». Партнёр «корица и кассия»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24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40" s="28" t="str">
        <x:v>цитрус, йогурт или мёд</x:v>
      </x:c>
      <x:c r="X240" s="28" t="str">
        <x:v>горячее блюдо, бульон, соус, пюре, ферментация или гарнир с корица и кассия</x:v>
      </x:c>
      <x:c r="Y240" s="28" t="str">
        <x:v>еда, соусы/маринады</x:v>
      </x:c>
      <x:c r="Z240" s="28" t="str">
        <x:v>Средняя</x:v>
      </x:c>
      <x:c r="AA240" s="28" t="str">
        <x:v>The Art &amp; Science of Foodpairing.pdf</x:v>
      </x:c>
      <x:c r="AB240" s="28" t="str">
        <x:v>The Art &amp; Science of Foodpairing.pdf: 130</x:v>
      </x:c>
      <x:c r="AC240" s="28" t="str">
        <x:v>связь из pairing grid, стр. 130</x:v>
      </x:c>
      <x:c r="AD240" s="28" t="n">
        <x:v>1</x:v>
      </x:c>
      <x:c r="AE240" s="28" t="n">
        <x:v>1</x:v>
      </x:c>
      <x:c r="AF240" s="28" t="n">
        <x:f>IF(Z240="Высокая",3,IF(Z240="Средняя",2,1))+AD240*2+MIN(AE240,3)</x:f>
        <x:v>5</x:v>
      </x:c>
    </x:row>
    <x:row r="241" ht="64" customHeight="1">
      <x:c r="A241" s="28" t="str">
        <x:v>VEG-0240</x:v>
      </x:c>
      <x:c r="B241" s="28" t="str">
        <x:v>грибы</x:v>
      </x:c>
      <x:c r="C241" s="28" t="str">
        <x:v>Еда и соусы</x:v>
      </x:c>
      <x:c r="D241" s="28" t="str">
        <x:v>грибы</x:v>
      </x:c>
      <x:c r="E241" s="28" t="str">
        <x:v>Грибы | грибы</x:v>
      </x:c>
      <x:c r="F241" s="28" t="str">
        <x:v>Грибы</x:v>
      </x:c>
      <x:c r="G241" s="28" t="str">
        <x:v>лук</x:v>
      </x:c>
      <x:c r="H241" s="28" t="str">
        <x:v>Лук | лук</x:v>
      </x:c>
      <x:c r="I241" s="28" t="str">
        <x:v>Луковые овощи</x:v>
      </x:c>
      <x:c r="J241" s="28" t="str">
        <x:v>землистый, лесной, жареный, мясной и слегка сернистый</x:v>
      </x:c>
      <x:c r="K241" s="28" t="str">
        <x:v>сернистый, сладкий, зелёный; после жарки — карамельный и мясной</x:v>
      </x:c>
      <x:c r="L241" s="28" t="str">
        <x:v>1-октен-3-ол, 1-октен-3-он, метиональ, глутамат, пиразины</x:v>
      </x:c>
      <x:c r="M241" s="28" t="str">
        <x:v>диаллилдисульфид, пропантиаль-S-оксид, тиосульфинаты, фураны</x:v>
      </x:c>
      <x:c r="N241" s="28" t="str">
        <x:v>жареный, сернистый</x:v>
      </x:c>
      <x:c r="O241" s="28" t="str">
        <x:v>надёжная общая ключевая молекула не установлена</x:v>
      </x:c>
      <x:c r="P241" s="28" t="str">
        <x:v>пересечение ароматических семейств</x:v>
      </x:c>
      <x:c r="Q24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1" s="28" t="str">
        <x:v>минимальный</x:v>
      </x:c>
      <x:c r="S241" s="28" t="str">
        <x:v>высокая влажность, хитиновая клеточная структура и природные нуклеотиды; хорошо впитывает жир</x:v>
      </x:c>
      <x:c r="T24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1" s="28" t="str">
        <x:v>Грибы имеет профиль «землистый, лесной, жареный, мясной и слегка сернистый».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V24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41" s="28" t="str">
        <x:v>соль, кислота или ароматический жир</x:v>
      </x:c>
      <x:c r="X241" s="28" t="str">
        <x:v>горячее блюдо, бульон, соус, пюре, ферментация или гарнир с лук</x:v>
      </x:c>
      <x:c r="Y241" s="28" t="str">
        <x:v>еда, соусы/маринады</x:v>
      </x:c>
      <x:c r="Z241" s="28" t="str">
        <x:v>Средняя</x:v>
      </x:c>
      <x:c r="AA241" s="28" t="str">
        <x:v>Тезариус вкусов (Ники Сегнит)(1).pdf</x:v>
      </x:c>
      <x:c r="AB241" s="28" t="str">
        <x:v>Тезариус вкусов (Ники Сегнит)(1).pdf: 200, 283</x:v>
      </x:c>
      <x:c r="AC241" s="28" t="str">
        <x:v>развёрнутая пара/статья, стр. 200; развёрнутая пара/статья, стр. 283</x:v>
      </x:c>
      <x:c r="AD241" s="28" t="n">
        <x:v>1</x:v>
      </x:c>
      <x:c r="AE241" s="28" t="n">
        <x:v>2</x:v>
      </x:c>
      <x:c r="AF241" s="28" t="n">
        <x:f>IF(Z241="Высокая",3,IF(Z241="Средняя",2,1))+AD241*2+MIN(AE241,3)</x:f>
        <x:v>6</x:v>
      </x:c>
    </x:row>
    <x:row r="242" ht="64" customHeight="1">
      <x:c r="A242" s="28" t="str">
        <x:v>VEG-0241</x:v>
      </x:c>
      <x:c r="B242" s="28" t="str">
        <x:v>грибы</x:v>
      </x:c>
      <x:c r="C242" s="28" t="str">
        <x:v>Еда и соусы</x:v>
      </x:c>
      <x:c r="D242" s="28" t="str">
        <x:v>грибы</x:v>
      </x:c>
      <x:c r="E242" s="28" t="str">
        <x:v>Грибы | грибы</x:v>
      </x:c>
      <x:c r="F242" s="28" t="str">
        <x:v>Грибы</x:v>
      </x:c>
      <x:c r="G242" s="28" t="str">
        <x:v>моллюски</x:v>
      </x:c>
      <x:c r="H242" s="28" t="str">
        <x:v>Моллюски | моллюски</x:v>
      </x:c>
      <x:c r="I242" s="28" t="str">
        <x:v>Рыба и морепродукты</x:v>
      </x:c>
      <x:c r="J242" s="28" t="str">
        <x:v>землистый, лесной, жареный, мясной и слегка сернистый</x:v>
      </x:c>
      <x:c r="K242" s="28" t="str">
        <x:v>морской, солоноватый и умами</x:v>
      </x:c>
      <x:c r="L242" s="28" t="str">
        <x:v>1-октен-3-ол, 1-октен-3-он, метиональ, глутамат, пиразины</x:v>
      </x:c>
      <x:c r="M242" s="28" t="str">
        <x:v>альдегиды, амины</x:v>
      </x:c>
      <x:c r="N242" s="28" t="str">
        <x:v>умами</x:v>
      </x:c>
      <x:c r="O242" s="28" t="str">
        <x:v>надёжная общая ключевая молекула не установлена</x:v>
      </x:c>
      <x:c r="P242" s="28" t="str">
        <x:v>пересечение ароматических семейств; умами и солёный контраст</x:v>
      </x:c>
      <x:c r="Q24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2" s="28" t="str">
        <x:v>минимальный</x:v>
      </x:c>
      <x:c r="S242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4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2" s="28" t="str">
        <x:v>Грибы имеет профиль «землистый, лесной, жареный, мясной и слегка сернистый».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24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42" s="28" t="str">
        <x:v>сливочное масло, соевый соус или тимьян</x:v>
      </x:c>
      <x:c r="X242" s="28" t="str">
        <x:v>горячее блюдо, бульон, соус, пюре, ферментация или гарнир с моллюски</x:v>
      </x:c>
      <x:c r="Y242" s="28" t="str">
        <x:v>еда, соусы/маринады</x:v>
      </x:c>
      <x:c r="Z242" s="28" t="str">
        <x:v>Средняя</x:v>
      </x:c>
      <x:c r="AA242" s="28" t="str">
        <x:v>Тезариус вкусов (Ники Сегнит)(1).pdf</x:v>
      </x:c>
      <x:c r="AB242" s="28" t="str">
        <x:v>Тезариус вкусов (Ники Сегнит)(1).pdf: 201, 369</x:v>
      </x:c>
      <x:c r="AC242" s="28" t="str">
        <x:v>развёрнутая пара/статья, стр. 201; развёрнутая пара/статья, стр. 369</x:v>
      </x:c>
      <x:c r="AD242" s="28" t="n">
        <x:v>1</x:v>
      </x:c>
      <x:c r="AE242" s="28" t="n">
        <x:v>2</x:v>
      </x:c>
      <x:c r="AF242" s="28" t="n">
        <x:f>IF(Z242="Высокая",3,IF(Z242="Средняя",2,1))+AD242*2+MIN(AE242,3)</x:f>
        <x:v>6</x:v>
      </x:c>
    </x:row>
    <x:row r="243" ht="64" customHeight="1">
      <x:c r="A243" s="28" t="str">
        <x:v>VEG-0242</x:v>
      </x:c>
      <x:c r="B243" s="28" t="str">
        <x:v>грибы</x:v>
      </x:c>
      <x:c r="C243" s="28" t="str">
        <x:v>Универсальные</x:v>
      </x:c>
      <x:c r="D243" s="28" t="str">
        <x:v>грибы</x:v>
      </x:c>
      <x:c r="E243" s="28" t="str">
        <x:v>dried oyster mushroom</x:v>
      </x:c>
      <x:c r="F243" s="28" t="str">
        <x:v>Грибы</x:v>
      </x:c>
      <x:c r="G243" s="28" t="str">
        <x:v>морковь</x:v>
      </x:c>
      <x:c r="H243" s="28" t="str">
        <x:v>carrot</x:v>
      </x:c>
      <x:c r="I243" s="28" t="str">
        <x:v>Корнеплоды</x:v>
      </x:c>
      <x:c r="J243" s="28" t="str">
        <x:v>землистый, лесной, жареный, мясной и слегка сернистый</x:v>
      </x:c>
      <x:c r="K243" s="28" t="str">
        <x:v>сладкий, землистый, древесный и слегка цитрусовый</x:v>
      </x:c>
      <x:c r="L243" s="28" t="str">
        <x:v>1-октен-3-ол, 1-октен-3-он, метиональ, глутамат, пиразины</x:v>
      </x:c>
      <x:c r="M243" s="28" t="str">
        <x:v>β-ионон, каротол, пинены, терпинолен</x:v>
      </x:c>
      <x:c r="N243" s="28" t="str">
        <x:v>землистый</x:v>
      </x:c>
      <x:c r="O243" s="28" t="str">
        <x:v>надёжная общая ключевая молекула не установлена</x:v>
      </x:c>
      <x:c r="P243" s="28" t="str">
        <x:v>пересечение ароматических семейств</x:v>
      </x:c>
      <x:c r="Q24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3" s="28" t="str">
        <x:v>минимальный</x:v>
      </x:c>
      <x:c r="S243" s="28" t="str">
        <x:v>высокая влажность, хитиновая клеточная структура и природные нуклеотиды; хорошо впитывает жир</x:v>
      </x:c>
      <x:c r="T24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3" s="28" t="str">
        <x:v>Грибы имеет профиль «землистый, лесной, жареный, мясной и слегка сернистый».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V24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43" s="28" t="str">
        <x:v>соль, кислота или ароматический жир</x:v>
      </x:c>
      <x:c r="X243" s="28" t="str">
        <x:v>горячее блюдо, бульон, соус, пюре, ферментация или гарнир с морковь</x:v>
      </x:c>
      <x:c r="Y243" s="28" t="str">
        <x:v>еда, соусы/маринады</x:v>
      </x:c>
      <x:c r="Z243" s="28" t="str">
        <x:v>Средняя</x:v>
      </x:c>
      <x:c r="AA243" s="28" t="str">
        <x:v>The Art &amp; Science of Foodpairing.pdf</x:v>
      </x:c>
      <x:c r="AB243" s="28" t="str">
        <x:v>The Art &amp; Science of Foodpairing.pdf: 232</x:v>
      </x:c>
      <x:c r="AC243" s="28" t="str">
        <x:v>связь из pairing grid, стр. 232</x:v>
      </x:c>
      <x:c r="AD243" s="28" t="n">
        <x:v>1</x:v>
      </x:c>
      <x:c r="AE243" s="28" t="n">
        <x:v>1</x:v>
      </x:c>
      <x:c r="AF243" s="28" t="n">
        <x:f>IF(Z243="Высокая",3,IF(Z243="Средняя",2,1))+AD243*2+MIN(AE243,3)</x:f>
        <x:v>5</x:v>
      </x:c>
    </x:row>
    <x:row r="244" ht="64" customHeight="1">
      <x:c r="A244" s="28" t="str">
        <x:v>VEG-0243</x:v>
      </x:c>
      <x:c r="B244" s="28" t="str">
        <x:v>грибы</x:v>
      </x:c>
      <x:c r="C244" s="28" t="str">
        <x:v>Десерты и выпечка</x:v>
      </x:c>
      <x:c r="D244" s="28" t="str">
        <x:v>грибы</x:v>
      </x:c>
      <x:c r="E244" s="28" t="str">
        <x:v>Грибы | грибы</x:v>
      </x:c>
      <x:c r="F244" s="28" t="str">
        <x:v>Грибы</x:v>
      </x:c>
      <x:c r="G244" s="28" t="str">
        <x:v>мягкий сыр</x:v>
      </x:c>
      <x:c r="H244" s="28" t="str">
        <x:v>Мягкий сыр | мягкий сыр</x:v>
      </x:c>
      <x:c r="I244" s="28" t="str">
        <x:v>Молочные продукты и сыры</x:v>
      </x:c>
      <x:c r="J244" s="28" t="str">
        <x:v>землистый, лесной, жареный, мясной и слегка сернистый</x:v>
      </x:c>
      <x:c r="K244" s="28" t="str">
        <x:v>молочный, умами, ферментированный</x:v>
      </x:c>
      <x:c r="L244" s="28" t="str">
        <x:v>1-октен-3-ол, 1-октен-3-он, метиональ, глутамат, пиразины</x:v>
      </x:c>
      <x:c r="M244" s="28" t="str">
        <x:v>диацетил, жирные кислоты</x:v>
      </x:c>
      <x:c r="N244" s="28" t="str">
        <x:v>умами</x:v>
      </x:c>
      <x:c r="O244" s="28" t="str">
        <x:v>надёжная общая ключевая молекула не установлена</x:v>
      </x:c>
      <x:c r="P244" s="28" t="str">
        <x:v>пересечение ароматических семейств; жировая матрица</x:v>
      </x:c>
      <x:c r="Q24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4" s="28" t="str">
        <x:v>минимальный</x:v>
      </x:c>
      <x:c r="S244" s="28" t="str">
        <x:v>высокая влажность, хитиновая клеточная структура и природные нуклеотиды; хорошо впитывает жир Жировая фаза удерживает гидрофобные молекулы, но может сделать вкус тяжёлым.</x:v>
      </x:c>
      <x:c r="T24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4" s="28" t="str">
        <x:v>Грибы имеет профиль «землистый, лесной, жареный, мясной и слегка сернистый».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4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W244" s="28" t="str">
        <x:v>кислота, зелень или жареный орех</x:v>
      </x:c>
      <x:c r="X244" s="28" t="str">
        <x:v>горячее блюдо, бульон, соус, пюре, ферментация или гарнир с мягкий сыр</x:v>
      </x:c>
      <x:c r="Y244" s="28" t="str">
        <x:v>еда, десерты, соусы/маринады</x:v>
      </x:c>
      <x:c r="Z244" s="28" t="str">
        <x:v>Средняя</x:v>
      </x:c>
      <x:c r="AA244" s="28" t="str">
        <x:v>Тезариус вкусов (Ники Сегнит)(1).pdf</x:v>
      </x:c>
      <x:c r="AB244" s="28" t="str">
        <x:v>Тезариус вкусов (Ники Сегнит)(1).pdf: 184, 202</x:v>
      </x:c>
      <x:c r="AC244" s="28" t="str">
        <x:v>развёрнутая пара/статья, стр. 184; развёрнутая пара/статья, стр. 202</x:v>
      </x:c>
      <x:c r="AD244" s="28" t="n">
        <x:v>1</x:v>
      </x:c>
      <x:c r="AE244" s="28" t="n">
        <x:v>2</x:v>
      </x:c>
      <x:c r="AF244" s="28" t="n">
        <x:f>IF(Z244="Высокая",3,IF(Z244="Средняя",2,1))+AD244*2+MIN(AE244,3)</x:f>
        <x:v>6</x:v>
      </x:c>
    </x:row>
    <x:row r="245" ht="64" customHeight="1">
      <x:c r="A245" s="28" t="str">
        <x:v>VEG-0244</x:v>
      </x:c>
      <x:c r="B245" s="28" t="str">
        <x:v>грибы</x:v>
      </x:c>
      <x:c r="C245" s="28" t="str">
        <x:v>Еда и соусы</x:v>
      </x:c>
      <x:c r="D245" s="28" t="str">
        <x:v>грибы</x:v>
      </x:c>
      <x:c r="E245" s="28" t="str">
        <x:v>cep mushroom</x:v>
      </x:c>
      <x:c r="F245" s="28" t="str">
        <x:v>Грибы</x:v>
      </x:c>
      <x:c r="G245" s="28" t="str">
        <x:v>мясо</x:v>
      </x:c>
      <x:c r="H245" s="28" t="str">
        <x:v>meat</x:v>
      </x:c>
      <x:c r="I245" s="28" t="str">
        <x:v>Мясо и птица</x:v>
      </x:c>
      <x:c r="J245" s="28" t="str">
        <x:v>землистый, лесной, жареный, мясной и слегка сернистый</x:v>
      </x:c>
      <x:c r="K245" s="28" t="str">
        <x:v>жареный, жирный, умами</x:v>
      </x:c>
      <x:c r="L245" s="28" t="str">
        <x:v>1-октен-3-ол, 1-октен-3-он, метиональ, глутамат, пиразины</x:v>
      </x:c>
      <x:c r="M245" s="28" t="str">
        <x:v>пиразины, сернистые соединения</x:v>
      </x:c>
      <x:c r="N245" s="28" t="str">
        <x:v>жареный, умами</x:v>
      </x:c>
      <x:c r="O245" s="28" t="str">
        <x:v>пиразины</x:v>
      </x:c>
      <x:c r="P245" s="28" t="str">
        <x:v>общие характерные молекулы; пересечение ароматических семейств; умами и солёный контраст</x:v>
      </x:c>
      <x:c r="Q24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5" s="28" t="str">
        <x:v>минимальный</x:v>
      </x:c>
      <x:c r="S245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4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5" s="28" t="str">
        <x:v>Грибы имеет профиль «землистый, лесной, жареный, мясной и слегка сернистый».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24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45" s="28" t="str">
        <x:v>сливочное масло, соевый соус или тимьян</x:v>
      </x:c>
      <x:c r="X245" s="28" t="str">
        <x:v>горячее блюдо, бульон, соус, пюре, ферментация или гарнир с мясо</x:v>
      </x:c>
      <x:c r="Y245" s="28" t="str">
        <x:v>еда, соусы/маринады</x:v>
      </x:c>
      <x:c r="Z245" s="28" t="str">
        <x:v>Средняя</x:v>
      </x:c>
      <x:c r="AA245" s="28" t="str">
        <x:v>The Art &amp; Science of Foodpairing.pdf</x:v>
      </x:c>
      <x:c r="AB245" s="28" t="str">
        <x:v>The Art &amp; Science of Foodpairing.pdf: 186</x:v>
      </x:c>
      <x:c r="AC245" s="28" t="str">
        <x:v>связь из pairing grid, стр. 186</x:v>
      </x:c>
      <x:c r="AD245" s="28" t="n">
        <x:v>1</x:v>
      </x:c>
      <x:c r="AE245" s="28" t="n">
        <x:v>1</x:v>
      </x:c>
      <x:c r="AF245" s="28" t="n">
        <x:f>IF(Z245="Высокая",3,IF(Z245="Средняя",2,1))+AD245*2+MIN(AE245,3)</x:f>
        <x:v>5</x:v>
      </x:c>
    </x:row>
    <x:row r="246" ht="64" customHeight="1">
      <x:c r="A246" s="28" t="str">
        <x:v>VEG-0245</x:v>
      </x:c>
      <x:c r="B246" s="28" t="str">
        <x:v>грибы</x:v>
      </x:c>
      <x:c r="C246" s="28" t="str">
        <x:v>Универсальные</x:v>
      </x:c>
      <x:c r="D246" s="28" t="str">
        <x:v>грибы</x:v>
      </x:c>
      <x:c r="E246" s="28" t="str">
        <x:v>Грибы | грибы</x:v>
      </x:c>
      <x:c r="F246" s="28" t="str">
        <x:v>Грибы</x:v>
      </x:c>
      <x:c r="G246" s="28" t="str">
        <x:v>мята</x:v>
      </x:c>
      <x:c r="H246" s="28" t="str">
        <x:v>Мята | мята</x:v>
      </x:c>
      <x:c r="I246" s="28" t="str">
        <x:v>Травы, цветы и листья</x:v>
      </x:c>
      <x:c r="J246" s="28" t="str">
        <x:v>землистый, лесной, жареный, мясной и слегка сернистый</x:v>
      </x:c>
      <x:c r="K246" s="28" t="str">
        <x:v>зелёный, холодящий</x:v>
      </x:c>
      <x:c r="L246" s="28" t="str">
        <x:v>1-октен-3-ол, 1-октен-3-он, метиональ, глутамат, пиразины</x:v>
      </x:c>
      <x:c r="M246" s="28" t="str">
        <x:v>ментол</x:v>
      </x:c>
      <x:c r="N246" s="28" t="str">
        <x:v>прямое пересечение семейств не подтверждено</x:v>
      </x:c>
      <x:c r="O246" s="28" t="str">
        <x:v>надёжная общая ключевая молекула не установлена</x:v>
      </x:c>
      <x:c r="P246" s="28" t="str">
        <x:v>сенсорная комплементарность</x:v>
      </x:c>
      <x:c r="Q24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6" s="28" t="str">
        <x:v>минимальный</x:v>
      </x:c>
      <x:c r="S246" s="28" t="str">
        <x:v>высокая влажность, хитиновая клеточная структура и природные нуклеотиды; хорошо впитывает жир</x:v>
      </x:c>
      <x:c r="T24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6" s="28" t="str">
        <x:v>Грибы имеет профиль «землистый, лесной, жареный, мясной и слегка сернистый».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24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W246" s="28" t="str">
        <x:v>оливковое масло, лимон или сыр</x:v>
      </x:c>
      <x:c r="X246" s="28" t="str">
        <x:v>горячее блюдо, бульон, соус, пюре, ферментация или гарнир с мята</x:v>
      </x:c>
      <x:c r="Y246" s="28" t="str">
        <x:v>еда, соусы/маринады</x:v>
      </x:c>
      <x:c r="Z246" s="28" t="str">
        <x:v>Средняя</x:v>
      </x:c>
      <x:c r="AA246" s="28" t="str">
        <x:v>Тезариус вкусов (Ники Сегнит)(1).pdf</x:v>
      </x:c>
      <x:c r="AB246" s="28" t="str">
        <x:v>Тезариус вкусов (Ники Сегнит)(1).pdf: 202, 867</x:v>
      </x:c>
      <x:c r="AC246" s="28" t="str">
        <x:v>развёрнутая пара/статья, стр. 202; развёрнутая пара/статья, стр. 867</x:v>
      </x:c>
      <x:c r="AD246" s="28" t="n">
        <x:v>1</x:v>
      </x:c>
      <x:c r="AE246" s="28" t="n">
        <x:v>2</x:v>
      </x:c>
      <x:c r="AF246" s="28" t="n">
        <x:f>IF(Z246="Высокая",3,IF(Z246="Средняя",2,1))+AD246*2+MIN(AE246,3)</x:f>
        <x:v>6</x:v>
      </x:c>
    </x:row>
    <x:row r="247" ht="64" customHeight="1">
      <x:c r="A247" s="28" t="str">
        <x:v>VEG-0246</x:v>
      </x:c>
      <x:c r="B247" s="28" t="str">
        <x:v>грибы</x:v>
      </x:c>
      <x:c r="C247" s="28" t="str">
        <x:v>Универсальные</x:v>
      </x:c>
      <x:c r="D247" s="28" t="str">
        <x:v>грибы</x:v>
      </x:c>
      <x:c r="E247" s="28" t="str">
        <x:v>mushrooms</x:v>
      </x:c>
      <x:c r="F247" s="28" t="str">
        <x:v>Грибы</x:v>
      </x:c>
      <x:c r="G247" s="28" t="str">
        <x:v>оленина</x:v>
      </x:c>
      <x:c r="H247" s="28" t="str">
        <x:v>pan-fried venison</x:v>
      </x:c>
      <x:c r="I247" s="28" t="str">
        <x:v>Прочее</x:v>
      </x:c>
      <x:c r="J247" s="28" t="str">
        <x:v>землистый, лесной, жареный, мясной и слегка сернистый</x:v>
      </x:c>
      <x:c r="K247" s="28" t="str">
        <x:v>профиль зависит от конкретного продукта</x:v>
      </x:c>
      <x:c r="L247" s="28" t="str">
        <x:v>1-октен-3-ол, 1-октен-3-он, метиональ, глутамат, пиразины</x:v>
      </x:c>
      <x:c r="M247" s="28" t="str">
        <x:v>конкретный молекулярный профиль не указан</x:v>
      </x:c>
      <x:c r="N247" s="28" t="str">
        <x:v>прямое пересечение семейств не подтверждено</x:v>
      </x:c>
      <x:c r="O247" s="28" t="str">
        <x:v>надёжная общая ключевая молекула не установлена</x:v>
      </x:c>
      <x:c r="P247" s="28" t="str">
        <x:v>сенсорная комплементарность</x:v>
      </x:c>
      <x:c r="Q24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7" s="28" t="str">
        <x:v>минимальный</x:v>
      </x:c>
      <x:c r="S247" s="28" t="str">
        <x:v>высокая влажность, хитиновая клеточная структура и природные нуклеотиды; хорошо впитывает жир</x:v>
      </x:c>
      <x:c r="T24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7" s="28" t="str">
        <x:v>Грибы имеет профиль «землистый, лесной, жареный, мясной и слегка сернистый». Партнёр «оленина»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4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47" s="28" t="str">
        <x:v>соль, кислота или ароматический жир</x:v>
      </x:c>
      <x:c r="X247" s="28" t="str">
        <x:v>горячее блюдо, бульон, соус, пюре, ферментация или гарнир с оленина</x:v>
      </x:c>
      <x:c r="Y247" s="28" t="str">
        <x:v>еда, соусы/маринады</x:v>
      </x:c>
      <x:c r="Z247" s="28" t="str">
        <x:v>Высокая</x:v>
      </x:c>
      <x:c r="AA247" s="28" t="str">
        <x:v>The Art &amp; Science of Foodpairing.pdf</x:v>
      </x:c>
      <x:c r="AB247" s="28" t="str">
        <x:v>The Art &amp; Science of Foodpairing.pdf: 189</x:v>
      </x:c>
      <x:c r="AC247" s="28" t="str">
        <x:v>прямая Classic pairing, стр. 189</x:v>
      </x:c>
      <x:c r="AD247" s="28" t="n">
        <x:v>1</x:v>
      </x:c>
      <x:c r="AE247" s="28" t="n">
        <x:v>1</x:v>
      </x:c>
      <x:c r="AF247" s="28" t="n">
        <x:f>IF(Z247="Высокая",3,IF(Z247="Средняя",2,1))+AD247*2+MIN(AE247,3)</x:f>
        <x:v>6</x:v>
      </x:c>
    </x:row>
    <x:row r="248" ht="64" customHeight="1">
      <x:c r="A248" s="28" t="str">
        <x:v>VEG-0247</x:v>
      </x:c>
      <x:c r="B248" s="28" t="str">
        <x:v>грибы</x:v>
      </x:c>
      <x:c r="C248" s="28" t="str">
        <x:v>Универсальные</x:v>
      </x:c>
      <x:c r="D248" s="28" t="str">
        <x:v>грибы</x:v>
      </x:c>
      <x:c r="E248" s="28" t="str">
        <x:v>cep mushroom | mushroom | oyster mushroom</x:v>
      </x:c>
      <x:c r="F248" s="28" t="str">
        <x:v>Грибы</x:v>
      </x:c>
      <x:c r="G248" s="28" t="str">
        <x:v>оливковое масло</x:v>
      </x:c>
      <x:c r="H248" s="28" t="str">
        <x:v>olive oil</x:v>
      </x:c>
      <x:c r="I248" s="28" t="str">
        <x:v>Масла и жиры</x:v>
      </x:c>
      <x:c r="J248" s="28" t="str">
        <x:v>землистый, лесной, жареный, мясной и слегка сернистый</x:v>
      </x:c>
      <x:c r="K248" s="28" t="str">
        <x:v>жирный и мягкий</x:v>
      </x:c>
      <x:c r="L248" s="28" t="str">
        <x:v>1-октен-3-ол, 1-октен-3-он, метиональ, глутамат, пиразины</x:v>
      </x:c>
      <x:c r="M248" s="28" t="str">
        <x:v>альдегиды, лактоны</x:v>
      </x:c>
      <x:c r="N248" s="28" t="str">
        <x:v>прямое пересечение семейств не подтверждено</x:v>
      </x:c>
      <x:c r="O248" s="28" t="str">
        <x:v>надёжная общая ключевая молекула не установлена</x:v>
      </x:c>
      <x:c r="P248" s="28" t="str">
        <x:v>жировая матрица</x:v>
      </x:c>
      <x:c r="Q24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8" s="28" t="str">
        <x:v>минимальный</x:v>
      </x:c>
      <x:c r="S248" s="28" t="str">
        <x:v>высокая влажность, хитиновая клеточная структура и природные нуклеотиды; хорошо впитывает жир Жировая фаза удерживает гидрофобные молекулы, но может сделать вкус тяжёлым.</x:v>
      </x:c>
      <x:c r="T24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8" s="28" t="str">
        <x:v>Грибы имеет профиль «землистый, лесной, жареный, мясной и слегка сернистый».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4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W248" s="28" t="str">
        <x:v>кислота, зелень или жареный орех</x:v>
      </x:c>
      <x:c r="X248" s="28" t="str">
        <x:v>горячее блюдо, бульон, соус, пюре, ферментация или гарнир с оливковое масло</x:v>
      </x:c>
      <x:c r="Y248" s="28" t="str">
        <x:v>еда, соусы/маринады</x:v>
      </x:c>
      <x:c r="Z248" s="28" t="str">
        <x:v>Высокая</x:v>
      </x:c>
      <x:c r="AA248" s="28" t="str">
        <x:v>The Art &amp; Science of Foodpairing.pdf</x:v>
      </x:c>
      <x:c r="AB248" s="28" t="str">
        <x:v>The Art &amp; Science of Foodpairing.pdf: 172</x:v>
      </x:c>
      <x:c r="AC248" s="28" t="str">
        <x:v>прямая Classic pairing, стр. 172; связь из pairing grid, стр. 172; связь из pairing grid, стр. 172</x:v>
      </x:c>
      <x:c r="AD248" s="28" t="n">
        <x:v>1</x:v>
      </x:c>
      <x:c r="AE248" s="28" t="n">
        <x:v>3</x:v>
      </x:c>
      <x:c r="AF248" s="28" t="n">
        <x:f>IF(Z248="Высокая",3,IF(Z248="Средняя",2,1))+AD248*2+MIN(AE248,3)</x:f>
        <x:v>8</x:v>
      </x:c>
    </x:row>
    <x:row r="249" ht="64" customHeight="1">
      <x:c r="A249" s="28" t="str">
        <x:v>VEG-0248</x:v>
      </x:c>
      <x:c r="B249" s="28" t="str">
        <x:v>грибы</x:v>
      </x:c>
      <x:c r="C249" s="28" t="str">
        <x:v>Универсальные</x:v>
      </x:c>
      <x:c r="D249" s="28" t="str">
        <x:v>грибы</x:v>
      </x:c>
      <x:c r="E249" s="28" t="str">
        <x:v>dried porcini | whitebutton mushroom</x:v>
      </x:c>
      <x:c r="F249" s="28" t="str">
        <x:v>Грибы</x:v>
      </x:c>
      <x:c r="G249" s="28" t="str">
        <x:v>пармезан</x:v>
      </x:c>
      <x:c r="H249" s="28" t="str">
        <x:v>Parmigiano-Reggiano</x:v>
      </x:c>
      <x:c r="I249" s="28" t="str">
        <x:v>Прочее</x:v>
      </x:c>
      <x:c r="J249" s="28" t="str">
        <x:v>землистый, лесной, жареный, мясной и слегка сернистый</x:v>
      </x:c>
      <x:c r="K249" s="28" t="str">
        <x:v>профиль зависит от конкретного продукта</x:v>
      </x:c>
      <x:c r="L249" s="28" t="str">
        <x:v>1-октен-3-ол, 1-октен-3-он, метиональ, глутамат, пиразины</x:v>
      </x:c>
      <x:c r="M249" s="28" t="str">
        <x:v>конкретный молекулярный профиль не указан</x:v>
      </x:c>
      <x:c r="N249" s="28" t="str">
        <x:v>прямое пересечение семейств не подтверждено</x:v>
      </x:c>
      <x:c r="O249" s="28" t="str">
        <x:v>надёжная общая ключевая молекула не установлена</x:v>
      </x:c>
      <x:c r="P249" s="28" t="str">
        <x:v>сенсорная комплементарность</x:v>
      </x:c>
      <x:c r="Q24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49" s="28" t="str">
        <x:v>минимальный</x:v>
      </x:c>
      <x:c r="S249" s="28" t="str">
        <x:v>высокая влажность, хитиновая клеточная структура и природные нуклеотиды; хорошо впитывает жир</x:v>
      </x:c>
      <x:c r="T24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49" s="28" t="str">
        <x:v>Грибы имеет профиль «землистый, лесной, жареный, мясной и слегка сернистый».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4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49" s="28" t="str">
        <x:v>соль, кислота или ароматический жир</x:v>
      </x:c>
      <x:c r="X249" s="28" t="str">
        <x:v>горячее блюдо, бульон, соус, пюре, ферментация или гарнир с пармезан</x:v>
      </x:c>
      <x:c r="Y249" s="28" t="str">
        <x:v>еда, соусы/маринады</x:v>
      </x:c>
      <x:c r="Z249" s="28" t="str">
        <x:v>Средняя</x:v>
      </x:c>
      <x:c r="AA249" s="28" t="str">
        <x:v>The Art &amp; Science of Foodpairing.pdf</x:v>
      </x:c>
      <x:c r="AB249" s="28" t="str">
        <x:v>The Art &amp; Science of Foodpairing.pdf: 282</x:v>
      </x:c>
      <x:c r="AC249" s="28" t="str">
        <x:v>связь из pairing grid, стр. 282; связь из pairing grid, стр. 282</x:v>
      </x:c>
      <x:c r="AD249" s="28" t="n">
        <x:v>1</x:v>
      </x:c>
      <x:c r="AE249" s="28" t="n">
        <x:v>2</x:v>
      </x:c>
      <x:c r="AF249" s="28" t="n">
        <x:f>IF(Z249="Высокая",3,IF(Z249="Средняя",2,1))+AD249*2+MIN(AE249,3)</x:f>
        <x:v>6</x:v>
      </x:c>
    </x:row>
    <x:row r="250" ht="64" customHeight="1">
      <x:c r="A250" s="28" t="str">
        <x:v>VEG-0249</x:v>
      </x:c>
      <x:c r="B250" s="28" t="str">
        <x:v>грибы</x:v>
      </x:c>
      <x:c r="C250" s="28" t="str">
        <x:v>Универсальные</x:v>
      </x:c>
      <x:c r="D250" s="28" t="str">
        <x:v>грибы</x:v>
      </x:c>
      <x:c r="E250" s="28" t="str">
        <x:v>Грибы | грибы</x:v>
      </x:c>
      <x:c r="F250" s="28" t="str">
        <x:v>Грибы</x:v>
      </x:c>
      <x:c r="G250" s="28" t="str">
        <x:v>петрушка</x:v>
      </x:c>
      <x:c r="H250" s="28" t="str">
        <x:v>Петрушка | петрушка</x:v>
      </x:c>
      <x:c r="I250" s="28" t="str">
        <x:v>Травы, цветы и листья</x:v>
      </x:c>
      <x:c r="J250" s="28" t="str">
        <x:v>землистый, лесной, жареный, мясной и слегка сернистый</x:v>
      </x:c>
      <x:c r="K250" s="28" t="str">
        <x:v>зелёный, травянистый</x:v>
      </x:c>
      <x:c r="L250" s="28" t="str">
        <x:v>1-октен-3-ол, 1-октен-3-он, метиональ, глутамат, пиразины</x:v>
      </x:c>
      <x:c r="M250" s="28" t="str">
        <x:v>апиол, п-ментатриен</x:v>
      </x:c>
      <x:c r="N250" s="28" t="str">
        <x:v>прямое пересечение семейств не подтверждено</x:v>
      </x:c>
      <x:c r="O250" s="28" t="str">
        <x:v>надёжная общая ключевая молекула не установлена</x:v>
      </x:c>
      <x:c r="P250" s="28" t="str">
        <x:v>сенсорная комплементарность</x:v>
      </x:c>
      <x:c r="Q25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0" s="28" t="str">
        <x:v>минимальный</x:v>
      </x:c>
      <x:c r="S250" s="28" t="str">
        <x:v>высокая влажность, хитиновая клеточная структура и природные нуклеотиды; хорошо впитывает жир</x:v>
      </x:c>
      <x:c r="T25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0" s="28" t="str">
        <x:v>Грибы имеет профиль «землистый, лесной, жареный, мясной и слегка сернистый».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25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W250" s="28" t="str">
        <x:v>оливковое масло, лимон или сыр</x:v>
      </x:c>
      <x:c r="X250" s="28" t="str">
        <x:v>горячее блюдо, бульон, соус, пюре, ферментация или гарнир с петрушка</x:v>
      </x:c>
      <x:c r="Y250" s="28" t="str">
        <x:v>еда, соусы/маринады</x:v>
      </x:c>
      <x:c r="Z250" s="28" t="str">
        <x:v>Средняя</x:v>
      </x:c>
      <x:c r="AA250" s="28" t="str">
        <x:v>Тезариус вкусов (Ники Сегнит)(1).pdf</x:v>
      </x:c>
      <x:c r="AB250" s="28" t="str">
        <x:v>Тезариус вкусов (Ники Сегнит)(1).pdf: 202, 508</x:v>
      </x:c>
      <x:c r="AC250" s="28" t="str">
        <x:v>развёрнутая пара/статья, стр. 202; развёрнутая пара/статья, стр. 508</x:v>
      </x:c>
      <x:c r="AD250" s="28" t="n">
        <x:v>1</x:v>
      </x:c>
      <x:c r="AE250" s="28" t="n">
        <x:v>2</x:v>
      </x:c>
      <x:c r="AF250" s="28" t="n">
        <x:f>IF(Z250="Высокая",3,IF(Z250="Средняя",2,1))+AD250*2+MIN(AE250,3)</x:f>
        <x:v>6</x:v>
      </x:c>
    </x:row>
    <x:row r="251" ht="64" customHeight="1">
      <x:c r="A251" s="28" t="str">
        <x:v>VEG-0250</x:v>
      </x:c>
      <x:c r="B251" s="28" t="str">
        <x:v>грибы</x:v>
      </x:c>
      <x:c r="C251" s="28" t="str">
        <x:v>Универсальные</x:v>
      </x:c>
      <x:c r="D251" s="28" t="str">
        <x:v>грибы</x:v>
      </x:c>
      <x:c r="E251" s="28" t="str">
        <x:v>Грибы | грибы</x:v>
      </x:c>
      <x:c r="F251" s="28" t="str">
        <x:v>Грибы</x:v>
      </x:c>
      <x:c r="G251" s="28" t="str">
        <x:v>розмарин</x:v>
      </x:c>
      <x:c r="H251" s="28" t="str">
        <x:v>Розмарин | розмарин</x:v>
      </x:c>
      <x:c r="I251" s="28" t="str">
        <x:v>Травы, цветы и листья</x:v>
      </x:c>
      <x:c r="J251" s="28" t="str">
        <x:v>землистый, лесной, жареный, мясной и слегка сернистый</x:v>
      </x:c>
      <x:c r="K251" s="28" t="str">
        <x:v>древесный, камфорный, хвойный</x:v>
      </x:c>
      <x:c r="L251" s="28" t="str">
        <x:v>1-октен-3-ол, 1-октен-3-он, метиональ, глутамат, пиразины</x:v>
      </x:c>
      <x:c r="M251" s="28" t="str">
        <x:v>1,8-цинеол, пинены</x:v>
      </x:c>
      <x:c r="N251" s="28" t="str">
        <x:v>прямое пересечение семейств не подтверждено</x:v>
      </x:c>
      <x:c r="O251" s="28" t="str">
        <x:v>надёжная общая ключевая молекула не установлена</x:v>
      </x:c>
      <x:c r="P251" s="28" t="str">
        <x:v>сенсорная комплементарность</x:v>
      </x:c>
      <x:c r="Q25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1" s="28" t="str">
        <x:v>минимальный</x:v>
      </x:c>
      <x:c r="S251" s="28" t="str">
        <x:v>высокая влажность, хитиновая клеточная структура и природные нуклеотиды; хорошо впитывает жир</x:v>
      </x:c>
      <x:c r="T25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1" s="28" t="str">
        <x:v>Грибы имеет профиль «землистый, лесной, жареный, мясной и слегка сернистый».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25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W251" s="28" t="str">
        <x:v>оливковое масло, лимон или сыр</x:v>
      </x:c>
      <x:c r="X251" s="28" t="str">
        <x:v>горячее блюдо, бульон, соус, пюре, ферментация или гарнир с розмарин</x:v>
      </x:c>
      <x:c r="Y251" s="28" t="str">
        <x:v>еда, соусы/маринады</x:v>
      </x:c>
      <x:c r="Z251" s="28" t="str">
        <x:v>Средняя</x:v>
      </x:c>
      <x:c r="AA251" s="28" t="str">
        <x:v>Тезариус вкусов (Ники Сегнит)(1).pdf</x:v>
      </x:c>
      <x:c r="AB251" s="28" t="str">
        <x:v>Тезариус вкусов (Ники Сегнит)(1).pdf: 202, 836</x:v>
      </x:c>
      <x:c r="AC251" s="28" t="str">
        <x:v>развёрнутая пара/статья, стр. 202; развёрнутая пара/статья, стр. 836</x:v>
      </x:c>
      <x:c r="AD251" s="28" t="n">
        <x:v>1</x:v>
      </x:c>
      <x:c r="AE251" s="28" t="n">
        <x:v>2</x:v>
      </x:c>
      <x:c r="AF251" s="28" t="n">
        <x:f>IF(Z251="Высокая",3,IF(Z251="Средняя",2,1))+AD251*2+MIN(AE251,3)</x:f>
        <x:v>6</x:v>
      </x:c>
    </x:row>
    <x:row r="252" ht="64" customHeight="1">
      <x:c r="A252" s="28" t="str">
        <x:v>VEG-0251</x:v>
      </x:c>
      <x:c r="B252" s="28" t="str">
        <x:v>грибы</x:v>
      </x:c>
      <x:c r="C252" s="28" t="str">
        <x:v>Еда и соусы</x:v>
      </x:c>
      <x:c r="D252" s="28" t="str">
        <x:v>грибы</x:v>
      </x:c>
      <x:c r="E252" s="28" t="str">
        <x:v>cooked pine mushroom</x:v>
      </x:c>
      <x:c r="F252" s="28" t="str">
        <x:v>Грибы</x:v>
      </x:c>
      <x:c r="G252" s="28" t="str">
        <x:v>рыба</x:v>
      </x:c>
      <x:c r="H252" s="28" t="str">
        <x:v>fish</x:v>
      </x:c>
      <x:c r="I252" s="28" t="str">
        <x:v>Рыба и морепродукты</x:v>
      </x:c>
      <x:c r="J252" s="28" t="str">
        <x:v>землистый, лесной, жареный, мясной и слегка сернистый</x:v>
      </x:c>
      <x:c r="K252" s="28" t="str">
        <x:v>жирный, морской, умами</x:v>
      </x:c>
      <x:c r="L252" s="28" t="str">
        <x:v>1-октен-3-ол, 1-октен-3-он, метиональ, глутамат, пиразины</x:v>
      </x:c>
      <x:c r="M252" s="28" t="str">
        <x:v>альдегиды, амины</x:v>
      </x:c>
      <x:c r="N252" s="28" t="str">
        <x:v>умами</x:v>
      </x:c>
      <x:c r="O252" s="28" t="str">
        <x:v>надёжная общая ключевая молекула не установлена</x:v>
      </x:c>
      <x:c r="P252" s="28" t="str">
        <x:v>пересечение ароматических семейств; умами и солёный контраст</x:v>
      </x:c>
      <x:c r="Q25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2" s="28" t="str">
        <x:v>минимальный</x:v>
      </x:c>
      <x:c r="S252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5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2" s="28" t="str">
        <x:v>Грибы имеет профиль «землистый, лесной, жареный, мясной и слегка сернистый». Партнёр «рыба»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25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52" s="28" t="str">
        <x:v>сливочное масло, соевый соус или тимьян</x:v>
      </x:c>
      <x:c r="X252" s="28" t="str">
        <x:v>горячее блюдо, бульон, соус, пюре, ферментация или гарнир с рыба</x:v>
      </x:c>
      <x:c r="Y252" s="28" t="str">
        <x:v>еда, соусы/маринады</x:v>
      </x:c>
      <x:c r="Z252" s="28" t="str">
        <x:v>Средняя</x:v>
      </x:c>
      <x:c r="AA252" s="28" t="str">
        <x:v>The Art &amp; Science of Foodpairing.pdf</x:v>
      </x:c>
      <x:c r="AB252" s="28" t="str">
        <x:v>The Art &amp; Science of Foodpairing.pdf: 104</x:v>
      </x:c>
      <x:c r="AC252" s="28" t="str">
        <x:v>связь из pairing grid, стр. 104</x:v>
      </x:c>
      <x:c r="AD252" s="28" t="n">
        <x:v>1</x:v>
      </x:c>
      <x:c r="AE252" s="28" t="n">
        <x:v>1</x:v>
      </x:c>
      <x:c r="AF252" s="28" t="n">
        <x:f>IF(Z252="Высокая",3,IF(Z252="Средняя",2,1))+AD252*2+MIN(AE252,3)</x:f>
        <x:v>5</x:v>
      </x:c>
    </x:row>
    <x:row r="253" ht="64" customHeight="1">
      <x:c r="A253" s="28" t="str">
        <x:v>VEG-0252</x:v>
      </x:c>
      <x:c r="B253" s="28" t="str">
        <x:v>грибы</x:v>
      </x:c>
      <x:c r="C253" s="28" t="str">
        <x:v>Еда и соусы</x:v>
      </x:c>
      <x:c r="D253" s="28" t="str">
        <x:v>грибы</x:v>
      </x:c>
      <x:c r="E253" s="28" t="str">
        <x:v>Грибы | грибы</x:v>
      </x:c>
      <x:c r="F253" s="28" t="str">
        <x:v>Грибы</x:v>
      </x:c>
      <x:c r="G253" s="28" t="str">
        <x:v>свинина</x:v>
      </x:c>
      <x:c r="H253" s="28" t="str">
        <x:v>Свинина | свинина</x:v>
      </x:c>
      <x:c r="I253" s="28" t="str">
        <x:v>Мясо и птица</x:v>
      </x:c>
      <x:c r="J253" s="28" t="str">
        <x:v>землистый, лесной, жареный, мясной и слегка сернистый</x:v>
      </x:c>
      <x:c r="K253" s="28" t="str">
        <x:v>жареный, мясной и умами</x:v>
      </x:c>
      <x:c r="L253" s="28" t="str">
        <x:v>1-октен-3-ол, 1-октен-3-он, метиональ, глутамат, пиразины</x:v>
      </x:c>
      <x:c r="M253" s="28" t="str">
        <x:v>пиразины, сернистые соединения</x:v>
      </x:c>
      <x:c r="N253" s="28" t="str">
        <x:v>жареный, умами</x:v>
      </x:c>
      <x:c r="O253" s="28" t="str">
        <x:v>пиразины</x:v>
      </x:c>
      <x:c r="P253" s="28" t="str">
        <x:v>общие характерные молекулы; пересечение ароматических семейств; умами и солёный контраст</x:v>
      </x:c>
      <x:c r="Q25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3" s="28" t="str">
        <x:v>минимальный</x:v>
      </x:c>
      <x:c r="S253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5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3" s="28" t="str">
        <x:v>Грибы имеет профиль «землистый, лесной, жареный, мясной и слегка сернистый».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25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53" s="28" t="str">
        <x:v>сливочное масло, соевый соус или тимьян</x:v>
      </x:c>
      <x:c r="X253" s="28" t="str">
        <x:v>горячее блюдо, бульон, соус, пюре, ферментация или гарнир с свинина</x:v>
      </x:c>
      <x:c r="Y253" s="28" t="str">
        <x:v>еда, соусы/маринады</x:v>
      </x:c>
      <x:c r="Z253" s="28" t="str">
        <x:v>Средняя</x:v>
      </x:c>
      <x:c r="AA253" s="28" t="str">
        <x:v>Тезариус вкусов (Ники Сегнит)(1).pdf</x:v>
      </x:c>
      <x:c r="AB253" s="28" t="str">
        <x:v>Тезариус вкусов (Ники Сегнит)(1).pdf: 83, 202</x:v>
      </x:c>
      <x:c r="AC253" s="28" t="str">
        <x:v>развёрнутая пара/статья, стр. 83; развёрнутая пара/статья, стр. 202</x:v>
      </x:c>
      <x:c r="AD253" s="28" t="n">
        <x:v>1</x:v>
      </x:c>
      <x:c r="AE253" s="28" t="n">
        <x:v>2</x:v>
      </x:c>
      <x:c r="AF253" s="28" t="n">
        <x:f>IF(Z253="Высокая",3,IF(Z253="Средняя",2,1))+AD253*2+MIN(AE253,3)</x:f>
        <x:v>6</x:v>
      </x:c>
    </x:row>
    <x:row r="254" ht="64" customHeight="1">
      <x:c r="A254" s="28" t="str">
        <x:v>VEG-0253</x:v>
      </x:c>
      <x:c r="B254" s="28" t="str">
        <x:v>грибы</x:v>
      </x:c>
      <x:c r="C254" s="28" t="str">
        <x:v>Универсальные</x:v>
      </x:c>
      <x:c r="D254" s="28" t="str">
        <x:v>грибы</x:v>
      </x:c>
      <x:c r="E254" s="28" t="str">
        <x:v>pan-fried pine mushroom</x:v>
      </x:c>
      <x:c r="F254" s="28" t="str">
        <x:v>Грибы</x:v>
      </x:c>
      <x:c r="G254" s="28" t="str">
        <x:v>свёкла</x:v>
      </x:c>
      <x:c r="H254" s="28" t="str">
        <x:v>beetroot</x:v>
      </x:c>
      <x:c r="I254" s="28" t="str">
        <x:v>Корнеплоды</x:v>
      </x:c>
      <x:c r="J254" s="28" t="str">
        <x:v>землистый, лесной, жареный, мясной и слегка сернистый</x:v>
      </x:c>
      <x:c r="K254" s="28" t="str">
        <x:v>землистый, сладкий, минеральный и слегка зелёный</x:v>
      </x:c>
      <x:c r="L254" s="28" t="str">
        <x:v>1-октен-3-ол, 1-октен-3-он, метиональ, глутамат, пиразины</x:v>
      </x:c>
      <x:c r="M254" s="28" t="str">
        <x:v>альдегиды, бетаин, геосмин, метоксипиразины</x:v>
      </x:c>
      <x:c r="N254" s="28" t="str">
        <x:v>землистый</x:v>
      </x:c>
      <x:c r="O254" s="28" t="str">
        <x:v>надёжная общая ключевая молекула не установлена</x:v>
      </x:c>
      <x:c r="P254" s="28" t="str">
        <x:v>пересечение ароматических семейств</x:v>
      </x:c>
      <x:c r="Q25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4" s="28" t="str">
        <x:v>минимальный</x:v>
      </x:c>
      <x:c r="S254" s="28" t="str">
        <x:v>высокая влажность, хитиновая клеточная структура и природные нуклеотиды; хорошо впитывает жир</x:v>
      </x:c>
      <x:c r="T25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4" s="28" t="str">
        <x:v>Грибы имеет профиль «землистый, лесной, жареный, мясной и слегка сернистый». Партнёр «свёкла» относится к группе «Корнеплоды» и даёт землистый, сладкий, минеральный и слегка зелёный.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V25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54" s="28" t="str">
        <x:v>соль, кислота или ароматический жир</x:v>
      </x:c>
      <x:c r="X254" s="28" t="str">
        <x:v>горячее блюдо, бульон, соус, пюре, ферментация или гарнир с свёкла</x:v>
      </x:c>
      <x:c r="Y254" s="28" t="str">
        <x:v>еда, соусы/маринады</x:v>
      </x:c>
      <x:c r="Z254" s="28" t="str">
        <x:v>Средняя</x:v>
      </x:c>
      <x:c r="AA254" s="28" t="str">
        <x:v>The Art &amp; Science of Foodpairing.pdf</x:v>
      </x:c>
      <x:c r="AB254" s="28" t="str">
        <x:v>The Art &amp; Science of Foodpairing.pdf: 224</x:v>
      </x:c>
      <x:c r="AC254" s="28" t="str">
        <x:v>связь из pairing grid, стр. 224</x:v>
      </x:c>
      <x:c r="AD254" s="28" t="n">
        <x:v>1</x:v>
      </x:c>
      <x:c r="AE254" s="28" t="n">
        <x:v>1</x:v>
      </x:c>
      <x:c r="AF254" s="28" t="n">
        <x:f>IF(Z254="Высокая",3,IF(Z254="Средняя",2,1))+AD254*2+MIN(AE254,3)</x:f>
        <x:v>5</x:v>
      </x:c>
    </x:row>
    <x:row r="255" ht="64" customHeight="1">
      <x:c r="A255" s="28" t="str">
        <x:v>VEG-0254</x:v>
      </x:c>
      <x:c r="B255" s="28" t="str">
        <x:v>грибы</x:v>
      </x:c>
      <x:c r="C255" s="28" t="str">
        <x:v>Универсальные</x:v>
      </x:c>
      <x:c r="D255" s="28" t="str">
        <x:v>грибы</x:v>
      </x:c>
      <x:c r="E255" s="28" t="str">
        <x:v>dried porcini</x:v>
      </x:c>
      <x:c r="F255" s="28" t="str">
        <x:v>Грибы</x:v>
      </x:c>
      <x:c r="G255" s="28" t="str">
        <x:v>сельдерей корневой</x:v>
      </x:c>
      <x:c r="H255" s="28" t="str">
        <x:v>celeriac</x:v>
      </x:c>
      <x:c r="I255" s="28" t="str">
        <x:v>Корнеплоды</x:v>
      </x:c>
      <x:c r="J255" s="28" t="str">
        <x:v>землистый, лесной, жареный, мясной и слегка сернистый</x:v>
      </x:c>
      <x:c r="K255" s="28" t="str">
        <x:v>землистый, ореховый, сельдерейно-пряный и слегка грибной</x:v>
      </x:c>
      <x:c r="L255" s="28" t="str">
        <x:v>1-октен-3-ол, 1-октен-3-он, метиональ, глутамат, пиразины</x:v>
      </x:c>
      <x:c r="M255" s="28" t="str">
        <x:v>лимонен, метиональ, селинен, фталиды</x:v>
      </x:c>
      <x:c r="N255" s="28" t="str">
        <x:v>землистый</x:v>
      </x:c>
      <x:c r="O255" s="28" t="str">
        <x:v>метиональ</x:v>
      </x:c>
      <x:c r="P255" s="28" t="str">
        <x:v>общие характерные молекулы; пересечение ароматических семейств</x:v>
      </x:c>
      <x:c r="Q25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5" s="28" t="str">
        <x:v>минимальный</x:v>
      </x:c>
      <x:c r="S255" s="28" t="str">
        <x:v>высокая влажность, хитиновая клеточная структура и природные нуклеотиды; хорошо впитывает жир</x:v>
      </x:c>
      <x:c r="T25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5" s="28" t="str">
        <x:v>Грибы имеет профиль «землистый, лесной, жареный, мясной и слегка сернистый». Партнёр «сельдерей корневой» относится к группе «Корнеплоды» и даёт землистый, ореховый, сельдерейно-пряный и слегка грибной. Вероятный молекулярный мост: метиональ. Совместимость формируется за счёт баланса сладости, кислотности, горечи, умами и текстуры.</x:v>
      </x:c>
      <x:c r="V25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55" s="28" t="str">
        <x:v>соль, кислота или ароматический жир</x:v>
      </x:c>
      <x:c r="X255" s="28" t="str">
        <x:v>горячее блюдо, бульон, соус, пюре, ферментация или гарнир с сельдерей корневой</x:v>
      </x:c>
      <x:c r="Y255" s="28" t="str">
        <x:v>еда, соусы/маринады</x:v>
      </x:c>
      <x:c r="Z255" s="28" t="str">
        <x:v>Средняя</x:v>
      </x:c>
      <x:c r="AA255" s="28" t="str">
        <x:v>The Art &amp; Science of Foodpairing.pdf</x:v>
      </x:c>
      <x:c r="AB255" s="28" t="str">
        <x:v>The Art &amp; Science of Foodpairing.pdf: 52</x:v>
      </x:c>
      <x:c r="AC255" s="28" t="str">
        <x:v>связь из pairing grid, стр. 52</x:v>
      </x:c>
      <x:c r="AD255" s="28" t="n">
        <x:v>1</x:v>
      </x:c>
      <x:c r="AE255" s="28" t="n">
        <x:v>1</x:v>
      </x:c>
      <x:c r="AF255" s="28" t="n">
        <x:f>IF(Z255="Высокая",3,IF(Z255="Средняя",2,1))+AD255*2+MIN(AE255,3)</x:f>
        <x:v>5</x:v>
      </x:c>
    </x:row>
    <x:row r="256" ht="64" customHeight="1">
      <x:c r="A256" s="28" t="str">
        <x:v>VEG-0255</x:v>
      </x:c>
      <x:c r="B256" s="28" t="str">
        <x:v>грибы</x:v>
      </x:c>
      <x:c r="C256" s="28" t="str">
        <x:v>Универсальные</x:v>
      </x:c>
      <x:c r="D256" s="28" t="str">
        <x:v>грибы</x:v>
      </x:c>
      <x:c r="E256" s="28" t="str">
        <x:v>Грибы | грибы</x:v>
      </x:c>
      <x:c r="F256" s="28" t="str">
        <x:v>Грибы</x:v>
      </x:c>
      <x:c r="G256" s="28" t="str">
        <x:v>спаржа</x:v>
      </x:c>
      <x:c r="H256" s="28" t="str">
        <x:v>Спаржа | спаржа</x:v>
      </x:c>
      <x:c r="I256" s="28" t="str">
        <x:v>Побеговые овощи</x:v>
      </x:c>
      <x:c r="J256" s="28" t="str">
        <x:v>землистый, лесной, жареный, мясной и слегка сернистый</x:v>
      </x:c>
      <x:c r="K256" s="28" t="str">
        <x:v>зелёный, сернистый, ореховый и слегка сладкий</x:v>
      </x:c>
      <x:c r="L256" s="28" t="str">
        <x:v>1-октен-3-ол, 1-октен-3-он, метиональ, глутамат, пиразины</x:v>
      </x:c>
      <x:c r="M256" s="28" t="str">
        <x:v>аспарагусовая кислота, диметилсульфид, метантиол, пиразины</x:v>
      </x:c>
      <x:c r="N256" s="28" t="str">
        <x:v>сернистый</x:v>
      </x:c>
      <x:c r="O256" s="28" t="str">
        <x:v>пиразины</x:v>
      </x:c>
      <x:c r="P256" s="28" t="str">
        <x:v>общие характерные молекулы; пересечение ароматических семейств</x:v>
      </x:c>
      <x:c r="Q25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6" s="28" t="str">
        <x:v>минимальный</x:v>
      </x:c>
      <x:c r="S256" s="28" t="str">
        <x:v>высокая влажность, хитиновая клеточная структура и природные нуклеотиды; хорошо впитывает жир</x:v>
      </x:c>
      <x:c r="T25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6" s="28" t="str">
        <x:v>Грибы имеет профиль «землистый, лесной, жареный, мясной и слегка сернистый». Партнёр «спаржа» относится к группе «Побеговые овощи» и даёт зелёный, сернистый, ореховый и слегка сладкий. Вероятный молекулярный мост: пиразины. Совместимость формируется за счёт баланса сладости, кислотности, горечи, умами и текстуры.</x:v>
      </x:c>
      <x:c r="V25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56" s="28" t="str">
        <x:v>соль, кислота или ароматический жир</x:v>
      </x:c>
      <x:c r="X256" s="28" t="str">
        <x:v>горячее блюдо, бульон, соус, пюре, ферментация или гарнир с спаржа</x:v>
      </x:c>
      <x:c r="Y256" s="28" t="str">
        <x:v>еда, соусы/маринады</x:v>
      </x:c>
      <x:c r="Z256" s="28" t="str">
        <x:v>Средняя</x:v>
      </x:c>
      <x:c r="AA256" s="28" t="str">
        <x:v>Тезариус вкусов (Ники Сегнит)(1).pdf</x:v>
      </x:c>
      <x:c r="AB256" s="28" t="str">
        <x:v>Тезариус вкусов (Ники Сегнит)(1).pdf: 203, 345</x:v>
      </x:c>
      <x:c r="AC256" s="28" t="str">
        <x:v>развёрнутая пара/статья, стр. 203; развёрнутая пара/статья, стр. 345</x:v>
      </x:c>
      <x:c r="AD256" s="28" t="n">
        <x:v>1</x:v>
      </x:c>
      <x:c r="AE256" s="28" t="n">
        <x:v>2</x:v>
      </x:c>
      <x:c r="AF256" s="28" t="n">
        <x:f>IF(Z256="Высокая",3,IF(Z256="Средняя",2,1))+AD256*2+MIN(AE256,3)</x:f>
        <x:v>6</x:v>
      </x:c>
    </x:row>
    <x:row r="257" ht="64" customHeight="1">
      <x:c r="A257" s="28" t="str">
        <x:v>VEG-0256</x:v>
      </x:c>
      <x:c r="B257" s="28" t="str">
        <x:v>грибы</x:v>
      </x:c>
      <x:c r="C257" s="28" t="str">
        <x:v>Десерты и выпечка</x:v>
      </x:c>
      <x:c r="D257" s="28" t="str">
        <x:v>грибы</x:v>
      </x:c>
      <x:c r="E257" s="28" t="str">
        <x:v>Грибы | грибы</x:v>
      </x:c>
      <x:c r="F257" s="28" t="str">
        <x:v>Грибы</x:v>
      </x:c>
      <x:c r="G257" s="28" t="str">
        <x:v>твердый сыр</x:v>
      </x:c>
      <x:c r="H257" s="28" t="str">
        <x:v>Твердый сыр | твердый сыр</x:v>
      </x:c>
      <x:c r="I257" s="28" t="str">
        <x:v>Молочные продукты и сыры</x:v>
      </x:c>
      <x:c r="J257" s="28" t="str">
        <x:v>землистый, лесной, жареный, мясной и слегка сернистый</x:v>
      </x:c>
      <x:c r="K257" s="28" t="str">
        <x:v>молочный, умами, ферментированный</x:v>
      </x:c>
      <x:c r="L257" s="28" t="str">
        <x:v>1-октен-3-ол, 1-октен-3-он, метиональ, глутамат, пиразины</x:v>
      </x:c>
      <x:c r="M257" s="28" t="str">
        <x:v>диацетил, жирные кислоты</x:v>
      </x:c>
      <x:c r="N257" s="28" t="str">
        <x:v>умами</x:v>
      </x:c>
      <x:c r="O257" s="28" t="str">
        <x:v>надёжная общая ключевая молекула не установлена</x:v>
      </x:c>
      <x:c r="P257" s="28" t="str">
        <x:v>пересечение ароматических семейств; жировая матрица</x:v>
      </x:c>
      <x:c r="Q25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7" s="28" t="str">
        <x:v>минимальный</x:v>
      </x:c>
      <x:c r="S257" s="28" t="str">
        <x:v>высокая влажность, хитиновая клеточная структура и природные нуклеотиды; хорошо впитывает жир Жировая фаза удерживает гидрофобные молекулы, но может сделать вкус тяжёлым.</x:v>
      </x:c>
      <x:c r="T25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7" s="28" t="str">
        <x:v>Грибы имеет профиль «землистый, лесной, жареный, мясной и слегка сернистый». Партнёр «твердый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5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W257" s="28" t="str">
        <x:v>кислота, зелень или жареный орех</x:v>
      </x:c>
      <x:c r="X257" s="28" t="str">
        <x:v>горячее блюдо, бульон, соус, пюре, ферментация или гарнир с твердый сыр</x:v>
      </x:c>
      <x:c r="Y257" s="28" t="str">
        <x:v>еда, десерты, соусы/маринады</x:v>
      </x:c>
      <x:c r="Z257" s="28" t="str">
        <x:v>Средняя</x:v>
      </x:c>
      <x:c r="AA257" s="28" t="str">
        <x:v>Тезариус вкусов (Ники Сегнит)(1).pdf</x:v>
      </x:c>
      <x:c r="AB257" s="28" t="str">
        <x:v>Тезариус вкусов (Ники Сегнит)(1).pdf: 170, 203</x:v>
      </x:c>
      <x:c r="AC257" s="28" t="str">
        <x:v>развёрнутая пара/статья, стр. 170; развёрнутая пара/статья, стр. 203</x:v>
      </x:c>
      <x:c r="AD257" s="28" t="n">
        <x:v>1</x:v>
      </x:c>
      <x:c r="AE257" s="28" t="n">
        <x:v>2</x:v>
      </x:c>
      <x:c r="AF257" s="28" t="n">
        <x:f>IF(Z257="Высокая",3,IF(Z257="Средняя",2,1))+AD257*2+MIN(AE257,3)</x:f>
        <x:v>6</x:v>
      </x:c>
    </x:row>
    <x:row r="258" ht="64" customHeight="1">
      <x:c r="A258" s="28" t="str">
        <x:v>VEG-0257</x:v>
      </x:c>
      <x:c r="B258" s="28" t="str">
        <x:v>грибы</x:v>
      </x:c>
      <x:c r="C258" s="28" t="str">
        <x:v>Универсальные</x:v>
      </x:c>
      <x:c r="D258" s="28" t="str">
        <x:v>грибы</x:v>
      </x:c>
      <x:c r="E258" s="28" t="str">
        <x:v>Грибы | грибы</x:v>
      </x:c>
      <x:c r="F258" s="28" t="str">
        <x:v>Грибы</x:v>
      </x:c>
      <x:c r="G258" s="28" t="str">
        <x:v>тимьян</x:v>
      </x:c>
      <x:c r="H258" s="28" t="str">
        <x:v>Тимьян | тимьян</x:v>
      </x:c>
      <x:c r="I258" s="28" t="str">
        <x:v>Травы, цветы и листья</x:v>
      </x:c>
      <x:c r="J258" s="28" t="str">
        <x:v>землистый, лесной, жареный, мясной и слегка сернистый</x:v>
      </x:c>
      <x:c r="K258" s="28" t="str">
        <x:v>древесный, зелёный, фенольный</x:v>
      </x:c>
      <x:c r="L258" s="28" t="str">
        <x:v>1-октен-3-ол, 1-октен-3-он, метиональ, глутамат, пиразины</x:v>
      </x:c>
      <x:c r="M258" s="28" t="str">
        <x:v>карвакрол, тимол</x:v>
      </x:c>
      <x:c r="N258" s="28" t="str">
        <x:v>прямое пересечение семейств не подтверждено</x:v>
      </x:c>
      <x:c r="O258" s="28" t="str">
        <x:v>надёжная общая ключевая молекула не установлена</x:v>
      </x:c>
      <x:c r="P258" s="28" t="str">
        <x:v>сенсорная комплементарность</x:v>
      </x:c>
      <x:c r="Q25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8" s="28" t="str">
        <x:v>минимальный</x:v>
      </x:c>
      <x:c r="S258" s="28" t="str">
        <x:v>высокая влажность, хитиновая клеточная структура и природные нуклеотиды; хорошо впитывает жир</x:v>
      </x:c>
      <x:c r="T25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8" s="28" t="str">
        <x:v>Грибы имеет профиль «землистый, лесной, жареный, мясной и слегка сернистый».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25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W258" s="28" t="str">
        <x:v>оливковое масло, лимон или сыр</x:v>
      </x:c>
      <x:c r="X258" s="28" t="str">
        <x:v>горячее блюдо, бульон, соус, пюре, ферментация или гарнир с тимьян</x:v>
      </x:c>
      <x:c r="Y258" s="28" t="str">
        <x:v>еда, соусы/маринады</x:v>
      </x:c>
      <x:c r="Z258" s="28" t="str">
        <x:v>Средняя</x:v>
      </x:c>
      <x:c r="AA258" s="28" t="str">
        <x:v>Тезариус вкусов (Ники Сегнит)(1).pdf</x:v>
      </x:c>
      <x:c r="AB258" s="28" t="str">
        <x:v>Тезариус вкусов (Ники Сегнит)(1).pdf: 204, 857</x:v>
      </x:c>
      <x:c r="AC258" s="28" t="str">
        <x:v>развёрнутая пара/статья, стр. 204; развёрнутая пара/статья, стр. 857</x:v>
      </x:c>
      <x:c r="AD258" s="28" t="n">
        <x:v>1</x:v>
      </x:c>
      <x:c r="AE258" s="28" t="n">
        <x:v>2</x:v>
      </x:c>
      <x:c r="AF258" s="28" t="n">
        <x:f>IF(Z258="Высокая",3,IF(Z258="Средняя",2,1))+AD258*2+MIN(AE258,3)</x:f>
        <x:v>6</x:v>
      </x:c>
    </x:row>
    <x:row r="259" ht="64" customHeight="1">
      <x:c r="A259" s="28" t="str">
        <x:v>VEG-0258</x:v>
      </x:c>
      <x:c r="B259" s="28" t="str">
        <x:v>грибы</x:v>
      </x:c>
      <x:c r="C259" s="28" t="str">
        <x:v>Универсальные</x:v>
      </x:c>
      <x:c r="D259" s="28" t="str">
        <x:v>грибы</x:v>
      </x:c>
      <x:c r="E259" s="28" t="str">
        <x:v>Грибы | грибы</x:v>
      </x:c>
      <x:c r="F259" s="28" t="str">
        <x:v>Грибы</x:v>
      </x:c>
      <x:c r="G259" s="28" t="str">
        <x:v>томат</x:v>
      </x:c>
      <x:c r="H259" s="28" t="str">
        <x:v>Томаты | томаты</x:v>
      </x:c>
      <x:c r="I259" s="28" t="str">
        <x:v>Плодовые овощи</x:v>
      </x:c>
      <x:c r="J259" s="28" t="str">
        <x:v>землистый, лесной, жареный, мясной и слегка сернистый</x:v>
      </x:c>
      <x:c r="K259" s="28" t="str">
        <x:v>зелёный, фруктовый, листовой, сернистый и умами</x:v>
      </x:c>
      <x:c r="L259" s="28" t="str">
        <x:v>1-октен-3-ол, 1-октен-3-он, метиональ, глутамат, пиразины</x:v>
      </x:c>
      <x:c r="M259" s="28" t="str">
        <x:v>β-ионон, гексаналь, глутамат, метиональ, цис-3-гексеналь</x:v>
      </x:c>
      <x:c r="N259" s="28" t="str">
        <x:v>сернистый, умами</x:v>
      </x:c>
      <x:c r="O259" s="28" t="str">
        <x:v>глутамат, метиональ</x:v>
      </x:c>
      <x:c r="P259" s="28" t="str">
        <x:v>общие характерные молекулы; пересечение ароматических семейств</x:v>
      </x:c>
      <x:c r="Q25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59" s="28" t="str">
        <x:v>минимальный</x:v>
      </x:c>
      <x:c r="S259" s="28" t="str">
        <x:v>высокая влажность, хитиновая клеточная структура и природные нуклеотиды; хорошо впитывает жир</x:v>
      </x:c>
      <x:c r="T25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59" s="28" t="str">
        <x:v>Грибы имеет профиль «землистый, лесной, жареный, мясной и слегка сернистый». Партнёр «томат» относится к группе «Плодовые овощи» и даёт зелёный, фруктовый, листовой, сернистый и умами. Вероятный молекулярный мост: глутамат, метиональ. Совместимость формируется за счёт баланса сладости, кислотности, горечи, умами и текстуры.</x:v>
      </x:c>
      <x:c r="V25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59" s="28" t="str">
        <x:v>соль, кислота или ароматический жир</x:v>
      </x:c>
      <x:c r="X259" s="28" t="str">
        <x:v>горячее блюдо, бульон, соус, пюре, ферментация или гарнир с томат</x:v>
      </x:c>
      <x:c r="Y259" s="28" t="str">
        <x:v>еда, соусы/маринады</x:v>
      </x:c>
      <x:c r="Z259" s="28" t="str">
        <x:v>Средняя</x:v>
      </x:c>
      <x:c r="AA259" s="28" t="str">
        <x:v>Тезариус вкусов (Ники Сегнит)(1).pdf</x:v>
      </x:c>
      <x:c r="AB259" s="28" t="str">
        <x:v>Тезариус вкусов (Ники Сегнит)(1).pdf: 204, 685</x:v>
      </x:c>
      <x:c r="AC259" s="28" t="str">
        <x:v>развёрнутая пара/статья, стр. 204; развёрнутая пара/статья, стр. 685</x:v>
      </x:c>
      <x:c r="AD259" s="28" t="n">
        <x:v>1</x:v>
      </x:c>
      <x:c r="AE259" s="28" t="n">
        <x:v>2</x:v>
      </x:c>
      <x:c r="AF259" s="28" t="n">
        <x:f>IF(Z259="Высокая",3,IF(Z259="Средняя",2,1))+AD259*2+MIN(AE259,3)</x:f>
        <x:v>6</x:v>
      </x:c>
    </x:row>
    <x:row r="260" ht="64" customHeight="1">
      <x:c r="A260" s="28" t="str">
        <x:v>VEG-0259</x:v>
      </x:c>
      <x:c r="B260" s="28" t="str">
        <x:v>грибы</x:v>
      </x:c>
      <x:c r="C260" s="28" t="str">
        <x:v>Еда и соусы</x:v>
      </x:c>
      <x:c r="D260" s="28" t="str">
        <x:v>грибы</x:v>
      </x:c>
      <x:c r="E260" s="28" t="str">
        <x:v>Грибы | грибы</x:v>
      </x:c>
      <x:c r="F260" s="28" t="str">
        <x:v>Грибы</x:v>
      </x:c>
      <x:c r="G260" s="28" t="str">
        <x:v>трюфель</x:v>
      </x:c>
      <x:c r="H260" s="28" t="str">
        <x:v>Трюфель | трюфель</x:v>
      </x:c>
      <x:c r="I260" s="28" t="str">
        <x:v>Грибы</x:v>
      </x:c>
      <x:c r="J260" s="28" t="str">
        <x:v>землистый, лесной, жареный, мясной и слегка сернистый</x:v>
      </x:c>
      <x:c r="K260" s="28" t="str">
        <x:v>землистый, грибной и умами</x:v>
      </x:c>
      <x:c r="L260" s="28" t="str">
        <x:v>1-октен-3-ол, 1-октен-3-он, метиональ, глутамат, пиразины</x:v>
      </x:c>
      <x:c r="M260" s="28" t="str">
        <x:v>1-октен-3-ол, сернистые соединения</x:v>
      </x:c>
      <x:c r="N260" s="28" t="str">
        <x:v>жареный, землистый, умами</x:v>
      </x:c>
      <x:c r="O260" s="28" t="str">
        <x:v>1-октен-3-ол</x:v>
      </x:c>
      <x:c r="P260" s="28" t="str">
        <x:v>общие характерные молекулы; пересечение ароматических семейств; умами и солёный контраст</x:v>
      </x:c>
      <x:c r="Q26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0" s="28" t="str">
        <x:v>минимальный</x:v>
      </x:c>
      <x:c r="S260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6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0" s="28" t="str">
        <x:v>Грибы имеет профиль «землистый, лесной, жареный, мясной и слегка сернистый». Партнёр «трюфель» относится к группе «Грибы» и даёт землистый, грибной и умами. Вероятный молекулярный мост: 1-октен-3-ол. Умами, соль и нуклеотиды усиливают savoury-профиль, а жарка формирует общую систему пиразинов, фуранов и сернистых молекул.</x:v>
      </x:c>
      <x:c r="V26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0" s="28" t="str">
        <x:v>соль, кислота или ароматический жир</x:v>
      </x:c>
      <x:c r="X260" s="28" t="str">
        <x:v>горячее блюдо, бульон, соус, пюре, ферментация или гарнир с трюфель</x:v>
      </x:c>
      <x:c r="Y260" s="28" t="str">
        <x:v>еда, соусы/маринады</x:v>
      </x:c>
      <x:c r="Z260" s="28" t="str">
        <x:v>Средняя</x:v>
      </x:c>
      <x:c r="AA260" s="28" t="str">
        <x:v>Тезариус вкусов (Ники Сегнит)(1).pdf</x:v>
      </x:c>
      <x:c r="AB260" s="28" t="str">
        <x:v>Тезариус вкусов (Ники Сегнит)(1).pdf: 205, 302</x:v>
      </x:c>
      <x:c r="AC260" s="28" t="str">
        <x:v>развёрнутая пара/статья, стр. 205; развёрнутая пара/статья, стр. 302</x:v>
      </x:c>
      <x:c r="AD260" s="28" t="n">
        <x:v>1</x:v>
      </x:c>
      <x:c r="AE260" s="28" t="n">
        <x:v>2</x:v>
      </x:c>
      <x:c r="AF260" s="28" t="n">
        <x:f>IF(Z260="Высокая",3,IF(Z260="Средняя",2,1))+AD260*2+MIN(AE260,3)</x:f>
        <x:v>6</x:v>
      </x:c>
    </x:row>
    <x:row r="261" ht="64" customHeight="1">
      <x:c r="A261" s="28" t="str">
        <x:v>VEG-0260</x:v>
      </x:c>
      <x:c r="B261" s="28" t="str">
        <x:v>грибы</x:v>
      </x:c>
      <x:c r="C261" s="28" t="str">
        <x:v>Универсальные</x:v>
      </x:c>
      <x:c r="D261" s="28" t="str">
        <x:v>грибы</x:v>
      </x:c>
      <x:c r="E261" s="28" t="str">
        <x:v>Грибы | грибы</x:v>
      </x:c>
      <x:c r="F261" s="28" t="str">
        <x:v>Грибы</x:v>
      </x:c>
      <x:c r="G261" s="28" t="str">
        <x:v>тыква баттернат</x:v>
      </x:c>
      <x:c r="H261" s="28" t="str">
        <x:v>Тыква баттернат | тыква баттернат</x:v>
      </x:c>
      <x:c r="I261" s="28" t="str">
        <x:v>Тыквенные</x:v>
      </x:c>
      <x:c r="J261" s="28" t="str">
        <x:v>землистый, лесной, жареный, мясной и слегка сернистый</x:v>
      </x:c>
      <x:c r="K261" s="28" t="str">
        <x:v>сладкий, сливочный, ореховый и карамельный</x:v>
      </x:c>
      <x:c r="L261" s="28" t="str">
        <x:v>1-октен-3-ол, 1-октен-3-он, метиональ, глутамат, пиразины</x:v>
      </x:c>
      <x:c r="M261" s="28" t="str">
        <x:v>лактоны, мальтол, норизопреноиды, фураны</x:v>
      </x:c>
      <x:c r="N261" s="28" t="str">
        <x:v>прямое пересечение семейств не подтверждено</x:v>
      </x:c>
      <x:c r="O261" s="28" t="str">
        <x:v>надёжная общая ключевая молекула не установлена</x:v>
      </x:c>
      <x:c r="P261" s="28" t="str">
        <x:v>сенсорная комплементарность</x:v>
      </x:c>
      <x:c r="Q26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1" s="28" t="str">
        <x:v>минимальный</x:v>
      </x:c>
      <x:c r="S261" s="28" t="str">
        <x:v>высокая влажность, хитиновая клеточная структура и природные нуклеотиды; хорошо впитывает жир</x:v>
      </x:c>
      <x:c r="T26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1" s="28" t="str">
        <x:v>Грибы имеет профиль «землистый, лесной, жареный, мясной и слегка сернистый».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6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1" s="28" t="str">
        <x:v>соль, кислота или ароматический жир</x:v>
      </x:c>
      <x:c r="X261" s="28" t="str">
        <x:v>горячее блюдо, бульон, соус, пюре, ферментация или гарнир с тыква баттернат</x:v>
      </x:c>
      <x:c r="Y261" s="28" t="str">
        <x:v>еда, соусы/маринады</x:v>
      </x:c>
      <x:c r="Z261" s="28" t="str">
        <x:v>Средняя</x:v>
      </x:c>
      <x:c r="AA261" s="28" t="str">
        <x:v>Тезариус вкусов (Ники Сегнит)(1).pdf</x:v>
      </x:c>
      <x:c r="AB261" s="28" t="str">
        <x:v>Тезариус вкусов (Ники Сегнит)(1).pdf: 205, 610</x:v>
      </x:c>
      <x:c r="AC261" s="28" t="str">
        <x:v>развёрнутая пара/статья, стр. 205; развёрнутая пара/статья, стр. 610</x:v>
      </x:c>
      <x:c r="AD261" s="28" t="n">
        <x:v>1</x:v>
      </x:c>
      <x:c r="AE261" s="28" t="n">
        <x:v>2</x:v>
      </x:c>
      <x:c r="AF261" s="28" t="n">
        <x:f>IF(Z261="Высокая",3,IF(Z261="Средняя",2,1))+AD261*2+MIN(AE261,3)</x:f>
        <x:v>6</x:v>
      </x:c>
    </x:row>
    <x:row r="262" ht="64" customHeight="1">
      <x:c r="A262" s="28" t="str">
        <x:v>VEG-0261</x:v>
      </x:c>
      <x:c r="B262" s="28" t="str">
        <x:v>грибы</x:v>
      </x:c>
      <x:c r="C262" s="28" t="str">
        <x:v>Универсальные</x:v>
      </x:c>
      <x:c r="D262" s="28" t="str">
        <x:v>грибы</x:v>
      </x:c>
      <x:c r="E262" s="28" t="str">
        <x:v>Грибы | грибы</x:v>
      </x:c>
      <x:c r="F262" s="28" t="str">
        <x:v>Грибы</x:v>
      </x:c>
      <x:c r="G262" s="28" t="str">
        <x:v>укроп</x:v>
      </x:c>
      <x:c r="H262" s="28" t="str">
        <x:v>Укроп | укроп</x:v>
      </x:c>
      <x:c r="I262" s="28" t="str">
        <x:v>Травы, цветы и листья</x:v>
      </x:c>
      <x:c r="J262" s="28" t="str">
        <x:v>землистый, лесной, жареный, мясной и слегка сернистый</x:v>
      </x:c>
      <x:c r="K262" s="28" t="str">
        <x:v>анисовый, зелёный</x:v>
      </x:c>
      <x:c r="L262" s="28" t="str">
        <x:v>1-октен-3-ол, 1-октен-3-он, метиональ, глутамат, пиразины</x:v>
      </x:c>
      <x:c r="M262" s="28" t="str">
        <x:v>карвон, лимонен</x:v>
      </x:c>
      <x:c r="N262" s="28" t="str">
        <x:v>прямое пересечение семейств не подтверждено</x:v>
      </x:c>
      <x:c r="O262" s="28" t="str">
        <x:v>надёжная общая ключевая молекула не установлена</x:v>
      </x:c>
      <x:c r="P262" s="28" t="str">
        <x:v>сенсорная комплементарность</x:v>
      </x:c>
      <x:c r="Q26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2" s="28" t="str">
        <x:v>минимальный</x:v>
      </x:c>
      <x:c r="S262" s="28" t="str">
        <x:v>высокая влажность, хитиновая клеточная структура и природные нуклеотиды; хорошо впитывает жир</x:v>
      </x:c>
      <x:c r="T26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2" s="28" t="str">
        <x:v>Грибы имеет профиль «землистый, лесной, жареный, мясной и слегка сернистый». Партнёр «укроп» относится к группе «Травы, цветы и листья» и даёт анисовый, зелёный.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26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W262" s="28" t="str">
        <x:v>оливковое масло, лимон или сыр</x:v>
      </x:c>
      <x:c r="X262" s="28" t="str">
        <x:v>горячее блюдо, бульон, соус, пюре, ферментация или гарнир с укроп</x:v>
      </x:c>
      <x:c r="Y262" s="28" t="str">
        <x:v>еда, соусы/маринады</x:v>
      </x:c>
      <x:c r="Z262" s="28" t="str">
        <x:v>Средняя</x:v>
      </x:c>
      <x:c r="AA262" s="28" t="str">
        <x:v>Тезариус вкусов (Ники Сегнит)(1).pdf</x:v>
      </x:c>
      <x:c r="AB262" s="28" t="str">
        <x:v>Тезариус вкусов (Ники Сегнит)(1).pdf: 206, 502</x:v>
      </x:c>
      <x:c r="AC262" s="28" t="str">
        <x:v>развёрнутая пара/статья, стр. 206; развёрнутая пара/статья, стр. 502</x:v>
      </x:c>
      <x:c r="AD262" s="28" t="n">
        <x:v>1</x:v>
      </x:c>
      <x:c r="AE262" s="28" t="n">
        <x:v>2</x:v>
      </x:c>
      <x:c r="AF262" s="28" t="n">
        <x:f>IF(Z262="Высокая",3,IF(Z262="Средняя",2,1))+AD262*2+MIN(AE262,3)</x:f>
        <x:v>6</x:v>
      </x:c>
    </x:row>
    <x:row r="263" ht="64" customHeight="1">
      <x:c r="A263" s="28" t="str">
        <x:v>VEG-0262</x:v>
      </x:c>
      <x:c r="B263" s="28" t="str">
        <x:v>грибы</x:v>
      </x:c>
      <x:c r="C263" s="28" t="str">
        <x:v>Еда и соусы</x:v>
      </x:c>
      <x:c r="D263" s="28" t="str">
        <x:v>грибы</x:v>
      </x:c>
      <x:c r="E263" s="28" t="str">
        <x:v>Грибы | грибы</x:v>
      </x:c>
      <x:c r="F263" s="28" t="str">
        <x:v>Грибы</x:v>
      </x:c>
      <x:c r="G263" s="28" t="str">
        <x:v>устрицы</x:v>
      </x:c>
      <x:c r="H263" s="28" t="str">
        <x:v>Устрицы | устрицы</x:v>
      </x:c>
      <x:c r="I263" s="28" t="str">
        <x:v>Рыба и морепродукты</x:v>
      </x:c>
      <x:c r="J263" s="28" t="str">
        <x:v>землистый, лесной, жареный, мясной и слегка сернистый</x:v>
      </x:c>
      <x:c r="K263" s="28" t="str">
        <x:v>морской, солоноватый и умами</x:v>
      </x:c>
      <x:c r="L263" s="28" t="str">
        <x:v>1-октен-3-ол, 1-октен-3-он, метиональ, глутамат, пиразины</x:v>
      </x:c>
      <x:c r="M263" s="28" t="str">
        <x:v>альдегиды, амины</x:v>
      </x:c>
      <x:c r="N263" s="28" t="str">
        <x:v>умами</x:v>
      </x:c>
      <x:c r="O263" s="28" t="str">
        <x:v>надёжная общая ключевая молекула не установлена</x:v>
      </x:c>
      <x:c r="P263" s="28" t="str">
        <x:v>пересечение ароматических семейств; умами и солёный контраст</x:v>
      </x:c>
      <x:c r="Q26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3" s="28" t="str">
        <x:v>минимальный</x:v>
      </x:c>
      <x:c r="S263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6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3" s="28" t="str">
        <x:v>Грибы имеет профиль «землистый, лесной, жареный, мясной и слегка сернистый». Партнёр «устрицы»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26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3" s="28" t="str">
        <x:v>сливочное масло, соевый соус или тимьян</x:v>
      </x:c>
      <x:c r="X263" s="28" t="str">
        <x:v>горячее блюдо, бульон, соус, пюре, ферментация или гарнир с устрицы</x:v>
      </x:c>
      <x:c r="Y263" s="28" t="str">
        <x:v>еда, соусы/маринады</x:v>
      </x:c>
      <x:c r="Z263" s="28" t="str">
        <x:v>Средняя</x:v>
      </x:c>
      <x:c r="AA263" s="28" t="str">
        <x:v>Тезариус вкусов (Ники Сегнит)(1).pdf</x:v>
      </x:c>
      <x:c r="AB263" s="28" t="str">
        <x:v>Тезариус вкусов (Ники Сегнит)(1).pdf: 206, 397</x:v>
      </x:c>
      <x:c r="AC263" s="28" t="str">
        <x:v>развёрнутая пара/статья, стр. 206; развёрнутая пара/статья, стр. 397</x:v>
      </x:c>
      <x:c r="AD263" s="28" t="n">
        <x:v>1</x:v>
      </x:c>
      <x:c r="AE263" s="28" t="n">
        <x:v>2</x:v>
      </x:c>
      <x:c r="AF263" s="28" t="n">
        <x:f>IF(Z263="Высокая",3,IF(Z263="Средняя",2,1))+AD263*2+MIN(AE263,3)</x:f>
        <x:v>6</x:v>
      </x:c>
    </x:row>
    <x:row r="264" ht="64" customHeight="1">
      <x:c r="A264" s="28" t="str">
        <x:v>VEG-0263</x:v>
      </x:c>
      <x:c r="B264" s="28" t="str">
        <x:v>грибы</x:v>
      </x:c>
      <x:c r="C264" s="28" t="str">
        <x:v>Еда и соусы</x:v>
      </x:c>
      <x:c r="D264" s="28" t="str">
        <x:v>грибы</x:v>
      </x:c>
      <x:c r="E264" s="28" t="str">
        <x:v>cep mushroom</x:v>
      </x:c>
      <x:c r="F264" s="28" t="str">
        <x:v>Грибы</x:v>
      </x:c>
      <x:c r="G264" s="28" t="str">
        <x:v>хамон иберико</x:v>
      </x:c>
      <x:c r="H264" s="28" t="str">
        <x:v>lberico ham</x:v>
      </x:c>
      <x:c r="I264" s="28" t="str">
        <x:v>Мясо и птица</x:v>
      </x:c>
      <x:c r="J264" s="28" t="str">
        <x:v>землистый, лесной, жареный, мясной и слегка сернистый</x:v>
      </x:c>
      <x:c r="K264" s="28" t="str">
        <x:v>жареный, мясной и умами</x:v>
      </x:c>
      <x:c r="L264" s="28" t="str">
        <x:v>1-октен-3-ол, 1-октен-3-он, метиональ, глутамат, пиразины</x:v>
      </x:c>
      <x:c r="M264" s="28" t="str">
        <x:v>пиразины, сернистые соединения</x:v>
      </x:c>
      <x:c r="N264" s="28" t="str">
        <x:v>жареный, умами</x:v>
      </x:c>
      <x:c r="O264" s="28" t="str">
        <x:v>пиразины</x:v>
      </x:c>
      <x:c r="P264" s="28" t="str">
        <x:v>общие характерные молекулы; пересечение ароматических семейств; умами и солёный контраст</x:v>
      </x:c>
      <x:c r="Q26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4" s="28" t="str">
        <x:v>минимальный</x:v>
      </x:c>
      <x:c r="S264" s="28" t="str">
        <x:v>высокая влажность, хитиновая клеточная структура и природные нуклеотиды; хорошо впитывает жир Белок и жир требуют контроля воды: для жареной ароматики поверхность должна подсохнуть.</x:v>
      </x:c>
      <x:c r="T26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4" s="28" t="str">
        <x:v>Грибы имеет профиль «землистый, лесной, жареный, мясной и слегка сернистый». Партнёр «хамон иберико»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26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4" s="28" t="str">
        <x:v>сливочное масло, соевый соус или тимьян</x:v>
      </x:c>
      <x:c r="X264" s="28" t="str">
        <x:v>горячее блюдо, бульон, соус, пюре, ферментация или гарнир с хамон иберико</x:v>
      </x:c>
      <x:c r="Y264" s="28" t="str">
        <x:v>еда, соусы/маринады</x:v>
      </x:c>
      <x:c r="Z264" s="28" t="str">
        <x:v>Средняя</x:v>
      </x:c>
      <x:c r="AA264" s="28" t="str">
        <x:v>The Art &amp; Science of Foodpairing.pdf</x:v>
      </x:c>
      <x:c r="AB264" s="28" t="str">
        <x:v>The Art &amp; Science of Foodpairing.pdf: 278</x:v>
      </x:c>
      <x:c r="AC264" s="28" t="str">
        <x:v>связь из pairing grid, стр. 278</x:v>
      </x:c>
      <x:c r="AD264" s="28" t="n">
        <x:v>1</x:v>
      </x:c>
      <x:c r="AE264" s="28" t="n">
        <x:v>1</x:v>
      </x:c>
      <x:c r="AF264" s="28" t="n">
        <x:f>IF(Z264="Высокая",3,IF(Z264="Средняя",2,1))+AD264*2+MIN(AE264,3)</x:f>
        <x:v>5</x:v>
      </x:c>
    </x:row>
    <x:row r="265" ht="64" customHeight="1">
      <x:c r="A265" s="28" t="str">
        <x:v>VEG-0264</x:v>
      </x:c>
      <x:c r="B265" s="28" t="str">
        <x:v>грибы</x:v>
      </x:c>
      <x:c r="C265" s="28" t="str">
        <x:v>Универсальные</x:v>
      </x:c>
      <x:c r="D265" s="28" t="str">
        <x:v>грибы</x:v>
      </x:c>
      <x:c r="E265" s="28" t="str">
        <x:v>Грибы | грибы</x:v>
      </x:c>
      <x:c r="F265" s="28" t="str">
        <x:v>Грибы</x:v>
      </x:c>
      <x:c r="G265" s="28" t="str">
        <x:v>цыпленок</x:v>
      </x:c>
      <x:c r="H265" s="28" t="str">
        <x:v>Цыпленок | цыпленок</x:v>
      </x:c>
      <x:c r="I265" s="28" t="str">
        <x:v>Прочее</x:v>
      </x:c>
      <x:c r="J265" s="28" t="str">
        <x:v>землистый, лесной, жареный, мясной и слегка сернистый</x:v>
      </x:c>
      <x:c r="K265" s="28" t="str">
        <x:v>профиль зависит от конкретного продукта</x:v>
      </x:c>
      <x:c r="L265" s="28" t="str">
        <x:v>1-октен-3-ол, 1-октен-3-он, метиональ, глутамат, пиразины</x:v>
      </x:c>
      <x:c r="M265" s="28" t="str">
        <x:v>конкретный молекулярный профиль не указан</x:v>
      </x:c>
      <x:c r="N265" s="28" t="str">
        <x:v>прямое пересечение семейств не подтверждено</x:v>
      </x:c>
      <x:c r="O265" s="28" t="str">
        <x:v>надёжная общая ключевая молекула не установлена</x:v>
      </x:c>
      <x:c r="P265" s="28" t="str">
        <x:v>сенсорная комплементарность</x:v>
      </x:c>
      <x:c r="Q26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5" s="28" t="str">
        <x:v>минимальный</x:v>
      </x:c>
      <x:c r="S265" s="28" t="str">
        <x:v>высокая влажность, хитиновая клеточная структура и природные нуклеотиды; хорошо впитывает жир</x:v>
      </x:c>
      <x:c r="T26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5" s="28" t="str">
        <x:v>Грибы имеет профиль «землистый, лесной, жареный, мясной и слегка сернистый».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6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5" s="28" t="str">
        <x:v>соль, кислота или ароматический жир</x:v>
      </x:c>
      <x:c r="X265" s="28" t="str">
        <x:v>горячее блюдо, бульон, соус, пюре, ферментация или гарнир с цыпленок</x:v>
      </x:c>
      <x:c r="Y265" s="28" t="str">
        <x:v>еда, соусы/маринады</x:v>
      </x:c>
      <x:c r="Z265" s="28" t="str">
        <x:v>Средняя</x:v>
      </x:c>
      <x:c r="AA265" s="28" t="str">
        <x:v>Тезариус вкусов (Ники Сегнит)(1).pdf</x:v>
      </x:c>
      <x:c r="AB265" s="28" t="str">
        <x:v>Тезариус вкусов (Ники Сегнит)(1).pdf: 65, 206</x:v>
      </x:c>
      <x:c r="AC265" s="28" t="str">
        <x:v>развёрнутая пара/статья, стр. 65; развёрнутая пара/статья, стр. 206</x:v>
      </x:c>
      <x:c r="AD265" s="28" t="n">
        <x:v>1</x:v>
      </x:c>
      <x:c r="AE265" s="28" t="n">
        <x:v>2</x:v>
      </x:c>
      <x:c r="AF265" s="28" t="n">
        <x:f>IF(Z265="Высокая",3,IF(Z265="Средняя",2,1))+AD265*2+MIN(AE265,3)</x:f>
        <x:v>6</x:v>
      </x:c>
    </x:row>
    <x:row r="266" ht="64" customHeight="1">
      <x:c r="A266" s="28" t="str">
        <x:v>VEG-0265</x:v>
      </x:c>
      <x:c r="B266" s="28" t="str">
        <x:v>грибы</x:v>
      </x:c>
      <x:c r="C266" s="28" t="str">
        <x:v>Универсальные</x:v>
      </x:c>
      <x:c r="D266" s="28" t="str">
        <x:v>грибы</x:v>
      </x:c>
      <x:c r="E266" s="28" t="str">
        <x:v>Грибы | грибы</x:v>
      </x:c>
      <x:c r="F266" s="28" t="str">
        <x:v>Грибы</x:v>
      </x:c>
      <x:c r="G266" s="28" t="str">
        <x:v>черника</x:v>
      </x:c>
      <x:c r="H266" s="28" t="str">
        <x:v>Черника | черника</x:v>
      </x:c>
      <x:c r="I266" s="28" t="str">
        <x:v>Прочее</x:v>
      </x:c>
      <x:c r="J266" s="28" t="str">
        <x:v>землистый, лесной, жареный, мясной и слегка сернистый</x:v>
      </x:c>
      <x:c r="K266" s="28" t="str">
        <x:v>профиль зависит от конкретного продукта</x:v>
      </x:c>
      <x:c r="L266" s="28" t="str">
        <x:v>1-октен-3-ол, 1-октен-3-он, метиональ, глутамат, пиразины</x:v>
      </x:c>
      <x:c r="M266" s="28" t="str">
        <x:v>конкретный молекулярный профиль не указан</x:v>
      </x:c>
      <x:c r="N266" s="28" t="str">
        <x:v>прямое пересечение семейств не подтверждено</x:v>
      </x:c>
      <x:c r="O266" s="28" t="str">
        <x:v>надёжная общая ключевая молекула не установлена</x:v>
      </x:c>
      <x:c r="P266" s="28" t="str">
        <x:v>сенсорная комплементарность</x:v>
      </x:c>
      <x:c r="Q26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6" s="28" t="str">
        <x:v>минимальный</x:v>
      </x:c>
      <x:c r="S266" s="28" t="str">
        <x:v>высокая влажность, хитиновая клеточная структура и природные нуклеотиды; хорошо впитывает жир</x:v>
      </x:c>
      <x:c r="T26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6" s="28" t="str">
        <x:v>Грибы имеет профиль «землистый, лесной, жареный, мясной и слегка сернистый». Партнёр «черника»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6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6" s="28" t="str">
        <x:v>соль, кислота или ароматический жир</x:v>
      </x:c>
      <x:c r="X266" s="28" t="str">
        <x:v>горячее блюдо, бульон, соус, пюре, ферментация или гарнир с черника</x:v>
      </x:c>
      <x:c r="Y266" s="28" t="str">
        <x:v>еда, соусы/маринады</x:v>
      </x:c>
      <x:c r="Z266" s="28" t="str">
        <x:v>Средняя</x:v>
      </x:c>
      <x:c r="AA266" s="28" t="str">
        <x:v>Тезариус вкусов (Ники Сегнит)(1).pdf</x:v>
      </x:c>
      <x:c r="AB266" s="28" t="str">
        <x:v>Тезариус вкусов (Ники Сегнит)(1).pdf: 206, 904</x:v>
      </x:c>
      <x:c r="AC266" s="28" t="str">
        <x:v>развёрнутая пара/статья, стр. 206; развёрнутая пара/статья, стр. 904</x:v>
      </x:c>
      <x:c r="AD266" s="28" t="n">
        <x:v>1</x:v>
      </x:c>
      <x:c r="AE266" s="28" t="n">
        <x:v>2</x:v>
      </x:c>
      <x:c r="AF266" s="28" t="n">
        <x:f>IF(Z266="Высокая",3,IF(Z266="Средняя",2,1))+AD266*2+MIN(AE266,3)</x:f>
        <x:v>6</x:v>
      </x:c>
    </x:row>
    <x:row r="267" ht="64" customHeight="1">
      <x:c r="A267" s="28" t="str">
        <x:v>VEG-0266</x:v>
      </x:c>
      <x:c r="B267" s="28" t="str">
        <x:v>грибы</x:v>
      </x:c>
      <x:c r="C267" s="28" t="str">
        <x:v>Еда и соусы</x:v>
      </x:c>
      <x:c r="D267" s="28" t="str">
        <x:v>грибы</x:v>
      </x:c>
      <x:c r="E267" s="28" t="str">
        <x:v>dried porcini | Грибы | грибы</x:v>
      </x:c>
      <x:c r="F267" s="28" t="str">
        <x:v>Грибы</x:v>
      </x:c>
      <x:c r="G267" s="28" t="str">
        <x:v>чеснок</x:v>
      </x:c>
      <x:c r="H267" s="28" t="str">
        <x:v>garlic | Чеснок | чеснок</x:v>
      </x:c>
      <x:c r="I267" s="28" t="str">
        <x:v>Луковые овощи</x:v>
      </x:c>
      <x:c r="J267" s="28" t="str">
        <x:v>землистый, лесной, жареный, мясной и слегка сернистый</x:v>
      </x:c>
      <x:c r="K267" s="28" t="str">
        <x:v>резкий сернистый, зелёный и мясной; после запекания — сладкий и ореховый</x:v>
      </x:c>
      <x:c r="L267" s="28" t="str">
        <x:v>1-октен-3-ол, 1-октен-3-он, метиональ, глутамат, пиразины</x:v>
      </x:c>
      <x:c r="M267" s="28" t="str">
        <x:v>аллицин, диаллилдисульфид, диаллилтрисульфид, метантиол</x:v>
      </x:c>
      <x:c r="N267" s="28" t="str">
        <x:v>жареный, сернистый, умами</x:v>
      </x:c>
      <x:c r="O267" s="28" t="str">
        <x:v>надёжная общая ключевая молекула не установлена</x:v>
      </x:c>
      <x:c r="P267" s="28" t="str">
        <x:v>пересечение ароматических семейств</x:v>
      </x:c>
      <x:c r="Q26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7" s="28" t="str">
        <x:v>минимальный</x:v>
      </x:c>
      <x:c r="S267" s="28" t="str">
        <x:v>высокая влажность, хитиновая клеточная структура и природные нуклеотиды; хорошо впитывает жир</x:v>
      </x:c>
      <x:c r="T26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7" s="28" t="str">
        <x:v>Грибы имеет профиль «землистый, лесной, жареный, мясной и слегка сернистый».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сернистый, умами. Совместимость формируется за счёт баланса сладости, кислотности, горечи, умами и текстуры.</x:v>
      </x:c>
      <x:c r="V26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7" s="28" t="str">
        <x:v>соль, кислота или ароматический жир</x:v>
      </x:c>
      <x:c r="X267" s="28" t="str">
        <x:v>горячее блюдо, бульон, соус, пюре, ферментация или гарнир с чеснок</x:v>
      </x:c>
      <x:c r="Y267" s="28" t="str">
        <x:v>еда, соусы/маринады</x:v>
      </x:c>
      <x:c r="Z267" s="28" t="str">
        <x:v>Высокая</x:v>
      </x:c>
      <x:c r="AA267" s="28" t="str">
        <x:v>The Art &amp; Science of Foodpairing.pdf | Тезариус вкусов (Ники Сегнит)(1).pdf</x:v>
      </x:c>
      <x:c r="AB267" s="28" t="str">
        <x:v>Тезариус вкусов (Ники Сегнит)(1).pdf: 206, 293; The Art &amp; Science of Foodpairing.pdf: 113</x:v>
      </x:c>
      <x:c r="AC267" s="28" t="str">
        <x:v>развёрнутая пара/статья, стр. 206; развёрнутая пара/статья, стр. 293; связь из pairing grid, стр. 113</x:v>
      </x:c>
      <x:c r="AD267" s="28" t="n">
        <x:v>2</x:v>
      </x:c>
      <x:c r="AE267" s="28" t="n">
        <x:v>3</x:v>
      </x:c>
      <x:c r="AF267" s="28" t="n">
        <x:f>IF(Z267="Высокая",3,IF(Z267="Средняя",2,1))+AD267*2+MIN(AE267,3)</x:f>
        <x:v>10</x:v>
      </x:c>
    </x:row>
    <x:row r="268" ht="64" customHeight="1">
      <x:c r="A268" s="28" t="str">
        <x:v>VEG-0267</x:v>
      </x:c>
      <x:c r="B268" s="28" t="str">
        <x:v>грибы</x:v>
      </x:c>
      <x:c r="C268" s="28" t="str">
        <x:v>Универсальные</x:v>
      </x:c>
      <x:c r="D268" s="28" t="str">
        <x:v>грибы</x:v>
      </x:c>
      <x:c r="E268" s="28" t="str">
        <x:v>cep mushroom | cooked pine mushroom | dried porcini</x:v>
      </x:c>
      <x:c r="F268" s="28" t="str">
        <x:v>Грибы</x:v>
      </x:c>
      <x:c r="G268" s="28" t="str">
        <x:v>чоризо</x:v>
      </x:c>
      <x:c r="H268" s="28" t="str">
        <x:v>chorizo</x:v>
      </x:c>
      <x:c r="I268" s="28" t="str">
        <x:v>Прочее</x:v>
      </x:c>
      <x:c r="J268" s="28" t="str">
        <x:v>землистый, лесной, жареный, мясной и слегка сернистый</x:v>
      </x:c>
      <x:c r="K268" s="28" t="str">
        <x:v>профиль зависит от конкретного продукта</x:v>
      </x:c>
      <x:c r="L268" s="28" t="str">
        <x:v>1-октен-3-ол, 1-октен-3-он, метиональ, глутамат, пиразины</x:v>
      </x:c>
      <x:c r="M268" s="28" t="str">
        <x:v>конкретный молекулярный профиль не указан</x:v>
      </x:c>
      <x:c r="N268" s="28" t="str">
        <x:v>прямое пересечение семейств не подтверждено</x:v>
      </x:c>
      <x:c r="O268" s="28" t="str">
        <x:v>надёжная общая ключевая молекула не установлена</x:v>
      </x:c>
      <x:c r="P268" s="28" t="str">
        <x:v>сенсорная комплементарность</x:v>
      </x:c>
      <x:c r="Q26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8" s="28" t="str">
        <x:v>минимальный</x:v>
      </x:c>
      <x:c r="S268" s="28" t="str">
        <x:v>высокая влажность, хитиновая клеточная структура и природные нуклеотиды; хорошо впитывает жир</x:v>
      </x:c>
      <x:c r="T26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8" s="28" t="str">
        <x:v>Грибы имеет профиль «землистый, лесной, жареный, мясной и слегка сернистый».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6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8" s="28" t="str">
        <x:v>соль, кислота или ароматический жир</x:v>
      </x:c>
      <x:c r="X268" s="28" t="str">
        <x:v>горячее блюдо, бульон, соус, пюре, ферментация или гарнир с чоризо</x:v>
      </x:c>
      <x:c r="Y268" s="28" t="str">
        <x:v>еда, соусы/маринады</x:v>
      </x:c>
      <x:c r="Z268" s="28" t="str">
        <x:v>Средняя</x:v>
      </x:c>
      <x:c r="AA268" s="28" t="str">
        <x:v>The Art &amp; Science of Foodpairing.pdf</x:v>
      </x:c>
      <x:c r="AB268" s="28" t="str">
        <x:v>The Art &amp; Science of Foodpairing.pdf: 288</x:v>
      </x:c>
      <x:c r="AC268" s="28" t="str">
        <x:v>связь из pairing grid, стр. 288; связь из pairing grid, стр. 288; связь из pairing grid, стр. 288</x:v>
      </x:c>
      <x:c r="AD268" s="28" t="n">
        <x:v>1</x:v>
      </x:c>
      <x:c r="AE268" s="28" t="n">
        <x:v>3</x:v>
      </x:c>
      <x:c r="AF268" s="28" t="n">
        <x:f>IF(Z268="Высокая",3,IF(Z268="Средняя",2,1))+AD268*2+MIN(AE268,3)</x:f>
        <x:v>7</x:v>
      </x:c>
    </x:row>
    <x:row r="269" ht="64" customHeight="1">
      <x:c r="A269" s="28" t="str">
        <x:v>VEG-0268</x:v>
      </x:c>
      <x:c r="B269" s="28" t="str">
        <x:v>грибы</x:v>
      </x:c>
      <x:c r="C269" s="28" t="str">
        <x:v>Универсальные</x:v>
      </x:c>
      <x:c r="D269" s="28" t="str">
        <x:v>грибы</x:v>
      </x:c>
      <x:c r="E269" s="28" t="str">
        <x:v>Грибы | грибы</x:v>
      </x:c>
      <x:c r="F269" s="28" t="str">
        <x:v>Грибы</x:v>
      </x:c>
      <x:c r="G269" s="28" t="str">
        <x:v>яйца</x:v>
      </x:c>
      <x:c r="H269" s="28" t="str">
        <x:v>Яйца | яйца</x:v>
      </x:c>
      <x:c r="I269" s="28" t="str">
        <x:v>Прочее</x:v>
      </x:c>
      <x:c r="J269" s="28" t="str">
        <x:v>землистый, лесной, жареный, мясной и слегка сернистый</x:v>
      </x:c>
      <x:c r="K269" s="28" t="str">
        <x:v>профиль зависит от конкретного продукта</x:v>
      </x:c>
      <x:c r="L269" s="28" t="str">
        <x:v>1-октен-3-ол, 1-октен-3-он, метиональ, глутамат, пиразины</x:v>
      </x:c>
      <x:c r="M269" s="28" t="str">
        <x:v>конкретный молекулярный профиль не указан</x:v>
      </x:c>
      <x:c r="N269" s="28" t="str">
        <x:v>прямое пересечение семейств не подтверждено</x:v>
      </x:c>
      <x:c r="O269" s="28" t="str">
        <x:v>надёжная общая ключевая молекула не установлена</x:v>
      </x:c>
      <x:c r="P269" s="28" t="str">
        <x:v>сенсорная комплементарность</x:v>
      </x:c>
      <x:c r="Q26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269" s="28" t="str">
        <x:v>минимальный</x:v>
      </x:c>
      <x:c r="S269" s="28" t="str">
        <x:v>высокая влажность, хитиновая клеточная структура и природные нуклеотиды; хорошо впитывает жир</x:v>
      </x:c>
      <x:c r="T26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U269" s="28" t="str">
        <x:v>Грибы имеет профиль «землистый, лесной, жареный, мясной и слегка сернистый».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6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W269" s="28" t="str">
        <x:v>соль, кислота или ароматический жир</x:v>
      </x:c>
      <x:c r="X269" s="28" t="str">
        <x:v>горячее блюдо, бульон, соус, пюре, ферментация или гарнир с яйца</x:v>
      </x:c>
      <x:c r="Y269" s="28" t="str">
        <x:v>еда, соусы/маринады</x:v>
      </x:c>
      <x:c r="Z269" s="28" t="str">
        <x:v>Средняя</x:v>
      </x:c>
      <x:c r="AA269" s="28" t="str">
        <x:v>Тезариус вкусов (Ники Сегнит)(1).pdf</x:v>
      </x:c>
      <x:c r="AB269" s="28" t="str">
        <x:v>Тезариус вкусов (Ники Сегнит)(1).pdf: 207, 352</x:v>
      </x:c>
      <x:c r="AC269" s="28" t="str">
        <x:v>развёрнутая пара/статья, стр. 207; развёрнутая пара/статья, стр. 352</x:v>
      </x:c>
      <x:c r="AD269" s="28" t="n">
        <x:v>1</x:v>
      </x:c>
      <x:c r="AE269" s="28" t="n">
        <x:v>2</x:v>
      </x:c>
      <x:c r="AF269" s="28" t="n">
        <x:f>IF(Z269="Высокая",3,IF(Z269="Средняя",2,1))+AD269*2+MIN(AE269,3)</x:f>
        <x:v>6</x:v>
      </x:c>
    </x:row>
    <x:row r="270" ht="64" customHeight="1">
      <x:c r="A270" s="28" t="str">
        <x:v>VEG-0269</x:v>
      </x:c>
      <x:c r="B270" s="28" t="str">
        <x:v>зелёная фасоль</x:v>
      </x:c>
      <x:c r="C270" s="28" t="str">
        <x:v>Универсальные</x:v>
      </x:c>
      <x:c r="D270" s="28" t="str">
        <x:v>зелёная фасоль</x:v>
      </x:c>
      <x:c r="E270" s="28" t="str">
        <x:v>boiled green beans</x:v>
      </x:c>
      <x:c r="F270" s="28" t="str">
        <x:v>Бобовые</x:v>
      </x:c>
      <x:c r="G270" s="28" t="str">
        <x:v>базилик</x:v>
      </x:c>
      <x:c r="H270" s="28" t="str">
        <x:v>basil</x:v>
      </x:c>
      <x:c r="I270" s="28" t="str">
        <x:v>Травы, цветы и листья</x:v>
      </x:c>
      <x:c r="J270" s="28" t="str">
        <x:v>зелёный, травянистый, бобовый и слегка ореховый</x:v>
      </x:c>
      <x:c r="K270" s="28" t="str">
        <x:v>зелёный, пряный, цветочный</x:v>
      </x:c>
      <x:c r="L270" s="28" t="str">
        <x:v>гексаналь, цис-3-гексенол, метоксипиразины</x:v>
      </x:c>
      <x:c r="M270" s="28" t="str">
        <x:v>линалоол, эвгенол</x:v>
      </x:c>
      <x:c r="N270" s="28" t="str">
        <x:v>зелёный</x:v>
      </x:c>
      <x:c r="O270" s="28" t="str">
        <x:v>надёжная общая ключевая молекула не установлена</x:v>
      </x:c>
      <x:c r="P270" s="28" t="str">
        <x:v>пересечение ароматических семейств</x:v>
      </x:c>
      <x:c r="Q270" s="28" t="str">
        <x:v>Свежесть и водянистость требуют кислоты, соли или умами; избыток жирной матрицы может подавить зелёные ноты.</x:v>
      </x:c>
      <x:c r="R270" s="28" t="str">
        <x:v>минимальный</x:v>
      </x:c>
      <x:c r="S270" s="28" t="str">
        <x:v>водная волокнистая бобовая матрица</x:v>
      </x:c>
      <x:c r="T270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0" s="28" t="str">
        <x:v>Зелёная фасоль имеет профиль «зелёный, травянистый, бобовый и слегка ореховый».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270" s="28" t="str">
        <x:v>недоготовленная груба, переваренная водяниста; использовать пищевые сорта после достаточной тепловой обработки; длительный нагрев уносит свежие терпены и зелёные альдегиды</x:v>
      </x:c>
      <x:c r="W270" s="28" t="str">
        <x:v>оливковое масло, лимон или сыр</x:v>
      </x:c>
      <x:c r="X270" s="28" t="str">
        <x:v>салат, гарнир, суп, соус, маринад, ферментация или напиток с базилик</x:v>
      </x:c>
      <x:c r="Y270" s="28" t="str">
        <x:v>еда, соусы/маринады</x:v>
      </x:c>
      <x:c r="Z270" s="28" t="str">
        <x:v>Средняя</x:v>
      </x:c>
      <x:c r="AA270" s="28" t="str">
        <x:v>The Art &amp; Science of Foodpairing.pdf</x:v>
      </x:c>
      <x:c r="AB270" s="28" t="str">
        <x:v>The Art &amp; Science of Foodpairing.pdf: 74</x:v>
      </x:c>
      <x:c r="AC270" s="28" t="str">
        <x:v>связь из pairing grid, стр. 74</x:v>
      </x:c>
      <x:c r="AD270" s="28" t="n">
        <x:v>1</x:v>
      </x:c>
      <x:c r="AE270" s="28" t="n">
        <x:v>1</x:v>
      </x:c>
      <x:c r="AF270" s="28" t="n">
        <x:f>IF(Z270="Высокая",3,IF(Z270="Средняя",2,1))+AD270*2+MIN(AE270,3)</x:f>
        <x:v>5</x:v>
      </x:c>
    </x:row>
    <x:row r="271" ht="64" customHeight="1">
      <x:c r="A271" s="28" t="str">
        <x:v>VEG-0270</x:v>
      </x:c>
      <x:c r="B271" s="28" t="str">
        <x:v>зелёная фасоль</x:v>
      </x:c>
      <x:c r="C271" s="28" t="str">
        <x:v>Еда и соусы</x:v>
      </x:c>
      <x:c r="D271" s="28" t="str">
        <x:v>зелёная фасоль</x:v>
      </x:c>
      <x:c r="E271" s="28" t="str">
        <x:v>green beans</x:v>
      </x:c>
      <x:c r="F271" s="28" t="str">
        <x:v>Бобовые</x:v>
      </x:c>
      <x:c r="G271" s="28" t="str">
        <x:v>бальзамический уксус</x:v>
      </x:c>
      <x:c r="H271" s="28" t="str">
        <x:v>balsamic vinegar</x:v>
      </x:c>
      <x:c r="I271" s="28" t="str">
        <x:v>Ферментированные продукты и соусы</x:v>
      </x:c>
      <x:c r="J271" s="28" t="str">
        <x:v>зелёный, травянистый, бобовый и слегка ореховый</x:v>
      </x:c>
      <x:c r="K271" s="28" t="str">
        <x:v>ферментированный, умами и сложный</x:v>
      </x:c>
      <x:c r="L271" s="28" t="str">
        <x:v>гексаналь, цис-3-гексенол, метоксипиразины</x:v>
      </x:c>
      <x:c r="M271" s="28" t="str">
        <x:v>пиразины, фураны, эфиры</x:v>
      </x:c>
      <x:c r="N271" s="28" t="str">
        <x:v>прямое пересечение семейств не подтверждено</x:v>
      </x:c>
      <x:c r="O271" s="28" t="str">
        <x:v>надёжная общая ключевая молекула не установлена</x:v>
      </x:c>
      <x:c r="P271" s="28" t="str">
        <x:v>умами и солёный контраст</x:v>
      </x:c>
      <x:c r="Q271" s="28" t="str">
        <x:v>Свежесть и водянистость требуют кислоты, соли или умами; избыток жирной матрицы может подавить зелёные ноты.</x:v>
      </x:c>
      <x:c r="R271" s="28" t="str">
        <x:v>минимальный</x:v>
      </x:c>
      <x:c r="S271" s="28" t="str">
        <x:v>водная волокнистая бобовая матрица</x:v>
      </x:c>
      <x:c r="T271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1" s="28" t="str">
        <x:v>Зелёная фасоль имеет профиль «зелёный, травянистый, бобовый и слегка ореховый».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271" s="28" t="str">
        <x:v>недоготовленная груба, переваренная водяниста; использовать пищевые сорта после достаточной тепловой обработки</x:v>
      </x:c>
      <x:c r="W271" s="28" t="str">
        <x:v>имбирь, чеснок или кунжут</x:v>
      </x:c>
      <x:c r="X271" s="28" t="str">
        <x:v>салат, гарнир, суп, соус, маринад, ферментация или напиток с бальзамический уксус</x:v>
      </x:c>
      <x:c r="Y271" s="28" t="str">
        <x:v>еда, соусы/маринады</x:v>
      </x:c>
      <x:c r="Z271" s="28" t="str">
        <x:v>Высокая</x:v>
      </x:c>
      <x:c r="AA271" s="28" t="str">
        <x:v>The Art &amp; Science of Foodpairing.pdf</x:v>
      </x:c>
      <x:c r="AB271" s="28" t="str">
        <x:v>The Art &amp; Science of Foodpairing.pdf: 317</x:v>
      </x:c>
      <x:c r="AC271" s="28" t="str">
        <x:v>прямая Classic pairing, стр. 317</x:v>
      </x:c>
      <x:c r="AD271" s="28" t="n">
        <x:v>1</x:v>
      </x:c>
      <x:c r="AE271" s="28" t="n">
        <x:v>1</x:v>
      </x:c>
      <x:c r="AF271" s="28" t="n">
        <x:f>IF(Z271="Высокая",3,IF(Z271="Средняя",2,1))+AD271*2+MIN(AE271,3)</x:f>
        <x:v>6</x:v>
      </x:c>
    </x:row>
    <x:row r="272" ht="64" customHeight="1">
      <x:c r="A272" s="28" t="str">
        <x:v>VEG-0271</x:v>
      </x:c>
      <x:c r="B272" s="28" t="str">
        <x:v>зелёная фасоль</x:v>
      </x:c>
      <x:c r="C272" s="28" t="str">
        <x:v>Десерты и выпечка</x:v>
      </x:c>
      <x:c r="D272" s="28" t="str">
        <x:v>зелёная фасоль</x:v>
      </x:c>
      <x:c r="E272" s="28" t="str">
        <x:v>green beans</x:v>
      </x:c>
      <x:c r="F272" s="28" t="str">
        <x:v>Бобовые</x:v>
      </x:c>
      <x:c r="G272" s="28" t="str">
        <x:v>дыня</x:v>
      </x:c>
      <x:c r="H272" s="28" t="str">
        <x:v>(Japanese muskmelon) | miyabi melon</x:v>
      </x:c>
      <x:c r="I272" s="28" t="str">
        <x:v>Фрукты и ягоды</x:v>
      </x:c>
      <x:c r="J272" s="28" t="str">
        <x:v>зелёный, травянистый, бобовый и слегка ореховый</x:v>
      </x:c>
      <x:c r="K272" s="28" t="str">
        <x:v>фруктовый, цветочный и свежий</x:v>
      </x:c>
      <x:c r="L272" s="28" t="str">
        <x:v>гексаналь, цис-3-гексенол, метоксипиразины</x:v>
      </x:c>
      <x:c r="M272" s="28" t="str">
        <x:v>альдегиды, эфиры</x:v>
      </x:c>
      <x:c r="N272" s="28" t="str">
        <x:v>прямое пересечение семейств не подтверждено</x:v>
      </x:c>
      <x:c r="O272" s="28" t="str">
        <x:v>надёжная общая ключевая молекула не установлена</x:v>
      </x:c>
      <x:c r="P272" s="28" t="str">
        <x:v>кислотно-сладкий баланс</x:v>
      </x:c>
      <x:c r="Q272" s="28" t="str">
        <x:v>Свежесть и водянистость требуют кислоты, соли или умами; избыток жирной матрицы может подавить зелёные ноты.</x:v>
      </x:c>
      <x:c r="R272" s="28" t="str">
        <x:v>минимальный</x:v>
      </x:c>
      <x:c r="S272" s="28" t="str">
        <x:v>водная волокнистая бобовая матрица Водная кислая фаза усиливает свежесть, но может разжижать пюре и нарушать молочную эмульсию.</x:v>
      </x:c>
      <x:c r="T272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2" s="28" t="str">
        <x:v>Зелёная фасоль имеет профиль «зелёный, травянистый, бобовый и слегка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272" s="28" t="str">
        <x:v>недоготовленная груба, переваренная водяниста; использовать пищевые сорта после достаточной тепловой обработки; избыток кислоты или воды может сделать овощной вкус тонким и разрушить сливочную эмульсию</x:v>
      </x:c>
      <x:c r="W272" s="28" t="str">
        <x:v>цитрус, мёд или мягкая трава</x:v>
      </x:c>
      <x:c r="X272" s="28" t="str">
        <x:v>салат, гарнир, суп, соус, маринад, ферментация или напиток с дыня</x:v>
      </x:c>
      <x:c r="Y272" s="28" t="str">
        <x:v>еда, десерты, соусы/маринады</x:v>
      </x:c>
      <x:c r="Z272" s="28" t="str">
        <x:v>Средняя</x:v>
      </x:c>
      <x:c r="AA272" s="28" t="str">
        <x:v>The Art &amp; Science of Foodpairing.pdf</x:v>
      </x:c>
      <x:c r="AB272" s="28" t="str">
        <x:v>The Art &amp; Science of Foodpairing.pdf: 320</x:v>
      </x:c>
      <x:c r="AC272" s="28" t="str">
        <x:v>связь из pairing grid, стр. 320; связь из pairing grid, стр. 320</x:v>
      </x:c>
      <x:c r="AD272" s="28" t="n">
        <x:v>1</x:v>
      </x:c>
      <x:c r="AE272" s="28" t="n">
        <x:v>2</x:v>
      </x:c>
      <x:c r="AF272" s="28" t="n">
        <x:f>IF(Z272="Высокая",3,IF(Z272="Средняя",2,1))+AD272*2+MIN(AE272,3)</x:f>
        <x:v>6</x:v>
      </x:c>
    </x:row>
    <x:row r="273" ht="64" customHeight="1">
      <x:c r="A273" s="28" t="str">
        <x:v>VEG-0272</x:v>
      </x:c>
      <x:c r="B273" s="28" t="str">
        <x:v>зелёная фасоль</x:v>
      </x:c>
      <x:c r="C273" s="28" t="str">
        <x:v>Универсальные</x:v>
      </x:c>
      <x:c r="D273" s="28" t="str">
        <x:v>зелёная фасоль</x:v>
      </x:c>
      <x:c r="E273" s="28" t="str">
        <x:v>green beans</x:v>
      </x:c>
      <x:c r="F273" s="28" t="str">
        <x:v>Бобовые</x:v>
      </x:c>
      <x:c r="G273" s="28" t="str">
        <x:v>мацутакэ</x:v>
      </x:c>
      <x:c r="H273" s="28" t="str">
        <x:v>(matsutake)</x:v>
      </x:c>
      <x:c r="I273" s="28" t="str">
        <x:v>Прочее</x:v>
      </x:c>
      <x:c r="J273" s="28" t="str">
        <x:v>зелёный, травянистый, бобовый и слегка ореховый</x:v>
      </x:c>
      <x:c r="K273" s="28" t="str">
        <x:v>профиль зависит от конкретного продукта</x:v>
      </x:c>
      <x:c r="L273" s="28" t="str">
        <x:v>гексаналь, цис-3-гексенол, метоксипиразины</x:v>
      </x:c>
      <x:c r="M273" s="28" t="str">
        <x:v>конкретный молекулярный профиль не указан</x:v>
      </x:c>
      <x:c r="N273" s="28" t="str">
        <x:v>прямое пересечение семейств не подтверждено</x:v>
      </x:c>
      <x:c r="O273" s="28" t="str">
        <x:v>надёжная общая ключевая молекула не установлена</x:v>
      </x:c>
      <x:c r="P273" s="28" t="str">
        <x:v>сенсорная комплементарность</x:v>
      </x:c>
      <x:c r="Q273" s="28" t="str">
        <x:v>Свежесть и водянистость требуют кислоты, соли или умами; избыток жирной матрицы может подавить зелёные ноты.</x:v>
      </x:c>
      <x:c r="R273" s="28" t="str">
        <x:v>минимальный</x:v>
      </x:c>
      <x:c r="S273" s="28" t="str">
        <x:v>водная волокнистая бобовая матрица</x:v>
      </x:c>
      <x:c r="T273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3" s="28" t="str">
        <x:v>Зелёная фасоль имеет профиль «зелёный, травянистый, бобовый и слегка ореховый». Партнёр «мацутакэ»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73" s="28" t="str">
        <x:v>недоготовленная груба, переваренная водяниста; использовать пищевые сорта после достаточной тепловой обработки</x:v>
      </x:c>
      <x:c r="W273" s="28" t="str">
        <x:v>соль, кислота или ароматический жир</x:v>
      </x:c>
      <x:c r="X273" s="28" t="str">
        <x:v>салат, гарнир, суп, соус, маринад, ферментация или напиток с мацутакэ</x:v>
      </x:c>
      <x:c r="Y273" s="28" t="str">
        <x:v>еда, соусы/маринады</x:v>
      </x:c>
      <x:c r="Z273" s="28" t="str">
        <x:v>Средняя</x:v>
      </x:c>
      <x:c r="AA273" s="28" t="str">
        <x:v>The Art &amp; Science of Foodpairing.pdf</x:v>
      </x:c>
      <x:c r="AB273" s="28" t="str">
        <x:v>The Art &amp; Science of Foodpairing.pdf: 320</x:v>
      </x:c>
      <x:c r="AC273" s="28" t="str">
        <x:v>связь из pairing grid, стр. 320</x:v>
      </x:c>
      <x:c r="AD273" s="28" t="n">
        <x:v>1</x:v>
      </x:c>
      <x:c r="AE273" s="28" t="n">
        <x:v>1</x:v>
      </x:c>
      <x:c r="AF273" s="28" t="n">
        <x:f>IF(Z273="Высокая",3,IF(Z273="Средняя",2,1))+AD273*2+MIN(AE273,3)</x:f>
        <x:v>5</x:v>
      </x:c>
    </x:row>
    <x:row r="274" ht="64" customHeight="1">
      <x:c r="A274" s="28" t="str">
        <x:v>VEG-0273</x:v>
      </x:c>
      <x:c r="B274" s="28" t="str">
        <x:v>зелёная фасоль</x:v>
      </x:c>
      <x:c r="C274" s="28" t="str">
        <x:v>Универсальные</x:v>
      </x:c>
      <x:c r="D274" s="28" t="str">
        <x:v>зелёная фасоль</x:v>
      </x:c>
      <x:c r="E274" s="28" t="str">
        <x:v>green beans</x:v>
      </x:c>
      <x:c r="F274" s="28" t="str">
        <x:v>Бобовые</x:v>
      </x:c>
      <x:c r="G274" s="28" t="str">
        <x:v>оливковое масло</x:v>
      </x:c>
      <x:c r="H274" s="28" t="str">
        <x:v>olive oil</x:v>
      </x:c>
      <x:c r="I274" s="28" t="str">
        <x:v>Масла и жиры</x:v>
      </x:c>
      <x:c r="J274" s="28" t="str">
        <x:v>зелёный, травянистый, бобовый и слегка ореховый</x:v>
      </x:c>
      <x:c r="K274" s="28" t="str">
        <x:v>жирный и мягкий</x:v>
      </x:c>
      <x:c r="L274" s="28" t="str">
        <x:v>гексаналь, цис-3-гексенол, метоксипиразины</x:v>
      </x:c>
      <x:c r="M274" s="28" t="str">
        <x:v>альдегиды, лактоны</x:v>
      </x:c>
      <x:c r="N274" s="28" t="str">
        <x:v>прямое пересечение семейств не подтверждено</x:v>
      </x:c>
      <x:c r="O274" s="28" t="str">
        <x:v>надёжная общая ключевая молекула не установлена</x:v>
      </x:c>
      <x:c r="P274" s="28" t="str">
        <x:v>жировая матрица</x:v>
      </x:c>
      <x:c r="Q274" s="28" t="str">
        <x:v>Свежесть и водянистость требуют кислоты, соли или умами; избыток жирной матрицы может подавить зелёные ноты.</x:v>
      </x:c>
      <x:c r="R274" s="28" t="str">
        <x:v>минимальный</x:v>
      </x:c>
      <x:c r="S274" s="28" t="str">
        <x:v>водная волокнистая бобовая матрица Жировая фаза удерживает гидрофобные молекулы, но может сделать вкус тяжёлым.</x:v>
      </x:c>
      <x:c r="T274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4" s="28" t="str">
        <x:v>Зелёная фасоль имеет профиль «зелёный, травянистый, бобовый и слегка ореховый».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74" s="28" t="str">
        <x:v>недоготовленная груба, переваренная водяниста; использовать пищевые сорта после достаточной тепловой обработки; жир способен приглушить свежую зелёную ароматику</x:v>
      </x:c>
      <x:c r="W274" s="28" t="str">
        <x:v>кислота, зелень или жареный орех</x:v>
      </x:c>
      <x:c r="X274" s="28" t="str">
        <x:v>салат, гарнир, суп, соус, маринад, ферментация или напиток с оливковое масло</x:v>
      </x:c>
      <x:c r="Y274" s="28" t="str">
        <x:v>еда, соусы/маринады</x:v>
      </x:c>
      <x:c r="Z274" s="28" t="str">
        <x:v>Средняя</x:v>
      </x:c>
      <x:c r="AA274" s="28" t="str">
        <x:v>The Art &amp; Science of Foodpairing.pdf</x:v>
      </x:c>
      <x:c r="AB274" s="28" t="str">
        <x:v>The Art &amp; Science of Foodpairing.pdf: 320</x:v>
      </x:c>
      <x:c r="AC274" s="28" t="str">
        <x:v>связь из pairing grid, стр. 320</x:v>
      </x:c>
      <x:c r="AD274" s="28" t="n">
        <x:v>1</x:v>
      </x:c>
      <x:c r="AE274" s="28" t="n">
        <x:v>1</x:v>
      </x:c>
      <x:c r="AF274" s="28" t="n">
        <x:f>IF(Z274="Высокая",3,IF(Z274="Средняя",2,1))+AD274*2+MIN(AE274,3)</x:f>
        <x:v>5</x:v>
      </x:c>
    </x:row>
    <x:row r="275" ht="64" customHeight="1">
      <x:c r="A275" s="28" t="str">
        <x:v>VEG-0274</x:v>
      </x:c>
      <x:c r="B275" s="28" t="str">
        <x:v>зелёная фасоль</x:v>
      </x:c>
      <x:c r="C275" s="28" t="str">
        <x:v>Универсальные</x:v>
      </x:c>
      <x:c r="D275" s="28" t="str">
        <x:v>зелёная фасоль</x:v>
      </x:c>
      <x:c r="E275" s="28" t="str">
        <x:v>green beans</x:v>
      </x:c>
      <x:c r="F275" s="28" t="str">
        <x:v>Бобовые</x:v>
      </x:c>
      <x:c r="G275" s="28" t="str">
        <x:v>оливковое масло пикваль</x:v>
      </x:c>
      <x:c r="H275" s="28" t="str">
        <x:v>Picual extra-virgin</x:v>
      </x:c>
      <x:c r="I275" s="28" t="str">
        <x:v>Масла и жиры</x:v>
      </x:c>
      <x:c r="J275" s="28" t="str">
        <x:v>зелёный, травянистый, бобовый и слегка ореховый</x:v>
      </x:c>
      <x:c r="K275" s="28" t="str">
        <x:v>жирный и мягкий</x:v>
      </x:c>
      <x:c r="L275" s="28" t="str">
        <x:v>гексаналь, цис-3-гексенол, метоксипиразины</x:v>
      </x:c>
      <x:c r="M275" s="28" t="str">
        <x:v>альдегиды, лактоны</x:v>
      </x:c>
      <x:c r="N275" s="28" t="str">
        <x:v>прямое пересечение семейств не подтверждено</x:v>
      </x:c>
      <x:c r="O275" s="28" t="str">
        <x:v>надёжная общая ключевая молекула не установлена</x:v>
      </x:c>
      <x:c r="P275" s="28" t="str">
        <x:v>жировая матрица</x:v>
      </x:c>
      <x:c r="Q275" s="28" t="str">
        <x:v>Свежесть и водянистость требуют кислоты, соли или умами; избыток жирной матрицы может подавить зелёные ноты.</x:v>
      </x:c>
      <x:c r="R275" s="28" t="str">
        <x:v>минимальный</x:v>
      </x:c>
      <x:c r="S275" s="28" t="str">
        <x:v>водная волокнистая бобовая матрица Жировая фаза удерживает гидрофобные молекулы, но может сделать вкус тяжёлым.</x:v>
      </x:c>
      <x:c r="T275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5" s="28" t="str">
        <x:v>Зелёная фасоль имеет профиль «зелёный, травянистый, бобовый и слегка ореховый».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275" s="28" t="str">
        <x:v>недоготовленная груба, переваренная водяниста; использовать пищевые сорта после достаточной тепловой обработки; жир способен приглушить свежую зелёную ароматику</x:v>
      </x:c>
      <x:c r="W275" s="28" t="str">
        <x:v>кислота, зелень или жареный орех</x:v>
      </x:c>
      <x:c r="X275" s="28" t="str">
        <x:v>салат, гарнир, суп, соус, маринад, ферментация или напиток с оливковое масло пикваль</x:v>
      </x:c>
      <x:c r="Y275" s="28" t="str">
        <x:v>еда, соусы/маринады</x:v>
      </x:c>
      <x:c r="Z275" s="28" t="str">
        <x:v>Средняя</x:v>
      </x:c>
      <x:c r="AA275" s="28" t="str">
        <x:v>The Art &amp; Science of Foodpairing.pdf</x:v>
      </x:c>
      <x:c r="AB275" s="28" t="str">
        <x:v>The Art &amp; Science of Foodpairing.pdf: 320</x:v>
      </x:c>
      <x:c r="AC275" s="28" t="str">
        <x:v>связь из pairing grid, стр. 320</x:v>
      </x:c>
      <x:c r="AD275" s="28" t="n">
        <x:v>1</x:v>
      </x:c>
      <x:c r="AE275" s="28" t="n">
        <x:v>1</x:v>
      </x:c>
      <x:c r="AF275" s="28" t="n">
        <x:f>IF(Z275="Высокая",3,IF(Z275="Средняя",2,1))+AD275*2+MIN(AE275,3)</x:f>
        <x:v>5</x:v>
      </x:c>
    </x:row>
    <x:row r="276" ht="64" customHeight="1">
      <x:c r="A276" s="28" t="str">
        <x:v>VEG-0275</x:v>
      </x:c>
      <x:c r="B276" s="28" t="str">
        <x:v>зелёная фасоль</x:v>
      </x:c>
      <x:c r="C276" s="28" t="str">
        <x:v>Универсальные</x:v>
      </x:c>
      <x:c r="D276" s="28" t="str">
        <x:v>зелёная фасоль</x:v>
      </x:c>
      <x:c r="E276" s="28" t="str">
        <x:v>boiled green beans</x:v>
      </x:c>
      <x:c r="F276" s="28" t="str">
        <x:v>Бобовые</x:v>
      </x:c>
      <x:c r="G276" s="28" t="str">
        <x:v>пармезан</x:v>
      </x:c>
      <x:c r="H276" s="28" t="str">
        <x:v>Parmigiano-Reggiano</x:v>
      </x:c>
      <x:c r="I276" s="28" t="str">
        <x:v>Прочее</x:v>
      </x:c>
      <x:c r="J276" s="28" t="str">
        <x:v>зелёный, травянистый, бобовый и слегка ореховый</x:v>
      </x:c>
      <x:c r="K276" s="28" t="str">
        <x:v>профиль зависит от конкретного продукта</x:v>
      </x:c>
      <x:c r="L276" s="28" t="str">
        <x:v>гексаналь, цис-3-гексенол, метоксипиразины</x:v>
      </x:c>
      <x:c r="M276" s="28" t="str">
        <x:v>конкретный молекулярный профиль не указан</x:v>
      </x:c>
      <x:c r="N276" s="28" t="str">
        <x:v>прямое пересечение семейств не подтверждено</x:v>
      </x:c>
      <x:c r="O276" s="28" t="str">
        <x:v>надёжная общая ключевая молекула не установлена</x:v>
      </x:c>
      <x:c r="P276" s="28" t="str">
        <x:v>сенсорная комплементарность</x:v>
      </x:c>
      <x:c r="Q276" s="28" t="str">
        <x:v>Свежесть и водянистость требуют кислоты, соли или умами; избыток жирной матрицы может подавить зелёные ноты.</x:v>
      </x:c>
      <x:c r="R276" s="28" t="str">
        <x:v>минимальный</x:v>
      </x:c>
      <x:c r="S276" s="28" t="str">
        <x:v>водная волокнистая бобовая матрица</x:v>
      </x:c>
      <x:c r="T276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6" s="28" t="str">
        <x:v>Зелёная фасоль имеет профиль «зелёный, травянистый, бобовый и слегка ореховый».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76" s="28" t="str">
        <x:v>недоготовленная груба, переваренная водяниста; использовать пищевые сорта после достаточной тепловой обработки</x:v>
      </x:c>
      <x:c r="W276" s="28" t="str">
        <x:v>соль, кислота или ароматический жир</x:v>
      </x:c>
      <x:c r="X276" s="28" t="str">
        <x:v>салат, гарнир, суп, соус, маринад, ферментация или напиток с пармезан</x:v>
      </x:c>
      <x:c r="Y276" s="28" t="str">
        <x:v>еда, соусы/маринады</x:v>
      </x:c>
      <x:c r="Z276" s="28" t="str">
        <x:v>Средняя</x:v>
      </x:c>
      <x:c r="AA276" s="28" t="str">
        <x:v>The Art &amp; Science of Foodpairing.pdf</x:v>
      </x:c>
      <x:c r="AB276" s="28" t="str">
        <x:v>The Art &amp; Science of Foodpairing.pdf: 282</x:v>
      </x:c>
      <x:c r="AC276" s="28" t="str">
        <x:v>связь из pairing grid, стр. 282</x:v>
      </x:c>
      <x:c r="AD276" s="28" t="n">
        <x:v>1</x:v>
      </x:c>
      <x:c r="AE276" s="28" t="n">
        <x:v>1</x:v>
      </x:c>
      <x:c r="AF276" s="28" t="n">
        <x:f>IF(Z276="Высокая",3,IF(Z276="Средняя",2,1))+AD276*2+MIN(AE276,3)</x:f>
        <x:v>5</x:v>
      </x:c>
    </x:row>
    <x:row r="277" ht="64" customHeight="1">
      <x:c r="A277" s="28" t="str">
        <x:v>VEG-0276</x:v>
      </x:c>
      <x:c r="B277" s="28" t="str">
        <x:v>зелёная фасоль</x:v>
      </x:c>
      <x:c r="C277" s="28" t="str">
        <x:v>Десерты и выпечка</x:v>
      </x:c>
      <x:c r="D277" s="28" t="str">
        <x:v>зелёная фасоль</x:v>
      </x:c>
      <x:c r="E277" s="28" t="str">
        <x:v>boiled green beans</x:v>
      </x:c>
      <x:c r="F277" s="28" t="str">
        <x:v>Бобовые</x:v>
      </x:c>
      <x:c r="G277" s="28" t="str">
        <x:v>фундук</x:v>
      </x:c>
      <x:c r="H277" s="28" t="str">
        <x:v>hazelnut</x:v>
      </x:c>
      <x:c r="I277" s="28" t="str">
        <x:v>Орехи и семена</x:v>
      </x:c>
      <x:c r="J277" s="28" t="str">
        <x:v>зелёный, травянистый, бобовый и слегка ореховый</x:v>
      </x:c>
      <x:c r="K277" s="28" t="str">
        <x:v>жареный, какаовый, ореховый</x:v>
      </x:c>
      <x:c r="L277" s="28" t="str">
        <x:v>гексаналь, цис-3-гексенол, метоксипиразины</x:v>
      </x:c>
      <x:c r="M277" s="28" t="str">
        <x:v>пиразины, фильбертон</x:v>
      </x:c>
      <x:c r="N277" s="28" t="str">
        <x:v>ореховый</x:v>
      </x:c>
      <x:c r="O277" s="28" t="str">
        <x:v>надёжная общая ключевая молекула не установлена</x:v>
      </x:c>
      <x:c r="P277" s="28" t="str">
        <x:v>пересечение ароматических семейств</x:v>
      </x:c>
      <x:c r="Q277" s="28" t="str">
        <x:v>Свежесть и водянистость требуют кислоты, соли или умами; избыток жирной матрицы может подавить зелёные ноты.</x:v>
      </x:c>
      <x:c r="R277" s="28" t="str">
        <x:v>минимальный</x:v>
      </x:c>
      <x:c r="S277" s="28" t="str">
        <x:v>водная волокнистая бобовая матрица</x:v>
      </x:c>
      <x:c r="T277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7" s="28" t="str">
        <x:v>Зелёная фасоль имеет профиль «зелёный, травянистый, бобовый и слегка ореховый».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V277" s="28" t="str">
        <x:v>недоготовленная груба, переваренная водяниста; использовать пищевые сорта после достаточной тепловой обработки</x:v>
      </x:c>
      <x:c r="W277" s="28" t="str">
        <x:v>соль, кислота или ароматический жир</x:v>
      </x:c>
      <x:c r="X277" s="28" t="str">
        <x:v>салат, гарнир, суп, соус, маринад, ферментация или напиток с фундук</x:v>
      </x:c>
      <x:c r="Y277" s="28" t="str">
        <x:v>еда, десерты, соусы/маринады</x:v>
      </x:c>
      <x:c r="Z277" s="28" t="str">
        <x:v>Средняя</x:v>
      </x:c>
      <x:c r="AA277" s="28" t="str">
        <x:v>The Art &amp; Science of Foodpairing.pdf</x:v>
      </x:c>
      <x:c r="AB277" s="28" t="str">
        <x:v>The Art &amp; Science of Foodpairing.pdf: 332</x:v>
      </x:c>
      <x:c r="AC277" s="28" t="str">
        <x:v>связь из pairing grid, стр. 332</x:v>
      </x:c>
      <x:c r="AD277" s="28" t="n">
        <x:v>1</x:v>
      </x:c>
      <x:c r="AE277" s="28" t="n">
        <x:v>1</x:v>
      </x:c>
      <x:c r="AF277" s="28" t="n">
        <x:f>IF(Z277="Высокая",3,IF(Z277="Средняя",2,1))+AD277*2+MIN(AE277,3)</x:f>
        <x:v>5</x:v>
      </x:c>
    </x:row>
    <x:row r="278" ht="64" customHeight="1">
      <x:c r="A278" s="28" t="str">
        <x:v>VEG-0277</x:v>
      </x:c>
      <x:c r="B278" s="28" t="str">
        <x:v>зелёная фасоль</x:v>
      </x:c>
      <x:c r="C278" s="28" t="str">
        <x:v>Десерты и выпечка</x:v>
      </x:c>
      <x:c r="D278" s="28" t="str">
        <x:v>зелёная фасоль</x:v>
      </x:c>
      <x:c r="E278" s="28" t="str">
        <x:v>green beans</x:v>
      </x:c>
      <x:c r="F278" s="28" t="str">
        <x:v>Бобовые</x:v>
      </x:c>
      <x:c r="G278" s="28" t="str">
        <x:v>хлеб на закваске</x:v>
      </x:c>
      <x:c r="H278" s="28" t="str">
        <x:v>San Francisco sourdough</x:v>
      </x:c>
      <x:c r="I278" s="28" t="str">
        <x:v>Выпечка, крупы, сахара и десерты</x:v>
      </x:c>
      <x:c r="J278" s="28" t="str">
        <x:v>зелёный, травянистый, бобовый и слегка ореховый</x:v>
      </x:c>
      <x:c r="K278" s="28" t="str">
        <x:v>жареный, зерновой</x:v>
      </x:c>
      <x:c r="L278" s="28" t="str">
        <x:v>гексаналь, цис-3-гексенол, метоксипиразины</x:v>
      </x:c>
      <x:c r="M278" s="28" t="str">
        <x:v>3-метилбутаналь, пиразины, фураны</x:v>
      </x:c>
      <x:c r="N278" s="28" t="str">
        <x:v>прямое пересечение семейств не подтверждено</x:v>
      </x:c>
      <x:c r="O278" s="28" t="str">
        <x:v>надёжная общая ключевая молекула не установлена</x:v>
      </x:c>
      <x:c r="P278" s="28" t="str">
        <x:v>сенсорная комплементарность</x:v>
      </x:c>
      <x:c r="Q278" s="28" t="str">
        <x:v>Свежесть и водянистость требуют кислоты, соли или умами; избыток жирной матрицы может подавить зелёные ноты.</x:v>
      </x:c>
      <x:c r="R278" s="28" t="str">
        <x:v>минимальный</x:v>
      </x:c>
      <x:c r="S278" s="28" t="str">
        <x:v>водная волокнистая бобовая матрица</x:v>
      </x:c>
      <x:c r="T278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U278" s="28" t="str">
        <x:v>Зелёная фасоль имеет профиль «зелёный, травянистый, бобовый и слегка ореховый». Партнёр «хлеб на закваске»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278" s="28" t="str">
        <x:v>недоготовленная груба, переваренная водяниста; использовать пищевые сорта после достаточной тепловой обработки</x:v>
      </x:c>
      <x:c r="W278" s="28" t="str">
        <x:v>соль, кислота или ароматический жир</x:v>
      </x:c>
      <x:c r="X278" s="28" t="str">
        <x:v>салат, гарнир, суп, соус, маринад, ферментация или напиток с хлеб на закваске</x:v>
      </x:c>
      <x:c r="Y278" s="28" t="str">
        <x:v>еда, десерты, соусы/маринады</x:v>
      </x:c>
      <x:c r="Z278" s="28" t="str">
        <x:v>Высокая</x:v>
      </x:c>
      <x:c r="AA278" s="28" t="str">
        <x:v>The Art &amp; Science of Foodpairing.pdf</x:v>
      </x:c>
      <x:c r="AB278" s="28" t="str">
        <x:v>The Art &amp; Science of Foodpairing.pdf: 321</x:v>
      </x:c>
      <x:c r="AC278" s="28" t="str">
        <x:v>прямая Potential pairing, стр. 321</x:v>
      </x:c>
      <x:c r="AD278" s="28" t="n">
        <x:v>1</x:v>
      </x:c>
      <x:c r="AE278" s="28" t="n">
        <x:v>1</x:v>
      </x:c>
      <x:c r="AF278" s="28" t="n">
        <x:f>IF(Z278="Высокая",3,IF(Z278="Средняя",2,1))+AD278*2+MIN(AE278,3)</x:f>
        <x:v>6</x:v>
      </x:c>
    </x:row>
    <x:row r="279" ht="64" customHeight="1">
      <x:c r="A279" s="28" t="str">
        <x:v>VEG-0278</x:v>
      </x:c>
      <x:c r="B279" s="28" t="str">
        <x:v>кабачок</x:v>
      </x:c>
      <x:c r="C279" s="28" t="str">
        <x:v>Универсальные</x:v>
      </x:c>
      <x:c r="D279" s="28" t="str">
        <x:v>кабачок</x:v>
      </x:c>
      <x:c r="E279" s="28" t="str">
        <x:v>courgette</x:v>
      </x:c>
      <x:c r="F279" s="28" t="str">
        <x:v>Тыквенные</x:v>
      </x:c>
      <x:c r="G279" s="28" t="str">
        <x:v>арбуз</x:v>
      </x:c>
      <x:c r="H279" s="28" t="str">
        <x:v>watermelon</x:v>
      </x:c>
      <x:c r="I279" s="28" t="str">
        <x:v>Прочее</x:v>
      </x:c>
      <x:c r="J279" s="28" t="str">
        <x:v>мягкий зелёный, водянистый, ореховый после жарки</x:v>
      </x:c>
      <x:c r="K279" s="28" t="str">
        <x:v>профиль зависит от конкретного продукта</x:v>
      </x:c>
      <x:c r="L279" s="28" t="str">
        <x:v>гексаналь, цис-3-гексенол, альдегиды, пиразины</x:v>
      </x:c>
      <x:c r="M279" s="28" t="str">
        <x:v>конкретный молекулярный профиль не указан</x:v>
      </x:c>
      <x:c r="N279" s="28" t="str">
        <x:v>прямое пересечение семейств не подтверждено</x:v>
      </x:c>
      <x:c r="O279" s="28" t="str">
        <x:v>надёжная общая ключевая молекула не установлена</x:v>
      </x:c>
      <x:c r="P279" s="28" t="str">
        <x:v>сенсорная комплементарность</x:v>
      </x:c>
      <x:c r="Q279" s="28" t="str">
        <x:v>Свежесть и водянистость требуют кислоты, соли или умами; избыток жирной матрицы может подавить зелёные ноты.</x:v>
      </x:c>
      <x:c r="R279" s="28" t="str">
        <x:v>минимальный</x:v>
      </x:c>
      <x:c r="S279" s="28" t="str">
        <x:v>водная нежная матрица, легко впитывающая жир и соус</x:v>
      </x:c>
      <x:c r="T279" s="28" t="str">
        <x:v>гриль и жарка концентрируют вкус и создают ореховые ноты; соль выводит лишнюю воду. </x:v>
      </x:c>
      <x:c r="U279" s="28" t="str">
        <x:v>Кабачок имеет профиль «мягкий зелёный, водянистый, ореховый после жарки».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279" s="28" t="str">
        <x:v>переготовка даёт водянистую кашу; необычно сильная горечь является основанием продукт не использовать</x:v>
      </x:c>
      <x:c r="W279" s="28" t="str">
        <x:v>соль, кислота или ароматический жир</x:v>
      </x:c>
      <x:c r="X279" s="28" t="str">
        <x:v>салат, гарнир, суп, соус, маринад, ферментация или напиток с арбуз</x:v>
      </x:c>
      <x:c r="Y279" s="28" t="str">
        <x:v>универсальное</x:v>
      </x:c>
      <x:c r="Z279" s="28" t="str">
        <x:v>Средняя</x:v>
      </x:c>
      <x:c r="AA279" s="28" t="str">
        <x:v>The Art &amp; Science of Foodpairing.pdf</x:v>
      </x:c>
      <x:c r="AB279" s="28" t="str">
        <x:v>The Art &amp; Science of Foodpairing.pdf: 78</x:v>
      </x:c>
      <x:c r="AC279" s="28" t="str">
        <x:v>связь из pairing grid, стр. 78</x:v>
      </x:c>
      <x:c r="AD279" s="28" t="n">
        <x:v>1</x:v>
      </x:c>
      <x:c r="AE279" s="28" t="n">
        <x:v>1</x:v>
      </x:c>
      <x:c r="AF279" s="28" t="n">
        <x:f>IF(Z279="Высокая",3,IF(Z279="Средняя",2,1))+AD279*2+MIN(AE279,3)</x:f>
        <x:v>5</x:v>
      </x:c>
    </x:row>
    <x:row r="280" ht="64" customHeight="1">
      <x:c r="A280" s="28" t="str">
        <x:v>VEG-0279</x:v>
      </x:c>
      <x:c r="B280" s="28" t="str">
        <x:v>кабачок</x:v>
      </x:c>
      <x:c r="C280" s="28" t="str">
        <x:v>Десерты и выпечка</x:v>
      </x:c>
      <x:c r="D280" s="28" t="str">
        <x:v>кабачок</x:v>
      </x:c>
      <x:c r="E280" s="28" t="str">
        <x:v>courgette</x:v>
      </x:c>
      <x:c r="F280" s="28" t="str">
        <x:v>Тыквенные</x:v>
      </x:c>
      <x:c r="G280" s="28" t="str">
        <x:v>манго</x:v>
      </x:c>
      <x:c r="H280" s="28" t="str">
        <x:v>mango</x:v>
      </x:c>
      <x:c r="I280" s="28" t="str">
        <x:v>Фрукты и ягоды</x:v>
      </x:c>
      <x:c r="J280" s="28" t="str">
        <x:v>мягкий зелёный, водянистый, ореховый после жарки</x:v>
      </x:c>
      <x:c r="K280" s="28" t="str">
        <x:v>фруктовый, цветочный и свежий</x:v>
      </x:c>
      <x:c r="L280" s="28" t="str">
        <x:v>гексаналь, цис-3-гексенол, альдегиды, пиразины</x:v>
      </x:c>
      <x:c r="M280" s="28" t="str">
        <x:v>альдегиды, эфиры</x:v>
      </x:c>
      <x:c r="N280" s="28" t="str">
        <x:v>прямое пересечение семейств не подтверждено</x:v>
      </x:c>
      <x:c r="O280" s="28" t="str">
        <x:v>альдегиды</x:v>
      </x:c>
      <x:c r="P280" s="28" t="str">
        <x:v>общие характерные молекулы; кислотно-сладкий баланс</x:v>
      </x:c>
      <x:c r="Q280" s="28" t="str">
        <x:v>Свежесть и водянистость требуют кислоты, соли или умами; избыток жирной матрицы может подавить зелёные ноты.</x:v>
      </x:c>
      <x:c r="R280" s="28" t="str">
        <x:v>минимальный</x:v>
      </x:c>
      <x:c r="S280" s="28" t="str">
        <x:v>водная нежная матрица, легко впитывающая жир и соус Водная кислая фаза усиливает свежесть, но может разжижать пюре и нарушать молочную эмульсию.</x:v>
      </x:c>
      <x:c r="T280" s="28" t="str">
        <x:v>гриль и жарка концентрируют вкус и создают ореховые ноты; соль выводит лишнюю воду. </x:v>
      </x:c>
      <x:c r="U280" s="28" t="str">
        <x:v>Кабачок имеет профиль «мягкий зелёный, водянистый, ореховый после жарки». Партнёр «манго»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280" s="28" t="str">
        <x:v>переготовка даёт водянистую кашу; необычно сильная горечь является основанием продукт не использовать; избыток кислоты или воды может сделать овощной вкус тонким и разрушить сливочную эмульсию</x:v>
      </x:c>
      <x:c r="W280" s="28" t="str">
        <x:v>цитрус, мёд или мягкая трава</x:v>
      </x:c>
      <x:c r="X280" s="28" t="str">
        <x:v>салат, гарнир, суп, соус, маринад, ферментация или напиток с манго</x:v>
      </x:c>
      <x:c r="Y280" s="28" t="str">
        <x:v>десерты</x:v>
      </x:c>
      <x:c r="Z280" s="28" t="str">
        <x:v>Средняя</x:v>
      </x:c>
      <x:c r="AA280" s="28" t="str">
        <x:v>The Art &amp; Science of Foodpairing.pdf</x:v>
      </x:c>
      <x:c r="AB280" s="28" t="str">
        <x:v>The Art &amp; Science of Foodpairing.pdf: 312</x:v>
      </x:c>
      <x:c r="AC280" s="28" t="str">
        <x:v>связь из pairing grid, стр. 312</x:v>
      </x:c>
      <x:c r="AD280" s="28" t="n">
        <x:v>1</x:v>
      </x:c>
      <x:c r="AE280" s="28" t="n">
        <x:v>1</x:v>
      </x:c>
      <x:c r="AF280" s="28" t="n">
        <x:f>IF(Z280="Высокая",3,IF(Z280="Средняя",2,1))+AD280*2+MIN(AE280,3)</x:f>
        <x:v>5</x:v>
      </x:c>
    </x:row>
    <x:row r="281" ht="64" customHeight="1">
      <x:c r="A281" s="28" t="str">
        <x:v>VEG-0280</x:v>
      </x:c>
      <x:c r="B281" s="28" t="str">
        <x:v>кабачок</x:v>
      </x:c>
      <x:c r="C281" s="28" t="str">
        <x:v>Десерты и выпечка</x:v>
      </x:c>
      <x:c r="D281" s="28" t="str">
        <x:v>кабачок</x:v>
      </x:c>
      <x:c r="E281" s="28" t="str">
        <x:v>courgette</x:v>
      </x:c>
      <x:c r="F281" s="28" t="str">
        <x:v>Тыквенные</x:v>
      </x:c>
      <x:c r="G281" s="28" t="str">
        <x:v>фундук</x:v>
      </x:c>
      <x:c r="H281" s="28" t="str">
        <x:v>hazelnut</x:v>
      </x:c>
      <x:c r="I281" s="28" t="str">
        <x:v>Орехи и семена</x:v>
      </x:c>
      <x:c r="J281" s="28" t="str">
        <x:v>мягкий зелёный, водянистый, ореховый после жарки</x:v>
      </x:c>
      <x:c r="K281" s="28" t="str">
        <x:v>жареный, какаовый, ореховый</x:v>
      </x:c>
      <x:c r="L281" s="28" t="str">
        <x:v>гексаналь, цис-3-гексенол, альдегиды, пиразины</x:v>
      </x:c>
      <x:c r="M281" s="28" t="str">
        <x:v>пиразины, фильбертон</x:v>
      </x:c>
      <x:c r="N281" s="28" t="str">
        <x:v>жареный</x:v>
      </x:c>
      <x:c r="O281" s="28" t="str">
        <x:v>пиразины</x:v>
      </x:c>
      <x:c r="P281" s="28" t="str">
        <x:v>общие характерные молекулы; пересечение ароматических семейств</x:v>
      </x:c>
      <x:c r="Q281" s="28" t="str">
        <x:v>Свежесть и водянистость требуют кислоты, соли или умами; избыток жирной матрицы может подавить зелёные ноты.</x:v>
      </x:c>
      <x:c r="R281" s="28" t="str">
        <x:v>минимальный</x:v>
      </x:c>
      <x:c r="S281" s="28" t="str">
        <x:v>водная нежная матрица, легко впитывающая жир и соус</x:v>
      </x:c>
      <x:c r="T281" s="28" t="str">
        <x:v>гриль и жарка концентрируют вкус и создают ореховые ноты; соль выводит лишнюю воду. </x:v>
      </x:c>
      <x:c r="U281" s="28" t="str">
        <x:v>Кабачок имеет профиль «мягкий зелёный, водянистый, ореховый после жарки».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281" s="28" t="str">
        <x:v>переготовка даёт водянистую кашу; необычно сильная горечь является основанием продукт не использовать</x:v>
      </x:c>
      <x:c r="W281" s="28" t="str">
        <x:v>соль, кислота или ароматический жир</x:v>
      </x:c>
      <x:c r="X281" s="28" t="str">
        <x:v>салат, гарнир, суп, соус, маринад, ферментация или напиток с фундук</x:v>
      </x:c>
      <x:c r="Y281" s="28" t="str">
        <x:v>десерты</x:v>
      </x:c>
      <x:c r="Z281" s="28" t="str">
        <x:v>Высокая</x:v>
      </x:c>
      <x:c r="AA281" s="28" t="str">
        <x:v>The Art &amp; Science of Foodpairing.pdf</x:v>
      </x:c>
      <x:c r="AB281" s="28" t="str">
        <x:v>The Art &amp; Science of Foodpairing.pdf: 332</x:v>
      </x:c>
      <x:c r="AC281" s="28" t="str">
        <x:v>прямая Potential pairing, стр. 332</x:v>
      </x:c>
      <x:c r="AD281" s="28" t="n">
        <x:v>1</x:v>
      </x:c>
      <x:c r="AE281" s="28" t="n">
        <x:v>1</x:v>
      </x:c>
      <x:c r="AF281" s="28" t="n">
        <x:f>IF(Z281="Высокая",3,IF(Z281="Средняя",2,1))+AD281*2+MIN(AE281,3)</x:f>
        <x:v>6</x:v>
      </x:c>
    </x:row>
    <x:row r="282" ht="64" customHeight="1">
      <x:c r="A282" s="28" t="str">
        <x:v>VEG-0281</x:v>
      </x:c>
      <x:c r="B282" s="28" t="str">
        <x:v>кабачок</x:v>
      </x:c>
      <x:c r="C282" s="28" t="str">
        <x:v>Десерты и выпечка</x:v>
      </x:c>
      <x:c r="D282" s="28" t="str">
        <x:v>кабачок</x:v>
      </x:c>
      <x:c r="E282" s="28" t="str">
        <x:v>courgette</x:v>
      </x:c>
      <x:c r="F282" s="28" t="str">
        <x:v>Тыквенные</x:v>
      </x:c>
      <x:c r="G282" s="28" t="str">
        <x:v>шоколад</x:v>
      </x:c>
      <x:c r="H282" s="28" t="str">
        <x:v>chocolate</x:v>
      </x:c>
      <x:c r="I282" s="28" t="str">
        <x:v>Какао и шоколад</x:v>
      </x:c>
      <x:c r="J282" s="28" t="str">
        <x:v>мягкий зелёный, водянистый, ореховый после жарки</x:v>
      </x:c>
      <x:c r="K282" s="28" t="str">
        <x:v>жареный, какаовый, карамельный</x:v>
      </x:c>
      <x:c r="L282" s="28" t="str">
        <x:v>гексаналь, цис-3-гексенол, альдегиды, пиразины</x:v>
      </x:c>
      <x:c r="M282" s="28" t="str">
        <x:v>пиразины, фураны</x:v>
      </x:c>
      <x:c r="N282" s="28" t="str">
        <x:v>жареный</x:v>
      </x:c>
      <x:c r="O282" s="28" t="str">
        <x:v>пиразины</x:v>
      </x:c>
      <x:c r="P282" s="28" t="str">
        <x:v>общие характерные молекулы; пересечение ароматических семейств</x:v>
      </x:c>
      <x:c r="Q282" s="28" t="str">
        <x:v>Свежесть и водянистость требуют кислоты, соли или умами; избыток жирной матрицы может подавить зелёные ноты.</x:v>
      </x:c>
      <x:c r="R282" s="28" t="str">
        <x:v>минимальный</x:v>
      </x:c>
      <x:c r="S282" s="28" t="str">
        <x:v>водная нежная матрица, легко впитывающая жир и соус</x:v>
      </x:c>
      <x:c r="T282" s="28" t="str">
        <x:v>гриль и жарка концентрируют вкус и создают ореховые ноты; соль выводит лишнюю воду. </x:v>
      </x:c>
      <x:c r="U282" s="28" t="str">
        <x:v>Кабачок имеет профиль «мягкий зелёный, водянистый, ореховый после жарки».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282" s="28" t="str">
        <x:v>переготовка даёт водянистую кашу; необычно сильная горечь является основанием продукт не использовать; жареная горечь легко маскирует нежный овощной аромат</x:v>
      </x:c>
      <x:c r="W282" s="28" t="str">
        <x:v>сливки, орех или карамель</x:v>
      </x:c>
      <x:c r="X282" s="28" t="str">
        <x:v>салат, гарнир, суп, соус, маринад, ферментация или напиток с шоколад</x:v>
      </x:c>
      <x:c r="Y282" s="28" t="str">
        <x:v>десерты</x:v>
      </x:c>
      <x:c r="Z282" s="28" t="str">
        <x:v>Средняя</x:v>
      </x:c>
      <x:c r="AA282" s="28" t="str">
        <x:v>The Art &amp; Science of Foodpairing.pdf</x:v>
      </x:c>
      <x:c r="AB282" s="28" t="str">
        <x:v>The Art &amp; Science of Foodpairing.pdf: 62</x:v>
      </x:c>
      <x:c r="AC282" s="28" t="str">
        <x:v>связь из pairing grid, стр. 62</x:v>
      </x:c>
      <x:c r="AD282" s="28" t="n">
        <x:v>1</x:v>
      </x:c>
      <x:c r="AE282" s="28" t="n">
        <x:v>1</x:v>
      </x:c>
      <x:c r="AF282" s="28" t="n">
        <x:f>IF(Z282="Высокая",3,IF(Z282="Средняя",2,1))+AD282*2+MIN(AE282,3)</x:f>
        <x:v>5</x:v>
      </x:c>
    </x:row>
    <x:row r="283" ht="64" customHeight="1">
      <x:c r="A283" s="28" t="str">
        <x:v>VEG-0282</x:v>
      </x:c>
      <x:c r="B283" s="28" t="str">
        <x:v>капуста</x:v>
      </x:c>
      <x:c r="C283" s="28" t="str">
        <x:v>Универсальные</x:v>
      </x:c>
      <x:c r="D283" s="28" t="str">
        <x:v>капуста</x:v>
      </x:c>
      <x:c r="E283" s="28" t="str">
        <x:v>green cabbage | kale</x:v>
      </x:c>
      <x:c r="F283" s="28" t="str">
        <x:v>Крестоцветные</x:v>
      </x:c>
      <x:c r="G283" s="28" t="str">
        <x:v>арбуз</x:v>
      </x:c>
      <x:c r="H283" s="28" t="str">
        <x:v>watermelon</x:v>
      </x:c>
      <x:c r="I283" s="28" t="str">
        <x:v>Прочее</x:v>
      </x:c>
      <x:c r="J283" s="28" t="str">
        <x:v>зелёный, горчичный, сернистый и сладковатый после приготовления</x:v>
      </x:c>
      <x:c r="K283" s="28" t="str">
        <x:v>профиль зависит от конкретного продукта</x:v>
      </x:c>
      <x:c r="L283" s="28" t="str">
        <x:v>изотиоцианаты, диметилсульфид, метантиол, глюкозинолаты</x:v>
      </x:c>
      <x:c r="M283" s="28" t="str">
        <x:v>конкретный молекулярный профиль не указан</x:v>
      </x:c>
      <x:c r="N283" s="28" t="str">
        <x:v>прямое пересечение семейств не подтверждено</x:v>
      </x:c>
      <x:c r="O283" s="28" t="str">
        <x:v>надёжная общая ключевая молекула не установлена</x:v>
      </x:c>
      <x:c r="P283" s="28" t="str">
        <x:v>сернистая или горчичная комплементарность</x:v>
      </x:c>
      <x:c r="Q28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83" s="28" t="str">
        <x:v>горчичное покалывание у сырой капусты</x:v>
      </x:c>
      <x:c r="S283" s="28" t="str">
        <x:v>водная волокнистая матрица; антоцианы у красной капусты влияют на цвет</x:v>
      </x:c>
      <x:c r="T28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83" s="28" t="str">
        <x:v>Капуста имеет профиль «зелёный, горчичный, сернистый и сладковатый после приготовления».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83" s="28" t="str">
        <x:v>не переваривать; красная капуста меняет цвет с pH; сернистые ноты могут конфликтовать с тонкими цветами</x:v>
      </x:c>
      <x:c r="W283" s="28" t="str">
        <x:v>соль, кислота или ароматический жир</x:v>
      </x:c>
      <x:c r="X283" s="28" t="str">
        <x:v>горячее блюдо, бульон, соус, пюре, ферментация или гарнир с арбуз</x:v>
      </x:c>
      <x:c r="Y283" s="28" t="str">
        <x:v>еда, соусы/маринады</x:v>
      </x:c>
      <x:c r="Z283" s="28" t="str">
        <x:v>Средняя</x:v>
      </x:c>
      <x:c r="AA283" s="28" t="str">
        <x:v>The Art &amp; Science of Foodpairing.pdf</x:v>
      </x:c>
      <x:c r="AB283" s="28" t="str">
        <x:v>The Art &amp; Science of Foodpairing.pdf: 78</x:v>
      </x:c>
      <x:c r="AC283" s="28" t="str">
        <x:v>связь из pairing grid, стр. 78; связь из pairing grid, стр. 78</x:v>
      </x:c>
      <x:c r="AD283" s="28" t="n">
        <x:v>1</x:v>
      </x:c>
      <x:c r="AE283" s="28" t="n">
        <x:v>2</x:v>
      </x:c>
      <x:c r="AF283" s="28" t="n">
        <x:f>IF(Z283="Высокая",3,IF(Z283="Средняя",2,1))+AD283*2+MIN(AE283,3)</x:f>
        <x:v>6</x:v>
      </x:c>
    </x:row>
    <x:row r="284" ht="64" customHeight="1">
      <x:c r="A284" s="28" t="str">
        <x:v>VEG-0283</x:v>
      </x:c>
      <x:c r="B284" s="28" t="str">
        <x:v>капуста</x:v>
      </x:c>
      <x:c r="C284" s="28" t="str">
        <x:v>Еда и соусы</x:v>
      </x:c>
      <x:c r="D284" s="28" t="str">
        <x:v>капуста</x:v>
      </x:c>
      <x:c r="E284" s="28" t="str">
        <x:v>Капуста | капуста</x:v>
      </x:c>
      <x:c r="F284" s="28" t="str">
        <x:v>Крестоцветные</x:v>
      </x:c>
      <x:c r="G284" s="28" t="str">
        <x:v>баранина</x:v>
      </x:c>
      <x:c r="H284" s="28" t="str">
        <x:v>Баранина | баранина</x:v>
      </x:c>
      <x:c r="I284" s="28" t="str">
        <x:v>Мясо и птица</x:v>
      </x:c>
      <x:c r="J284" s="28" t="str">
        <x:v>зелёный, горчичный, сернистый и сладковатый после приготовления</x:v>
      </x:c>
      <x:c r="K284" s="28" t="str">
        <x:v>жареный, мясной и умами</x:v>
      </x:c>
      <x:c r="L284" s="28" t="str">
        <x:v>изотиоцианаты, диметилсульфид, метантиол, глюкозинолаты</x:v>
      </x:c>
      <x:c r="M284" s="28" t="str">
        <x:v>пиразины, сернистые соединения</x:v>
      </x:c>
      <x:c r="N284" s="28" t="str">
        <x:v>прямое пересечение семейств не подтверждено</x:v>
      </x:c>
      <x:c r="O284" s="28" t="str">
        <x:v>надёжная общая ключевая молекула не установлена</x:v>
      </x:c>
      <x:c r="P284" s="28" t="str">
        <x:v>умами и солёный контраст; сернистая или горчичная комплементарность</x:v>
      </x:c>
      <x:c r="Q28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84" s="28" t="str">
        <x:v>горчичное покалывание у сырой капусты</x:v>
      </x:c>
      <x:c r="S284" s="28" t="str">
        <x:v>водная волокнистая матрица; антоцианы у красной капусты влияют на цвет Белок и жир требуют контроля воды: для жареной ароматики поверхность должна подсохнуть.</x:v>
      </x:c>
      <x:c r="T28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84" s="28" t="str">
        <x:v>Капуста имеет профиль «зелёный, горчичный, сернистый и сладковатый после приготовления».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84" s="28" t="str">
        <x:v>не переваривать; красная капуста меняет цвет с pH; сернистые ноты могут конфликтовать с тонкими цветами</x:v>
      </x:c>
      <x:c r="W284" s="28" t="str">
        <x:v>сливочное масло, соевый соус или тимьян</x:v>
      </x:c>
      <x:c r="X284" s="28" t="str">
        <x:v>горячее блюдо, бульон, соус, пюре, ферментация или гарнир с баранина</x:v>
      </x:c>
      <x:c r="Y284" s="28" t="str">
        <x:v>еда, соусы/маринады</x:v>
      </x:c>
      <x:c r="Z284" s="28" t="str">
        <x:v>Средняя</x:v>
      </x:c>
      <x:c r="AA284" s="28" t="str">
        <x:v>Тезариус вкусов (Ники Сегнит)(1).pdf</x:v>
      </x:c>
      <x:c r="AB284" s="28" t="str">
        <x:v>Тезариус вкусов (Ники Сегнит)(1).pdf: 129, 309</x:v>
      </x:c>
      <x:c r="AC284" s="28" t="str">
        <x:v>развёрнутая пара/статья, стр. 129; развёрнутая пара/статья, стр. 309</x:v>
      </x:c>
      <x:c r="AD284" s="28" t="n">
        <x:v>1</x:v>
      </x:c>
      <x:c r="AE284" s="28" t="n">
        <x:v>2</x:v>
      </x:c>
      <x:c r="AF284" s="28" t="n">
        <x:f>IF(Z284="Высокая",3,IF(Z284="Средняя",2,1))+AD284*2+MIN(AE284,3)</x:f>
        <x:v>6</x:v>
      </x:c>
    </x:row>
    <x:row r="285" ht="64" customHeight="1">
      <x:c r="A285" s="28" t="str">
        <x:v>VEG-0284</x:v>
      </x:c>
      <x:c r="B285" s="28" t="str">
        <x:v>капуста</x:v>
      </x:c>
      <x:c r="C285" s="28" t="str">
        <x:v>Еда и соусы</x:v>
      </x:c>
      <x:c r="D285" s="28" t="str">
        <x:v>капуста</x:v>
      </x:c>
      <x:c r="E285" s="28" t="str">
        <x:v>Капуста | капуста</x:v>
      </x:c>
      <x:c r="F285" s="28" t="str">
        <x:v>Крестоцветные</x:v>
      </x:c>
      <x:c r="G285" s="28" t="str">
        <x:v>бекон</x:v>
      </x:c>
      <x:c r="H285" s="28" t="str">
        <x:v>Бекон | бекон</x:v>
      </x:c>
      <x:c r="I285" s="28" t="str">
        <x:v>Мясо и птица</x:v>
      </x:c>
      <x:c r="J285" s="28" t="str">
        <x:v>зелёный, горчичный, сернистый и сладковатый после приготовления</x:v>
      </x:c>
      <x:c r="K285" s="28" t="str">
        <x:v>дымный, жареный, умами</x:v>
      </x:c>
      <x:c r="L285" s="28" t="str">
        <x:v>изотиоцианаты, диметилсульфид, метантиол, глюкозинолаты</x:v>
      </x:c>
      <x:c r="M285" s="28" t="str">
        <x:v>пиразины, фенолы</x:v>
      </x:c>
      <x:c r="N285" s="28" t="str">
        <x:v>прямое пересечение семейств не подтверждено</x:v>
      </x:c>
      <x:c r="O285" s="28" t="str">
        <x:v>надёжная общая ключевая молекула не установлена</x:v>
      </x:c>
      <x:c r="P285" s="28" t="str">
        <x:v>умами и солёный контраст; сернистая или горчичная комплементарность</x:v>
      </x:c>
      <x:c r="Q28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85" s="28" t="str">
        <x:v>горчичное покалывание у сырой капусты</x:v>
      </x:c>
      <x:c r="S285" s="28" t="str">
        <x:v>водная волокнистая матрица; антоцианы у красной капусты влияют на цвет Белок и жир требуют контроля воды: для жареной ароматики поверхность должна подсохнуть.</x:v>
      </x:c>
      <x:c r="T28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85" s="28" t="str">
        <x:v>Капуста имеет профиль «зелёный, горчичный, сернистый и сладковатый после приготовления».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85" s="28" t="str">
        <x:v>не переваривать; красная капуста меняет цвет с pH; сернистые ноты могут конфликтовать с тонкими цветами</x:v>
      </x:c>
      <x:c r="W285" s="28" t="str">
        <x:v>сливочное масло, соевый соус или тимьян</x:v>
      </x:c>
      <x:c r="X285" s="28" t="str">
        <x:v>горячее блюдо, бульон, соус, пюре, ферментация или гарнир с бекон</x:v>
      </x:c>
      <x:c r="Y285" s="28" t="str">
        <x:v>еда, соусы/маринады</x:v>
      </x:c>
      <x:c r="Z285" s="28" t="str">
        <x:v>Средняя</x:v>
      </x:c>
      <x:c r="AA285" s="28" t="str">
        <x:v>Тезариус вкусов (Ники Сегнит)(1).pdf</x:v>
      </x:c>
      <x:c r="AB285" s="28" t="str">
        <x:v>Тезариус вкусов (Ники Сегнит)(1).pdf: 309, 445</x:v>
      </x:c>
      <x:c r="AC285" s="28" t="str">
        <x:v>развёрнутая пара/статья, стр. 309; развёрнутая пара/статья, стр. 445</x:v>
      </x:c>
      <x:c r="AD285" s="28" t="n">
        <x:v>1</x:v>
      </x:c>
      <x:c r="AE285" s="28" t="n">
        <x:v>2</x:v>
      </x:c>
      <x:c r="AF285" s="28" t="n">
        <x:f>IF(Z285="Высокая",3,IF(Z285="Средняя",2,1))+AD285*2+MIN(AE285,3)</x:f>
        <x:v>6</x:v>
      </x:c>
    </x:row>
    <x:row r="286" ht="64" customHeight="1">
      <x:c r="A286" s="28" t="str">
        <x:v>VEG-0285</x:v>
      </x:c>
      <x:c r="B286" s="28" t="str">
        <x:v>капуста</x:v>
      </x:c>
      <x:c r="C286" s="28" t="str">
        <x:v>Универсальные</x:v>
      </x:c>
      <x:c r="D286" s="28" t="str">
        <x:v>капуста</x:v>
      </x:c>
      <x:c r="E286" s="28" t="str">
        <x:v>red cabbage</x:v>
      </x:c>
      <x:c r="F286" s="28" t="str">
        <x:v>Крестоцветные</x:v>
      </x:c>
      <x:c r="G286" s="28" t="str">
        <x:v>бри и камамбер</x:v>
      </x:c>
      <x:c r="H286" s="28" t="str">
        <x:v>Brie and Camembert</x:v>
      </x:c>
      <x:c r="I286" s="28" t="str">
        <x:v>Прочее</x:v>
      </x:c>
      <x:c r="J286" s="28" t="str">
        <x:v>зелёный, горчичный, сернистый и сладковатый после приготовления</x:v>
      </x:c>
      <x:c r="K286" s="28" t="str">
        <x:v>профиль зависит от конкретного продукта</x:v>
      </x:c>
      <x:c r="L286" s="28" t="str">
        <x:v>изотиоцианаты, диметилсульфид, метантиол, глюкозинолаты</x:v>
      </x:c>
      <x:c r="M286" s="28" t="str">
        <x:v>конкретный молекулярный профиль не указан</x:v>
      </x:c>
      <x:c r="N286" s="28" t="str">
        <x:v>прямое пересечение семейств не подтверждено</x:v>
      </x:c>
      <x:c r="O286" s="28" t="str">
        <x:v>надёжная общая ключевая молекула не установлена</x:v>
      </x:c>
      <x:c r="P286" s="28" t="str">
        <x:v>сернистая или горчичная комплементарность</x:v>
      </x:c>
      <x:c r="Q28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86" s="28" t="str">
        <x:v>горчичное покалывание у сырой капусты</x:v>
      </x:c>
      <x:c r="S286" s="28" t="str">
        <x:v>водная волокнистая матрица; антоцианы у красной капусты влияют на цвет</x:v>
      </x:c>
      <x:c r="T28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86" s="28" t="str">
        <x:v>Капуста имеет профиль «зелёный, горчичный, сернистый и сладковатый после приготовления». Партнёр «бри и камамбер»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86" s="28" t="str">
        <x:v>не переваривать; красная капуста меняет цвет с pH; сернистые ноты могут конфликтовать с тонкими цветами</x:v>
      </x:c>
      <x:c r="W286" s="28" t="str">
        <x:v>соль, кислота или ароматический жир</x:v>
      </x:c>
      <x:c r="X286" s="28" t="str">
        <x:v>горячее блюдо, бульон, соус, пюре, ферментация или гарнир с бри и камамбер</x:v>
      </x:c>
      <x:c r="Y286" s="28" t="str">
        <x:v>еда, соусы/маринады</x:v>
      </x:c>
      <x:c r="Z286" s="28" t="str">
        <x:v>Средняя</x:v>
      </x:c>
      <x:c r="AA286" s="28" t="str">
        <x:v>The Art &amp; Science of Foodpairing.pdf</x:v>
      </x:c>
      <x:c r="AB286" s="28" t="str">
        <x:v>The Art &amp; Science of Foodpairing.pdf: 336</x:v>
      </x:c>
      <x:c r="AC286" s="28" t="str">
        <x:v>связь из pairing grid, стр. 336</x:v>
      </x:c>
      <x:c r="AD286" s="28" t="n">
        <x:v>1</x:v>
      </x:c>
      <x:c r="AE286" s="28" t="n">
        <x:v>1</x:v>
      </x:c>
      <x:c r="AF286" s="28" t="n">
        <x:f>IF(Z286="Высокая",3,IF(Z286="Средняя",2,1))+AD286*2+MIN(AE286,3)</x:f>
        <x:v>5</x:v>
      </x:c>
    </x:row>
    <x:row r="287" ht="64" customHeight="1">
      <x:c r="A287" s="28" t="str">
        <x:v>VEG-0286</x:v>
      </x:c>
      <x:c r="B287" s="28" t="str">
        <x:v>капуста</x:v>
      </x:c>
      <x:c r="C287" s="28" t="str">
        <x:v>Еда и соусы</x:v>
      </x:c>
      <x:c r="D287" s="28" t="str">
        <x:v>капуста</x:v>
      </x:c>
      <x:c r="E287" s="28" t="str">
        <x:v>Капуста | капуста</x:v>
      </x:c>
      <x:c r="F287" s="28" t="str">
        <x:v>Крестоцветные</x:v>
      </x:c>
      <x:c r="G287" s="28" t="str">
        <x:v>говядина</x:v>
      </x:c>
      <x:c r="H287" s="28" t="str">
        <x:v>Говядина | говядина</x:v>
      </x:c>
      <x:c r="I287" s="28" t="str">
        <x:v>Мясо и птица</x:v>
      </x:c>
      <x:c r="J287" s="28" t="str">
        <x:v>зелёный, горчичный, сернистый и сладковатый после приготовления</x:v>
      </x:c>
      <x:c r="K287" s="28" t="str">
        <x:v>жареный, мясной и умами</x:v>
      </x:c>
      <x:c r="L287" s="28" t="str">
        <x:v>изотиоцианаты, диметилсульфид, метантиол, глюкозинолаты</x:v>
      </x:c>
      <x:c r="M287" s="28" t="str">
        <x:v>пиразины, сернистые соединения</x:v>
      </x:c>
      <x:c r="N287" s="28" t="str">
        <x:v>прямое пересечение семейств не подтверждено</x:v>
      </x:c>
      <x:c r="O287" s="28" t="str">
        <x:v>надёжная общая ключевая молекула не установлена</x:v>
      </x:c>
      <x:c r="P287" s="28" t="str">
        <x:v>умами и солёный контраст; сернистая или горчичная комплементарность</x:v>
      </x:c>
      <x:c r="Q28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87" s="28" t="str">
        <x:v>горчичное покалывание у сырой капусты</x:v>
      </x:c>
      <x:c r="S287" s="28" t="str">
        <x:v>водная волокнистая матрица; антоцианы у красной капусты влияют на цвет Белок и жир требуют контроля воды: для жареной ароматики поверхность должна подсохнуть.</x:v>
      </x:c>
      <x:c r="T28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87" s="28" t="str">
        <x:v>Капуста имеет профиль «зелёный, горчичный, сернистый и сладковатый после приготовления».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87" s="28" t="str">
        <x:v>не переваривать; красная капуста меняет цвет с pH; сернистые ноты могут конфликтовать с тонкими цветами</x:v>
      </x:c>
      <x:c r="W287" s="28" t="str">
        <x:v>сливочное масло, соевый соус или тимьян</x:v>
      </x:c>
      <x:c r="X287" s="28" t="str">
        <x:v>горячее блюдо, бульон, соус, пюре, ферментация или гарнир с говядина</x:v>
      </x:c>
      <x:c r="Y287" s="28" t="str">
        <x:v>еда, соусы/маринады</x:v>
      </x:c>
      <x:c r="Z287" s="28" t="str">
        <x:v>Средняя</x:v>
      </x:c>
      <x:c r="AA287" s="28" t="str">
        <x:v>Тезариус вкусов (Ники Сегнит)(1).pdf</x:v>
      </x:c>
      <x:c r="AB287" s="28" t="str">
        <x:v>Тезариус вкусов (Ники Сегнит)(1).pdf: 111, 311</x:v>
      </x:c>
      <x:c r="AC287" s="28" t="str">
        <x:v>развёрнутая пара/статья, стр. 111; развёрнутая пара/статья, стр. 311</x:v>
      </x:c>
      <x:c r="AD287" s="28" t="n">
        <x:v>1</x:v>
      </x:c>
      <x:c r="AE287" s="28" t="n">
        <x:v>2</x:v>
      </x:c>
      <x:c r="AF287" s="28" t="n">
        <x:f>IF(Z287="Высокая",3,IF(Z287="Средняя",2,1))+AD287*2+MIN(AE287,3)</x:f>
        <x:v>6</x:v>
      </x:c>
    </x:row>
    <x:row r="288" ht="64" customHeight="1">
      <x:c r="A288" s="28" t="str">
        <x:v>VEG-0287</x:v>
      </x:c>
      <x:c r="B288" s="28" t="str">
        <x:v>капуста</x:v>
      </x:c>
      <x:c r="C288" s="28" t="str">
        <x:v>Десерты и выпечка</x:v>
      </x:c>
      <x:c r="D288" s="28" t="str">
        <x:v>капуста</x:v>
      </x:c>
      <x:c r="E288" s="28" t="str">
        <x:v>green cabbage | Капуста | капуста</x:v>
      </x:c>
      <x:c r="F288" s="28" t="str">
        <x:v>Крестоцветные</x:v>
      </x:c>
      <x:c r="G288" s="28" t="str">
        <x:v>голубой сыр</x:v>
      </x:c>
      <x:c r="H288" s="28" t="str">
        <x:v>blue cheese | Голубой сыр | голубой сыр</x:v>
      </x:c>
      <x:c r="I288" s="28" t="str">
        <x:v>Молочные продукты и сыры</x:v>
      </x:c>
      <x:c r="J288" s="28" t="str">
        <x:v>зелёный, горчичный, сернистый и сладковатый после приготовления</x:v>
      </x:c>
      <x:c r="K288" s="28" t="str">
        <x:v>молочный, умами, ферментированный</x:v>
      </x:c>
      <x:c r="L288" s="28" t="str">
        <x:v>изотиоцианаты, диметилсульфид, метантиол, глюкозинолаты</x:v>
      </x:c>
      <x:c r="M288" s="28" t="str">
        <x:v>диацетил, жирные кислоты</x:v>
      </x:c>
      <x:c r="N288" s="28" t="str">
        <x:v>прямое пересечение семейств не подтверждено</x:v>
      </x:c>
      <x:c r="O288" s="28" t="str">
        <x:v>надёжная общая ключевая молекула не установлена</x:v>
      </x:c>
      <x:c r="P288" s="28" t="str">
        <x:v>жировая матрица; сернистая или горчичная комплементарность</x:v>
      </x:c>
      <x:c r="Q28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88" s="28" t="str">
        <x:v>горчичное покалывание у сырой капусты</x:v>
      </x:c>
      <x:c r="S288" s="28" t="str">
        <x:v>водная волокнистая матрица; антоцианы у красной капусты влияют на цвет Жировая фаза удерживает гидрофобные молекулы, но может сделать вкус тяжёлым.</x:v>
      </x:c>
      <x:c r="T28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88" s="28" t="str">
        <x:v>Капуста имеет профиль «зелёный, горчичный, сернистый и сладковатый после приготовления».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88" s="28" t="str">
        <x:v>не переваривать; красная капуста меняет цвет с pH; сернистые ноты могут конфликтовать с тонкими цветами; жир способен приглушить свежую зелёную ароматику</x:v>
      </x:c>
      <x:c r="W288" s="28" t="str">
        <x:v>кислота, зелень или жареный орех</x:v>
      </x:c>
      <x:c r="X288" s="28" t="str">
        <x:v>горячее блюдо, бульон, соус, пюре, ферментация или гарнир с голубой сыр</x:v>
      </x:c>
      <x:c r="Y288" s="28" t="str">
        <x:v>еда, десерты, соусы/маринады</x:v>
      </x:c>
      <x:c r="Z288" s="28" t="str">
        <x:v>Высокая</x:v>
      </x:c>
      <x:c r="AA288" s="28" t="str">
        <x:v>The Art &amp; Science of Foodpairing.pdf | Тезариус вкусов (Ники Сегнит)(1).pdf</x:v>
      </x:c>
      <x:c r="AB288" s="28" t="str">
        <x:v>Тезариус вкусов (Ники Сегнит)(1).pdf: 159, 311; The Art &amp; Science of Foodpairing.pdf: 164</x:v>
      </x:c>
      <x:c r="AC288" s="28" t="str">
        <x:v>развёрнутая пара/статья, стр. 159; развёрнутая пара/статья, стр. 311; связь из pairing grid, стр. 164</x:v>
      </x:c>
      <x:c r="AD288" s="28" t="n">
        <x:v>2</x:v>
      </x:c>
      <x:c r="AE288" s="28" t="n">
        <x:v>3</x:v>
      </x:c>
      <x:c r="AF288" s="28" t="n">
        <x:f>IF(Z288="Высокая",3,IF(Z288="Средняя",2,1))+AD288*2+MIN(AE288,3)</x:f>
        <x:v>10</x:v>
      </x:c>
    </x:row>
    <x:row r="289" ht="64" customHeight="1">
      <x:c r="A289" s="28" t="str">
        <x:v>VEG-0288</x:v>
      </x:c>
      <x:c r="B289" s="28" t="str">
        <x:v>капуста</x:v>
      </x:c>
      <x:c r="C289" s="28" t="str">
        <x:v>Универсальные</x:v>
      </x:c>
      <x:c r="D289" s="28" t="str">
        <x:v>капуста</x:v>
      </x:c>
      <x:c r="E289" s="28" t="str">
        <x:v>green cabbage</x:v>
      </x:c>
      <x:c r="F289" s="28" t="str">
        <x:v>Крестоцветные</x:v>
      </x:c>
      <x:c r="G289" s="28" t="str">
        <x:v>доенджан и кочуджан</x:v>
      </x:c>
      <x:c r="H289" s="28" t="str">
        <x:v>doenjang and gochujang</x:v>
      </x:c>
      <x:c r="I289" s="28" t="str">
        <x:v>Прочее</x:v>
      </x:c>
      <x:c r="J289" s="28" t="str">
        <x:v>зелёный, горчичный, сернистый и сладковатый после приготовления</x:v>
      </x:c>
      <x:c r="K289" s="28" t="str">
        <x:v>профиль зависит от конкретного продукта</x:v>
      </x:c>
      <x:c r="L289" s="28" t="str">
        <x:v>изотиоцианаты, диметилсульфид, метантиол, глюкозинолаты</x:v>
      </x:c>
      <x:c r="M289" s="28" t="str">
        <x:v>конкретный молекулярный профиль не указан</x:v>
      </x:c>
      <x:c r="N289" s="28" t="str">
        <x:v>прямое пересечение семейств не подтверждено</x:v>
      </x:c>
      <x:c r="O289" s="28" t="str">
        <x:v>надёжная общая ключевая молекула не установлена</x:v>
      </x:c>
      <x:c r="P289" s="28" t="str">
        <x:v>сернистая или горчичная комплементарность</x:v>
      </x:c>
      <x:c r="Q28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89" s="28" t="str">
        <x:v>горчичное покалывание у сырой капусты</x:v>
      </x:c>
      <x:c r="S289" s="28" t="str">
        <x:v>водная волокнистая матрица; антоцианы у красной капусты влияют на цвет</x:v>
      </x:c>
      <x:c r="T28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89" s="28" t="str">
        <x:v>Капуста имеет профиль «зелёный, горчичный, сернистый и сладковатый после приготовления». Партнёр «доенджан и кочуджан»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89" s="28" t="str">
        <x:v>не переваривать; красная капуста меняет цвет с pH; сернистые ноты могут конфликтовать с тонкими цветами</x:v>
      </x:c>
      <x:c r="W289" s="28" t="str">
        <x:v>соль, кислота или ароматический жир</x:v>
      </x:c>
      <x:c r="X289" s="28" t="str">
        <x:v>горячее блюдо, бульон, соус, пюре, ферментация или гарнир с доенджан и кочуджан</x:v>
      </x:c>
      <x:c r="Y289" s="28" t="str">
        <x:v>еда, соусы/маринады</x:v>
      </x:c>
      <x:c r="Z289" s="28" t="str">
        <x:v>Средняя</x:v>
      </x:c>
      <x:c r="AA289" s="28" t="str">
        <x:v>The Art &amp; Science of Foodpairing.pdf</x:v>
      </x:c>
      <x:c r="AB289" s="28" t="str">
        <x:v>The Art &amp; Science of Foodpairing.pdf: 246</x:v>
      </x:c>
      <x:c r="AC289" s="28" t="str">
        <x:v>связь из pairing grid, стр. 246</x:v>
      </x:c>
      <x:c r="AD289" s="28" t="n">
        <x:v>1</x:v>
      </x:c>
      <x:c r="AE289" s="28" t="n">
        <x:v>1</x:v>
      </x:c>
      <x:c r="AF289" s="28" t="n">
        <x:f>IF(Z289="Высокая",3,IF(Z289="Средняя",2,1))+AD289*2+MIN(AE289,3)</x:f>
        <x:v>5</x:v>
      </x:c>
    </x:row>
    <x:row r="290" ht="64" customHeight="1">
      <x:c r="A290" s="28" t="str">
        <x:v>VEG-0289</x:v>
      </x:c>
      <x:c r="B290" s="28" t="str">
        <x:v>капуста</x:v>
      </x:c>
      <x:c r="C290" s="28" t="str">
        <x:v>Универсальные</x:v>
      </x:c>
      <x:c r="D290" s="28" t="str">
        <x:v>капуста</x:v>
      </x:c>
      <x:c r="E290" s="28" t="str">
        <x:v>kale | Капуста | капуста</x:v>
      </x:c>
      <x:c r="F290" s="28" t="str">
        <x:v>Крестоцветные</x:v>
      </x:c>
      <x:c r="G290" s="28" t="str">
        <x:v>имбирь</x:v>
      </x:c>
      <x:c r="H290" s="28" t="str">
        <x:v>ginger | Имбирь | имбирь</x:v>
      </x:c>
      <x:c r="I290" s="28" t="str">
        <x:v>Специи</x:v>
      </x:c>
      <x:c r="J290" s="28" t="str">
        <x:v>зелёный, горчичный, сернистый и сладковатый после приготовления</x:v>
      </x:c>
      <x:c r="K290" s="28" t="str">
        <x:v>пряный, тёплый, цитрусовый</x:v>
      </x:c>
      <x:c r="L290" s="28" t="str">
        <x:v>изотиоцианаты, диметилсульфид, метантиол, глюкозинолаты</x:v>
      </x:c>
      <x:c r="M290" s="28" t="str">
        <x:v>гингеролы, цитраль</x:v>
      </x:c>
      <x:c r="N290" s="28" t="str">
        <x:v>прямое пересечение семейств не подтверждено</x:v>
      </x:c>
      <x:c r="O290" s="28" t="str">
        <x:v>надёжная общая ключевая молекула не установлена</x:v>
      </x:c>
      <x:c r="P290" s="28" t="str">
        <x:v>сернистая или горчичная комплементарность</x:v>
      </x:c>
      <x:c r="Q29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0" s="28" t="str">
        <x:v>горчичное покалывание у сырой капусты</x:v>
      </x:c>
      <x:c r="S290" s="28" t="str">
        <x:v>водная волокнистая матрица; антоцианы у красной капусты влияют на цвет</x:v>
      </x:c>
      <x:c r="T29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0" s="28" t="str">
        <x:v>Капуста имеет профиль «зелёный, горчичный, сернистый и сладковатый после приготовления».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0" s="28" t="str">
        <x:v>не переваривать; красная капуста меняет цвет с pH; сернистые ноты могут конфликтовать с тонкими цветами</x:v>
      </x:c>
      <x:c r="W290" s="28" t="str">
        <x:v>цитрус, йогурт или мёд</x:v>
      </x:c>
      <x:c r="X290" s="28" t="str">
        <x:v>горячее блюдо, бульон, соус, пюре, ферментация или гарнир с имбирь</x:v>
      </x:c>
      <x:c r="Y290" s="28" t="str">
        <x:v>еда, соусы/маринады</x:v>
      </x:c>
      <x:c r="Z290" s="28" t="str">
        <x:v>Высокая</x:v>
      </x:c>
      <x:c r="AA290" s="28" t="str">
        <x:v>The Art &amp; Science of Foodpairing.pdf | Тезариус вкусов (Ники Сегнит)(1).pdf</x:v>
      </x:c>
      <x:c r="AB290" s="28" t="str">
        <x:v>Тезариус вкусов (Ники Сегнит)(1).pdf: 311, 815; The Art &amp; Science of Foodpairing.pdf: 142</x:v>
      </x:c>
      <x:c r="AC290" s="28" t="str">
        <x:v>развёрнутая пара/статья, стр. 311; развёрнутая пара/статья, стр. 815; связь из pairing grid, стр. 142; связь из pairing grid, стр. 142</x:v>
      </x:c>
      <x:c r="AD290" s="28" t="n">
        <x:v>2</x:v>
      </x:c>
      <x:c r="AE290" s="28" t="n">
        <x:v>4</x:v>
      </x:c>
      <x:c r="AF290" s="28" t="n">
        <x:f>IF(Z290="Высокая",3,IF(Z290="Средняя",2,1))+AD290*2+MIN(AE290,3)</x:f>
        <x:v>10</x:v>
      </x:c>
    </x:row>
    <x:row r="291" ht="64" customHeight="1">
      <x:c r="A291" s="28" t="str">
        <x:v>VEG-0290</x:v>
      </x:c>
      <x:c r="B291" s="28" t="str">
        <x:v>капуста</x:v>
      </x:c>
      <x:c r="C291" s="28" t="str">
        <x:v>Десерты и выпечка</x:v>
      </x:c>
      <x:c r="D291" s="28" t="str">
        <x:v>капуста</x:v>
      </x:c>
      <x:c r="E291" s="28" t="str">
        <x:v>Капуста | капуста</x:v>
      </x:c>
      <x:c r="F291" s="28" t="str">
        <x:v>Крестоцветные</x:v>
      </x:c>
      <x:c r="G291" s="28" t="str">
        <x:v>каштаны</x:v>
      </x:c>
      <x:c r="H291" s="28" t="str">
        <x:v>Каштаны | каштаны</x:v>
      </x:c>
      <x:c r="I291" s="28" t="str">
        <x:v>Орехи и семена</x:v>
      </x:c>
      <x:c r="J291" s="28" t="str">
        <x:v>зелёный, горчичный, сернистый и сладковатый после приготовления</x:v>
      </x:c>
      <x:c r="K291" s="28" t="str">
        <x:v>ореховый, жареный и жирный</x:v>
      </x:c>
      <x:c r="L291" s="28" t="str">
        <x:v>изотиоцианаты, диметилсульфид, метантиол, глюкозинолаты</x:v>
      </x:c>
      <x:c r="M291" s="28" t="str">
        <x:v>альдегиды, пиразины, фураны</x:v>
      </x:c>
      <x:c r="N291" s="28" t="str">
        <x:v>прямое пересечение семейств не подтверждено</x:v>
      </x:c>
      <x:c r="O291" s="28" t="str">
        <x:v>надёжная общая ключевая молекула не установлена</x:v>
      </x:c>
      <x:c r="P291" s="28" t="str">
        <x:v>сернистая или горчичная комплементарность</x:v>
      </x:c>
      <x:c r="Q29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1" s="28" t="str">
        <x:v>горчичное покалывание у сырой капусты</x:v>
      </x:c>
      <x:c r="S291" s="28" t="str">
        <x:v>водная волокнистая матрица; антоцианы у красной капусты влияют на цвет</x:v>
      </x:c>
      <x:c r="T29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1" s="28" t="str">
        <x:v>Капуста имеет профиль «зелёный, горчичный, сернистый и сладковатый после приготовления». Партнёр «каштаны»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1" s="28" t="str">
        <x:v>не переваривать; красная капуста меняет цвет с pH; сернистые ноты могут конфликтовать с тонкими цветами</x:v>
      </x:c>
      <x:c r="W291" s="28" t="str">
        <x:v>соль, кислота или ароматический жир</x:v>
      </x:c>
      <x:c r="X291" s="28" t="str">
        <x:v>горячее блюдо, бульон, соус, пюре, ферментация или гарнир с каштаны</x:v>
      </x:c>
      <x:c r="Y291" s="28" t="str">
        <x:v>еда, десерты, соусы/маринады</x:v>
      </x:c>
      <x:c r="Z291" s="28" t="str">
        <x:v>Средняя</x:v>
      </x:c>
      <x:c r="AA291" s="28" t="str">
        <x:v>Тезариус вкусов (Ники Сегнит)(1).pdf</x:v>
      </x:c>
      <x:c r="AB291" s="28" t="str">
        <x:v>Тезариус вкусов (Ники Сегнит)(1).pdf: 311, 617</x:v>
      </x:c>
      <x:c r="AC291" s="28" t="str">
        <x:v>развёрнутая пара/статья, стр. 311; развёрнутая пара/статья, стр. 617</x:v>
      </x:c>
      <x:c r="AD291" s="28" t="n">
        <x:v>1</x:v>
      </x:c>
      <x:c r="AE291" s="28" t="n">
        <x:v>2</x:v>
      </x:c>
      <x:c r="AF291" s="28" t="n">
        <x:f>IF(Z291="Высокая",3,IF(Z291="Средняя",2,1))+AD291*2+MIN(AE291,3)</x:f>
        <x:v>6</x:v>
      </x:c>
    </x:row>
    <x:row r="292" ht="64" customHeight="1">
      <x:c r="A292" s="28" t="str">
        <x:v>VEG-0291</x:v>
      </x:c>
      <x:c r="B292" s="28" t="str">
        <x:v>капуста</x:v>
      </x:c>
      <x:c r="C292" s="28" t="str">
        <x:v>Еда и соусы</x:v>
      </x:c>
      <x:c r="D292" s="28" t="str">
        <x:v>капуста</x:v>
      </x:c>
      <x:c r="E292" s="28" t="str">
        <x:v>green cabbage</x:v>
      </x:c>
      <x:c r="F292" s="28" t="str">
        <x:v>Крестоцветные</x:v>
      </x:c>
      <x:c r="G292" s="28" t="str">
        <x:v>кимчи</x:v>
      </x:c>
      <x:c r="H292" s="28" t="str">
        <x:v>baechu kimchi</x:v>
      </x:c>
      <x:c r="I292" s="28" t="str">
        <x:v>Ферментированные продукты и соусы</x:v>
      </x:c>
      <x:c r="J292" s="28" t="str">
        <x:v>зелёный, горчичный, сернистый и сладковатый после приготовления</x:v>
      </x:c>
      <x:c r="K292" s="28" t="str">
        <x:v>ферментированный, умами и сложный</x:v>
      </x:c>
      <x:c r="L292" s="28" t="str">
        <x:v>изотиоцианаты, диметилсульфид, метантиол, глюкозинолаты</x:v>
      </x:c>
      <x:c r="M292" s="28" t="str">
        <x:v>пиразины, фураны, эфиры</x:v>
      </x:c>
      <x:c r="N292" s="28" t="str">
        <x:v>прямое пересечение семейств не подтверждено</x:v>
      </x:c>
      <x:c r="O292" s="28" t="str">
        <x:v>надёжная общая ключевая молекула не установлена</x:v>
      </x:c>
      <x:c r="P292" s="28" t="str">
        <x:v>умами и солёный контраст; сернистая или горчичная комплементарность</x:v>
      </x:c>
      <x:c r="Q29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2" s="28" t="str">
        <x:v>горчичное покалывание у сырой капусты</x:v>
      </x:c>
      <x:c r="S292" s="28" t="str">
        <x:v>водная волокнистая матрица; антоцианы у красной капусты влияют на цвет</x:v>
      </x:c>
      <x:c r="T29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2" s="28" t="str">
        <x:v>Капуста имеет профиль «зелёный, горчичный, сернистый и сладковатый после приготовления».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2" s="28" t="str">
        <x:v>не переваривать; красная капуста меняет цвет с pH; сернистые ноты могут конфликтовать с тонкими цветами</x:v>
      </x:c>
      <x:c r="W292" s="28" t="str">
        <x:v>имбирь, чеснок или кунжут</x:v>
      </x:c>
      <x:c r="X292" s="28" t="str">
        <x:v>горячее блюдо, бульон, соус, пюре, ферментация или гарнир с кимчи</x:v>
      </x:c>
      <x:c r="Y292" s="28" t="str">
        <x:v>еда, соусы/маринады</x:v>
      </x:c>
      <x:c r="Z292" s="28" t="str">
        <x:v>Средняя</x:v>
      </x:c>
      <x:c r="AA292" s="28" t="str">
        <x:v>The Art &amp; Science of Foodpairing.pdf</x:v>
      </x:c>
      <x:c r="AB292" s="28" t="str">
        <x:v>The Art &amp; Science of Foodpairing.pdf: 305</x:v>
      </x:c>
      <x:c r="AC292" s="28" t="str">
        <x:v>связь из pairing grid, стр. 305</x:v>
      </x:c>
      <x:c r="AD292" s="28" t="n">
        <x:v>1</x:v>
      </x:c>
      <x:c r="AE292" s="28" t="n">
        <x:v>1</x:v>
      </x:c>
      <x:c r="AF292" s="28" t="n">
        <x:f>IF(Z292="Высокая",3,IF(Z292="Средняя",2,1))+AD292*2+MIN(AE292,3)</x:f>
        <x:v>5</x:v>
      </x:c>
    </x:row>
    <x:row r="293" ht="64" customHeight="1">
      <x:c r="A293" s="28" t="str">
        <x:v>VEG-0292</x:v>
      </x:c>
      <x:c r="B293" s="28" t="str">
        <x:v>капуста</x:v>
      </x:c>
      <x:c r="C293" s="28" t="str">
        <x:v>Еда и соусы</x:v>
      </x:c>
      <x:c r="D293" s="28" t="str">
        <x:v>капуста</x:v>
      </x:c>
      <x:c r="E293" s="28" t="str">
        <x:v>Капуста | капуста</x:v>
      </x:c>
      <x:c r="F293" s="28" t="str">
        <x:v>Крестоцветные</x:v>
      </x:c>
      <x:c r="G293" s="28" t="str">
        <x:v>копченая рыба</x:v>
      </x:c>
      <x:c r="H293" s="28" t="str">
        <x:v>Копченая рыба | копченая рыба</x:v>
      </x:c>
      <x:c r="I293" s="28" t="str">
        <x:v>Рыба и морепродукты</x:v>
      </x:c>
      <x:c r="J293" s="28" t="str">
        <x:v>зелёный, горчичный, сернистый и сладковатый после приготовления</x:v>
      </x:c>
      <x:c r="K293" s="28" t="str">
        <x:v>жирный, морской, умами</x:v>
      </x:c>
      <x:c r="L293" s="28" t="str">
        <x:v>изотиоцианаты, диметилсульфид, метантиол, глюкозинолаты</x:v>
      </x:c>
      <x:c r="M293" s="28" t="str">
        <x:v>альдегиды, амины</x:v>
      </x:c>
      <x:c r="N293" s="28" t="str">
        <x:v>прямое пересечение семейств не подтверждено</x:v>
      </x:c>
      <x:c r="O293" s="28" t="str">
        <x:v>надёжная общая ключевая молекула не установлена</x:v>
      </x:c>
      <x:c r="P293" s="28" t="str">
        <x:v>умами и солёный контраст; сернистая или горчичная комплементарность</x:v>
      </x:c>
      <x:c r="Q29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3" s="28" t="str">
        <x:v>горчичное покалывание у сырой капусты</x:v>
      </x:c>
      <x:c r="S293" s="28" t="str">
        <x:v>водная волокнистая матрица; антоцианы у красной капусты влияют на цвет Белок и жир требуют контроля воды: для жареной ароматики поверхность должна подсохнуть.</x:v>
      </x:c>
      <x:c r="T29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3" s="28" t="str">
        <x:v>Капуста имеет профиль «зелёный, горчичный, сернистый и сладковатый после приготовления».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3" s="28" t="str">
        <x:v>не переваривать; красная капуста меняет цвет с pH; сернистые ноты могут конфликтовать с тонкими цветами</x:v>
      </x:c>
      <x:c r="W293" s="28" t="str">
        <x:v>сливочное масло, соевый соус или тимьян</x:v>
      </x:c>
      <x:c r="X293" s="28" t="str">
        <x:v>горячее блюдо, бульон, соус, пюре, ферментация или гарнир с копченая рыба</x:v>
      </x:c>
      <x:c r="Y293" s="28" t="str">
        <x:v>еда, соусы/маринады</x:v>
      </x:c>
      <x:c r="Z293" s="28" t="str">
        <x:v>Средняя</x:v>
      </x:c>
      <x:c r="AA293" s="28" t="str">
        <x:v>Тезариус вкусов (Ники Сегнит)(1).pdf</x:v>
      </x:c>
      <x:c r="AB293" s="28" t="str">
        <x:v>Тезариус вкусов (Ники Сегнит)(1).pdf: 311, 435</x:v>
      </x:c>
      <x:c r="AC293" s="28" t="str">
        <x:v>развёрнутая пара/статья, стр. 311; развёрнутая пара/статья, стр. 435</x:v>
      </x:c>
      <x:c r="AD293" s="28" t="n">
        <x:v>1</x:v>
      </x:c>
      <x:c r="AE293" s="28" t="n">
        <x:v>2</x:v>
      </x:c>
      <x:c r="AF293" s="28" t="n">
        <x:f>IF(Z293="Высокая",3,IF(Z293="Средняя",2,1))+AD293*2+MIN(AE293,3)</x:f>
        <x:v>6</x:v>
      </x:c>
    </x:row>
    <x:row r="294" ht="64" customHeight="1">
      <x:c r="A294" s="28" t="str">
        <x:v>VEG-0293</x:v>
      </x:c>
      <x:c r="B294" s="28" t="str">
        <x:v>капуста</x:v>
      </x:c>
      <x:c r="C294" s="28" t="str">
        <x:v>Универсальные</x:v>
      </x:c>
      <x:c r="D294" s="28" t="str">
        <x:v>капуста</x:v>
      </x:c>
      <x:c r="E294" s="28" t="str">
        <x:v>kale | steamed kale</x:v>
      </x:c>
      <x:c r="F294" s="28" t="str">
        <x:v>Крестоцветные</x:v>
      </x:c>
      <x:c r="G294" s="28" t="str">
        <x:v>корица и кассия</x:v>
      </x:c>
      <x:c r="H294" s="28" t="str">
        <x:v>cinnaman and cassia bark</x:v>
      </x:c>
      <x:c r="I294" s="28" t="str">
        <x:v>Специи</x:v>
      </x:c>
      <x:c r="J294" s="28" t="str">
        <x:v>зелёный, горчичный, сернистый и сладковатый после приготовления</x:v>
      </x:c>
      <x:c r="K294" s="28" t="str">
        <x:v>древесный, пряный, сладкий</x:v>
      </x:c>
      <x:c r="L294" s="28" t="str">
        <x:v>изотиоцианаты, диметилсульфид, метантиол, глюкозинолаты</x:v>
      </x:c>
      <x:c r="M294" s="28" t="str">
        <x:v>циннамальдегид, эвгенол</x:v>
      </x:c>
      <x:c r="N294" s="28" t="str">
        <x:v>прямое пересечение семейств не подтверждено</x:v>
      </x:c>
      <x:c r="O294" s="28" t="str">
        <x:v>надёжная общая ключевая молекула не установлена</x:v>
      </x:c>
      <x:c r="P294" s="28" t="str">
        <x:v>сернистая или горчичная комплементарность</x:v>
      </x:c>
      <x:c r="Q29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4" s="28" t="str">
        <x:v>горчичное покалывание у сырой капусты</x:v>
      </x:c>
      <x:c r="S294" s="28" t="str">
        <x:v>водная волокнистая матрица; антоцианы у красной капусты влияют на цвет</x:v>
      </x:c>
      <x:c r="T29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4" s="28" t="str">
        <x:v>Капуста имеет профиль «зелёный, горчичный, сернистый и сладковатый после приготовления». Партнёр «корица и кассия»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4" s="28" t="str">
        <x:v>не переваривать; красная капуста меняет цвет с pH; сернистые ноты могут конфликтовать с тонкими цветами</x:v>
      </x:c>
      <x:c r="W294" s="28" t="str">
        <x:v>цитрус, йогурт или мёд</x:v>
      </x:c>
      <x:c r="X294" s="28" t="str">
        <x:v>горячее блюдо, бульон, соус, пюре, ферментация или гарнир с корица и кассия</x:v>
      </x:c>
      <x:c r="Y294" s="28" t="str">
        <x:v>еда, соусы/маринады</x:v>
      </x:c>
      <x:c r="Z294" s="28" t="str">
        <x:v>Средняя</x:v>
      </x:c>
      <x:c r="AA294" s="28" t="str">
        <x:v>The Art &amp; Science of Foodpairing.pdf</x:v>
      </x:c>
      <x:c r="AB294" s="28" t="str">
        <x:v>The Art &amp; Science of Foodpairing.pdf: 130</x:v>
      </x:c>
      <x:c r="AC294" s="28" t="str">
        <x:v>связь из pairing grid, стр. 130; связь из pairing grid, стр. 130</x:v>
      </x:c>
      <x:c r="AD294" s="28" t="n">
        <x:v>1</x:v>
      </x:c>
      <x:c r="AE294" s="28" t="n">
        <x:v>2</x:v>
      </x:c>
      <x:c r="AF294" s="28" t="n">
        <x:f>IF(Z294="Высокая",3,IF(Z294="Средняя",2,1))+AD294*2+MIN(AE294,3)</x:f>
        <x:v>6</x:v>
      </x:c>
    </x:row>
    <x:row r="295" ht="64" customHeight="1">
      <x:c r="A295" s="28" t="str">
        <x:v>VEG-0294</x:v>
      </x:c>
      <x:c r="B295" s="28" t="str">
        <x:v>капуста</x:v>
      </x:c>
      <x:c r="C295" s="28" t="str">
        <x:v>Десерты и выпечка</x:v>
      </x:c>
      <x:c r="D295" s="28" t="str">
        <x:v>капуста</x:v>
      </x:c>
      <x:c r="E295" s="28" t="str">
        <x:v>kale</x:v>
      </x:c>
      <x:c r="F295" s="28" t="str">
        <x:v>Крестоцветные</x:v>
      </x:c>
      <x:c r="G295" s="28" t="str">
        <x:v>кунжут</x:v>
      </x:c>
      <x:c r="H295" s="28" t="str">
        <x:v>sesame seeds</x:v>
      </x:c>
      <x:c r="I295" s="28" t="str">
        <x:v>Орехи и семена</x:v>
      </x:c>
      <x:c r="J295" s="28" t="str">
        <x:v>зелёный, горчичный, сернистый и сладковатый после приготовления</x:v>
      </x:c>
      <x:c r="K295" s="28" t="str">
        <x:v>ореховый, жареный и жирный</x:v>
      </x:c>
      <x:c r="L295" s="28" t="str">
        <x:v>изотиоцианаты, диметилсульфид, метантиол, глюкозинолаты</x:v>
      </x:c>
      <x:c r="M295" s="28" t="str">
        <x:v>альдегиды, пиразины, фураны</x:v>
      </x:c>
      <x:c r="N295" s="28" t="str">
        <x:v>прямое пересечение семейств не подтверждено</x:v>
      </x:c>
      <x:c r="O295" s="28" t="str">
        <x:v>надёжная общая ключевая молекула не установлена</x:v>
      </x:c>
      <x:c r="P295" s="28" t="str">
        <x:v>сернистая или горчичная комплементарность</x:v>
      </x:c>
      <x:c r="Q29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5" s="28" t="str">
        <x:v>горчичное покалывание у сырой капусты</x:v>
      </x:c>
      <x:c r="S295" s="28" t="str">
        <x:v>водная волокнистая матрица; антоцианы у красной капусты влияют на цвет</x:v>
      </x:c>
      <x:c r="T29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5" s="28" t="str">
        <x:v>Капуста имеет профиль «зелёный, горчичный, сернистый и сладковатый после приготовления». Партнёр «кунжут»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5" s="28" t="str">
        <x:v>не переваривать; красная капуста меняет цвет с pH; сернистые ноты могут конфликтовать с тонкими цветами</x:v>
      </x:c>
      <x:c r="W295" s="28" t="str">
        <x:v>соль, кислота или ароматический жир</x:v>
      </x:c>
      <x:c r="X295" s="28" t="str">
        <x:v>горячее блюдо, бульон, соус, пюре, ферментация или гарнир с кунжут</x:v>
      </x:c>
      <x:c r="Y295" s="28" t="str">
        <x:v>еда, десерты, соусы/маринады</x:v>
      </x:c>
      <x:c r="Z295" s="28" t="str">
        <x:v>Высокая</x:v>
      </x:c>
      <x:c r="AA295" s="28" t="str">
        <x:v>The Art &amp; Science of Foodpairing.pdf</x:v>
      </x:c>
      <x:c r="AB295" s="28" t="str">
        <x:v>The Art &amp; Science of Foodpairing.pdf: 308</x:v>
      </x:c>
      <x:c r="AC295" s="28" t="str">
        <x:v>прямая Classic pairing, стр. 308</x:v>
      </x:c>
      <x:c r="AD295" s="28" t="n">
        <x:v>1</x:v>
      </x:c>
      <x:c r="AE295" s="28" t="n">
        <x:v>1</x:v>
      </x:c>
      <x:c r="AF295" s="28" t="n">
        <x:f>IF(Z295="Высокая",3,IF(Z295="Средняя",2,1))+AD295*2+MIN(AE295,3)</x:f>
        <x:v>6</x:v>
      </x:c>
    </x:row>
    <x:row r="296" ht="64" customHeight="1">
      <x:c r="A296" s="28" t="str">
        <x:v>VEG-0295</x:v>
      </x:c>
      <x:c r="B296" s="28" t="str">
        <x:v>капуста</x:v>
      </x:c>
      <x:c r="C296" s="28" t="str">
        <x:v>Десерты и выпечка</x:v>
      </x:c>
      <x:c r="D296" s="28" t="str">
        <x:v>капуста</x:v>
      </x:c>
      <x:c r="E296" s="28" t="str">
        <x:v>kale</x:v>
      </x:c>
      <x:c r="F296" s="28" t="str">
        <x:v>Крестоцветные</x:v>
      </x:c>
      <x:c r="G296" s="28" t="str">
        <x:v>кунжут, халва и тахини</x:v>
      </x:c>
      <x:c r="H296" s="28" t="str">
        <x:v>sesame seeds, halva and tahini</x:v>
      </x:c>
      <x:c r="I296" s="28" t="str">
        <x:v>Орехи и семена</x:v>
      </x:c>
      <x:c r="J296" s="28" t="str">
        <x:v>зелёный, горчичный, сернистый и сладковатый после приготовления</x:v>
      </x:c>
      <x:c r="K296" s="28" t="str">
        <x:v>ореховый, жареный и жирный</x:v>
      </x:c>
      <x:c r="L296" s="28" t="str">
        <x:v>изотиоцианаты, диметилсульфид, метантиол, глюкозинолаты</x:v>
      </x:c>
      <x:c r="M296" s="28" t="str">
        <x:v>альдегиды, пиразины, фураны</x:v>
      </x:c>
      <x:c r="N296" s="28" t="str">
        <x:v>прямое пересечение семейств не подтверждено</x:v>
      </x:c>
      <x:c r="O296" s="28" t="str">
        <x:v>надёжная общая ключевая молекула не установлена</x:v>
      </x:c>
      <x:c r="P296" s="28" t="str">
        <x:v>сернистая или горчичная комплементарность</x:v>
      </x:c>
      <x:c r="Q29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6" s="28" t="str">
        <x:v>горчичное покалывание у сырой капусты</x:v>
      </x:c>
      <x:c r="S296" s="28" t="str">
        <x:v>водная волокнистая матрица; антоцианы у красной капусты влияют на цвет</x:v>
      </x:c>
      <x:c r="T29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6" s="28" t="str">
        <x:v>Капуста имеет профиль «зелёный, горчичный, сернистый и сладковатый после приготовления».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6" s="28" t="str">
        <x:v>не переваривать; красная капуста меняет цвет с pH; сернистые ноты могут конфликтовать с тонкими цветами</x:v>
      </x:c>
      <x:c r="W296" s="28" t="str">
        <x:v>соль, кислота или ароматический жир</x:v>
      </x:c>
      <x:c r="X296" s="28" t="str">
        <x:v>горячее блюдо, бульон, соус, пюре, ферментация или гарнир с кунжут, халва и тахини</x:v>
      </x:c>
      <x:c r="Y296" s="28" t="str">
        <x:v>еда, десерты, соусы/маринады</x:v>
      </x:c>
      <x:c r="Z296" s="28" t="str">
        <x:v>Средняя</x:v>
      </x:c>
      <x:c r="AA296" s="28" t="str">
        <x:v>The Art &amp; Science of Foodpairing.pdf</x:v>
      </x:c>
      <x:c r="AB296" s="28" t="str">
        <x:v>The Art &amp; Science of Foodpairing.pdf: 308</x:v>
      </x:c>
      <x:c r="AC296" s="28" t="str">
        <x:v>связь из pairing grid, стр. 308</x:v>
      </x:c>
      <x:c r="AD296" s="28" t="n">
        <x:v>1</x:v>
      </x:c>
      <x:c r="AE296" s="28" t="n">
        <x:v>1</x:v>
      </x:c>
      <x:c r="AF296" s="28" t="n">
        <x:f>IF(Z296="Высокая",3,IF(Z296="Средняя",2,1))+AD296*2+MIN(AE296,3)</x:f>
        <x:v>5</x:v>
      </x:c>
    </x:row>
    <x:row r="297" ht="64" customHeight="1">
      <x:c r="A297" s="28" t="str">
        <x:v>VEG-0296</x:v>
      </x:c>
      <x:c r="B297" s="28" t="str">
        <x:v>капуста</x:v>
      </x:c>
      <x:c r="C297" s="28" t="str">
        <x:v>Универсальные</x:v>
      </x:c>
      <x:c r="D297" s="28" t="str">
        <x:v>капуста</x:v>
      </x:c>
      <x:c r="E297" s="28" t="str">
        <x:v>Капуста | капуста</x:v>
      </x:c>
      <x:c r="F297" s="28" t="str">
        <x:v>Крестоцветные</x:v>
      </x:c>
      <x:c r="G297" s="28" t="str">
        <x:v>можжевельник</x:v>
      </x:c>
      <x:c r="H297" s="28" t="str">
        <x:v>Можжевельник | можжевельник</x:v>
      </x:c>
      <x:c r="I297" s="28" t="str">
        <x:v>Прочее</x:v>
      </x:c>
      <x:c r="J297" s="28" t="str">
        <x:v>зелёный, горчичный, сернистый и сладковатый после приготовления</x:v>
      </x:c>
      <x:c r="K297" s="28" t="str">
        <x:v>профиль зависит от конкретного продукта</x:v>
      </x:c>
      <x:c r="L297" s="28" t="str">
        <x:v>изотиоцианаты, диметилсульфид, метантиол, глюкозинолаты</x:v>
      </x:c>
      <x:c r="M297" s="28" t="str">
        <x:v>конкретный молекулярный профиль не указан</x:v>
      </x:c>
      <x:c r="N297" s="28" t="str">
        <x:v>прямое пересечение семейств не подтверждено</x:v>
      </x:c>
      <x:c r="O297" s="28" t="str">
        <x:v>надёжная общая ключевая молекула не установлена</x:v>
      </x:c>
      <x:c r="P297" s="28" t="str">
        <x:v>сернистая или горчичная комплементарность</x:v>
      </x:c>
      <x:c r="Q29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7" s="28" t="str">
        <x:v>горчичное покалывание у сырой капусты</x:v>
      </x:c>
      <x:c r="S297" s="28" t="str">
        <x:v>водная волокнистая матрица; антоцианы у красной капусты влияют на цвет</x:v>
      </x:c>
      <x:c r="T29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7" s="28" t="str">
        <x:v>Капуста имеет профиль «зелёный, горчичный, сернистый и сладковатый после приготовления». Партнёр «можжевельник»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7" s="28" t="str">
        <x:v>не переваривать; красная капуста меняет цвет с pH; сернистые ноты могут конфликтовать с тонкими цветами</x:v>
      </x:c>
      <x:c r="W297" s="28" t="str">
        <x:v>соль, кислота или ароматический жир</x:v>
      </x:c>
      <x:c r="X297" s="28" t="str">
        <x:v>горячее блюдо, бульон, соус, пюре, ферментация или гарнир с можжевельник</x:v>
      </x:c>
      <x:c r="Y297" s="28" t="str">
        <x:v>еда, соусы/маринады</x:v>
      </x:c>
      <x:c r="Z297" s="28" t="str">
        <x:v>Средняя</x:v>
      </x:c>
      <x:c r="AA297" s="28" t="str">
        <x:v>Тезариус вкусов (Ники Сегнит)(1).pdf</x:v>
      </x:c>
      <x:c r="AB297" s="28" t="str">
        <x:v>Тезариус вкусов (Ники Сегнит)(1).pdf: 312, 850</x:v>
      </x:c>
      <x:c r="AC297" s="28" t="str">
        <x:v>развёрнутая пара/статья, стр. 312; развёрнутая пара/статья, стр. 850</x:v>
      </x:c>
      <x:c r="AD297" s="28" t="n">
        <x:v>1</x:v>
      </x:c>
      <x:c r="AE297" s="28" t="n">
        <x:v>2</x:v>
      </x:c>
      <x:c r="AF297" s="28" t="n">
        <x:f>IF(Z297="Высокая",3,IF(Z297="Средняя",2,1))+AD297*2+MIN(AE297,3)</x:f>
        <x:v>6</x:v>
      </x:c>
    </x:row>
    <x:row r="298" ht="64" customHeight="1">
      <x:c r="A298" s="28" t="str">
        <x:v>VEG-0297</x:v>
      </x:c>
      <x:c r="B298" s="28" t="str">
        <x:v>капуста</x:v>
      </x:c>
      <x:c r="C298" s="28" t="str">
        <x:v>Еда и соусы</x:v>
      </x:c>
      <x:c r="D298" s="28" t="str">
        <x:v>капуста</x:v>
      </x:c>
      <x:c r="E298" s="28" t="str">
        <x:v>Капуста | капуста</x:v>
      </x:c>
      <x:c r="F298" s="28" t="str">
        <x:v>Крестоцветные</x:v>
      </x:c>
      <x:c r="G298" s="28" t="str">
        <x:v>моллюски</x:v>
      </x:c>
      <x:c r="H298" s="28" t="str">
        <x:v>Моллюски | моллюски</x:v>
      </x:c>
      <x:c r="I298" s="28" t="str">
        <x:v>Рыба и морепродукты</x:v>
      </x:c>
      <x:c r="J298" s="28" t="str">
        <x:v>зелёный, горчичный, сернистый и сладковатый после приготовления</x:v>
      </x:c>
      <x:c r="K298" s="28" t="str">
        <x:v>морской, солоноватый и умами</x:v>
      </x:c>
      <x:c r="L298" s="28" t="str">
        <x:v>изотиоцианаты, диметилсульфид, метантиол, глюкозинолаты</x:v>
      </x:c>
      <x:c r="M298" s="28" t="str">
        <x:v>альдегиды, амины</x:v>
      </x:c>
      <x:c r="N298" s="28" t="str">
        <x:v>прямое пересечение семейств не подтверждено</x:v>
      </x:c>
      <x:c r="O298" s="28" t="str">
        <x:v>надёжная общая ключевая молекула не установлена</x:v>
      </x:c>
      <x:c r="P298" s="28" t="str">
        <x:v>умами и солёный контраст; сернистая или горчичная комплементарность</x:v>
      </x:c>
      <x:c r="Q29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8" s="28" t="str">
        <x:v>горчичное покалывание у сырой капусты</x:v>
      </x:c>
      <x:c r="S298" s="28" t="str">
        <x:v>водная волокнистая матрица; антоцианы у красной капусты влияют на цвет Белок и жир требуют контроля воды: для жареной ароматики поверхность должна подсохнуть.</x:v>
      </x:c>
      <x:c r="T29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8" s="28" t="str">
        <x:v>Капуста имеет профиль «зелёный, горчичный, сернистый и сладковатый после приготовления».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8" s="28" t="str">
        <x:v>не переваривать; красная капуста меняет цвет с pH; сернистые ноты могут конфликтовать с тонкими цветами</x:v>
      </x:c>
      <x:c r="W298" s="28" t="str">
        <x:v>сливочное масло, соевый соус или тимьян</x:v>
      </x:c>
      <x:c r="X298" s="28" t="str">
        <x:v>горячее блюдо, бульон, соус, пюре, ферментация или гарнир с моллюски</x:v>
      </x:c>
      <x:c r="Y298" s="28" t="str">
        <x:v>еда, соусы/маринады</x:v>
      </x:c>
      <x:c r="Z298" s="28" t="str">
        <x:v>Средняя</x:v>
      </x:c>
      <x:c r="AA298" s="28" t="str">
        <x:v>Тезариус вкусов (Ники Сегнит)(1).pdf</x:v>
      </x:c>
      <x:c r="AB298" s="28" t="str">
        <x:v>Тезариус вкусов (Ники Сегнит)(1).pdf: 312, 370</x:v>
      </x:c>
      <x:c r="AC298" s="28" t="str">
        <x:v>развёрнутая пара/статья, стр. 312; развёрнутая пара/статья, стр. 370</x:v>
      </x:c>
      <x:c r="AD298" s="28" t="n">
        <x:v>1</x:v>
      </x:c>
      <x:c r="AE298" s="28" t="n">
        <x:v>2</x:v>
      </x:c>
      <x:c r="AF298" s="28" t="n">
        <x:f>IF(Z298="Высокая",3,IF(Z298="Средняя",2,1))+AD298*2+MIN(AE298,3)</x:f>
        <x:v>6</x:v>
      </x:c>
    </x:row>
    <x:row r="299" ht="64" customHeight="1">
      <x:c r="A299" s="28" t="str">
        <x:v>VEG-0298</x:v>
      </x:c>
      <x:c r="B299" s="28" t="str">
        <x:v>капуста</x:v>
      </x:c>
      <x:c r="C299" s="28" t="str">
        <x:v>Универсальные</x:v>
      </x:c>
      <x:c r="D299" s="28" t="str">
        <x:v>капуста</x:v>
      </x:c>
      <x:c r="E299" s="28" t="str">
        <x:v>Капуста | капуста</x:v>
      </x:c>
      <x:c r="F299" s="28" t="str">
        <x:v>Крестоцветные</x:v>
      </x:c>
      <x:c r="G299" s="28" t="str">
        <x:v>морковь</x:v>
      </x:c>
      <x:c r="H299" s="28" t="str">
        <x:v>Морковь | морковь</x:v>
      </x:c>
      <x:c r="I299" s="28" t="str">
        <x:v>Корнеплоды</x:v>
      </x:c>
      <x:c r="J299" s="28" t="str">
        <x:v>зелёный, горчичный, сернистый и сладковатый после приготовления</x:v>
      </x:c>
      <x:c r="K299" s="28" t="str">
        <x:v>сладкий, землистый, древесный и слегка цитрусовый</x:v>
      </x:c>
      <x:c r="L299" s="28" t="str">
        <x:v>изотиоцианаты, диметилсульфид, метантиол, глюкозинолаты</x:v>
      </x:c>
      <x:c r="M299" s="28" t="str">
        <x:v>β-ионон, каротол, пинены, терпинолен</x:v>
      </x:c>
      <x:c r="N299" s="28" t="str">
        <x:v>прямое пересечение семейств не подтверждено</x:v>
      </x:c>
      <x:c r="O299" s="28" t="str">
        <x:v>надёжная общая ключевая молекула не установлена</x:v>
      </x:c>
      <x:c r="P299" s="28" t="str">
        <x:v>сернистая или горчичная комплементарность</x:v>
      </x:c>
      <x:c r="Q29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299" s="28" t="str">
        <x:v>горчичное покалывание у сырой капусты</x:v>
      </x:c>
      <x:c r="S299" s="28" t="str">
        <x:v>водная волокнистая матрица; антоцианы у красной капусты влияют на цвет</x:v>
      </x:c>
      <x:c r="T29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299" s="28" t="str">
        <x:v>Капуста имеет профиль «зелёный, горчичный, сернистый и сладковатый после приготовления». Партнёр «морковь» относится к группе «Корнеплоды» и даёт сладкий, землистый, древесный и слегка цитрусовый.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299" s="28" t="str">
        <x:v>не переваривать; красная капуста меняет цвет с pH; сернистые ноты могут конфликтовать с тонкими цветами</x:v>
      </x:c>
      <x:c r="W299" s="28" t="str">
        <x:v>соль, кислота или ароматический жир</x:v>
      </x:c>
      <x:c r="X299" s="28" t="str">
        <x:v>горячее блюдо, бульон, соус, пюре, ферментация или гарнир с морковь</x:v>
      </x:c>
      <x:c r="Y299" s="28" t="str">
        <x:v>еда, соусы/маринады</x:v>
      </x:c>
      <x:c r="Z299" s="28" t="str">
        <x:v>Средняя</x:v>
      </x:c>
      <x:c r="AA299" s="28" t="str">
        <x:v>Тезариус вкусов (Ники Сегнит)(1).pdf</x:v>
      </x:c>
      <x:c r="AB299" s="28" t="str">
        <x:v>Тезариус вкусов (Ники Сегнит)(1).pdf: 313, 603</x:v>
      </x:c>
      <x:c r="AC299" s="28" t="str">
        <x:v>развёрнутая пара/статья, стр. 313; развёрнутая пара/статья, стр. 603</x:v>
      </x:c>
      <x:c r="AD299" s="28" t="n">
        <x:v>1</x:v>
      </x:c>
      <x:c r="AE299" s="28" t="n">
        <x:v>2</x:v>
      </x:c>
      <x:c r="AF299" s="28" t="n">
        <x:f>IF(Z299="Высокая",3,IF(Z299="Средняя",2,1))+AD299*2+MIN(AE299,3)</x:f>
        <x:v>6</x:v>
      </x:c>
    </x:row>
    <x:row r="300" ht="64" customHeight="1">
      <x:c r="A300" s="28" t="str">
        <x:v>VEG-0299</x:v>
      </x:c>
      <x:c r="B300" s="28" t="str">
        <x:v>капуста</x:v>
      </x:c>
      <x:c r="C300" s="28" t="str">
        <x:v>Еда и соусы</x:v>
      </x:c>
      <x:c r="D300" s="28" t="str">
        <x:v>капуста</x:v>
      </x:c>
      <x:c r="E300" s="28" t="str">
        <x:v>Капуста | капуста</x:v>
      </x:c>
      <x:c r="F300" s="28" t="str">
        <x:v>Крестоцветные</x:v>
      </x:c>
      <x:c r="G300" s="28" t="str">
        <x:v>мускатный орех</x:v>
      </x:c>
      <x:c r="H300" s="28" t="str">
        <x:v>Мускатный орех | мускатный орех</x:v>
      </x:c>
      <x:c r="I300" s="28" t="str">
        <x:v>Рыба и морепродукты</x:v>
      </x:c>
      <x:c r="J300" s="28" t="str">
        <x:v>зелёный, горчичный, сернистый и сладковатый после приготовления</x:v>
      </x:c>
      <x:c r="K300" s="28" t="str">
        <x:v>камфорный, ореховый, пряный</x:v>
      </x:c>
      <x:c r="L300" s="28" t="str">
        <x:v>изотиоцианаты, диметилсульфид, метантиол, глюкозинолаты</x:v>
      </x:c>
      <x:c r="M300" s="28" t="str">
        <x:v>пинены, сабинен</x:v>
      </x:c>
      <x:c r="N300" s="28" t="str">
        <x:v>прямое пересечение семейств не подтверждено</x:v>
      </x:c>
      <x:c r="O300" s="28" t="str">
        <x:v>надёжная общая ключевая молекула не установлена</x:v>
      </x:c>
      <x:c r="P300" s="28" t="str">
        <x:v>умами и солёный контраст; сернистая или горчичная комплементарность</x:v>
      </x:c>
      <x:c r="Q30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0" s="28" t="str">
        <x:v>горчичное покалывание у сырой капусты</x:v>
      </x:c>
      <x:c r="S300" s="28" t="str">
        <x:v>водная волокнистая матрица; антоцианы у красной капусты влияют на цвет Белок и жир требуют контроля воды: для жареной ароматики поверхность должна подсохнуть.</x:v>
      </x:c>
      <x:c r="T30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0" s="28" t="str">
        <x:v>Капуста имеет профиль «зелёный, горчичный, сернистый и сладковатый после приготовления».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0" s="28" t="str">
        <x:v>не переваривать; красная капуста меняет цвет с pH; сернистые ноты могут конфликтовать с тонкими цветами</x:v>
      </x:c>
      <x:c r="W300" s="28" t="str">
        <x:v>сливочное масло, соевый соус или тимьян</x:v>
      </x:c>
      <x:c r="X300" s="28" t="str">
        <x:v>горячее блюдо, бульон, соус, пюре, ферментация или гарнир с мускатный орех</x:v>
      </x:c>
      <x:c r="Y300" s="28" t="str">
        <x:v>еда, соусы/маринады</x:v>
      </x:c>
      <x:c r="Z300" s="28" t="str">
        <x:v>Средняя</x:v>
      </x:c>
      <x:c r="AA300" s="28" t="str">
        <x:v>Тезариус вкусов (Ники Сегнит)(1).pdf</x:v>
      </x:c>
      <x:c r="AB300" s="28" t="str">
        <x:v>Тезариус вкусов (Ники Сегнит)(1).pdf: 313, 588</x:v>
      </x:c>
      <x:c r="AC300" s="28" t="str">
        <x:v>развёрнутая пара/статья, стр. 313; развёрнутая пара/статья, стр. 588</x:v>
      </x:c>
      <x:c r="AD300" s="28" t="n">
        <x:v>1</x:v>
      </x:c>
      <x:c r="AE300" s="28" t="n">
        <x:v>2</x:v>
      </x:c>
      <x:c r="AF300" s="28" t="n">
        <x:f>IF(Z300="Высокая",3,IF(Z300="Средняя",2,1))+AD300*2+MIN(AE300,3)</x:f>
        <x:v>6</x:v>
      </x:c>
    </x:row>
    <x:row r="301" ht="64" customHeight="1">
      <x:c r="A301" s="28" t="str">
        <x:v>VEG-0300</x:v>
      </x:c>
      <x:c r="B301" s="28" t="str">
        <x:v>капуста</x:v>
      </x:c>
      <x:c r="C301" s="28" t="str">
        <x:v>Еда и соусы</x:v>
      </x:c>
      <x:c r="D301" s="28" t="str">
        <x:v>капуста</x:v>
      </x:c>
      <x:c r="E301" s="28" t="str">
        <x:v>Капуста | капуста</x:v>
      </x:c>
      <x:c r="F301" s="28" t="str">
        <x:v>Крестоцветные</x:v>
      </x:c>
      <x:c r="G301" s="28" t="str">
        <x:v>свинина</x:v>
      </x:c>
      <x:c r="H301" s="28" t="str">
        <x:v>Свинина | свинина</x:v>
      </x:c>
      <x:c r="I301" s="28" t="str">
        <x:v>Мясо и птица</x:v>
      </x:c>
      <x:c r="J301" s="28" t="str">
        <x:v>зелёный, горчичный, сернистый и сладковатый после приготовления</x:v>
      </x:c>
      <x:c r="K301" s="28" t="str">
        <x:v>жареный, мясной и умами</x:v>
      </x:c>
      <x:c r="L301" s="28" t="str">
        <x:v>изотиоцианаты, диметилсульфид, метантиол, глюкозинолаты</x:v>
      </x:c>
      <x:c r="M301" s="28" t="str">
        <x:v>пиразины, сернистые соединения</x:v>
      </x:c>
      <x:c r="N301" s="28" t="str">
        <x:v>прямое пересечение семейств не подтверждено</x:v>
      </x:c>
      <x:c r="O301" s="28" t="str">
        <x:v>надёжная общая ключевая молекула не установлена</x:v>
      </x:c>
      <x:c r="P301" s="28" t="str">
        <x:v>умами и солёный контраст; сернистая или горчичная комплементарность</x:v>
      </x:c>
      <x:c r="Q30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1" s="28" t="str">
        <x:v>горчичное покалывание у сырой капусты</x:v>
      </x:c>
      <x:c r="S301" s="28" t="str">
        <x:v>водная волокнистая матрица; антоцианы у красной капусты влияют на цвет Белок и жир требуют контроля воды: для жареной ароматики поверхность должна подсохнуть.</x:v>
      </x:c>
      <x:c r="T30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1" s="28" t="str">
        <x:v>Капуста имеет профиль «зелёный, горчичный, сернистый и сладковатый после приготовления».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1" s="28" t="str">
        <x:v>не переваривать; красная капуста меняет цвет с pH; сернистые ноты могут конфликтовать с тонкими цветами</x:v>
      </x:c>
      <x:c r="W301" s="28" t="str">
        <x:v>сливочное масло, соевый соус или тимьян</x:v>
      </x:c>
      <x:c r="X301" s="28" t="str">
        <x:v>горячее блюдо, бульон, соус, пюре, ферментация или гарнир с свинина</x:v>
      </x:c>
      <x:c r="Y301" s="28" t="str">
        <x:v>еда, соусы/маринады</x:v>
      </x:c>
      <x:c r="Z301" s="28" t="str">
        <x:v>Средняя</x:v>
      </x:c>
      <x:c r="AA301" s="28" t="str">
        <x:v>Тезариус вкусов (Ники Сегнит)(1).pdf</x:v>
      </x:c>
      <x:c r="AB301" s="28" t="str">
        <x:v>Тезариус вкусов (Ники Сегнит)(1).pdf: 84, 313</x:v>
      </x:c>
      <x:c r="AC301" s="28" t="str">
        <x:v>развёрнутая пара/статья, стр. 84; развёрнутая пара/статья, стр. 313</x:v>
      </x:c>
      <x:c r="AD301" s="28" t="n">
        <x:v>1</x:v>
      </x:c>
      <x:c r="AE301" s="28" t="n">
        <x:v>2</x:v>
      </x:c>
      <x:c r="AF301" s="28" t="n">
        <x:f>IF(Z301="Высокая",3,IF(Z301="Средняя",2,1))+AD301*2+MIN(AE301,3)</x:f>
        <x:v>6</x:v>
      </x:c>
    </x:row>
    <x:row r="302" ht="64" customHeight="1">
      <x:c r="A302" s="28" t="str">
        <x:v>VEG-0301</x:v>
      </x:c>
      <x:c r="B302" s="28" t="str">
        <x:v>капуста</x:v>
      </x:c>
      <x:c r="C302" s="28" t="str">
        <x:v>Еда и соусы</x:v>
      </x:c>
      <x:c r="D302" s="28" t="str">
        <x:v>капуста</x:v>
      </x:c>
      <x:c r="E302" s="28" t="str">
        <x:v>cabbage</x:v>
      </x:c>
      <x:c r="F302" s="28" t="str">
        <x:v>Крестоцветные</x:v>
      </x:c>
      <x:c r="G302" s="28" t="str">
        <x:v>соевый соус</x:v>
      </x:c>
      <x:c r="H302" s="28" t="str">
        <x:v>soy sauce</x:v>
      </x:c>
      <x:c r="I302" s="28" t="str">
        <x:v>Ферментированные продукты и соусы</x:v>
      </x:c>
      <x:c r="J302" s="28" t="str">
        <x:v>зелёный, горчичный, сернистый и сладковатый после приготовления</x:v>
      </x:c>
      <x:c r="K302" s="28" t="str">
        <x:v>жареный, умами, ферментированный</x:v>
      </x:c>
      <x:c r="L302" s="28" t="str">
        <x:v>изотиоцианаты, диметилсульфид, метантиол, глюкозинолаты</x:v>
      </x:c>
      <x:c r="M302" s="28" t="str">
        <x:v>пиразины, фураны, эфиры</x:v>
      </x:c>
      <x:c r="N302" s="28" t="str">
        <x:v>прямое пересечение семейств не подтверждено</x:v>
      </x:c>
      <x:c r="O302" s="28" t="str">
        <x:v>надёжная общая ключевая молекула не установлена</x:v>
      </x:c>
      <x:c r="P302" s="28" t="str">
        <x:v>умами и солёный контраст; сернистая или горчичная комплементарность</x:v>
      </x:c>
      <x:c r="Q30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2" s="28" t="str">
        <x:v>горчичное покалывание у сырой капусты</x:v>
      </x:c>
      <x:c r="S302" s="28" t="str">
        <x:v>водная волокнистая матрица; антоцианы у красной капусты влияют на цвет</x:v>
      </x:c>
      <x:c r="T30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2" s="28" t="str">
        <x:v>Капуста имеет профиль «зелёный, горчичный, сернистый и сладковатый после приготовления». Партнёр «соевый соус» относится к группе «Ферментированные продукты и соусы» и даёт жареный,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2" s="28" t="str">
        <x:v>не переваривать; красная капуста меняет цвет с pH; сернистые ноты могут конфликтовать с тонкими цветами</x:v>
      </x:c>
      <x:c r="W302" s="28" t="str">
        <x:v>имбирь, чеснок или кунжут</x:v>
      </x:c>
      <x:c r="X302" s="28" t="str">
        <x:v>горячее блюдо, бульон, соус, пюре, ферментация или гарнир с соевый соус</x:v>
      </x:c>
      <x:c r="Y302" s="28" t="str">
        <x:v>еда, соусы/маринады</x:v>
      </x:c>
      <x:c r="Z302" s="28" t="str">
        <x:v>Высокая</x:v>
      </x:c>
      <x:c r="AA302" s="28" t="str">
        <x:v>The Art &amp; Science of Foodpairing.pdf</x:v>
      </x:c>
      <x:c r="AB302" s="28" t="str">
        <x:v>The Art &amp; Science of Foodpairing.pdf: 301</x:v>
      </x:c>
      <x:c r="AC302" s="28" t="str">
        <x:v>прямая Classic pairing, стр. 301</x:v>
      </x:c>
      <x:c r="AD302" s="28" t="n">
        <x:v>1</x:v>
      </x:c>
      <x:c r="AE302" s="28" t="n">
        <x:v>1</x:v>
      </x:c>
      <x:c r="AF302" s="28" t="n">
        <x:f>IF(Z302="Высокая",3,IF(Z302="Средняя",2,1))+AD302*2+MIN(AE302,3)</x:f>
        <x:v>6</x:v>
      </x:c>
    </x:row>
    <x:row r="303" ht="64" customHeight="1">
      <x:c r="A303" s="28" t="str">
        <x:v>VEG-0302</x:v>
      </x:c>
      <x:c r="B303" s="28" t="str">
        <x:v>капуста</x:v>
      </x:c>
      <x:c r="C303" s="28" t="str">
        <x:v>Универсальные</x:v>
      </x:c>
      <x:c r="D303" s="28" t="str">
        <x:v>капуста</x:v>
      </x:c>
      <x:c r="E303" s="28" t="str">
        <x:v>green cabbage</x:v>
      </x:c>
      <x:c r="F303" s="28" t="str">
        <x:v>Крестоцветные</x:v>
      </x:c>
      <x:c r="G303" s="28" t="str">
        <x:v>томат</x:v>
      </x:c>
      <x:c r="H303" s="28" t="str">
        <x:v>tomato and tomato puree</x:v>
      </x:c>
      <x:c r="I303" s="28" t="str">
        <x:v>Плодовые овощи</x:v>
      </x:c>
      <x:c r="J303" s="28" t="str">
        <x:v>зелёный, горчичный, сернистый и сладковатый после приготовления</x:v>
      </x:c>
      <x:c r="K303" s="28" t="str">
        <x:v>зелёный, фруктовый, листовой, сернистый и умами</x:v>
      </x:c>
      <x:c r="L303" s="28" t="str">
        <x:v>изотиоцианаты, диметилсульфид, метантиол, глюкозинолаты</x:v>
      </x:c>
      <x:c r="M303" s="28" t="str">
        <x:v>β-ионон, гексаналь, глутамат, метиональ, цис-3-гексеналь</x:v>
      </x:c>
      <x:c r="N303" s="28" t="str">
        <x:v>зелёный, сернистый</x:v>
      </x:c>
      <x:c r="O303" s="28" t="str">
        <x:v>надёжная общая ключевая молекула не установлена</x:v>
      </x:c>
      <x:c r="P303" s="28" t="str">
        <x:v>пересечение ароматических семейств; сернистая или горчичная комплементарность</x:v>
      </x:c>
      <x:c r="Q30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3" s="28" t="str">
        <x:v>горчичное покалывание у сырой капусты</x:v>
      </x:c>
      <x:c r="S303" s="28" t="str">
        <x:v>водная волокнистая матрица; антоцианы у красной капусты влияют на цвет</x:v>
      </x:c>
      <x:c r="T30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3" s="28" t="str">
        <x:v>Капуста имеет профиль «зелёный, горчичный, сернистый и сладковатый после приготовления».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3" s="28" t="str">
        <x:v>не переваривать; красная капуста меняет цвет с pH; сернистые ноты могут конфликтовать с тонкими цветами</x:v>
      </x:c>
      <x:c r="W303" s="28" t="str">
        <x:v>соль, кислота или ароматический жир</x:v>
      </x:c>
      <x:c r="X303" s="28" t="str">
        <x:v>горячее блюдо, бульон, соус, пюре, ферментация или гарнир с томат</x:v>
      </x:c>
      <x:c r="Y303" s="28" t="str">
        <x:v>еда, соусы/маринады</x:v>
      </x:c>
      <x:c r="Z303" s="28" t="str">
        <x:v>Средняя</x:v>
      </x:c>
      <x:c r="AA303" s="28" t="str">
        <x:v>The Art &amp; Science of Foodpairing.pdf</x:v>
      </x:c>
      <x:c r="AB303" s="28" t="str">
        <x:v>The Art &amp; Science of Foodpairing.pdf: 161</x:v>
      </x:c>
      <x:c r="AC303" s="28" t="str">
        <x:v>связь из pairing grid, стр. 161</x:v>
      </x:c>
      <x:c r="AD303" s="28" t="n">
        <x:v>1</x:v>
      </x:c>
      <x:c r="AE303" s="28" t="n">
        <x:v>1</x:v>
      </x:c>
      <x:c r="AF303" s="28" t="n">
        <x:f>IF(Z303="Высокая",3,IF(Z303="Средняя",2,1))+AD303*2+MIN(AE303,3)</x:f>
        <x:v>5</x:v>
      </x:c>
    </x:row>
    <x:row r="304" ht="64" customHeight="1">
      <x:c r="A304" s="28" t="str">
        <x:v>VEG-0303</x:v>
      </x:c>
      <x:c r="B304" s="28" t="str">
        <x:v>капуста</x:v>
      </x:c>
      <x:c r="C304" s="28" t="str">
        <x:v>Еда и соусы</x:v>
      </x:c>
      <x:c r="D304" s="28" t="str">
        <x:v>капуста</x:v>
      </x:c>
      <x:c r="E304" s="28" t="str">
        <x:v>Капуста | капуста</x:v>
      </x:c>
      <x:c r="F304" s="28" t="str">
        <x:v>Крестоцветные</x:v>
      </x:c>
      <x:c r="G304" s="28" t="str">
        <x:v>трюфель</x:v>
      </x:c>
      <x:c r="H304" s="28" t="str">
        <x:v>Трюфель | трюфель</x:v>
      </x:c>
      <x:c r="I304" s="28" t="str">
        <x:v>Грибы</x:v>
      </x:c>
      <x:c r="J304" s="28" t="str">
        <x:v>зелёный, горчичный, сернистый и сладковатый после приготовления</x:v>
      </x:c>
      <x:c r="K304" s="28" t="str">
        <x:v>землистый, грибной и умами</x:v>
      </x:c>
      <x:c r="L304" s="28" t="str">
        <x:v>изотиоцианаты, диметилсульфид, метантиол, глюкозинолаты</x:v>
      </x:c>
      <x:c r="M304" s="28" t="str">
        <x:v>1-октен-3-ол, сернистые соединения</x:v>
      </x:c>
      <x:c r="N304" s="28" t="str">
        <x:v>прямое пересечение семейств не подтверждено</x:v>
      </x:c>
      <x:c r="O304" s="28" t="str">
        <x:v>надёжная общая ключевая молекула не установлена</x:v>
      </x:c>
      <x:c r="P304" s="28" t="str">
        <x:v>умами и солёный контраст; сернистая или горчичная комплементарность</x:v>
      </x:c>
      <x:c r="Q30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4" s="28" t="str">
        <x:v>горчичное покалывание у сырой капусты</x:v>
      </x:c>
      <x:c r="S304" s="28" t="str">
        <x:v>водная волокнистая матрица; антоцианы у красной капусты влияют на цвет Белок и жир требуют контроля воды: для жареной ароматики поверхность должна подсохнуть.</x:v>
      </x:c>
      <x:c r="T30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4" s="28" t="str">
        <x:v>Капуста имеет профиль «зелёный, горчичный, сернистый и сладковатый после приготовления».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4" s="28" t="str">
        <x:v>не переваривать; красная капуста меняет цвет с pH; сернистые ноты могут конфликтовать с тонкими цветами</x:v>
      </x:c>
      <x:c r="W304" s="28" t="str">
        <x:v>соль, кислота или ароматический жир</x:v>
      </x:c>
      <x:c r="X304" s="28" t="str">
        <x:v>горячее блюдо, бульон, соус, пюре, ферментация или гарнир с трюфель</x:v>
      </x:c>
      <x:c r="Y304" s="28" t="str">
        <x:v>еда, соусы/маринады</x:v>
      </x:c>
      <x:c r="Z304" s="28" t="str">
        <x:v>Средняя</x:v>
      </x:c>
      <x:c r="AA304" s="28" t="str">
        <x:v>Тезариус вкусов (Ники Сегнит)(1).pdf</x:v>
      </x:c>
      <x:c r="AB304" s="28" t="str">
        <x:v>Тезариус вкусов (Ники Сегнит)(1).pdf: 302, 315</x:v>
      </x:c>
      <x:c r="AC304" s="28" t="str">
        <x:v>развёрнутая пара/статья, стр. 302; развёрнутая пара/статья, стр. 315</x:v>
      </x:c>
      <x:c r="AD304" s="28" t="n">
        <x:v>1</x:v>
      </x:c>
      <x:c r="AE304" s="28" t="n">
        <x:v>2</x:v>
      </x:c>
      <x:c r="AF304" s="28" t="n">
        <x:f>IF(Z304="Высокая",3,IF(Z304="Средняя",2,1))+AD304*2+MIN(AE304,3)</x:f>
        <x:v>6</x:v>
      </x:c>
    </x:row>
    <x:row r="305" ht="64" customHeight="1">
      <x:c r="A305" s="28" t="str">
        <x:v>VEG-0304</x:v>
      </x:c>
      <x:c r="B305" s="28" t="str">
        <x:v>капуста</x:v>
      </x:c>
      <x:c r="C305" s="28" t="str">
        <x:v>Десерты и выпечка</x:v>
      </x:c>
      <x:c r="D305" s="28" t="str">
        <x:v>капуста</x:v>
      </x:c>
      <x:c r="E305" s="28" t="str">
        <x:v>kale</x:v>
      </x:c>
      <x:c r="F305" s="28" t="str">
        <x:v>Крестоцветные</x:v>
      </x:c>
      <x:c r="G305" s="28" t="str">
        <x:v>фундук</x:v>
      </x:c>
      <x:c r="H305" s="28" t="str">
        <x:v>hazelnut</x:v>
      </x:c>
      <x:c r="I305" s="28" t="str">
        <x:v>Орехи и семена</x:v>
      </x:c>
      <x:c r="J305" s="28" t="str">
        <x:v>зелёный, горчичный, сернистый и сладковатый после приготовления</x:v>
      </x:c>
      <x:c r="K305" s="28" t="str">
        <x:v>жареный, какаовый, ореховый</x:v>
      </x:c>
      <x:c r="L305" s="28" t="str">
        <x:v>изотиоцианаты, диметилсульфид, метантиол, глюкозинолаты</x:v>
      </x:c>
      <x:c r="M305" s="28" t="str">
        <x:v>пиразины, фильбертон</x:v>
      </x:c>
      <x:c r="N305" s="28" t="str">
        <x:v>прямое пересечение семейств не подтверждено</x:v>
      </x:c>
      <x:c r="O305" s="28" t="str">
        <x:v>надёжная общая ключевая молекула не установлена</x:v>
      </x:c>
      <x:c r="P305" s="28" t="str">
        <x:v>сернистая или горчичная комплементарность</x:v>
      </x:c>
      <x:c r="Q30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5" s="28" t="str">
        <x:v>горчичное покалывание у сырой капусты</x:v>
      </x:c>
      <x:c r="S305" s="28" t="str">
        <x:v>водная волокнистая матрица; антоцианы у красной капусты влияют на цвет</x:v>
      </x:c>
      <x:c r="T30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5" s="28" t="str">
        <x:v>Капуста имеет профиль «зелёный, горчичный, сернистый и сладковатый после приготовления».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5" s="28" t="str">
        <x:v>не переваривать; красная капуста меняет цвет с pH; сернистые ноты могут конфликтовать с тонкими цветами</x:v>
      </x:c>
      <x:c r="W305" s="28" t="str">
        <x:v>соль, кислота или ароматический жир</x:v>
      </x:c>
      <x:c r="X305" s="28" t="str">
        <x:v>горячее блюдо, бульон, соус, пюре, ферментация или гарнир с фундук</x:v>
      </x:c>
      <x:c r="Y305" s="28" t="str">
        <x:v>еда, десерты, соусы/маринады</x:v>
      </x:c>
      <x:c r="Z305" s="28" t="str">
        <x:v>Средняя</x:v>
      </x:c>
      <x:c r="AA305" s="28" t="str">
        <x:v>The Art &amp; Science of Foodpairing.pdf</x:v>
      </x:c>
      <x:c r="AB305" s="28" t="str">
        <x:v>The Art &amp; Science of Foodpairing.pdf: 332</x:v>
      </x:c>
      <x:c r="AC305" s="28" t="str">
        <x:v>связь из pairing grid, стр. 332</x:v>
      </x:c>
      <x:c r="AD305" s="28" t="n">
        <x:v>1</x:v>
      </x:c>
      <x:c r="AE305" s="28" t="n">
        <x:v>1</x:v>
      </x:c>
      <x:c r="AF305" s="28" t="n">
        <x:f>IF(Z305="Высокая",3,IF(Z305="Средняя",2,1))+AD305*2+MIN(AE305,3)</x:f>
        <x:v>5</x:v>
      </x:c>
    </x:row>
    <x:row r="306" ht="64" customHeight="1">
      <x:c r="A306" s="28" t="str">
        <x:v>VEG-0305</x:v>
      </x:c>
      <x:c r="B306" s="28" t="str">
        <x:v>капуста</x:v>
      </x:c>
      <x:c r="C306" s="28" t="str">
        <x:v>Универсальные</x:v>
      </x:c>
      <x:c r="D306" s="28" t="str">
        <x:v>капуста</x:v>
      </x:c>
      <x:c r="E306" s="28" t="str">
        <x:v>Капуста | капуста</x:v>
      </x:c>
      <x:c r="F306" s="28" t="str">
        <x:v>Крестоцветные</x:v>
      </x:c>
      <x:c r="G306" s="28" t="str">
        <x:v>цыпленок</x:v>
      </x:c>
      <x:c r="H306" s="28" t="str">
        <x:v>Цыпленок | цыпленок</x:v>
      </x:c>
      <x:c r="I306" s="28" t="str">
        <x:v>Прочее</x:v>
      </x:c>
      <x:c r="J306" s="28" t="str">
        <x:v>зелёный, горчичный, сернистый и сладковатый после приготовления</x:v>
      </x:c>
      <x:c r="K306" s="28" t="str">
        <x:v>профиль зависит от конкретного продукта</x:v>
      </x:c>
      <x:c r="L306" s="28" t="str">
        <x:v>изотиоцианаты, диметилсульфид, метантиол, глюкозинолаты</x:v>
      </x:c>
      <x:c r="M306" s="28" t="str">
        <x:v>конкретный молекулярный профиль не указан</x:v>
      </x:c>
      <x:c r="N306" s="28" t="str">
        <x:v>прямое пересечение семейств не подтверждено</x:v>
      </x:c>
      <x:c r="O306" s="28" t="str">
        <x:v>надёжная общая ключевая молекула не установлена</x:v>
      </x:c>
      <x:c r="P306" s="28" t="str">
        <x:v>сернистая или горчичная комплементарность</x:v>
      </x:c>
      <x:c r="Q30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6" s="28" t="str">
        <x:v>горчичное покалывание у сырой капусты</x:v>
      </x:c>
      <x:c r="S306" s="28" t="str">
        <x:v>водная волокнистая матрица; антоцианы у красной капусты влияют на цвет</x:v>
      </x:c>
      <x:c r="T30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6" s="28" t="str">
        <x:v>Капуста имеет профиль «зелёный, горчичный, сернистый и сладковатый после приготовления».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6" s="28" t="str">
        <x:v>не переваривать; красная капуста меняет цвет с pH; сернистые ноты могут конфликтовать с тонкими цветами</x:v>
      </x:c>
      <x:c r="W306" s="28" t="str">
        <x:v>соль, кислота или ароматический жир</x:v>
      </x:c>
      <x:c r="X306" s="28" t="str">
        <x:v>горячее блюдо, бульон, соус, пюре, ферментация или гарнир с цыпленок</x:v>
      </x:c>
      <x:c r="Y306" s="28" t="str">
        <x:v>еда, соусы/маринады</x:v>
      </x:c>
      <x:c r="Z306" s="28" t="str">
        <x:v>Средняя</x:v>
      </x:c>
      <x:c r="AA306" s="28" t="str">
        <x:v>Тезариус вкусов (Ники Сегнит)(1).pdf</x:v>
      </x:c>
      <x:c r="AB306" s="28" t="str">
        <x:v>Тезариус вкусов (Ники Сегнит)(1).pdf: 67, 315</x:v>
      </x:c>
      <x:c r="AC306" s="28" t="str">
        <x:v>развёрнутая пара/статья, стр. 67; развёрнутая пара/статья, стр. 315</x:v>
      </x:c>
      <x:c r="AD306" s="28" t="n">
        <x:v>1</x:v>
      </x:c>
      <x:c r="AE306" s="28" t="n">
        <x:v>2</x:v>
      </x:c>
      <x:c r="AF306" s="28" t="n">
        <x:f>IF(Z306="Высокая",3,IF(Z306="Средняя",2,1))+AD306*2+MIN(AE306,3)</x:f>
        <x:v>6</x:v>
      </x:c>
    </x:row>
    <x:row r="307" ht="64" customHeight="1">
      <x:c r="A307" s="28" t="str">
        <x:v>VEG-0306</x:v>
      </x:c>
      <x:c r="B307" s="28" t="str">
        <x:v>капуста</x:v>
      </x:c>
      <x:c r="C307" s="28" t="str">
        <x:v>Универсальные</x:v>
      </x:c>
      <x:c r="D307" s="28" t="str">
        <x:v>капуста</x:v>
      </x:c>
      <x:c r="E307" s="28" t="str">
        <x:v>Капуста | капуста</x:v>
      </x:c>
      <x:c r="F307" s="28" t="str">
        <x:v>Крестоцветные</x:v>
      </x:c>
      <x:c r="G307" s="28" t="str">
        <x:v>чили</x:v>
      </x:c>
      <x:c r="H307" s="28" t="str">
        <x:v>Чили | чили</x:v>
      </x:c>
      <x:c r="I307" s="28" t="str">
        <x:v>Специи</x:v>
      </x:c>
      <x:c r="J307" s="28" t="str">
        <x:v>зелёный, горчичный, сернистый и сладковатый после приготовления</x:v>
      </x:c>
      <x:c r="K307" s="28" t="str">
        <x:v>пряный и древесный</x:v>
      </x:c>
      <x:c r="L307" s="28" t="str">
        <x:v>изотиоцианаты, диметилсульфид, метантиол, глюкозинолаты</x:v>
      </x:c>
      <x:c r="M307" s="28" t="str">
        <x:v>терпены, фенилпропаноиды</x:v>
      </x:c>
      <x:c r="N307" s="28" t="str">
        <x:v>прямое пересечение семейств не подтверждено</x:v>
      </x:c>
      <x:c r="O307" s="28" t="str">
        <x:v>надёжная общая ключевая молекула не установлена</x:v>
      </x:c>
      <x:c r="P307" s="28" t="str">
        <x:v>сернистая или горчичная комплементарность</x:v>
      </x:c>
      <x:c r="Q30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7" s="28" t="str">
        <x:v>горчичное покалывание у сырой капусты</x:v>
      </x:c>
      <x:c r="S307" s="28" t="str">
        <x:v>водная волокнистая матрица; антоцианы у красной капусты влияют на цвет</x:v>
      </x:c>
      <x:c r="T30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7" s="28" t="str">
        <x:v>Капуста имеет профиль «зелёный, горчичный, сернистый и сладковатый после приготовления».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7" s="28" t="str">
        <x:v>не переваривать; красная капуста меняет цвет с pH; сернистые ноты могут конфликтовать с тонкими цветами</x:v>
      </x:c>
      <x:c r="W307" s="28" t="str">
        <x:v>цитрус, йогурт или мёд</x:v>
      </x:c>
      <x:c r="X307" s="28" t="str">
        <x:v>горячее блюдо, бульон, соус, пюре, ферментация или гарнир с чили</x:v>
      </x:c>
      <x:c r="Y307" s="28" t="str">
        <x:v>еда, соусы/маринады</x:v>
      </x:c>
      <x:c r="Z307" s="28" t="str">
        <x:v>Средняя</x:v>
      </x:c>
      <x:c r="AA307" s="28" t="str">
        <x:v>Тезариус вкусов (Ники Сегнит)(1).pdf</x:v>
      </x:c>
      <x:c r="AB307" s="28" t="str">
        <x:v>Тезариус вкусов (Ники Сегнит)(1).pdf: 317, 554</x:v>
      </x:c>
      <x:c r="AC307" s="28" t="str">
        <x:v>развёрнутая пара/статья, стр. 317; развёрнутая пара/статья, стр. 554</x:v>
      </x:c>
      <x:c r="AD307" s="28" t="n">
        <x:v>1</x:v>
      </x:c>
      <x:c r="AE307" s="28" t="n">
        <x:v>2</x:v>
      </x:c>
      <x:c r="AF307" s="28" t="n">
        <x:f>IF(Z307="Высокая",3,IF(Z307="Средняя",2,1))+AD307*2+MIN(AE307,3)</x:f>
        <x:v>6</x:v>
      </x:c>
    </x:row>
    <x:row r="308" ht="64" customHeight="1">
      <x:c r="A308" s="28" t="str">
        <x:v>VEG-0307</x:v>
      </x:c>
      <x:c r="B308" s="28" t="str">
        <x:v>капуста</x:v>
      </x:c>
      <x:c r="C308" s="28" t="str">
        <x:v>Универсальные</x:v>
      </x:c>
      <x:c r="D308" s="28" t="str">
        <x:v>капуста</x:v>
      </x:c>
      <x:c r="E308" s="28" t="str">
        <x:v>green cabbage | kale</x:v>
      </x:c>
      <x:c r="F308" s="28" t="str">
        <x:v>Крестоцветные</x:v>
      </x:c>
      <x:c r="G308" s="28" t="str">
        <x:v>чоризо</x:v>
      </x:c>
      <x:c r="H308" s="28" t="str">
        <x:v>chorizo</x:v>
      </x:c>
      <x:c r="I308" s="28" t="str">
        <x:v>Прочее</x:v>
      </x:c>
      <x:c r="J308" s="28" t="str">
        <x:v>зелёный, горчичный, сернистый и сладковатый после приготовления</x:v>
      </x:c>
      <x:c r="K308" s="28" t="str">
        <x:v>профиль зависит от конкретного продукта</x:v>
      </x:c>
      <x:c r="L308" s="28" t="str">
        <x:v>изотиоцианаты, диметилсульфид, метантиол, глюкозинолаты</x:v>
      </x:c>
      <x:c r="M308" s="28" t="str">
        <x:v>конкретный молекулярный профиль не указан</x:v>
      </x:c>
      <x:c r="N308" s="28" t="str">
        <x:v>прямое пересечение семейств не подтверждено</x:v>
      </x:c>
      <x:c r="O308" s="28" t="str">
        <x:v>надёжная общая ключевая молекула не установлена</x:v>
      </x:c>
      <x:c r="P308" s="28" t="str">
        <x:v>сернистая или горчичная комплементарность</x:v>
      </x:c>
      <x:c r="Q30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8" s="28" t="str">
        <x:v>горчичное покалывание у сырой капусты</x:v>
      </x:c>
      <x:c r="S308" s="28" t="str">
        <x:v>водная волокнистая матрица; антоцианы у красной капусты влияют на цвет</x:v>
      </x:c>
      <x:c r="T30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8" s="28" t="str">
        <x:v>Капуста имеет профиль «зелёный, горчичный, сернистый и сладковатый после приготовления».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8" s="28" t="str">
        <x:v>не переваривать; красная капуста меняет цвет с pH; сернистые ноты могут конфликтовать с тонкими цветами</x:v>
      </x:c>
      <x:c r="W308" s="28" t="str">
        <x:v>соль, кислота или ароматический жир</x:v>
      </x:c>
      <x:c r="X308" s="28" t="str">
        <x:v>горячее блюдо, бульон, соус, пюре, ферментация или гарнир с чоризо</x:v>
      </x:c>
      <x:c r="Y308" s="28" t="str">
        <x:v>еда, соусы/маринады</x:v>
      </x:c>
      <x:c r="Z308" s="28" t="str">
        <x:v>Средняя</x:v>
      </x:c>
      <x:c r="AA308" s="28" t="str">
        <x:v>The Art &amp; Science of Foodpairing.pdf</x:v>
      </x:c>
      <x:c r="AB308" s="28" t="str">
        <x:v>The Art &amp; Science of Foodpairing.pdf: 288</x:v>
      </x:c>
      <x:c r="AC308" s="28" t="str">
        <x:v>связь из pairing grid, стр. 288; связь из pairing grid, стр. 288</x:v>
      </x:c>
      <x:c r="AD308" s="28" t="n">
        <x:v>1</x:v>
      </x:c>
      <x:c r="AE308" s="28" t="n">
        <x:v>2</x:v>
      </x:c>
      <x:c r="AF308" s="28" t="n">
        <x:f>IF(Z308="Высокая",3,IF(Z308="Средняя",2,1))+AD308*2+MIN(AE308,3)</x:f>
        <x:v>6</x:v>
      </x:c>
    </x:row>
    <x:row r="309" ht="64" customHeight="1">
      <x:c r="A309" s="28" t="str">
        <x:v>VEG-0308</x:v>
      </x:c>
      <x:c r="B309" s="28" t="str">
        <x:v>капуста</x:v>
      </x:c>
      <x:c r="C309" s="28" t="str">
        <x:v>Десерты и выпечка</x:v>
      </x:c>
      <x:c r="D309" s="28" t="str">
        <x:v>капуста</x:v>
      </x:c>
      <x:c r="E309" s="28" t="str">
        <x:v>Капуста | капуста</x:v>
      </x:c>
      <x:c r="F309" s="28" t="str">
        <x:v>Крестоцветные</x:v>
      </x:c>
      <x:c r="G309" s="28" t="str">
        <x:v>яблоко</x:v>
      </x:c>
      <x:c r="H309" s="28" t="str">
        <x:v>Яблоко | яблоко</x:v>
      </x:c>
      <x:c r="I309" s="28" t="str">
        <x:v>Фрукты и ягоды</x:v>
      </x:c>
      <x:c r="J309" s="28" t="str">
        <x:v>зелёный, горчичный, сернистый и сладковатый после приготовления</x:v>
      </x:c>
      <x:c r="K309" s="28" t="str">
        <x:v>зелёный, свежий, фруктовый</x:v>
      </x:c>
      <x:c r="L309" s="28" t="str">
        <x:v>изотиоцианаты, диметилсульфид, метантиол, глюкозинолаты</x:v>
      </x:c>
      <x:c r="M309" s="28" t="str">
        <x:v>гексаналь, гексилацетат</x:v>
      </x:c>
      <x:c r="N309" s="28" t="str">
        <x:v>зелёный</x:v>
      </x:c>
      <x:c r="O309" s="28" t="str">
        <x:v>надёжная общая ключевая молекула не установлена</x:v>
      </x:c>
      <x:c r="P309" s="28" t="str">
        <x:v>пересечение ароматических семейств; кислотно-сладкий баланс; сернистая или горчичная комплементарность</x:v>
      </x:c>
      <x:c r="Q30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09" s="28" t="str">
        <x:v>горчичное покалывание у сырой капусты</x:v>
      </x:c>
      <x:c r="S309" s="28" t="str">
        <x:v>водная волокнистая матрица; антоцианы у красной капусты влияют на цвет Водная кислая фаза усиливает свежесть, но может разжижать пюре и нарушать молочную эмульсию.</x:v>
      </x:c>
      <x:c r="T30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09" s="28" t="str">
        <x:v>Капуста имеет профиль «зелёный, горчичный, сернистый и сладковатый после приготовления».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09" s="28" t="str">
        <x:v>не переваривать; красная капуста меняет цвет с pH; сернистые ноты могут конфликтовать с тонкими цветами; избыток кислоты или воды может сделать овощной вкус тонким и разрушить сливочную эмульсию</x:v>
      </x:c>
      <x:c r="W309" s="28" t="str">
        <x:v>цитрус, мёд или мягкая трава</x:v>
      </x:c>
      <x:c r="X309" s="28" t="str">
        <x:v>горячее блюдо, бульон, соус, пюре, ферментация или гарнир с яблоко</x:v>
      </x:c>
      <x:c r="Y309" s="28" t="str">
        <x:v>еда, десерты, соусы/маринады</x:v>
      </x:c>
      <x:c r="Z309" s="28" t="str">
        <x:v>Средняя</x:v>
      </x:c>
      <x:c r="AA309" s="28" t="str">
        <x:v>Тезариус вкусов (Ники Сегнит)(1).pdf</x:v>
      </x:c>
      <x:c r="AB309" s="28" t="str">
        <x:v>Тезариус вкусов (Ники Сегнит)(1).pdf: 317, 713</x:v>
      </x:c>
      <x:c r="AC309" s="28" t="str">
        <x:v>развёрнутая пара/статья, стр. 317; развёрнутая пара/статья, стр. 713</x:v>
      </x:c>
      <x:c r="AD309" s="28" t="n">
        <x:v>1</x:v>
      </x:c>
      <x:c r="AE309" s="28" t="n">
        <x:v>2</x:v>
      </x:c>
      <x:c r="AF309" s="28" t="n">
        <x:f>IF(Z309="Высокая",3,IF(Z309="Средняя",2,1))+AD309*2+MIN(AE309,3)</x:f>
        <x:v>6</x:v>
      </x:c>
    </x:row>
    <x:row r="310" ht="64" customHeight="1">
      <x:c r="A310" s="28" t="str">
        <x:v>VEG-0309</x:v>
      </x:c>
      <x:c r="B310" s="28" t="str">
        <x:v>капуста</x:v>
      </x:c>
      <x:c r="C310" s="28" t="str">
        <x:v>Универсальные</x:v>
      </x:c>
      <x:c r="D310" s="28" t="str">
        <x:v>капуста</x:v>
      </x:c>
      <x:c r="E310" s="28" t="str">
        <x:v>Капуста | капуста</x:v>
      </x:c>
      <x:c r="F310" s="28" t="str">
        <x:v>Крестоцветные</x:v>
      </x:c>
      <x:c r="G310" s="28" t="str">
        <x:v>яйца</x:v>
      </x:c>
      <x:c r="H310" s="28" t="str">
        <x:v>Яйца | яйца</x:v>
      </x:c>
      <x:c r="I310" s="28" t="str">
        <x:v>Прочее</x:v>
      </x:c>
      <x:c r="J310" s="28" t="str">
        <x:v>зелёный, горчичный, сернистый и сладковатый после приготовления</x:v>
      </x:c>
      <x:c r="K310" s="28" t="str">
        <x:v>профиль зависит от конкретного продукта</x:v>
      </x:c>
      <x:c r="L310" s="28" t="str">
        <x:v>изотиоцианаты, диметилсульфид, метантиол, глюкозинолаты</x:v>
      </x:c>
      <x:c r="M310" s="28" t="str">
        <x:v>конкретный молекулярный профиль не указан</x:v>
      </x:c>
      <x:c r="N310" s="28" t="str">
        <x:v>прямое пересечение семейств не подтверждено</x:v>
      </x:c>
      <x:c r="O310" s="28" t="str">
        <x:v>надёжная общая ключевая молекула не установлена</x:v>
      </x:c>
      <x:c r="P310" s="28" t="str">
        <x:v>сернистая или горчичная комплементарность</x:v>
      </x:c>
      <x:c r="Q31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310" s="28" t="str">
        <x:v>горчичное покалывание у сырой капусты</x:v>
      </x:c>
      <x:c r="S310" s="28" t="str">
        <x:v>водная волокнистая матрица; антоцианы у красной капусты влияют на цвет</x:v>
      </x:c>
      <x:c r="T31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U310" s="28" t="str">
        <x:v>Капуста имеет профиль «зелёный, горчичный, сернистый и сладковатый после приготовления».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310" s="28" t="str">
        <x:v>не переваривать; красная капуста меняет цвет с pH; сернистые ноты могут конфликтовать с тонкими цветами</x:v>
      </x:c>
      <x:c r="W310" s="28" t="str">
        <x:v>соль, кислота или ароматический жир</x:v>
      </x:c>
      <x:c r="X310" s="28" t="str">
        <x:v>горячее блюдо, бульон, соус, пюре, ферментация или гарнир с яйца</x:v>
      </x:c>
      <x:c r="Y310" s="28" t="str">
        <x:v>еда, соусы/маринады</x:v>
      </x:c>
      <x:c r="Z310" s="28" t="str">
        <x:v>Средняя</x:v>
      </x:c>
      <x:c r="AA310" s="28" t="str">
        <x:v>Тезариус вкусов (Ники Сегнит)(1).pdf</x:v>
      </x:c>
      <x:c r="AB310" s="28" t="str">
        <x:v>Тезариус вкусов (Ники Сегнит)(1).pdf: 317, 353</x:v>
      </x:c>
      <x:c r="AC310" s="28" t="str">
        <x:v>развёрнутая пара/статья, стр. 317; развёрнутая пара/статья, стр. 353</x:v>
      </x:c>
      <x:c r="AD310" s="28" t="n">
        <x:v>1</x:v>
      </x:c>
      <x:c r="AE310" s="28" t="n">
        <x:v>2</x:v>
      </x:c>
      <x:c r="AF310" s="28" t="n">
        <x:f>IF(Z310="Высокая",3,IF(Z310="Средняя",2,1))+AD310*2+MIN(AE310,3)</x:f>
        <x:v>6</x:v>
      </x:c>
    </x:row>
    <x:row r="311" ht="64" customHeight="1">
      <x:c r="A311" s="28" t="str">
        <x:v>VEG-0310</x:v>
      </x:c>
      <x:c r="B311" s="28" t="str">
        <x:v>картофель</x:v>
      </x:c>
      <x:c r="C311" s="28" t="str">
        <x:v>Универсальные</x:v>
      </x:c>
      <x:c r="D311" s="28" t="str">
        <x:v>картофель</x:v>
      </x:c>
      <x:c r="E311" s="28" t="str">
        <x:v>Картофель | картофель</x:v>
      </x:c>
      <x:c r="F311" s="28" t="str">
        <x:v>Корнеплоды и клубни</x:v>
      </x:c>
      <x:c r="G311" s="28" t="str">
        <x:v>«черный пудинг»</x:v>
      </x:c>
      <x:c r="H311" s="28" t="str">
        <x:v>«Черный пудинг» | «черный пудинг»</x:v>
      </x:c>
      <x:c r="I311" s="28" t="str">
        <x:v>Прочее</x:v>
      </x:c>
      <x:c r="J311" s="28" t="str">
        <x:v>крахмалистый, землистый, ореховый и жареный после нагрева</x:v>
      </x:c>
      <x:c r="K311" s="28" t="str">
        <x:v>профиль зависит от конкретного продукта</x:v>
      </x:c>
      <x:c r="L311" s="28" t="str">
        <x:v>метиональ, 2-ацетил-1-пирролин, пиразины, альдегиды</x:v>
      </x:c>
      <x:c r="M311" s="28" t="str">
        <x:v>конкретный молекулярный профиль не указан</x:v>
      </x:c>
      <x:c r="N311" s="28" t="str">
        <x:v>прямое пересечение семейств не подтверждено</x:v>
      </x:c>
      <x:c r="O311" s="28" t="str">
        <x:v>надёжная общая ключевая молекула не установлена</x:v>
      </x:c>
      <x:c r="P311" s="28" t="str">
        <x:v>сенсорная комплементарность</x:v>
      </x:c>
      <x:c r="Q31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1" s="28" t="str">
        <x:v>минимальный</x:v>
      </x:c>
      <x:c r="S311" s="28" t="str">
        <x:v>крахмальная водная матрица; структура зависит от сорта и желатинизации крахмала</x:v>
      </x:c>
      <x:c r="T31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1" s="28" t="str">
        <x:v>Картофель имеет профиль «крахмалистый, землистый, ореховый и жареный после нагрева». Партнёр ««черный пудинг»»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11" s="28" t="str">
        <x:v>зелёные или проросшие клубни не использовать; пережаривание даёт горечь и чрезмерно тёмную корку</x:v>
      </x:c>
      <x:c r="W311" s="28" t="str">
        <x:v>соль, кислота или ароматический жир</x:v>
      </x:c>
      <x:c r="X311" s="28" t="str">
        <x:v>пюре, суп, запекание, крем, гарнир, соус или десертная разработка с «черный пудинг»</x:v>
      </x:c>
      <x:c r="Y311" s="28" t="str">
        <x:v>еда, соусы/маринады</x:v>
      </x:c>
      <x:c r="Z311" s="28" t="str">
        <x:v>Средняя</x:v>
      </x:c>
      <x:c r="AA311" s="28" t="str">
        <x:v>Тезариус вкусов (Ники Сегнит)(1).pdf</x:v>
      </x:c>
      <x:c r="AB311" s="28" t="str">
        <x:v>Тезариус вкусов (Ники Сегнит)(1).pdf: 93, 245</x:v>
      </x:c>
      <x:c r="AC311" s="28" t="str">
        <x:v>развёрнутая пара/статья, стр. 93; развёрнутая пара/статья, стр. 245</x:v>
      </x:c>
      <x:c r="AD311" s="28" t="n">
        <x:v>1</x:v>
      </x:c>
      <x:c r="AE311" s="28" t="n">
        <x:v>2</x:v>
      </x:c>
      <x:c r="AF311" s="28" t="n">
        <x:f>IF(Z311="Высокая",3,IF(Z311="Средняя",2,1))+AD311*2+MIN(AE311,3)</x:f>
        <x:v>6</x:v>
      </x:c>
    </x:row>
    <x:row r="312" ht="64" customHeight="1">
      <x:c r="A312" s="28" t="str">
        <x:v>VEG-0311</x:v>
      </x:c>
      <x:c r="B312" s="28" t="str">
        <x:v>картофель</x:v>
      </x:c>
      <x:c r="C312" s="28" t="str">
        <x:v>Десерты и выпечка</x:v>
      </x:c>
      <x:c r="D312" s="28" t="str">
        <x:v>картофель</x:v>
      </x:c>
      <x:c r="E312" s="28" t="str">
        <x:v>French fries | boiled potato</x:v>
      </x:c>
      <x:c r="F312" s="28" t="str">
        <x:v>Корнеплоды и клубни</x:v>
      </x:c>
      <x:c r="G312" s="28" t="str">
        <x:v>абрикос</x:v>
      </x:c>
      <x:c r="H312" s="28" t="str">
        <x:v>apricot</x:v>
      </x:c>
      <x:c r="I312" s="28" t="str">
        <x:v>Фрукты и ягоды</x:v>
      </x:c>
      <x:c r="J312" s="28" t="str">
        <x:v>крахмалистый, землистый, ореховый и жареный после нагрева</x:v>
      </x:c>
      <x:c r="K312" s="28" t="str">
        <x:v>фруктовый, цветочный и свежий</x:v>
      </x:c>
      <x:c r="L312" s="28" t="str">
        <x:v>метиональ, 2-ацетил-1-пирролин, пиразины, альдегиды</x:v>
      </x:c>
      <x:c r="M312" s="28" t="str">
        <x:v>альдегиды, эфиры</x:v>
      </x:c>
      <x:c r="N312" s="28" t="str">
        <x:v>прямое пересечение семейств не подтверждено</x:v>
      </x:c>
      <x:c r="O312" s="28" t="str">
        <x:v>альдегиды</x:v>
      </x:c>
      <x:c r="P312" s="28" t="str">
        <x:v>общие характерные молекулы; кислотно-сладкий баланс</x:v>
      </x:c>
      <x:c r="Q31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2" s="28" t="str">
        <x:v>минимальный</x:v>
      </x:c>
      <x:c r="S312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1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2" s="28" t="str">
        <x:v>Картофель имеет профиль «крахмалистый, землистый, ореховый и жареный после нагрева». Партнёр «абрикос»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12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12" s="28" t="str">
        <x:v>цитрус, мёд или мягкая трава</x:v>
      </x:c>
      <x:c r="X312" s="28" t="str">
        <x:v>пюре, суп, запекание, крем, гарнир, соус или десертная разработка с абрикос</x:v>
      </x:c>
      <x:c r="Y312" s="28" t="str">
        <x:v>еда, десерты, соусы/маринады</x:v>
      </x:c>
      <x:c r="Z312" s="28" t="str">
        <x:v>Средняя</x:v>
      </x:c>
      <x:c r="AA312" s="28" t="str">
        <x:v>The Art &amp; Science of Foodpairing.pdf</x:v>
      </x:c>
      <x:c r="AB312" s="28" t="str">
        <x:v>The Art &amp; Science of Foodpairing.pdf: 196, 206</x:v>
      </x:c>
      <x:c r="AC312" s="28" t="str">
        <x:v>связь из pairing grid, стр. 196; связь из pairing grid, стр. 206</x:v>
      </x:c>
      <x:c r="AD312" s="28" t="n">
        <x:v>1</x:v>
      </x:c>
      <x:c r="AE312" s="28" t="n">
        <x:v>2</x:v>
      </x:c>
      <x:c r="AF312" s="28" t="n">
        <x:f>IF(Z312="Высокая",3,IF(Z312="Средняя",2,1))+AD312*2+MIN(AE312,3)</x:f>
        <x:v>6</x:v>
      </x:c>
    </x:row>
    <x:row r="313" ht="64" customHeight="1">
      <x:c r="A313" s="28" t="str">
        <x:v>VEG-0312</x:v>
      </x:c>
      <x:c r="B313" s="28" t="str">
        <x:v>картофель</x:v>
      </x:c>
      <x:c r="C313" s="28" t="str">
        <x:v>Универсальные</x:v>
      </x:c>
      <x:c r="D313" s="28" t="str">
        <x:v>картофель</x:v>
      </x:c>
      <x:c r="E313" s="28" t="str">
        <x:v>French fries</x:v>
      </x:c>
      <x:c r="F313" s="28" t="str">
        <x:v>Корнеплоды и клубни</x:v>
      </x:c>
      <x:c r="G313" s="28" t="str">
        <x:v>авокадо</x:v>
      </x:c>
      <x:c r="H313" s="28" t="str">
        <x:v>Hass avocado</x:v>
      </x:c>
      <x:c r="I313" s="28" t="str">
        <x:v>Прочее</x:v>
      </x:c>
      <x:c r="J313" s="28" t="str">
        <x:v>крахмалистый, землистый, ореховый и жареный после нагрева</x:v>
      </x:c>
      <x:c r="K313" s="28" t="str">
        <x:v>профиль зависит от конкретного продукта</x:v>
      </x:c>
      <x:c r="L313" s="28" t="str">
        <x:v>метиональ, 2-ацетил-1-пирролин, пиразины, альдегиды</x:v>
      </x:c>
      <x:c r="M313" s="28" t="str">
        <x:v>конкретный молекулярный профиль не указан</x:v>
      </x:c>
      <x:c r="N313" s="28" t="str">
        <x:v>прямое пересечение семейств не подтверждено</x:v>
      </x:c>
      <x:c r="O313" s="28" t="str">
        <x:v>надёжная общая ключевая молекула не установлена</x:v>
      </x:c>
      <x:c r="P313" s="28" t="str">
        <x:v>сенсорная комплементарность</x:v>
      </x:c>
      <x:c r="Q31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3" s="28" t="str">
        <x:v>минимальный</x:v>
      </x:c>
      <x:c r="S313" s="28" t="str">
        <x:v>крахмальная водная матрица; структура зависит от сорта и желатинизации крахмала</x:v>
      </x:c>
      <x:c r="T31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3" s="28" t="str">
        <x:v>Картофель имеет профиль «крахмалистый, землистый, ореховый и жареный после нагрева». Партнёр «авокадо»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13" s="28" t="str">
        <x:v>зелёные или проросшие клубни не использовать; пережаривание даёт горечь и чрезмерно тёмную корку</x:v>
      </x:c>
      <x:c r="W313" s="28" t="str">
        <x:v>соль, кислота или ароматический жир</x:v>
      </x:c>
      <x:c r="X313" s="28" t="str">
        <x:v>пюре, суп, запекание, крем, гарнир, соус или десертная разработка с авокадо</x:v>
      </x:c>
      <x:c r="Y313" s="28" t="str">
        <x:v>еда, соусы/маринады</x:v>
      </x:c>
      <x:c r="Z313" s="28" t="str">
        <x:v>Средняя</x:v>
      </x:c>
      <x:c r="AA313" s="28" t="str">
        <x:v>The Art &amp; Science of Foodpairing.pdf</x:v>
      </x:c>
      <x:c r="AB313" s="28" t="str">
        <x:v>The Art &amp; Science of Foodpairing.pdf: 196</x:v>
      </x:c>
      <x:c r="AC313" s="28" t="str">
        <x:v>связь из pairing grid, стр. 196</x:v>
      </x:c>
      <x:c r="AD313" s="28" t="n">
        <x:v>1</x:v>
      </x:c>
      <x:c r="AE313" s="28" t="n">
        <x:v>1</x:v>
      </x:c>
      <x:c r="AF313" s="28" t="n">
        <x:f>IF(Z313="Высокая",3,IF(Z313="Средняя",2,1))+AD313*2+MIN(AE313,3)</x:f>
        <x:v>5</x:v>
      </x:c>
    </x:row>
    <x:row r="314" ht="64" customHeight="1">
      <x:c r="A314" s="28" t="str">
        <x:v>VEG-0313</x:v>
      </x:c>
      <x:c r="B314" s="28" t="str">
        <x:v>картофель</x:v>
      </x:c>
      <x:c r="C314" s="28" t="str">
        <x:v>Еда и соусы</x:v>
      </x:c>
      <x:c r="D314" s="28" t="str">
        <x:v>картофель</x:v>
      </x:c>
      <x:c r="E314" s="28" t="str">
        <x:v>Картофель | картофель</x:v>
      </x:c>
      <x:c r="F314" s="28" t="str">
        <x:v>Корнеплоды и клубни</x:v>
      </x:c>
      <x:c r="G314" s="28" t="str">
        <x:v>анчоусы</x:v>
      </x:c>
      <x:c r="H314" s="28" t="str">
        <x:v>Анчоусы | анчоусы</x:v>
      </x:c>
      <x:c r="I314" s="28" t="str">
        <x:v>Рыба и морепродукты</x:v>
      </x:c>
      <x:c r="J314" s="28" t="str">
        <x:v>крахмалистый, землистый, ореховый и жареный после нагрева</x:v>
      </x:c>
      <x:c r="K314" s="28" t="str">
        <x:v>морской, солоноватый и умами</x:v>
      </x:c>
      <x:c r="L314" s="28" t="str">
        <x:v>метиональ, 2-ацетил-1-пирролин, пиразины, альдегиды</x:v>
      </x:c>
      <x:c r="M314" s="28" t="str">
        <x:v>альдегиды, амины</x:v>
      </x:c>
      <x:c r="N314" s="28" t="str">
        <x:v>прямое пересечение семейств не подтверждено</x:v>
      </x:c>
      <x:c r="O314" s="28" t="str">
        <x:v>альдегиды</x:v>
      </x:c>
      <x:c r="P314" s="28" t="str">
        <x:v>общие характерные молекулы; умами и солёный контраст</x:v>
      </x:c>
      <x:c r="Q31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4" s="28" t="str">
        <x:v>минимальный</x:v>
      </x:c>
      <x:c r="S314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1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4" s="28" t="str">
        <x:v>Картофель имеет профиль «крахмалистый, землистый, ореховый и жареный после нагрева». Партнёр «анчоусы»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14" s="28" t="str">
        <x:v>зелёные или проросшие клубни не использовать; пережаривание даёт горечь и чрезмерно тёмную корку</x:v>
      </x:c>
      <x:c r="W314" s="28" t="str">
        <x:v>сливочное масло, соевый соус или тимьян</x:v>
      </x:c>
      <x:c r="X314" s="28" t="str">
        <x:v>пюре, суп, запекание, крем, гарнир, соус или десертная разработка с анчоусы</x:v>
      </x:c>
      <x:c r="Y314" s="28" t="str">
        <x:v>еда, соусы/маринады</x:v>
      </x:c>
      <x:c r="Z314" s="28" t="str">
        <x:v>Средняя</x:v>
      </x:c>
      <x:c r="AA314" s="28" t="str">
        <x:v>Тезариус вкусов (Ники Сегнит)(1).pdf</x:v>
      </x:c>
      <x:c r="AB314" s="28" t="str">
        <x:v>Тезариус вкусов (Ники Сегнит)(1).pdf: 230, 427</x:v>
      </x:c>
      <x:c r="AC314" s="28" t="str">
        <x:v>развёрнутая пара/статья, стр. 230; развёрнутая пара/статья, стр. 427</x:v>
      </x:c>
      <x:c r="AD314" s="28" t="n">
        <x:v>1</x:v>
      </x:c>
      <x:c r="AE314" s="28" t="n">
        <x:v>2</x:v>
      </x:c>
      <x:c r="AF314" s="28" t="n">
        <x:f>IF(Z314="Высокая",3,IF(Z314="Средняя",2,1))+AD314*2+MIN(AE314,3)</x:f>
        <x:v>6</x:v>
      </x:c>
    </x:row>
    <x:row r="315" ht="64" customHeight="1">
      <x:c r="A315" s="28" t="str">
        <x:v>VEG-0314</x:v>
      </x:c>
      <x:c r="B315" s="28" t="str">
        <x:v>картофель</x:v>
      </x:c>
      <x:c r="C315" s="28" t="str">
        <x:v>Десерты и выпечка</x:v>
      </x:c>
      <x:c r="D315" s="28" t="str">
        <x:v>картофель</x:v>
      </x:c>
      <x:c r="E315" s="28" t="str">
        <x:v>Картофель | картофель</x:v>
      </x:c>
      <x:c r="F315" s="28" t="str">
        <x:v>Корнеплоды и клубни</x:v>
      </x:c>
      <x:c r="G315" s="28" t="str">
        <x:v>арахис</x:v>
      </x:c>
      <x:c r="H315" s="28" t="str">
        <x:v>Арахис | арахис</x:v>
      </x:c>
      <x:c r="I315" s="28" t="str">
        <x:v>Орехи и семена</x:v>
      </x:c>
      <x:c r="J315" s="28" t="str">
        <x:v>крахмалистый, землистый, ореховый и жареный после нагрева</x:v>
      </x:c>
      <x:c r="K315" s="28" t="str">
        <x:v>ореховый, жареный и жирный</x:v>
      </x:c>
      <x:c r="L315" s="28" t="str">
        <x:v>метиональ, 2-ацетил-1-пирролин, пиразины, альдегиды</x:v>
      </x:c>
      <x:c r="M315" s="28" t="str">
        <x:v>альдегиды, пиразины, фураны</x:v>
      </x:c>
      <x:c r="N315" s="28" t="str">
        <x:v>жареный</x:v>
      </x:c>
      <x:c r="O315" s="28" t="str">
        <x:v>альдегиды, пиразины</x:v>
      </x:c>
      <x:c r="P315" s="28" t="str">
        <x:v>общие характерные молекулы; пересечение ароматических семейств</x:v>
      </x:c>
      <x:c r="Q31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5" s="28" t="str">
        <x:v>минимальный</x:v>
      </x:c>
      <x:c r="S315" s="28" t="str">
        <x:v>крахмальная водная матрица; структура зависит от сорта и желатинизации крахмала</x:v>
      </x:c>
      <x:c r="T31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5" s="28" t="str">
        <x:v>Картофель имеет профиль «крахмалистый, землистый, ореховый и жареный после нагрева». Партнёр «арахис»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V315" s="28" t="str">
        <x:v>зелёные или проросшие клубни не использовать; пережаривание даёт горечь и чрезмерно тёмную корку</x:v>
      </x:c>
      <x:c r="W315" s="28" t="str">
        <x:v>соль, кислота или ароматический жир</x:v>
      </x:c>
      <x:c r="X315" s="28" t="str">
        <x:v>пюре, суп, запекание, крем, гарнир, соус или десертная разработка с арахис</x:v>
      </x:c>
      <x:c r="Y315" s="28" t="str">
        <x:v>еда, десерты, соусы/маринады</x:v>
      </x:c>
      <x:c r="Z315" s="28" t="str">
        <x:v>Средняя</x:v>
      </x:c>
      <x:c r="AA315" s="28" t="str">
        <x:v>Тезариус вкусов (Ники Сегнит)(1).pdf</x:v>
      </x:c>
      <x:c r="AB315" s="28" t="str">
        <x:v>Тезариус вкусов (Ники Сегнит)(1).pdf: 53, 230</x:v>
      </x:c>
      <x:c r="AC315" s="28" t="str">
        <x:v>развёрнутая пара/статья, стр. 53; развёрнутая пара/статья, стр. 230</x:v>
      </x:c>
      <x:c r="AD315" s="28" t="n">
        <x:v>1</x:v>
      </x:c>
      <x:c r="AE315" s="28" t="n">
        <x:v>2</x:v>
      </x:c>
      <x:c r="AF315" s="28" t="n">
        <x:f>IF(Z315="Высокая",3,IF(Z315="Средняя",2,1))+AD315*2+MIN(AE315,3)</x:f>
        <x:v>6</x:v>
      </x:c>
    </x:row>
    <x:row r="316" ht="64" customHeight="1">
      <x:c r="A316" s="28" t="str">
        <x:v>VEG-0315</x:v>
      </x:c>
      <x:c r="B316" s="28" t="str">
        <x:v>картофель</x:v>
      </x:c>
      <x:c r="C316" s="28" t="str">
        <x:v>Универсальные</x:v>
      </x:c>
      <x:c r="D316" s="28" t="str">
        <x:v>картофель</x:v>
      </x:c>
      <x:c r="E316" s="28" t="str">
        <x:v>boiled potato</x:v>
      </x:c>
      <x:c r="F316" s="28" t="str">
        <x:v>Корнеплоды и клубни</x:v>
      </x:c>
      <x:c r="G316" s="28" t="str">
        <x:v>арбуз</x:v>
      </x:c>
      <x:c r="H316" s="28" t="str">
        <x:v>watermelon</x:v>
      </x:c>
      <x:c r="I316" s="28" t="str">
        <x:v>Прочее</x:v>
      </x:c>
      <x:c r="J316" s="28" t="str">
        <x:v>крахмалистый, землистый, ореховый и жареный после нагрева</x:v>
      </x:c>
      <x:c r="K316" s="28" t="str">
        <x:v>профиль зависит от конкретного продукта</x:v>
      </x:c>
      <x:c r="L316" s="28" t="str">
        <x:v>метиональ, 2-ацетил-1-пирролин, пиразины, альдегиды</x:v>
      </x:c>
      <x:c r="M316" s="28" t="str">
        <x:v>конкретный молекулярный профиль не указан</x:v>
      </x:c>
      <x:c r="N316" s="28" t="str">
        <x:v>прямое пересечение семейств не подтверждено</x:v>
      </x:c>
      <x:c r="O316" s="28" t="str">
        <x:v>надёжная общая ключевая молекула не установлена</x:v>
      </x:c>
      <x:c r="P316" s="28" t="str">
        <x:v>сенсорная комплементарность</x:v>
      </x:c>
      <x:c r="Q31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6" s="28" t="str">
        <x:v>минимальный</x:v>
      </x:c>
      <x:c r="S316" s="28" t="str">
        <x:v>крахмальная водная матрица; структура зависит от сорта и желатинизации крахмала</x:v>
      </x:c>
      <x:c r="T31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6" s="28" t="str">
        <x:v>Картофель имеет профиль «крахмалистый, землистый, ореховый и жареный после нагрева».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16" s="28" t="str">
        <x:v>зелёные или проросшие клубни не использовать; пережаривание даёт горечь и чрезмерно тёмную корку</x:v>
      </x:c>
      <x:c r="W316" s="28" t="str">
        <x:v>соль, кислота или ароматический жир</x:v>
      </x:c>
      <x:c r="X316" s="28" t="str">
        <x:v>пюре, суп, запекание, крем, гарнир, соус или десертная разработка с арбуз</x:v>
      </x:c>
      <x:c r="Y316" s="28" t="str">
        <x:v>еда, соусы/маринады</x:v>
      </x:c>
      <x:c r="Z316" s="28" t="str">
        <x:v>Средняя</x:v>
      </x:c>
      <x:c r="AA316" s="28" t="str">
        <x:v>The Art &amp; Science of Foodpairing.pdf</x:v>
      </x:c>
      <x:c r="AB316" s="28" t="str">
        <x:v>The Art &amp; Science of Foodpairing.pdf: 78</x:v>
      </x:c>
      <x:c r="AC316" s="28" t="str">
        <x:v>связь из pairing grid, стр. 78</x:v>
      </x:c>
      <x:c r="AD316" s="28" t="n">
        <x:v>1</x:v>
      </x:c>
      <x:c r="AE316" s="28" t="n">
        <x:v>1</x:v>
      </x:c>
      <x:c r="AF316" s="28" t="n">
        <x:f>IF(Z316="Высокая",3,IF(Z316="Средняя",2,1))+AD316*2+MIN(AE316,3)</x:f>
        <x:v>5</x:v>
      </x:c>
    </x:row>
    <x:row r="317" ht="64" customHeight="1">
      <x:c r="A317" s="28" t="str">
        <x:v>VEG-0316</x:v>
      </x:c>
      <x:c r="B317" s="28" t="str">
        <x:v>картофель</x:v>
      </x:c>
      <x:c r="C317" s="28" t="str">
        <x:v>Универсальные</x:v>
      </x:c>
      <x:c r="D317" s="28" t="str">
        <x:v>картофель</x:v>
      </x:c>
      <x:c r="E317" s="28" t="str">
        <x:v>Картофель | картофель</x:v>
      </x:c>
      <x:c r="F317" s="28" t="str">
        <x:v>Корнеплоды и клубни</x:v>
      </x:c>
      <x:c r="G317" s="28" t="str">
        <x:v>артишок</x:v>
      </x:c>
      <x:c r="H317" s="28" t="str">
        <x:v>Артишок | артишок</x:v>
      </x:c>
      <x:c r="I317" s="28" t="str">
        <x:v>Соцветия и стеблевые овощи</x:v>
      </x:c>
      <x:c r="J317" s="28" t="str">
        <x:v>крахмалистый, землистый, ореховый и жареный после нагрева</x:v>
      </x:c>
      <x:c r="K317" s="28" t="str">
        <x:v>зелёный, ореховый, травянистый и слегка цветочный</x:v>
      </x:c>
      <x:c r="L317" s="28" t="str">
        <x:v>метиональ, 2-ацетил-1-пирролин, пиразины, альдегиды</x:v>
      </x:c>
      <x:c r="M317" s="28" t="str">
        <x:v>зелёные альдегиды, сесквитерпеновые лактоны, цинарин</x:v>
      </x:c>
      <x:c r="N317" s="28" t="str">
        <x:v>прямое пересечение семейств не подтверждено</x:v>
      </x:c>
      <x:c r="O317" s="28" t="str">
        <x:v>надёжная общая ключевая молекула не установлена</x:v>
      </x:c>
      <x:c r="P317" s="28" t="str">
        <x:v>сенсорная комплементарность</x:v>
      </x:c>
      <x:c r="Q31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7" s="28" t="str">
        <x:v>минимальный</x:v>
      </x:c>
      <x:c r="S317" s="28" t="str">
        <x:v>крахмальная водная матрица; структура зависит от сорта и желатинизации крахмала</x:v>
      </x:c>
      <x:c r="T31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7" s="28" t="str">
        <x:v>Картофель имеет профиль «крахмалистый, землистый, ореховый и жареный после нагрева». Партнёр «артишок» относится к группе «Соцветия и стеблевые овощи» и даёт зелёный, ореховый, травянистый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17" s="28" t="str">
        <x:v>зелёные или проросшие клубни не использовать; пережаривание даёт горечь и чрезмерно тёмную корку</x:v>
      </x:c>
      <x:c r="W317" s="28" t="str">
        <x:v>соль, кислота или ароматический жир</x:v>
      </x:c>
      <x:c r="X317" s="28" t="str">
        <x:v>пюре, суп, запекание, крем, гарнир, соус или десертная разработка с артишок</x:v>
      </x:c>
      <x:c r="Y317" s="28" t="str">
        <x:v>еда, соусы/маринады</x:v>
      </x:c>
      <x:c r="Z317" s="28" t="str">
        <x:v>Средняя</x:v>
      </x:c>
      <x:c r="AA317" s="28" t="str">
        <x:v>Тезариус вкусов (Ники Сегнит)(1).pdf</x:v>
      </x:c>
      <x:c r="AB317" s="28" t="str">
        <x:v>Тезариус вкусов (Ники Сегнит)(1).pdf: 231, 338</x:v>
      </x:c>
      <x:c r="AC317" s="28" t="str">
        <x:v>развёрнутая пара/статья, стр. 231; развёрнутая пара/статья, стр. 338</x:v>
      </x:c>
      <x:c r="AD317" s="28" t="n">
        <x:v>1</x:v>
      </x:c>
      <x:c r="AE317" s="28" t="n">
        <x:v>2</x:v>
      </x:c>
      <x:c r="AF317" s="28" t="n">
        <x:f>IF(Z317="Высокая",3,IF(Z317="Средняя",2,1))+AD317*2+MIN(AE317,3)</x:f>
        <x:v>6</x:v>
      </x:c>
    </x:row>
    <x:row r="318" ht="64" customHeight="1">
      <x:c r="A318" s="28" t="str">
        <x:v>VEG-0317</x:v>
      </x:c>
      <x:c r="B318" s="28" t="str">
        <x:v>картофель</x:v>
      </x:c>
      <x:c r="C318" s="28" t="str">
        <x:v>Универсальные</x:v>
      </x:c>
      <x:c r="D318" s="28" t="str">
        <x:v>картофель</x:v>
      </x:c>
      <x:c r="E318" s="28" t="str">
        <x:v>boiled potato | oven-roasted potato</x:v>
      </x:c>
      <x:c r="F318" s="28" t="str">
        <x:v>Корнеплоды и клубни</x:v>
      </x:c>
      <x:c r="G318" s="28" t="str">
        <x:v>базилик</x:v>
      </x:c>
      <x:c r="H318" s="28" t="str">
        <x:v>basil</x:v>
      </x:c>
      <x:c r="I318" s="28" t="str">
        <x:v>Травы, цветы и листья</x:v>
      </x:c>
      <x:c r="J318" s="28" t="str">
        <x:v>крахмалистый, землистый, ореховый и жареный после нагрева</x:v>
      </x:c>
      <x:c r="K318" s="28" t="str">
        <x:v>зелёный, пряный, цветочный</x:v>
      </x:c>
      <x:c r="L318" s="28" t="str">
        <x:v>метиональ, 2-ацетил-1-пирролин, пиразины, альдегиды</x:v>
      </x:c>
      <x:c r="M318" s="28" t="str">
        <x:v>линалоол, эвгенол</x:v>
      </x:c>
      <x:c r="N318" s="28" t="str">
        <x:v>прямое пересечение семейств не подтверждено</x:v>
      </x:c>
      <x:c r="O318" s="28" t="str">
        <x:v>надёжная общая ключевая молекула не установлена</x:v>
      </x:c>
      <x:c r="P318" s="28" t="str">
        <x:v>сенсорная комплементарность</x:v>
      </x:c>
      <x:c r="Q31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8" s="28" t="str">
        <x:v>минимальный</x:v>
      </x:c>
      <x:c r="S318" s="28" t="str">
        <x:v>крахмальная водная матрица; структура зависит от сорта и желатинизации крахмала</x:v>
      </x:c>
      <x:c r="T31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8" s="28" t="str">
        <x:v>Картофель имеет профиль «крахмалистый, землистый, ореховый и жареный после нагрева».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318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W318" s="28" t="str">
        <x:v>оливковое масло, лимон или сыр</x:v>
      </x:c>
      <x:c r="X318" s="28" t="str">
        <x:v>пюре, суп, запекание, крем, гарнир, соус или десертная разработка с базилик</x:v>
      </x:c>
      <x:c r="Y318" s="28" t="str">
        <x:v>еда, соусы/маринады</x:v>
      </x:c>
      <x:c r="Z318" s="28" t="str">
        <x:v>Средняя</x:v>
      </x:c>
      <x:c r="AA318" s="28" t="str">
        <x:v>The Art &amp; Science of Foodpairing.pdf</x:v>
      </x:c>
      <x:c r="AB318" s="28" t="str">
        <x:v>The Art &amp; Science of Foodpairing.pdf: 74</x:v>
      </x:c>
      <x:c r="AC318" s="28" t="str">
        <x:v>связь из pairing grid, стр. 74; связь из pairing grid, стр. 74</x:v>
      </x:c>
      <x:c r="AD318" s="28" t="n">
        <x:v>1</x:v>
      </x:c>
      <x:c r="AE318" s="28" t="n">
        <x:v>2</x:v>
      </x:c>
      <x:c r="AF318" s="28" t="n">
        <x:f>IF(Z318="Высокая",3,IF(Z318="Средняя",2,1))+AD318*2+MIN(AE318,3)</x:f>
        <x:v>6</x:v>
      </x:c>
    </x:row>
    <x:row r="319" ht="64" customHeight="1">
      <x:c r="A319" s="28" t="str">
        <x:v>VEG-0318</x:v>
      </x:c>
      <x:c r="B319" s="28" t="str">
        <x:v>картофель</x:v>
      </x:c>
      <x:c r="C319" s="28" t="str">
        <x:v>Еда и соусы</x:v>
      </x:c>
      <x:c r="D319" s="28" t="str">
        <x:v>картофель</x:v>
      </x:c>
      <x:c r="E319" s="28" t="str">
        <x:v>French fries | Картофель | картофель</x:v>
      </x:c>
      <x:c r="F319" s="28" t="str">
        <x:v>Корнеплоды и клубни</x:v>
      </x:c>
      <x:c r="G319" s="28" t="str">
        <x:v>баранина</x:v>
      </x:c>
      <x:c r="H319" s="28" t="str">
        <x:v>grilled lamb | Баранина | баранина</x:v>
      </x:c>
      <x:c r="I319" s="28" t="str">
        <x:v>Мясо и птица</x:v>
      </x:c>
      <x:c r="J319" s="28" t="str">
        <x:v>крахмалистый, землистый, ореховый и жареный после нагрева</x:v>
      </x:c>
      <x:c r="K319" s="28" t="str">
        <x:v>жареный, мясной и умами</x:v>
      </x:c>
      <x:c r="L319" s="28" t="str">
        <x:v>метиональ, 2-ацетил-1-пирролин, пиразины, альдегиды</x:v>
      </x:c>
      <x:c r="M319" s="28" t="str">
        <x:v>пиразины, сернистые соединения</x:v>
      </x:c>
      <x:c r="N319" s="28" t="str">
        <x:v>жареный</x:v>
      </x:c>
      <x:c r="O319" s="28" t="str">
        <x:v>пиразины</x:v>
      </x:c>
      <x:c r="P319" s="28" t="str">
        <x:v>общие характерные молекулы; пересечение ароматических семейств; умами и солёный контраст</x:v>
      </x:c>
      <x:c r="Q31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19" s="28" t="str">
        <x:v>минимальный</x:v>
      </x:c>
      <x:c r="S319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1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19" s="28" t="str">
        <x:v>Картофель имеет профиль «крахмалистый, землистый, ореховый и жареный после нагрева». Партнёр «баранина»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19" s="28" t="str">
        <x:v>зелёные или проросшие клубни не использовать; пережаривание даёт горечь и чрезмерно тёмную корку</x:v>
      </x:c>
      <x:c r="W319" s="28" t="str">
        <x:v>сливочное масло, соевый соус или тимьян</x:v>
      </x:c>
      <x:c r="X319" s="28" t="str">
        <x:v>пюре, суп, запекание, крем, гарнир, соус или десертная разработка с баранина</x:v>
      </x:c>
      <x:c r="Y319" s="28" t="str">
        <x:v>еда, соусы/маринады</x:v>
      </x:c>
      <x:c r="Z319" s="28" t="str">
        <x:v>Высокая</x:v>
      </x:c>
      <x:c r="AA319" s="28" t="str">
        <x:v>The Art &amp; Science of Foodpairing.pdf | Тезариус вкусов (Ники Сегнит)(1).pdf</x:v>
      </x:c>
      <x:c r="AB319" s="28" t="str">
        <x:v>Тезариус вкусов (Ники Сегнит)(1).pdf: 129, 231; The Art &amp; Science of Foodpairing.pdf: 196</x:v>
      </x:c>
      <x:c r="AC319" s="28" t="str">
        <x:v>развёрнутая пара/статья, стр. 129; развёрнутая пара/статья, стр. 231; связь из pairing grid, стр. 196</x:v>
      </x:c>
      <x:c r="AD319" s="28" t="n">
        <x:v>2</x:v>
      </x:c>
      <x:c r="AE319" s="28" t="n">
        <x:v>3</x:v>
      </x:c>
      <x:c r="AF319" s="28" t="n">
        <x:f>IF(Z319="Высокая",3,IF(Z319="Средняя",2,1))+AD319*2+MIN(AE319,3)</x:f>
        <x:v>10</x:v>
      </x:c>
    </x:row>
    <x:row r="320" ht="64" customHeight="1">
      <x:c r="A320" s="28" t="str">
        <x:v>VEG-0319</x:v>
      </x:c>
      <x:c r="B320" s="28" t="str">
        <x:v>картофель</x:v>
      </x:c>
      <x:c r="C320" s="28" t="str">
        <x:v>Еда и соусы</x:v>
      </x:c>
      <x:c r="D320" s="28" t="str">
        <x:v>картофель</x:v>
      </x:c>
      <x:c r="E320" s="28" t="str">
        <x:v>potato, also leads to the formation of beta-damascenone</x:v>
      </x:c>
      <x:c r="F320" s="28" t="str">
        <x:v>Корнеплоды и клубни</x:v>
      </x:c>
      <x:c r="G320" s="28" t="str">
        <x:v>батат</x:v>
      </x:c>
      <x:c r="H320" s="28" t="str">
        <x:v>sweet potato</x:v>
      </x:c>
      <x:c r="I320" s="28" t="str">
        <x:v>Корнеплоды и клубни</x:v>
      </x:c>
      <x:c r="J320" s="28" t="str">
        <x:v>крахмалистый, землистый, ореховый и жареный после нагрева</x:v>
      </x:c>
      <x:c r="K320" s="28" t="str">
        <x:v>сладкий, крахмалистый, цветочный, карамельный и ореховый после запекания</x:v>
      </x:c>
      <x:c r="L320" s="28" t="str">
        <x:v>метиональ, 2-ацетил-1-пирролин, пиразины, альдегиды</x:v>
      </x:c>
      <x:c r="M320" s="28" t="str">
        <x:v>мальтол, норизопреноиды, пиразины, фураны</x:v>
      </x:c>
      <x:c r="N320" s="28" t="str">
        <x:v>жареный, крахмалистый</x:v>
      </x:c>
      <x:c r="O320" s="28" t="str">
        <x:v>пиразины</x:v>
      </x:c>
      <x:c r="P320" s="28" t="str">
        <x:v>общие характерные молекулы; пересечение ароматических семейств</x:v>
      </x:c>
      <x:c r="Q32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0" s="28" t="str">
        <x:v>минимальный</x:v>
      </x:c>
      <x:c r="S320" s="28" t="str">
        <x:v>крахмальная водная матрица; структура зависит от сорта и желатинизации крахмала</x:v>
      </x:c>
      <x:c r="T32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0" s="28" t="str">
        <x:v>Картофель имеет профиль «крахмалистый, землистый, ореховый и жареный после нагрева».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V320" s="28" t="str">
        <x:v>зелёные или проросшие клубни не использовать; пережаривание даёт горечь и чрезмерно тёмную корку</x:v>
      </x:c>
      <x:c r="W320" s="28" t="str">
        <x:v>соль, кислота или ароматический жир</x:v>
      </x:c>
      <x:c r="X320" s="28" t="str">
        <x:v>пюре, суп, запекание, крем, гарнир, соус или десертная разработка с батат</x:v>
      </x:c>
      <x:c r="Y320" s="28" t="str">
        <x:v>еда, соусы/маринады</x:v>
      </x:c>
      <x:c r="Z320" s="28" t="str">
        <x:v>Средняя</x:v>
      </x:c>
      <x:c r="AA320" s="28" t="str">
        <x:v>The Art &amp; Science of Foodpairing.pdf</x:v>
      </x:c>
      <x:c r="AB320" s="28" t="str">
        <x:v>The Art &amp; Science of Foodpairing.pdf: 119</x:v>
      </x:c>
      <x:c r="AC320" s="28" t="str">
        <x:v>связь из pairing grid, стр. 119</x:v>
      </x:c>
      <x:c r="AD320" s="28" t="n">
        <x:v>1</x:v>
      </x:c>
      <x:c r="AE320" s="28" t="n">
        <x:v>1</x:v>
      </x:c>
      <x:c r="AF320" s="28" t="n">
        <x:f>IF(Z320="Высокая",3,IF(Z320="Средняя",2,1))+AD320*2+MIN(AE320,3)</x:f>
        <x:v>5</x:v>
      </x:c>
    </x:row>
    <x:row r="321" ht="64" customHeight="1">
      <x:c r="A321" s="28" t="str">
        <x:v>VEG-0320</x:v>
      </x:c>
      <x:c r="B321" s="28" t="str">
        <x:v>картофель</x:v>
      </x:c>
      <x:c r="C321" s="28" t="str">
        <x:v>Еда и соусы</x:v>
      </x:c>
      <x:c r="D321" s="28" t="str">
        <x:v>картофель</x:v>
      </x:c>
      <x:c r="E321" s="28" t="str">
        <x:v>Картофель | картофель</x:v>
      </x:c>
      <x:c r="F321" s="28" t="str">
        <x:v>Корнеплоды и клубни</x:v>
      </x:c>
      <x:c r="G321" s="28" t="str">
        <x:v>бекон</x:v>
      </x:c>
      <x:c r="H321" s="28" t="str">
        <x:v>Бекон | бекон</x:v>
      </x:c>
      <x:c r="I321" s="28" t="str">
        <x:v>Мясо и птица</x:v>
      </x:c>
      <x:c r="J321" s="28" t="str">
        <x:v>крахмалистый, землистый, ореховый и жареный после нагрева</x:v>
      </x:c>
      <x:c r="K321" s="28" t="str">
        <x:v>дымный, жареный, умами</x:v>
      </x:c>
      <x:c r="L321" s="28" t="str">
        <x:v>метиональ, 2-ацетил-1-пирролин, пиразины, альдегиды</x:v>
      </x:c>
      <x:c r="M321" s="28" t="str">
        <x:v>пиразины, фенолы</x:v>
      </x:c>
      <x:c r="N321" s="28" t="str">
        <x:v>жареный</x:v>
      </x:c>
      <x:c r="O321" s="28" t="str">
        <x:v>пиразины</x:v>
      </x:c>
      <x:c r="P321" s="28" t="str">
        <x:v>общие характерные молекулы; пересечение ароматических семейств; умами и солёный контраст</x:v>
      </x:c>
      <x:c r="Q32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1" s="28" t="str">
        <x:v>минимальный</x:v>
      </x:c>
      <x:c r="S321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2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1" s="28" t="str">
        <x:v>Картофель имеет профиль «крахмалистый, землистый, ореховый и жареный после нагрева».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21" s="28" t="str">
        <x:v>зелёные или проросшие клубни не использовать; пережаривание даёт горечь и чрезмерно тёмную корку</x:v>
      </x:c>
      <x:c r="W321" s="28" t="str">
        <x:v>сливочное масло, соевый соус или тимьян</x:v>
      </x:c>
      <x:c r="X321" s="28" t="str">
        <x:v>пюре, суп, запекание, крем, гарнир, соус или десертная разработка с бекон</x:v>
      </x:c>
      <x:c r="Y321" s="28" t="str">
        <x:v>еда, соусы/маринады</x:v>
      </x:c>
      <x:c r="Z321" s="28" t="str">
        <x:v>Средняя</x:v>
      </x:c>
      <x:c r="AA321" s="28" t="str">
        <x:v>Тезариус вкусов (Ники Сегнит)(1).pdf</x:v>
      </x:c>
      <x:c r="AB321" s="28" t="str">
        <x:v>Тезариус вкусов (Ники Сегнит)(1).pdf: 232, 445</x:v>
      </x:c>
      <x:c r="AC321" s="28" t="str">
        <x:v>развёрнутая пара/статья, стр. 232; развёрнутая пара/статья, стр. 445</x:v>
      </x:c>
      <x:c r="AD321" s="28" t="n">
        <x:v>1</x:v>
      </x:c>
      <x:c r="AE321" s="28" t="n">
        <x:v>2</x:v>
      </x:c>
      <x:c r="AF321" s="28" t="n">
        <x:f>IF(Z321="Высокая",3,IF(Z321="Средняя",2,1))+AD321*2+MIN(AE321,3)</x:f>
        <x:v>6</x:v>
      </x:c>
    </x:row>
    <x:row r="322" ht="64" customHeight="1">
      <x:c r="A322" s="28" t="str">
        <x:v>VEG-0321</x:v>
      </x:c>
      <x:c r="B322" s="28" t="str">
        <x:v>картофель</x:v>
      </x:c>
      <x:c r="C322" s="28" t="str">
        <x:v>Еда и соусы</x:v>
      </x:c>
      <x:c r="D322" s="28" t="str">
        <x:v>картофель</x:v>
      </x:c>
      <x:c r="E322" s="28" t="str">
        <x:v>Картофель | картофель</x:v>
      </x:c>
      <x:c r="F322" s="28" t="str">
        <x:v>Корнеплоды и клубни</x:v>
      </x:c>
      <x:c r="G322" s="28" t="str">
        <x:v>белая рыба</x:v>
      </x:c>
      <x:c r="H322" s="28" t="str">
        <x:v>Белая рыба | белая рыба</x:v>
      </x:c>
      <x:c r="I322" s="28" t="str">
        <x:v>Рыба и морепродукты</x:v>
      </x:c>
      <x:c r="J322" s="28" t="str">
        <x:v>крахмалистый, землистый, ореховый и жареный после нагрева</x:v>
      </x:c>
      <x:c r="K322" s="28" t="str">
        <x:v>жирный, морской, умами</x:v>
      </x:c>
      <x:c r="L322" s="28" t="str">
        <x:v>метиональ, 2-ацетил-1-пирролин, пиразины, альдегиды</x:v>
      </x:c>
      <x:c r="M322" s="28" t="str">
        <x:v>альдегиды, амины</x:v>
      </x:c>
      <x:c r="N322" s="28" t="str">
        <x:v>прямое пересечение семейств не подтверждено</x:v>
      </x:c>
      <x:c r="O322" s="28" t="str">
        <x:v>альдегиды</x:v>
      </x:c>
      <x:c r="P322" s="28" t="str">
        <x:v>общие характерные молекулы; умами и солёный контраст</x:v>
      </x:c>
      <x:c r="Q32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2" s="28" t="str">
        <x:v>минимальный</x:v>
      </x:c>
      <x:c r="S322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2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2" s="28" t="str">
        <x:v>Картофель имеет профиль «крахмалистый, землистый, ореховый и жареный после нагрева». Партнёр «белая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22" s="28" t="str">
        <x:v>зелёные или проросшие клубни не использовать; пережаривание даёт горечь и чрезмерно тёмную корку</x:v>
      </x:c>
      <x:c r="W322" s="28" t="str">
        <x:v>сливочное масло, соевый соус или тимьян</x:v>
      </x:c>
      <x:c r="X322" s="28" t="str">
        <x:v>пюре, суп, запекание, крем, гарнир, соус или десертная разработка с белая рыба</x:v>
      </x:c>
      <x:c r="Y322" s="28" t="str">
        <x:v>еда, соусы/маринады</x:v>
      </x:c>
      <x:c r="Z322" s="28" t="str">
        <x:v>Средняя</x:v>
      </x:c>
      <x:c r="AA322" s="28" t="str">
        <x:v>Тезариус вкусов (Ники Сегнит)(1).pdf</x:v>
      </x:c>
      <x:c r="AB322" s="28" t="str">
        <x:v>Тезариус вкусов (Ники Сегнит)(1).pdf: 232, 385</x:v>
      </x:c>
      <x:c r="AC322" s="28" t="str">
        <x:v>развёрнутая пара/статья, стр. 232; развёрнутая пара/статья, стр. 385</x:v>
      </x:c>
      <x:c r="AD322" s="28" t="n">
        <x:v>1</x:v>
      </x:c>
      <x:c r="AE322" s="28" t="n">
        <x:v>2</x:v>
      </x:c>
      <x:c r="AF322" s="28" t="n">
        <x:f>IF(Z322="Высокая",3,IF(Z322="Средняя",2,1))+AD322*2+MIN(AE322,3)</x:f>
        <x:v>6</x:v>
      </x:c>
    </x:row>
    <x:row r="323" ht="64" customHeight="1">
      <x:c r="A323" s="28" t="str">
        <x:v>VEG-0322</x:v>
      </x:c>
      <x:c r="B323" s="28" t="str">
        <x:v>картофель</x:v>
      </x:c>
      <x:c r="C323" s="28" t="str">
        <x:v>Десерты и выпечка</x:v>
      </x:c>
      <x:c r="D323" s="28" t="str">
        <x:v>картофель</x:v>
      </x:c>
      <x:c r="E323" s="28" t="str">
        <x:v>French fries</x:v>
      </x:c>
      <x:c r="F323" s="28" t="str">
        <x:v>Корнеплоды и клубни</x:v>
      </x:c>
      <x:c r="G323" s="28" t="str">
        <x:v>бразильский орех</x:v>
      </x:c>
      <x:c r="H323" s="28" t="str">
        <x:v>Brazil nut</x:v>
      </x:c>
      <x:c r="I323" s="28" t="str">
        <x:v>Орехи и семена</x:v>
      </x:c>
      <x:c r="J323" s="28" t="str">
        <x:v>крахмалистый, землистый, ореховый и жареный после нагрева</x:v>
      </x:c>
      <x:c r="K323" s="28" t="str">
        <x:v>ореховый, жареный и жирный</x:v>
      </x:c>
      <x:c r="L323" s="28" t="str">
        <x:v>метиональ, 2-ацетил-1-пирролин, пиразины, альдегиды</x:v>
      </x:c>
      <x:c r="M323" s="28" t="str">
        <x:v>альдегиды, пиразины, фураны</x:v>
      </x:c>
      <x:c r="N323" s="28" t="str">
        <x:v>жареный</x:v>
      </x:c>
      <x:c r="O323" s="28" t="str">
        <x:v>альдегиды, пиразины</x:v>
      </x:c>
      <x:c r="P323" s="28" t="str">
        <x:v>общие характерные молекулы; пересечение ароматических семейств</x:v>
      </x:c>
      <x:c r="Q32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3" s="28" t="str">
        <x:v>минимальный</x:v>
      </x:c>
      <x:c r="S323" s="28" t="str">
        <x:v>крахмальная водная матрица; структура зависит от сорта и желатинизации крахмала</x:v>
      </x:c>
      <x:c r="T32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3" s="28" t="str">
        <x:v>Картофель имеет профиль «крахмалистый, землистый, ореховый и жареный после нагрева». Партнёр «бразильский орех»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V323" s="28" t="str">
        <x:v>зелёные или проросшие клубни не использовать; пережаривание даёт горечь и чрезмерно тёмную корку</x:v>
      </x:c>
      <x:c r="W323" s="28" t="str">
        <x:v>соль, кислота или ароматический жир</x:v>
      </x:c>
      <x:c r="X323" s="28" t="str">
        <x:v>пюре, суп, запекание, крем, гарнир, соус или десертная разработка с бразильский орех</x:v>
      </x:c>
      <x:c r="Y323" s="28" t="str">
        <x:v>еда, десерты, соусы/маринады</x:v>
      </x:c>
      <x:c r="Z323" s="28" t="str">
        <x:v>Средняя</x:v>
      </x:c>
      <x:c r="AA323" s="28" t="str">
        <x:v>The Art &amp; Science of Foodpairing.pdf</x:v>
      </x:c>
      <x:c r="AB323" s="28" t="str">
        <x:v>The Art &amp; Science of Foodpairing.pdf: 196</x:v>
      </x:c>
      <x:c r="AC323" s="28" t="str">
        <x:v>связь из pairing grid, стр. 196</x:v>
      </x:c>
      <x:c r="AD323" s="28" t="n">
        <x:v>1</x:v>
      </x:c>
      <x:c r="AE323" s="28" t="n">
        <x:v>1</x:v>
      </x:c>
      <x:c r="AF323" s="28" t="n">
        <x:f>IF(Z323="Высокая",3,IF(Z323="Средняя",2,1))+AD323*2+MIN(AE323,3)</x:f>
        <x:v>5</x:v>
      </x:c>
    </x:row>
    <x:row r="324" ht="64" customHeight="1">
      <x:c r="A324" s="28" t="str">
        <x:v>VEG-0323</x:v>
      </x:c>
      <x:c r="B324" s="28" t="str">
        <x:v>картофель</x:v>
      </x:c>
      <x:c r="C324" s="28" t="str">
        <x:v>Универсальные</x:v>
      </x:c>
      <x:c r="D324" s="28" t="str">
        <x:v>картофель</x:v>
      </x:c>
      <x:c r="E324" s="28" t="str">
        <x:v>French fries</x:v>
      </x:c>
      <x:c r="F324" s="28" t="str">
        <x:v>Корнеплоды и клубни</x:v>
      </x:c>
      <x:c r="G324" s="28" t="str">
        <x:v>бри</x:v>
      </x:c>
      <x:c r="H324" s="28" t="str">
        <x:v>Brie</x:v>
      </x:c>
      <x:c r="I324" s="28" t="str">
        <x:v>Прочее</x:v>
      </x:c>
      <x:c r="J324" s="28" t="str">
        <x:v>крахмалистый, землистый, ореховый и жареный после нагрева</x:v>
      </x:c>
      <x:c r="K324" s="28" t="str">
        <x:v>профиль зависит от конкретного продукта</x:v>
      </x:c>
      <x:c r="L324" s="28" t="str">
        <x:v>метиональ, 2-ацетил-1-пирролин, пиразины, альдегиды</x:v>
      </x:c>
      <x:c r="M324" s="28" t="str">
        <x:v>конкретный молекулярный профиль не указан</x:v>
      </x:c>
      <x:c r="N324" s="28" t="str">
        <x:v>прямое пересечение семейств не подтверждено</x:v>
      </x:c>
      <x:c r="O324" s="28" t="str">
        <x:v>надёжная общая ключевая молекула не установлена</x:v>
      </x:c>
      <x:c r="P324" s="28" t="str">
        <x:v>сенсорная комплементарность</x:v>
      </x:c>
      <x:c r="Q32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4" s="28" t="str">
        <x:v>минимальный</x:v>
      </x:c>
      <x:c r="S324" s="28" t="str">
        <x:v>крахмальная водная матрица; структура зависит от сорта и желатинизации крахмала</x:v>
      </x:c>
      <x:c r="T32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4" s="28" t="str">
        <x:v>Картофель имеет профиль «крахмалистый, землистый, ореховый и жареный после нагрева». Партнёр «бри»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24" s="28" t="str">
        <x:v>зелёные или проросшие клубни не использовать; пережаривание даёт горечь и чрезмерно тёмную корку</x:v>
      </x:c>
      <x:c r="W324" s="28" t="str">
        <x:v>соль, кислота или ароматический жир</x:v>
      </x:c>
      <x:c r="X324" s="28" t="str">
        <x:v>пюре, суп, запекание, крем, гарнир, соус или десертная разработка с бри</x:v>
      </x:c>
      <x:c r="Y324" s="28" t="str">
        <x:v>еда, соусы/маринады</x:v>
      </x:c>
      <x:c r="Z324" s="28" t="str">
        <x:v>Средняя</x:v>
      </x:c>
      <x:c r="AA324" s="28" t="str">
        <x:v>The Art &amp; Science of Foodpairing.pdf</x:v>
      </x:c>
      <x:c r="AB324" s="28" t="str">
        <x:v>The Art &amp; Science of Foodpairing.pdf: 196</x:v>
      </x:c>
      <x:c r="AC324" s="28" t="str">
        <x:v>связь из pairing grid, стр. 196</x:v>
      </x:c>
      <x:c r="AD324" s="28" t="n">
        <x:v>1</x:v>
      </x:c>
      <x:c r="AE324" s="28" t="n">
        <x:v>1</x:v>
      </x:c>
      <x:c r="AF324" s="28" t="n">
        <x:f>IF(Z324="Высокая",3,IF(Z324="Средняя",2,1))+AD324*2+MIN(AE324,3)</x:f>
        <x:v>5</x:v>
      </x:c>
    </x:row>
    <x:row r="325" ht="64" customHeight="1">
      <x:c r="A325" s="28" t="str">
        <x:v>VEG-0324</x:v>
      </x:c>
      <x:c r="B325" s="28" t="str">
        <x:v>картофель</x:v>
      </x:c>
      <x:c r="C325" s="28" t="str">
        <x:v>Универсальные</x:v>
      </x:c>
      <x:c r="D325" s="28" t="str">
        <x:v>картофель</x:v>
      </x:c>
      <x:c r="E325" s="28" t="str">
        <x:v>Картофель | картофель</x:v>
      </x:c>
      <x:c r="F325" s="28" t="str">
        <x:v>Корнеплоды и клубни</x:v>
      </x:c>
      <x:c r="G325" s="28" t="str">
        <x:v>брюква</x:v>
      </x:c>
      <x:c r="H325" s="28" t="str">
        <x:v>Брюква | брюква</x:v>
      </x:c>
      <x:c r="I325" s="28" t="str">
        <x:v>Корнеплоды и крестоцветные</x:v>
      </x:c>
      <x:c r="J325" s="28" t="str">
        <x:v>крахмалистый, землистый, ореховый и жареный после нагрева</x:v>
      </x:c>
      <x:c r="K325" s="28" t="str">
        <x:v>землистый, капустный, сладкий и слегка горчичный</x:v>
      </x:c>
      <x:c r="L325" s="28" t="str">
        <x:v>метиональ, 2-ацетил-1-пирролин, пиразины, альдегиды</x:v>
      </x:c>
      <x:c r="M325" s="28" t="str">
        <x:v>глюкозинолаты, диметилсульфид, изотиоцианаты, фураны</x:v>
      </x:c>
      <x:c r="N325" s="28" t="str">
        <x:v>землистый</x:v>
      </x:c>
      <x:c r="O325" s="28" t="str">
        <x:v>надёжная общая ключевая молекула не установлена</x:v>
      </x:c>
      <x:c r="P325" s="28" t="str">
        <x:v>пересечение ароматических семейств</x:v>
      </x:c>
      <x:c r="Q32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5" s="28" t="str">
        <x:v>минимальный</x:v>
      </x:c>
      <x:c r="S325" s="28" t="str">
        <x:v>крахмальная водная матрица; структура зависит от сорта и желатинизации крахмала</x:v>
      </x:c>
      <x:c r="T32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5" s="28" t="str">
        <x:v>Картофель имеет профиль «крахмалистый, землистый, ореховый и жареный после нагрева». Партнёр «брюква» относится к группе «Корнеплоды и крестоцветные» и даёт землистый, капустный, сладкий и слегка горчичный.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V325" s="28" t="str">
        <x:v>зелёные или проросшие клубни не использовать; пережаривание даёт горечь и чрезмерно тёмную корку</x:v>
      </x:c>
      <x:c r="W325" s="28" t="str">
        <x:v>соль, кислота или ароматический жир</x:v>
      </x:c>
      <x:c r="X325" s="28" t="str">
        <x:v>пюре, суп, запекание, крем, гарнир, соус или десертная разработка с брюква</x:v>
      </x:c>
      <x:c r="Y325" s="28" t="str">
        <x:v>еда, соусы/маринады</x:v>
      </x:c>
      <x:c r="Z325" s="28" t="str">
        <x:v>Средняя</x:v>
      </x:c>
      <x:c r="AA325" s="28" t="str">
        <x:v>Тезариус вкусов (Ники Сегнит)(1).pdf</x:v>
      </x:c>
      <x:c r="AB325" s="28" t="str">
        <x:v>Тезариус вкусов (Ники Сегнит)(1).pdf: 232, 318</x:v>
      </x:c>
      <x:c r="AC325" s="28" t="str">
        <x:v>развёрнутая пара/статья, стр. 232; развёрнутая пара/статья, стр. 318</x:v>
      </x:c>
      <x:c r="AD325" s="28" t="n">
        <x:v>1</x:v>
      </x:c>
      <x:c r="AE325" s="28" t="n">
        <x:v>2</x:v>
      </x:c>
      <x:c r="AF325" s="28" t="n">
        <x:f>IF(Z325="Высокая",3,IF(Z325="Средняя",2,1))+AD325*2+MIN(AE325,3)</x:f>
        <x:v>6</x:v>
      </x:c>
    </x:row>
    <x:row r="326" ht="64" customHeight="1">
      <x:c r="A326" s="28" t="str">
        <x:v>VEG-0325</x:v>
      </x:c>
      <x:c r="B326" s="28" t="str">
        <x:v>картофель</x:v>
      </x:c>
      <x:c r="C326" s="28" t="str">
        <x:v>Еда и соусы</x:v>
      </x:c>
      <x:c r="D326" s="28" t="str">
        <x:v>картофель</x:v>
      </x:c>
      <x:c r="E326" s="28" t="str">
        <x:v>French fries</x:v>
      </x:c>
      <x:c r="F326" s="28" t="str">
        <x:v>Корнеплоды и клубни</x:v>
      </x:c>
      <x:c r="G326" s="28" t="str">
        <x:v>ветчина</x:v>
      </x:c>
      <x:c r="H326" s="28" t="str">
        <x:v>Bayonne ham</x:v>
      </x:c>
      <x:c r="I326" s="28" t="str">
        <x:v>Мясо и птица</x:v>
      </x:c>
      <x:c r="J326" s="28" t="str">
        <x:v>крахмалистый, землистый, ореховый и жареный после нагрева</x:v>
      </x:c>
      <x:c r="K326" s="28" t="str">
        <x:v>жареный, мясной и умами</x:v>
      </x:c>
      <x:c r="L326" s="28" t="str">
        <x:v>метиональ, 2-ацетил-1-пирролин, пиразины, альдегиды</x:v>
      </x:c>
      <x:c r="M326" s="28" t="str">
        <x:v>пиразины, сернистые соединения</x:v>
      </x:c>
      <x:c r="N326" s="28" t="str">
        <x:v>жареный</x:v>
      </x:c>
      <x:c r="O326" s="28" t="str">
        <x:v>пиразины</x:v>
      </x:c>
      <x:c r="P326" s="28" t="str">
        <x:v>общие характерные молекулы; пересечение ароматических семейств; умами и солёный контраст</x:v>
      </x:c>
      <x:c r="Q32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6" s="28" t="str">
        <x:v>минимальный</x:v>
      </x:c>
      <x:c r="S326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2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6" s="28" t="str">
        <x:v>Картофель имеет профиль «крахмалистый, землистый, ореховый и жареный после нагрева». Партнёр «ветчина»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26" s="28" t="str">
        <x:v>зелёные или проросшие клубни не использовать; пережаривание даёт горечь и чрезмерно тёмную корку</x:v>
      </x:c>
      <x:c r="W326" s="28" t="str">
        <x:v>сливочное масло, соевый соус или тимьян</x:v>
      </x:c>
      <x:c r="X326" s="28" t="str">
        <x:v>пюре, суп, запекание, крем, гарнир, соус или десертная разработка с ветчина</x:v>
      </x:c>
      <x:c r="Y326" s="28" t="str">
        <x:v>еда, соусы/маринады</x:v>
      </x:c>
      <x:c r="Z326" s="28" t="str">
        <x:v>Средняя</x:v>
      </x:c>
      <x:c r="AA326" s="28" t="str">
        <x:v>The Art &amp; Science of Foodpairing.pdf</x:v>
      </x:c>
      <x:c r="AB326" s="28" t="str">
        <x:v>The Art &amp; Science of Foodpairing.pdf: 196</x:v>
      </x:c>
      <x:c r="AC326" s="28" t="str">
        <x:v>связь из pairing grid, стр. 196</x:v>
      </x:c>
      <x:c r="AD326" s="28" t="n">
        <x:v>1</x:v>
      </x:c>
      <x:c r="AE326" s="28" t="n">
        <x:v>1</x:v>
      </x:c>
      <x:c r="AF326" s="28" t="n">
        <x:f>IF(Z326="Высокая",3,IF(Z326="Средняя",2,1))+AD326*2+MIN(AE326,3)</x:f>
        <x:v>5</x:v>
      </x:c>
    </x:row>
    <x:row r="327" ht="64" customHeight="1">
      <x:c r="A327" s="28" t="str">
        <x:v>VEG-0326</x:v>
      </x:c>
      <x:c r="B327" s="28" t="str">
        <x:v>картофель</x:v>
      </x:c>
      <x:c r="C327" s="28" t="str">
        <x:v>Десерты и выпечка</x:v>
      </x:c>
      <x:c r="D327" s="28" t="str">
        <x:v>картофель</x:v>
      </x:c>
      <x:c r="E327" s="28" t="str">
        <x:v>French fries</x:v>
      </x:c>
      <x:c r="F327" s="28" t="str">
        <x:v>Корнеплоды и клубни</x:v>
      </x:c>
      <x:c r="G327" s="28" t="str">
        <x:v>вишня</x:v>
      </x:c>
      <x:c r="H327" s="28" t="str">
        <x:v>Morello cherry</x:v>
      </x:c>
      <x:c r="I327" s="28" t="str">
        <x:v>Фрукты и ягоды</x:v>
      </x:c>
      <x:c r="J327" s="28" t="str">
        <x:v>крахмалистый, землистый, ореховый и жареный после нагрева</x:v>
      </x:c>
      <x:c r="K327" s="28" t="str">
        <x:v>миндальный, фруктовый</x:v>
      </x:c>
      <x:c r="L327" s="28" t="str">
        <x:v>метиональ, 2-ацетил-1-пирролин, пиразины, альдегиды</x:v>
      </x:c>
      <x:c r="M327" s="28" t="str">
        <x:v>бензальдегид, эфиры</x:v>
      </x:c>
      <x:c r="N327" s="28" t="str">
        <x:v>прямое пересечение семейств не подтверждено</x:v>
      </x:c>
      <x:c r="O327" s="28" t="str">
        <x:v>надёжная общая ключевая молекула не установлена</x:v>
      </x:c>
      <x:c r="P327" s="28" t="str">
        <x:v>кислотно-сладкий баланс</x:v>
      </x:c>
      <x:c r="Q32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7" s="28" t="str">
        <x:v>минимальный</x:v>
      </x:c>
      <x:c r="S327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2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7" s="28" t="str">
        <x:v>Картофель имеет профиль «крахмалистый, землистый, ореховый и жареный после нагрева». Партнёр «вишня» относится к группе «Фрукты и ягоды» и даёт миндальный,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27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27" s="28" t="str">
        <x:v>цитрус, мёд или мягкая трава</x:v>
      </x:c>
      <x:c r="X327" s="28" t="str">
        <x:v>пюре, суп, запекание, крем, гарнир, соус или десертная разработка с вишня</x:v>
      </x:c>
      <x:c r="Y327" s="28" t="str">
        <x:v>еда, десерты, соусы/маринады</x:v>
      </x:c>
      <x:c r="Z327" s="28" t="str">
        <x:v>Средняя</x:v>
      </x:c>
      <x:c r="AA327" s="28" t="str">
        <x:v>The Art &amp; Science of Foodpairing.pdf</x:v>
      </x:c>
      <x:c r="AB327" s="28" t="str">
        <x:v>The Art &amp; Science of Foodpairing.pdf: 196</x:v>
      </x:c>
      <x:c r="AC327" s="28" t="str">
        <x:v>связь из pairing grid, стр. 196</x:v>
      </x:c>
      <x:c r="AD327" s="28" t="n">
        <x:v>1</x:v>
      </x:c>
      <x:c r="AE327" s="28" t="n">
        <x:v>1</x:v>
      </x:c>
      <x:c r="AF327" s="28" t="n">
        <x:f>IF(Z327="Высокая",3,IF(Z327="Средняя",2,1))+AD327*2+MIN(AE327,3)</x:f>
        <x:v>5</x:v>
      </x:c>
    </x:row>
    <x:row r="328" ht="64" customHeight="1">
      <x:c r="A328" s="28" t="str">
        <x:v>VEG-0327</x:v>
      </x:c>
      <x:c r="B328" s="28" t="str">
        <x:v>картофель</x:v>
      </x:c>
      <x:c r="C328" s="28" t="str">
        <x:v>Универсальные</x:v>
      </x:c>
      <x:c r="D328" s="28" t="str">
        <x:v>картофель</x:v>
      </x:c>
      <x:c r="E328" s="28" t="str">
        <x:v>French fries</x:v>
      </x:c>
      <x:c r="F328" s="28" t="str">
        <x:v>Корнеплоды и клубни</x:v>
      </x:c>
      <x:c r="G328" s="28" t="str">
        <x:v>водоросли</x:v>
      </x:c>
      <x:c r="H328" s="28" t="str">
        <x:v>seaweed</x:v>
      </x:c>
      <x:c r="I328" s="28" t="str">
        <x:v>Прочее</x:v>
      </x:c>
      <x:c r="J328" s="28" t="str">
        <x:v>крахмалистый, землистый, ореховый и жареный после нагрева</x:v>
      </x:c>
      <x:c r="K328" s="28" t="str">
        <x:v>профиль зависит от конкретного продукта</x:v>
      </x:c>
      <x:c r="L328" s="28" t="str">
        <x:v>метиональ, 2-ацетил-1-пирролин, пиразины, альдегиды</x:v>
      </x:c>
      <x:c r="M328" s="28" t="str">
        <x:v>конкретный молекулярный профиль не указан</x:v>
      </x:c>
      <x:c r="N328" s="28" t="str">
        <x:v>прямое пересечение семейств не подтверждено</x:v>
      </x:c>
      <x:c r="O328" s="28" t="str">
        <x:v>надёжная общая ключевая молекула не установлена</x:v>
      </x:c>
      <x:c r="P328" s="28" t="str">
        <x:v>сенсорная комплементарность</x:v>
      </x:c>
      <x:c r="Q32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8" s="28" t="str">
        <x:v>минимальный</x:v>
      </x:c>
      <x:c r="S328" s="28" t="str">
        <x:v>крахмальная водная матрица; структура зависит от сорта и желатинизации крахмала</x:v>
      </x:c>
      <x:c r="T32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8" s="28" t="str">
        <x:v>Картофель имеет профиль «крахмалистый, землистый, ореховый и жареный после нагрева».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28" s="28" t="str">
        <x:v>зелёные или проросшие клубни не использовать; пережаривание даёт горечь и чрезмерно тёмную корку</x:v>
      </x:c>
      <x:c r="W328" s="28" t="str">
        <x:v>соль, кислота или ароматический жир</x:v>
      </x:c>
      <x:c r="X328" s="28" t="str">
        <x:v>пюре, суп, запекание, крем, гарнир, соус или десертная разработка с водоросли</x:v>
      </x:c>
      <x:c r="Y328" s="28" t="str">
        <x:v>еда, соусы/маринады</x:v>
      </x:c>
      <x:c r="Z328" s="28" t="str">
        <x:v>Высокая</x:v>
      </x:c>
      <x:c r="AA328" s="28" t="str">
        <x:v>The Art &amp; Science of Foodpairing.pdf</x:v>
      </x:c>
      <x:c r="AB328" s="28" t="str">
        <x:v>The Art &amp; Science of Foodpairing.pdf: 266</x:v>
      </x:c>
      <x:c r="AC328" s="28" t="str">
        <x:v>прямая Potential pairing, стр. 266</x:v>
      </x:c>
      <x:c r="AD328" s="28" t="n">
        <x:v>1</x:v>
      </x:c>
      <x:c r="AE328" s="28" t="n">
        <x:v>1</x:v>
      </x:c>
      <x:c r="AF328" s="28" t="n">
        <x:f>IF(Z328="Высокая",3,IF(Z328="Средняя",2,1))+AD328*2+MIN(AE328,3)</x:f>
        <x:v>6</x:v>
      </x:c>
    </x:row>
    <x:row r="329" ht="64" customHeight="1">
      <x:c r="A329" s="28" t="str">
        <x:v>VEG-0328</x:v>
      </x:c>
      <x:c r="B329" s="28" t="str">
        <x:v>картофель</x:v>
      </x:c>
      <x:c r="C329" s="28" t="str">
        <x:v>Универсальные</x:v>
      </x:c>
      <x:c r="D329" s="28" t="str">
        <x:v>картофель</x:v>
      </x:c>
      <x:c r="E329" s="28" t="str">
        <x:v>Картофель | картофель</x:v>
      </x:c>
      <x:c r="F329" s="28" t="str">
        <x:v>Корнеплоды и клубни</x:v>
      </x:c>
      <x:c r="G329" s="28" t="str">
        <x:v>водяной кресс</x:v>
      </x:c>
      <x:c r="H329" s="28" t="str">
        <x:v>Водяной кресс | водяной кресс</x:v>
      </x:c>
      <x:c r="I329" s="28" t="str">
        <x:v>Прочее</x:v>
      </x:c>
      <x:c r="J329" s="28" t="str">
        <x:v>крахмалистый, землистый, ореховый и жареный после нагрева</x:v>
      </x:c>
      <x:c r="K329" s="28" t="str">
        <x:v>профиль зависит от конкретного продукта</x:v>
      </x:c>
      <x:c r="L329" s="28" t="str">
        <x:v>метиональ, 2-ацетил-1-пирролин, пиразины, альдегиды</x:v>
      </x:c>
      <x:c r="M329" s="28" t="str">
        <x:v>конкретный молекулярный профиль не указан</x:v>
      </x:c>
      <x:c r="N329" s="28" t="str">
        <x:v>прямое пересечение семейств не подтверждено</x:v>
      </x:c>
      <x:c r="O329" s="28" t="str">
        <x:v>надёжная общая ключевая молекула не установлена</x:v>
      </x:c>
      <x:c r="P329" s="28" t="str">
        <x:v>сенсорная комплементарность</x:v>
      </x:c>
      <x:c r="Q32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29" s="28" t="str">
        <x:v>минимальный</x:v>
      </x:c>
      <x:c r="S329" s="28" t="str">
        <x:v>крахмальная водная матрица; структура зависит от сорта и желатинизации крахмала</x:v>
      </x:c>
      <x:c r="T32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29" s="28" t="str">
        <x:v>Картофель имеет профиль «крахмалистый, землистый, ореховый и жареный после нагрева». Партнёр «водяной кресс»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29" s="28" t="str">
        <x:v>зелёные или проросшие клубни не использовать; пережаривание даёт горечь и чрезмерно тёмную корку</x:v>
      </x:c>
      <x:c r="W329" s="28" t="str">
        <x:v>соль, кислота или ароматический жир</x:v>
      </x:c>
      <x:c r="X329" s="28" t="str">
        <x:v>пюре, суп, запекание, крем, гарнир, соус или десертная разработка с водяной кресс</x:v>
      </x:c>
      <x:c r="Y329" s="28" t="str">
        <x:v>еда, соусы/маринады</x:v>
      </x:c>
      <x:c r="Z329" s="28" t="str">
        <x:v>Средняя</x:v>
      </x:c>
      <x:c r="AA329" s="28" t="str">
        <x:v>Тезариус вкусов (Ники Сегнит)(1).pdf</x:v>
      </x:c>
      <x:c r="AB329" s="28" t="str">
        <x:v>Тезариус вкусов (Ники Сегнит)(1).pdf: 233, 260</x:v>
      </x:c>
      <x:c r="AC329" s="28" t="str">
        <x:v>развёрнутая пара/статья, стр. 233; развёрнутая пара/статья, стр. 260</x:v>
      </x:c>
      <x:c r="AD329" s="28" t="n">
        <x:v>1</x:v>
      </x:c>
      <x:c r="AE329" s="28" t="n">
        <x:v>2</x:v>
      </x:c>
      <x:c r="AF329" s="28" t="n">
        <x:f>IF(Z329="Высокая",3,IF(Z329="Средняя",2,1))+AD329*2+MIN(AE329,3)</x:f>
        <x:v>6</x:v>
      </x:c>
    </x:row>
    <x:row r="330" ht="64" customHeight="1">
      <x:c r="A330" s="28" t="str">
        <x:v>VEG-0329</x:v>
      </x:c>
      <x:c r="B330" s="28" t="str">
        <x:v>картофель</x:v>
      </x:c>
      <x:c r="C330" s="28" t="str">
        <x:v>Еда и соусы</x:v>
      </x:c>
      <x:c r="D330" s="28" t="str">
        <x:v>картофель</x:v>
      </x:c>
      <x:c r="E330" s="28" t="str">
        <x:v>Картофель | картофель</x:v>
      </x:c>
      <x:c r="F330" s="28" t="str">
        <x:v>Корнеплоды и клубни</x:v>
      </x:c>
      <x:c r="G330" s="28" t="str">
        <x:v>говядина</x:v>
      </x:c>
      <x:c r="H330" s="28" t="str">
        <x:v>Говядина | говядина</x:v>
      </x:c>
      <x:c r="I330" s="28" t="str">
        <x:v>Мясо и птица</x:v>
      </x:c>
      <x:c r="J330" s="28" t="str">
        <x:v>крахмалистый, землистый, ореховый и жареный после нагрева</x:v>
      </x:c>
      <x:c r="K330" s="28" t="str">
        <x:v>жареный, мясной и умами</x:v>
      </x:c>
      <x:c r="L330" s="28" t="str">
        <x:v>метиональ, 2-ацетил-1-пирролин, пиразины, альдегиды</x:v>
      </x:c>
      <x:c r="M330" s="28" t="str">
        <x:v>пиразины, сернистые соединения</x:v>
      </x:c>
      <x:c r="N330" s="28" t="str">
        <x:v>жареный</x:v>
      </x:c>
      <x:c r="O330" s="28" t="str">
        <x:v>пиразины</x:v>
      </x:c>
      <x:c r="P330" s="28" t="str">
        <x:v>общие характерные молекулы; пересечение ароматических семейств; умами и солёный контраст</x:v>
      </x:c>
      <x:c r="Q33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0" s="28" t="str">
        <x:v>минимальный</x:v>
      </x:c>
      <x:c r="S330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3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0" s="28" t="str">
        <x:v>Картофель имеет профиль «крахмалистый, землистый, ореховый и жареный после нагрева».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30" s="28" t="str">
        <x:v>зелёные или проросшие клубни не использовать; пережаривание даёт горечь и чрезмерно тёмную корку</x:v>
      </x:c>
      <x:c r="W330" s="28" t="str">
        <x:v>сливочное масло, соевый соус или тимьян</x:v>
      </x:c>
      <x:c r="X330" s="28" t="str">
        <x:v>пюре, суп, запекание, крем, гарнир, соус или десертная разработка с говядина</x:v>
      </x:c>
      <x:c r="Y330" s="28" t="str">
        <x:v>еда, соусы/маринады</x:v>
      </x:c>
      <x:c r="Z330" s="28" t="str">
        <x:v>Средняя</x:v>
      </x:c>
      <x:c r="AA330" s="28" t="str">
        <x:v>Тезариус вкусов (Ники Сегнит)(1).pdf</x:v>
      </x:c>
      <x:c r="AB330" s="28" t="str">
        <x:v>Тезариус вкусов (Ники Сегнит)(1).pdf: 111, 233</x:v>
      </x:c>
      <x:c r="AC330" s="28" t="str">
        <x:v>развёрнутая пара/статья, стр. 111; развёрнутая пара/статья, стр. 233</x:v>
      </x:c>
      <x:c r="AD330" s="28" t="n">
        <x:v>1</x:v>
      </x:c>
      <x:c r="AE330" s="28" t="n">
        <x:v>2</x:v>
      </x:c>
      <x:c r="AF330" s="28" t="n">
        <x:f>IF(Z330="Высокая",3,IF(Z330="Средняя",2,1))+AD330*2+MIN(AE330,3)</x:f>
        <x:v>6</x:v>
      </x:c>
    </x:row>
    <x:row r="331" ht="64" customHeight="1">
      <x:c r="A331" s="28" t="str">
        <x:v>VEG-0330</x:v>
      </x:c>
      <x:c r="B331" s="28" t="str">
        <x:v>картофель</x:v>
      </x:c>
      <x:c r="C331" s="28" t="str">
        <x:v>Еда и соусы</x:v>
      </x:c>
      <x:c r="D331" s="28" t="str">
        <x:v>картофель</x:v>
      </x:c>
      <x:c r="E331" s="28" t="str">
        <x:v>French fries</x:v>
      </x:c>
      <x:c r="F331" s="28" t="str">
        <x:v>Корнеплоды и клубни</x:v>
      </x:c>
      <x:c r="G331" s="28" t="str">
        <x:v>говядина сухой выдержки</x:v>
      </x:c>
      <x:c r="H331" s="28" t="str">
        <x:v>dry-aged beef</x:v>
      </x:c>
      <x:c r="I331" s="28" t="str">
        <x:v>Мясо и птица</x:v>
      </x:c>
      <x:c r="J331" s="28" t="str">
        <x:v>крахмалистый, землистый, ореховый и жареный после нагрева</x:v>
      </x:c>
      <x:c r="K331" s="28" t="str">
        <x:v>жареный, мясной и умами</x:v>
      </x:c>
      <x:c r="L331" s="28" t="str">
        <x:v>метиональ, 2-ацетил-1-пирролин, пиразины, альдегиды</x:v>
      </x:c>
      <x:c r="M331" s="28" t="str">
        <x:v>пиразины, сернистые соединения</x:v>
      </x:c>
      <x:c r="N331" s="28" t="str">
        <x:v>жареный</x:v>
      </x:c>
      <x:c r="O331" s="28" t="str">
        <x:v>пиразины</x:v>
      </x:c>
      <x:c r="P331" s="28" t="str">
        <x:v>общие характерные молекулы; пересечение ароматических семейств; умами и солёный контраст</x:v>
      </x:c>
      <x:c r="Q33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1" s="28" t="str">
        <x:v>минимальный</x:v>
      </x:c>
      <x:c r="S331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3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1" s="28" t="str">
        <x:v>Картофель имеет профиль «крахмалистый, землистый, ореховый и жареный после нагрева». Партнёр «говядина сухой выдержки»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31" s="28" t="str">
        <x:v>зелёные или проросшие клубни не использовать; пережаривание даёт горечь и чрезмерно тёмную корку</x:v>
      </x:c>
      <x:c r="W331" s="28" t="str">
        <x:v>сливочное масло, соевый соус или тимьян</x:v>
      </x:c>
      <x:c r="X331" s="28" t="str">
        <x:v>пюре, суп, запекание, крем, гарнир, соус или десертная разработка с говядина сухой выдержки</x:v>
      </x:c>
      <x:c r="Y331" s="28" t="str">
        <x:v>еда, соусы/маринады</x:v>
      </x:c>
      <x:c r="Z331" s="28" t="str">
        <x:v>Средняя</x:v>
      </x:c>
      <x:c r="AA331" s="28" t="str">
        <x:v>The Art &amp; Science of Foodpairing.pdf</x:v>
      </x:c>
      <x:c r="AB331" s="28" t="str">
        <x:v>The Art &amp; Science of Foodpairing.pdf: 196</x:v>
      </x:c>
      <x:c r="AC331" s="28" t="str">
        <x:v>связь из pairing grid, стр. 196; связь из pairing grid, стр. 196</x:v>
      </x:c>
      <x:c r="AD331" s="28" t="n">
        <x:v>1</x:v>
      </x:c>
      <x:c r="AE331" s="28" t="n">
        <x:v>2</x:v>
      </x:c>
      <x:c r="AF331" s="28" t="n">
        <x:f>IF(Z331="Высокая",3,IF(Z331="Средняя",2,1))+AD331*2+MIN(AE331,3)</x:f>
        <x:v>6</x:v>
      </x:c>
    </x:row>
    <x:row r="332" ht="64" customHeight="1">
      <x:c r="A332" s="28" t="str">
        <x:v>VEG-0331</x:v>
      </x:c>
      <x:c r="B332" s="28" t="str">
        <x:v>картофель</x:v>
      </x:c>
      <x:c r="C332" s="28" t="str">
        <x:v>Еда и соусы</x:v>
      </x:c>
      <x:c r="D332" s="28" t="str">
        <x:v>картофель</x:v>
      </x:c>
      <x:c r="E332" s="28" t="str">
        <x:v>Картофель | картофель</x:v>
      </x:c>
      <x:c r="F332" s="28" t="str">
        <x:v>Корнеплоды и клубни</x:v>
      </x:c>
      <x:c r="G332" s="28" t="str">
        <x:v>горох</x:v>
      </x:c>
      <x:c r="H332" s="28" t="str">
        <x:v>Горох | горох</x:v>
      </x:c>
      <x:c r="I332" s="28" t="str">
        <x:v>Бобовые</x:v>
      </x:c>
      <x:c r="J332" s="28" t="str">
        <x:v>крахмалистый, землистый, ореховый и жареный после нагрева</x:v>
      </x:c>
      <x:c r="K332" s="28" t="str">
        <x:v>зелёный, сладкий, бобовый и слегка цветочный</x:v>
      </x:c>
      <x:c r="L332" s="28" t="str">
        <x:v>метиональ, 2-ацетил-1-пирролин, пиразины, альдегиды</x:v>
      </x:c>
      <x:c r="M332" s="28" t="str">
        <x:v>гексаналь, метоксипиразины, цис-3-гексенол, эфиры</x:v>
      </x:c>
      <x:c r="N332" s="28" t="str">
        <x:v>прямое пересечение семейств не подтверждено</x:v>
      </x:c>
      <x:c r="O332" s="28" t="str">
        <x:v>надёжная общая ключевая молекула не установлена</x:v>
      </x:c>
      <x:c r="P332" s="28" t="str">
        <x:v>сенсорная комплементарность</x:v>
      </x:c>
      <x:c r="Q33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2" s="28" t="str">
        <x:v>минимальный</x:v>
      </x:c>
      <x:c r="S332" s="28" t="str">
        <x:v>крахмальная водная матрица; структура зависит от сорта и желатинизации крахмала</x:v>
      </x:c>
      <x:c r="T33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2" s="28" t="str">
        <x:v>Картофель имеет профиль «крахмалистый, землистый, ореховый и жареный после нагрева». Партнёр «горох» относится к группе «Бобовые» и даёт зелёный, сладкий, бобовый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32" s="28" t="str">
        <x:v>зелёные или проросшие клубни не использовать; пережаривание даёт горечь и чрезмерно тёмную корку</x:v>
      </x:c>
      <x:c r="W332" s="28" t="str">
        <x:v>соль, кислота или ароматический жир</x:v>
      </x:c>
      <x:c r="X332" s="28" t="str">
        <x:v>пюре, суп, запекание, крем, гарнир, соус или десертная разработка с горох</x:v>
      </x:c>
      <x:c r="Y332" s="28" t="str">
        <x:v>еда, соусы/маринады</x:v>
      </x:c>
      <x:c r="Z332" s="28" t="str">
        <x:v>Средняя</x:v>
      </x:c>
      <x:c r="AA332" s="28" t="str">
        <x:v>Тезариус вкусов (Ники Сегнит)(1).pdf</x:v>
      </x:c>
      <x:c r="AB332" s="28" t="str">
        <x:v>Тезариус вкусов (Ники Сегнит)(1).pdf: 233, 538</x:v>
      </x:c>
      <x:c r="AC332" s="28" t="str">
        <x:v>развёрнутая пара/статья, стр. 233; развёрнутая пара/статья, стр. 538</x:v>
      </x:c>
      <x:c r="AD332" s="28" t="n">
        <x:v>1</x:v>
      </x:c>
      <x:c r="AE332" s="28" t="n">
        <x:v>2</x:v>
      </x:c>
      <x:c r="AF332" s="28" t="n">
        <x:f>IF(Z332="Высокая",3,IF(Z332="Средняя",2,1))+AD332*2+MIN(AE332,3)</x:f>
        <x:v>6</x:v>
      </x:c>
    </x:row>
    <x:row r="333" ht="64" customHeight="1">
      <x:c r="A333" s="28" t="str">
        <x:v>VEG-0332</x:v>
      </x:c>
      <x:c r="B333" s="28" t="str">
        <x:v>картофель</x:v>
      </x:c>
      <x:c r="C333" s="28" t="str">
        <x:v>Универсальные</x:v>
      </x:c>
      <x:c r="D333" s="28" t="str">
        <x:v>картофель</x:v>
      </x:c>
      <x:c r="E333" s="28" t="str">
        <x:v>French fries</x:v>
      </x:c>
      <x:c r="F333" s="28" t="str">
        <x:v>Корнеплоды и клубни</x:v>
      </x:c>
      <x:c r="G333" s="28" t="str">
        <x:v>грюйер</x:v>
      </x:c>
      <x:c r="H333" s="28" t="str">
        <x:v>Gruyere</x:v>
      </x:c>
      <x:c r="I333" s="28" t="str">
        <x:v>Прочее</x:v>
      </x:c>
      <x:c r="J333" s="28" t="str">
        <x:v>крахмалистый, землистый, ореховый и жареный после нагрева</x:v>
      </x:c>
      <x:c r="K333" s="28" t="str">
        <x:v>профиль зависит от конкретного продукта</x:v>
      </x:c>
      <x:c r="L333" s="28" t="str">
        <x:v>метиональ, 2-ацетил-1-пирролин, пиразины, альдегиды</x:v>
      </x:c>
      <x:c r="M333" s="28" t="str">
        <x:v>конкретный молекулярный профиль не указан</x:v>
      </x:c>
      <x:c r="N333" s="28" t="str">
        <x:v>прямое пересечение семейств не подтверждено</x:v>
      </x:c>
      <x:c r="O333" s="28" t="str">
        <x:v>надёжная общая ключевая молекула не установлена</x:v>
      </x:c>
      <x:c r="P333" s="28" t="str">
        <x:v>сенсорная комплементарность</x:v>
      </x:c>
      <x:c r="Q33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3" s="28" t="str">
        <x:v>минимальный</x:v>
      </x:c>
      <x:c r="S333" s="28" t="str">
        <x:v>крахмальная водная матрица; структура зависит от сорта и желатинизации крахмала</x:v>
      </x:c>
      <x:c r="T33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3" s="28" t="str">
        <x:v>Картофель имеет профиль «крахмалистый, землистый, ореховый и жареный после нагрева».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33" s="28" t="str">
        <x:v>зелёные или проросшие клубни не использовать; пережаривание даёт горечь и чрезмерно тёмную корку</x:v>
      </x:c>
      <x:c r="W333" s="28" t="str">
        <x:v>соль, кислота или ароматический жир</x:v>
      </x:c>
      <x:c r="X333" s="28" t="str">
        <x:v>пюре, суп, запекание, крем, гарнир, соус или десертная разработка с грюйер</x:v>
      </x:c>
      <x:c r="Y333" s="28" t="str">
        <x:v>еда, соусы/маринады</x:v>
      </x:c>
      <x:c r="Z333" s="28" t="str">
        <x:v>Средняя</x:v>
      </x:c>
      <x:c r="AA333" s="28" t="str">
        <x:v>The Art &amp; Science of Foodpairing.pdf</x:v>
      </x:c>
      <x:c r="AB333" s="28" t="str">
        <x:v>The Art &amp; Science of Foodpairing.pdf: 196</x:v>
      </x:c>
      <x:c r="AC333" s="28" t="str">
        <x:v>связь из pairing grid, стр. 196</x:v>
      </x:c>
      <x:c r="AD333" s="28" t="n">
        <x:v>1</x:v>
      </x:c>
      <x:c r="AE333" s="28" t="n">
        <x:v>1</x:v>
      </x:c>
      <x:c r="AF333" s="28" t="n">
        <x:f>IF(Z333="Высокая",3,IF(Z333="Средняя",2,1))+AD333*2+MIN(AE333,3)</x:f>
        <x:v>5</x:v>
      </x:c>
    </x:row>
    <x:row r="334" ht="64" customHeight="1">
      <x:c r="A334" s="28" t="str">
        <x:v>VEG-0333</x:v>
      </x:c>
      <x:c r="B334" s="28" t="str">
        <x:v>картофель</x:v>
      </x:c>
      <x:c r="C334" s="28" t="str">
        <x:v>Десерты и выпечка</x:v>
      </x:c>
      <x:c r="D334" s="28" t="str">
        <x:v>картофель</x:v>
      </x:c>
      <x:c r="E334" s="28" t="str">
        <x:v>French fries</x:v>
      </x:c>
      <x:c r="F334" s="28" t="str">
        <x:v>Корнеплоды и клубни</x:v>
      </x:c>
      <x:c r="G334" s="28" t="str">
        <x:v>гуава</x:v>
      </x:c>
      <x:c r="H334" s="28" t="str">
        <x:v>guava</x:v>
      </x:c>
      <x:c r="I334" s="28" t="str">
        <x:v>Фрукты и ягоды</x:v>
      </x:c>
      <x:c r="J334" s="28" t="str">
        <x:v>крахмалистый, землистый, ореховый и жареный после нагрева</x:v>
      </x:c>
      <x:c r="K334" s="28" t="str">
        <x:v>фруктовый, цветочный и свежий</x:v>
      </x:c>
      <x:c r="L334" s="28" t="str">
        <x:v>метиональ, 2-ацетил-1-пирролин, пиразины, альдегиды</x:v>
      </x:c>
      <x:c r="M334" s="28" t="str">
        <x:v>альдегиды, эфиры</x:v>
      </x:c>
      <x:c r="N334" s="28" t="str">
        <x:v>прямое пересечение семейств не подтверждено</x:v>
      </x:c>
      <x:c r="O334" s="28" t="str">
        <x:v>альдегиды</x:v>
      </x:c>
      <x:c r="P334" s="28" t="str">
        <x:v>общие характерные молекулы; кислотно-сладкий баланс</x:v>
      </x:c>
      <x:c r="Q33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4" s="28" t="str">
        <x:v>минимальный</x:v>
      </x:c>
      <x:c r="S334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3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4" s="28" t="str">
        <x:v>Картофель имеет профиль «крахмалистый, землистый, ореховый и жареный после нагрева». Партнёр «гуава»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34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34" s="28" t="str">
        <x:v>цитрус, мёд или мягкая трава</x:v>
      </x:c>
      <x:c r="X334" s="28" t="str">
        <x:v>пюре, суп, запекание, крем, гарнир, соус или десертная разработка с гуава</x:v>
      </x:c>
      <x:c r="Y334" s="28" t="str">
        <x:v>еда, десерты, соусы/маринады</x:v>
      </x:c>
      <x:c r="Z334" s="28" t="str">
        <x:v>Средняя</x:v>
      </x:c>
      <x:c r="AA334" s="28" t="str">
        <x:v>The Art &amp; Science of Foodpairing.pdf</x:v>
      </x:c>
      <x:c r="AB334" s="28" t="str">
        <x:v>The Art &amp; Science of Foodpairing.pdf: 196</x:v>
      </x:c>
      <x:c r="AC334" s="28" t="str">
        <x:v>связь из pairing grid, стр. 196</x:v>
      </x:c>
      <x:c r="AD334" s="28" t="n">
        <x:v>1</x:v>
      </x:c>
      <x:c r="AE334" s="28" t="n">
        <x:v>1</x:v>
      </x:c>
      <x:c r="AF334" s="28" t="n">
        <x:f>IF(Z334="Высокая",3,IF(Z334="Средняя",2,1))+AD334*2+MIN(AE334,3)</x:f>
        <x:v>5</x:v>
      </x:c>
    </x:row>
    <x:row r="335" ht="64" customHeight="1">
      <x:c r="A335" s="28" t="str">
        <x:v>VEG-0334</x:v>
      </x:c>
      <x:c r="B335" s="28" t="str">
        <x:v>картофель</x:v>
      </x:c>
      <x:c r="C335" s="28" t="str">
        <x:v>Еда и соусы</x:v>
      </x:c>
      <x:c r="D335" s="28" t="str">
        <x:v>картофель</x:v>
      </x:c>
      <x:c r="E335" s="28" t="str">
        <x:v>French fries</x:v>
      </x:c>
      <x:c r="F335" s="28" t="str">
        <x:v>Корнеплоды и клубни</x:v>
      </x:c>
      <x:c r="G335" s="28" t="str">
        <x:v>дикая утка</x:v>
      </x:c>
      <x:c r="H335" s="28" t="str">
        <x:v>pan-fried wild duck</x:v>
      </x:c>
      <x:c r="I335" s="28" t="str">
        <x:v>Мясо и птица</x:v>
      </x:c>
      <x:c r="J335" s="28" t="str">
        <x:v>крахмалистый, землистый, ореховый и жареный после нагрева</x:v>
      </x:c>
      <x:c r="K335" s="28" t="str">
        <x:v>жареный, мясной и умами</x:v>
      </x:c>
      <x:c r="L335" s="28" t="str">
        <x:v>метиональ, 2-ацетил-1-пирролин, пиразины, альдегиды</x:v>
      </x:c>
      <x:c r="M335" s="28" t="str">
        <x:v>пиразины, сернистые соединения</x:v>
      </x:c>
      <x:c r="N335" s="28" t="str">
        <x:v>жареный</x:v>
      </x:c>
      <x:c r="O335" s="28" t="str">
        <x:v>пиразины</x:v>
      </x:c>
      <x:c r="P335" s="28" t="str">
        <x:v>общие характерные молекулы; пересечение ароматических семейств; умами и солёный контраст</x:v>
      </x:c>
      <x:c r="Q33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5" s="28" t="str">
        <x:v>минимальный</x:v>
      </x:c>
      <x:c r="S335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3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5" s="28" t="str">
        <x:v>Картофель имеет профиль «крахмалистый, землистый, ореховый и жареный после нагрева». Партнёр «дикая утка»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35" s="28" t="str">
        <x:v>зелёные или проросшие клубни не использовать; пережаривание даёт горечь и чрезмерно тёмную корку</x:v>
      </x:c>
      <x:c r="W335" s="28" t="str">
        <x:v>сливочное масло, соевый соус или тимьян</x:v>
      </x:c>
      <x:c r="X335" s="28" t="str">
        <x:v>пюре, суп, запекание, крем, гарнир, соус или десертная разработка с дикая утка</x:v>
      </x:c>
      <x:c r="Y335" s="28" t="str">
        <x:v>еда, соусы/маринады</x:v>
      </x:c>
      <x:c r="Z335" s="28" t="str">
        <x:v>Средняя</x:v>
      </x:c>
      <x:c r="AA335" s="28" t="str">
        <x:v>The Art &amp; Science of Foodpairing.pdf</x:v>
      </x:c>
      <x:c r="AB335" s="28" t="str">
        <x:v>The Art &amp; Science of Foodpairing.pdf: 196</x:v>
      </x:c>
      <x:c r="AC335" s="28" t="str">
        <x:v>связь из pairing grid, стр. 196</x:v>
      </x:c>
      <x:c r="AD335" s="28" t="n">
        <x:v>1</x:v>
      </x:c>
      <x:c r="AE335" s="28" t="n">
        <x:v>1</x:v>
      </x:c>
      <x:c r="AF335" s="28" t="n">
        <x:f>IF(Z335="Высокая",3,IF(Z335="Средняя",2,1))+AD335*2+MIN(AE335,3)</x:f>
        <x:v>5</x:v>
      </x:c>
    </x:row>
    <x:row r="336" ht="64" customHeight="1">
      <x:c r="A336" s="28" t="str">
        <x:v>VEG-0335</x:v>
      </x:c>
      <x:c r="B336" s="28" t="str">
        <x:v>картофель</x:v>
      </x:c>
      <x:c r="C336" s="28" t="str">
        <x:v>Десерты и выпечка</x:v>
      </x:c>
      <x:c r="D336" s="28" t="str">
        <x:v>картофель</x:v>
      </x:c>
      <x:c r="E336" s="28" t="str">
        <x:v>French fries</x:v>
      </x:c>
      <x:c r="F336" s="28" t="str">
        <x:v>Корнеплоды и клубни</x:v>
      </x:c>
      <x:c r="G336" s="28" t="str">
        <x:v>дыня</x:v>
      </x:c>
      <x:c r="H336" s="28" t="str">
        <x:v>miyabi melon (Japanese | muskmelon)</x:v>
      </x:c>
      <x:c r="I336" s="28" t="str">
        <x:v>Фрукты и ягоды</x:v>
      </x:c>
      <x:c r="J336" s="28" t="str">
        <x:v>крахмалистый, землистый, ореховый и жареный после нагрева</x:v>
      </x:c>
      <x:c r="K336" s="28" t="str">
        <x:v>фруктовый, цветочный и свежий</x:v>
      </x:c>
      <x:c r="L336" s="28" t="str">
        <x:v>метиональ, 2-ацетил-1-пирролин, пиразины, альдегиды</x:v>
      </x:c>
      <x:c r="M336" s="28" t="str">
        <x:v>альдегиды, эфиры</x:v>
      </x:c>
      <x:c r="N336" s="28" t="str">
        <x:v>прямое пересечение семейств не подтверждено</x:v>
      </x:c>
      <x:c r="O336" s="28" t="str">
        <x:v>альдегиды</x:v>
      </x:c>
      <x:c r="P336" s="28" t="str">
        <x:v>общие характерные молекулы; кислотно-сладкий баланс</x:v>
      </x:c>
      <x:c r="Q33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6" s="28" t="str">
        <x:v>минимальный</x:v>
      </x:c>
      <x:c r="S336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3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6" s="28" t="str">
        <x:v>Картофель имеет профиль «крахмалистый, землистый, ореховый и жареный после нагрева». Партнёр «дыня»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36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36" s="28" t="str">
        <x:v>цитрус, мёд или мягкая трава</x:v>
      </x:c>
      <x:c r="X336" s="28" t="str">
        <x:v>пюре, суп, запекание, крем, гарнир, соус или десертная разработка с дыня</x:v>
      </x:c>
      <x:c r="Y336" s="28" t="str">
        <x:v>еда, десерты, соусы/маринады</x:v>
      </x:c>
      <x:c r="Z336" s="28" t="str">
        <x:v>Средняя</x:v>
      </x:c>
      <x:c r="AA336" s="28" t="str">
        <x:v>The Art &amp; Science of Foodpairing.pdf</x:v>
      </x:c>
      <x:c r="AB336" s="28" t="str">
        <x:v>The Art &amp; Science of Foodpairing.pdf: 196</x:v>
      </x:c>
      <x:c r="AC336" s="28" t="str">
        <x:v>связь из pairing grid, стр. 196; связь из pairing grid, стр. 196</x:v>
      </x:c>
      <x:c r="AD336" s="28" t="n">
        <x:v>1</x:v>
      </x:c>
      <x:c r="AE336" s="28" t="n">
        <x:v>2</x:v>
      </x:c>
      <x:c r="AF336" s="28" t="n">
        <x:f>IF(Z336="Высокая",3,IF(Z336="Средняя",2,1))+AD336*2+MIN(AE336,3)</x:f>
        <x:v>6</x:v>
      </x:c>
    </x:row>
    <x:row r="337" ht="64" customHeight="1">
      <x:c r="A337" s="28" t="str">
        <x:v>VEG-0336</x:v>
      </x:c>
      <x:c r="B337" s="28" t="str">
        <x:v>картофель</x:v>
      </x:c>
      <x:c r="C337" s="28" t="str">
        <x:v>Еда и соусы</x:v>
      </x:c>
      <x:c r="D337" s="28" t="str">
        <x:v>картофель</x:v>
      </x:c>
      <x:c r="E337" s="28" t="str">
        <x:v>French fries</x:v>
      </x:c>
      <x:c r="F337" s="28" t="str">
        <x:v>Корнеплоды и клубни</x:v>
      </x:c>
      <x:c r="G337" s="28" t="str">
        <x:v>жареная курица</x:v>
      </x:c>
      <x:c r="H337" s="28" t="str">
        <x:v>roast chicken</x:v>
      </x:c>
      <x:c r="I337" s="28" t="str">
        <x:v>Мясо и птица</x:v>
      </x:c>
      <x:c r="J337" s="28" t="str">
        <x:v>крахмалистый, землистый, ореховый и жареный после нагрева</x:v>
      </x:c>
      <x:c r="K337" s="28" t="str">
        <x:v>жареный, мясной и умами</x:v>
      </x:c>
      <x:c r="L337" s="28" t="str">
        <x:v>метиональ, 2-ацетил-1-пирролин, пиразины, альдегиды</x:v>
      </x:c>
      <x:c r="M337" s="28" t="str">
        <x:v>пиразины, сернистые соединения</x:v>
      </x:c>
      <x:c r="N337" s="28" t="str">
        <x:v>жареный</x:v>
      </x:c>
      <x:c r="O337" s="28" t="str">
        <x:v>пиразины</x:v>
      </x:c>
      <x:c r="P337" s="28" t="str">
        <x:v>общие характерные молекулы; пересечение ароматических семейств; умами и солёный контраст</x:v>
      </x:c>
      <x:c r="Q33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7" s="28" t="str">
        <x:v>минимальный</x:v>
      </x:c>
      <x:c r="S337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3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7" s="28" t="str">
        <x:v>Картофель имеет профиль «крахмалистый, землистый, ореховый и жареный после нагрева». Партнёр «жареная курица»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37" s="28" t="str">
        <x:v>зелёные или проросшие клубни не использовать; пережаривание даёт горечь и чрезмерно тёмную корку</x:v>
      </x:c>
      <x:c r="W337" s="28" t="str">
        <x:v>сливочное масло, соевый соус или тимьян</x:v>
      </x:c>
      <x:c r="X337" s="28" t="str">
        <x:v>пюре, суп, запекание, крем, гарнир, соус или десертная разработка с жареная курица</x:v>
      </x:c>
      <x:c r="Y337" s="28" t="str">
        <x:v>еда, соусы/маринады</x:v>
      </x:c>
      <x:c r="Z337" s="28" t="str">
        <x:v>Средняя</x:v>
      </x:c>
      <x:c r="AA337" s="28" t="str">
        <x:v>The Art &amp; Science of Foodpairing.pdf</x:v>
      </x:c>
      <x:c r="AB337" s="28" t="str">
        <x:v>The Art &amp; Science of Foodpairing.pdf: 196</x:v>
      </x:c>
      <x:c r="AC337" s="28" t="str">
        <x:v>связь из pairing grid, стр. 196</x:v>
      </x:c>
      <x:c r="AD337" s="28" t="n">
        <x:v>1</x:v>
      </x:c>
      <x:c r="AE337" s="28" t="n">
        <x:v>1</x:v>
      </x:c>
      <x:c r="AF337" s="28" t="n">
        <x:f>IF(Z337="Высокая",3,IF(Z337="Средняя",2,1))+AD337*2+MIN(AE337,3)</x:f>
        <x:v>5</x:v>
      </x:c>
    </x:row>
    <x:row r="338" ht="64" customHeight="1">
      <x:c r="A338" s="28" t="str">
        <x:v>VEG-0337</x:v>
      </x:c>
      <x:c r="B338" s="28" t="str">
        <x:v>картофель</x:v>
      </x:c>
      <x:c r="C338" s="28" t="str">
        <x:v>Универсальные</x:v>
      </x:c>
      <x:c r="D338" s="28" t="str">
        <x:v>картофель</x:v>
      </x:c>
      <x:c r="E338" s="28" t="str">
        <x:v>boiled potato</x:v>
      </x:c>
      <x:c r="F338" s="28" t="str">
        <x:v>Корнеплоды и клубни</x:v>
      </x:c>
      <x:c r="G338" s="28" t="str">
        <x:v>жасмин</x:v>
      </x:c>
      <x:c r="H338" s="28" t="str">
        <x:v>Jasmine blossom</x:v>
      </x:c>
      <x:c r="I338" s="28" t="str">
        <x:v>Травы, цветы и листья</x:v>
      </x:c>
      <x:c r="J338" s="28" t="str">
        <x:v>крахмалистый, землистый, ореховый и жареный после нагрева</x:v>
      </x:c>
      <x:c r="K338" s="28" t="str">
        <x:v>зелёный, цветочный и терпеновый</x:v>
      </x:c>
      <x:c r="L338" s="28" t="str">
        <x:v>метиональ, 2-ацетил-1-пирролин, пиразины, альдегиды</x:v>
      </x:c>
      <x:c r="M338" s="28" t="str">
        <x:v>линалоол, терпены</x:v>
      </x:c>
      <x:c r="N338" s="28" t="str">
        <x:v>прямое пересечение семейств не подтверждено</x:v>
      </x:c>
      <x:c r="O338" s="28" t="str">
        <x:v>надёжная общая ключевая молекула не установлена</x:v>
      </x:c>
      <x:c r="P338" s="28" t="str">
        <x:v>сенсорная комплементарность</x:v>
      </x:c>
      <x:c r="Q33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8" s="28" t="str">
        <x:v>минимальный</x:v>
      </x:c>
      <x:c r="S338" s="28" t="str">
        <x:v>крахмальная водная матрица; структура зависит от сорта и желатинизации крахмала</x:v>
      </x:c>
      <x:c r="T33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8" s="28" t="str">
        <x:v>Картофель имеет профиль «крахмалистый, землистый, ореховый и жареный после нагрева».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338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W338" s="28" t="str">
        <x:v>оливковое масло, лимон или сыр</x:v>
      </x:c>
      <x:c r="X338" s="28" t="str">
        <x:v>пюре, суп, запекание, крем, гарнир, соус или десертная разработка с жасмин</x:v>
      </x:c>
      <x:c r="Y338" s="28" t="str">
        <x:v>еда, соусы/маринады</x:v>
      </x:c>
      <x:c r="Z338" s="28" t="str">
        <x:v>Средняя</x:v>
      </x:c>
      <x:c r="AA338" s="28" t="str">
        <x:v>The Art &amp; Science of Foodpairing.pdf</x:v>
      </x:c>
      <x:c r="AB338" s="28" t="str">
        <x:v>The Art &amp; Science of Foodpairing.pdf: 210</x:v>
      </x:c>
      <x:c r="AC338" s="28" t="str">
        <x:v>связь из pairing grid, стр. 210</x:v>
      </x:c>
      <x:c r="AD338" s="28" t="n">
        <x:v>1</x:v>
      </x:c>
      <x:c r="AE338" s="28" t="n">
        <x:v>1</x:v>
      </x:c>
      <x:c r="AF338" s="28" t="n">
        <x:f>IF(Z338="Высокая",3,IF(Z338="Средняя",2,1))+AD338*2+MIN(AE338,3)</x:f>
        <x:v>5</x:v>
      </x:c>
    </x:row>
    <x:row r="339" ht="64" customHeight="1">
      <x:c r="A339" s="28" t="str">
        <x:v>VEG-0338</x:v>
      </x:c>
      <x:c r="B339" s="28" t="str">
        <x:v>картофель</x:v>
      </x:c>
      <x:c r="C339" s="28" t="str">
        <x:v>Еда и соусы</x:v>
      </x:c>
      <x:c r="D339" s="28" t="str">
        <x:v>картофель</x:v>
      </x:c>
      <x:c r="E339" s="28" t="str">
        <x:v>Картофель | картофель</x:v>
      </x:c>
      <x:c r="F339" s="28" t="str">
        <x:v>Корнеплоды и клубни</x:v>
      </x:c>
      <x:c r="G339" s="28" t="str">
        <x:v>жирная рыба</x:v>
      </x:c>
      <x:c r="H339" s="28" t="str">
        <x:v>Жирная рыба | жирная рыба</x:v>
      </x:c>
      <x:c r="I339" s="28" t="str">
        <x:v>Рыба и морепродукты</x:v>
      </x:c>
      <x:c r="J339" s="28" t="str">
        <x:v>крахмалистый, землистый, ореховый и жареный после нагрева</x:v>
      </x:c>
      <x:c r="K339" s="28" t="str">
        <x:v>жирный, морской, умами</x:v>
      </x:c>
      <x:c r="L339" s="28" t="str">
        <x:v>метиональ, 2-ацетил-1-пирролин, пиразины, альдегиды</x:v>
      </x:c>
      <x:c r="M339" s="28" t="str">
        <x:v>альдегиды, амины</x:v>
      </x:c>
      <x:c r="N339" s="28" t="str">
        <x:v>прямое пересечение семейств не подтверждено</x:v>
      </x:c>
      <x:c r="O339" s="28" t="str">
        <x:v>альдегиды</x:v>
      </x:c>
      <x:c r="P339" s="28" t="str">
        <x:v>общие характерные молекулы; умами и солёный контраст</x:v>
      </x:c>
      <x:c r="Q33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39" s="28" t="str">
        <x:v>минимальный</x:v>
      </x:c>
      <x:c r="S339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3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39" s="28" t="str">
        <x:v>Картофель имеет профиль «крахмалистый, землистый, ореховый и жареный после нагрева». Партнёр «жирная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39" s="28" t="str">
        <x:v>зелёные или проросшие клубни не использовать; пережаривание даёт горечь и чрезмерно тёмную корку</x:v>
      </x:c>
      <x:c r="W339" s="28" t="str">
        <x:v>сливочное масло, соевый соус или тимьян</x:v>
      </x:c>
      <x:c r="X339" s="28" t="str">
        <x:v>пюре, суп, запекание, крем, гарнир, соус или десертная разработка с жирная рыба</x:v>
      </x:c>
      <x:c r="Y339" s="28" t="str">
        <x:v>еда, соусы/маринады</x:v>
      </x:c>
      <x:c r="Z339" s="28" t="str">
        <x:v>Средняя</x:v>
      </x:c>
      <x:c r="AA339" s="28" t="str">
        <x:v>Тезариус вкусов (Ники Сегнит)(1).pdf</x:v>
      </x:c>
      <x:c r="AB339" s="28" t="str">
        <x:v>Тезариус вкусов (Ники Сегнит)(1).pdf: 235, 412</x:v>
      </x:c>
      <x:c r="AC339" s="28" t="str">
        <x:v>развёрнутая пара/статья, стр. 235; развёрнутая пара/статья, стр. 412</x:v>
      </x:c>
      <x:c r="AD339" s="28" t="n">
        <x:v>1</x:v>
      </x:c>
      <x:c r="AE339" s="28" t="n">
        <x:v>2</x:v>
      </x:c>
      <x:c r="AF339" s="28" t="n">
        <x:f>IF(Z339="Высокая",3,IF(Z339="Средняя",2,1))+AD339*2+MIN(AE339,3)</x:f>
        <x:v>6</x:v>
      </x:c>
    </x:row>
    <x:row r="340" ht="64" customHeight="1">
      <x:c r="A340" s="28" t="str">
        <x:v>VEG-0339</x:v>
      </x:c>
      <x:c r="B340" s="28" t="str">
        <x:v>картофель</x:v>
      </x:c>
      <x:c r="C340" s="28" t="str">
        <x:v>Универсальные</x:v>
      </x:c>
      <x:c r="D340" s="28" t="str">
        <x:v>картофель</x:v>
      </x:c>
      <x:c r="E340" s="28" t="str">
        <x:v>Картофель | картофель</x:v>
      </x:c>
      <x:c r="F340" s="28" t="str">
        <x:v>Корнеплоды и клубни</x:v>
      </x:c>
      <x:c r="G340" s="28" t="str">
        <x:v>зира</x:v>
      </x:c>
      <x:c r="H340" s="28" t="str">
        <x:v>Зира | зира</x:v>
      </x:c>
      <x:c r="I340" s="28" t="str">
        <x:v>Специи</x:v>
      </x:c>
      <x:c r="J340" s="28" t="str">
        <x:v>крахмалистый, землистый, ореховый и жареный после нагрева</x:v>
      </x:c>
      <x:c r="K340" s="28" t="str">
        <x:v>жареный, землистый, пряный</x:v>
      </x:c>
      <x:c r="L340" s="28" t="str">
        <x:v>метиональ, 2-ацетил-1-пирролин, пиразины, альдегиды</x:v>
      </x:c>
      <x:c r="M340" s="28" t="str">
        <x:v>куминовый альдегид, терпены</x:v>
      </x:c>
      <x:c r="N340" s="28" t="str">
        <x:v>жареный, землистый</x:v>
      </x:c>
      <x:c r="O340" s="28" t="str">
        <x:v>надёжная общая ключевая молекула не установлена</x:v>
      </x:c>
      <x:c r="P340" s="28" t="str">
        <x:v>пересечение ароматических семейств</x:v>
      </x:c>
      <x:c r="Q34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0" s="28" t="str">
        <x:v>минимальный</x:v>
      </x:c>
      <x:c r="S340" s="28" t="str">
        <x:v>крахмальная водная матрица; структура зависит от сорта и желатинизации крахмала</x:v>
      </x:c>
      <x:c r="T34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0" s="28" t="str">
        <x:v>Картофель имеет профиль «крахмалистый, землистый, ореховый и жареный после нагрева». Партнёр «зира» относится к группе «Специи» и даёт жареный, землистый, пряный. Профили пересекаются в семействах: жареный, землистый.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340" s="28" t="str">
        <x:v>зелёные или проросшие клубни не использовать; пережаривание даёт горечь и чрезмерно тёмную корку</x:v>
      </x:c>
      <x:c r="W340" s="28" t="str">
        <x:v>цитрус, йогурт или мёд</x:v>
      </x:c>
      <x:c r="X340" s="28" t="str">
        <x:v>пюре, суп, запекание, крем, гарнир, соус или десертная разработка с зира</x:v>
      </x:c>
      <x:c r="Y340" s="28" t="str">
        <x:v>еда, соусы/маринады</x:v>
      </x:c>
      <x:c r="Z340" s="28" t="str">
        <x:v>Средняя</x:v>
      </x:c>
      <x:c r="AA340" s="28" t="str">
        <x:v>Тезариус вкусов (Ники Сегнит)(1).pdf</x:v>
      </x:c>
      <x:c r="AB340" s="28" t="str">
        <x:v>Тезариус вкусов (Ники Сегнит)(1).pdf: 216, 235</x:v>
      </x:c>
      <x:c r="AC340" s="28" t="str">
        <x:v>развёрнутая пара/статья, стр. 216; развёрнутая пара/статья, стр. 235</x:v>
      </x:c>
      <x:c r="AD340" s="28" t="n">
        <x:v>1</x:v>
      </x:c>
      <x:c r="AE340" s="28" t="n">
        <x:v>2</x:v>
      </x:c>
      <x:c r="AF340" s="28" t="n">
        <x:f>IF(Z340="Высокая",3,IF(Z340="Средняя",2,1))+AD340*2+MIN(AE340,3)</x:f>
        <x:v>6</x:v>
      </x:c>
    </x:row>
    <x:row r="341" ht="64" customHeight="1">
      <x:c r="A341" s="28" t="str">
        <x:v>VEG-0340</x:v>
      </x:c>
      <x:c r="B341" s="28" t="str">
        <x:v>картофель</x:v>
      </x:c>
      <x:c r="C341" s="28" t="str">
        <x:v>Универсальные</x:v>
      </x:c>
      <x:c r="D341" s="28" t="str">
        <x:v>картофель</x:v>
      </x:c>
      <x:c r="E341" s="28" t="str">
        <x:v>French fries</x:v>
      </x:c>
      <x:c r="F341" s="28" t="str">
        <x:v>Корнеплоды и клубни</x:v>
      </x:c>
      <x:c r="G341" s="28" t="str">
        <x:v>имбирь</x:v>
      </x:c>
      <x:c r="H341" s="28" t="str">
        <x:v>ginger</x:v>
      </x:c>
      <x:c r="I341" s="28" t="str">
        <x:v>Специи</x:v>
      </x:c>
      <x:c r="J341" s="28" t="str">
        <x:v>крахмалистый, землистый, ореховый и жареный после нагрева</x:v>
      </x:c>
      <x:c r="K341" s="28" t="str">
        <x:v>пряный, тёплый, цитрусовый</x:v>
      </x:c>
      <x:c r="L341" s="28" t="str">
        <x:v>метиональ, 2-ацетил-1-пирролин, пиразины, альдегиды</x:v>
      </x:c>
      <x:c r="M341" s="28" t="str">
        <x:v>гингеролы, цитраль</x:v>
      </x:c>
      <x:c r="N341" s="28" t="str">
        <x:v>прямое пересечение семейств не подтверждено</x:v>
      </x:c>
      <x:c r="O341" s="28" t="str">
        <x:v>надёжная общая ключевая молекула не установлена</x:v>
      </x:c>
      <x:c r="P341" s="28" t="str">
        <x:v>сенсорная комплементарность</x:v>
      </x:c>
      <x:c r="Q34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1" s="28" t="str">
        <x:v>минимальный</x:v>
      </x:c>
      <x:c r="S341" s="28" t="str">
        <x:v>крахмальная водная матрица; структура зависит от сорта и желатинизации крахмала</x:v>
      </x:c>
      <x:c r="T34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1" s="28" t="str">
        <x:v>Картофель имеет профиль «крахмалистый, землистый, ореховый и жареный после нагрева».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341" s="28" t="str">
        <x:v>зелёные или проросшие клубни не использовать; пережаривание даёт горечь и чрезмерно тёмную корку</x:v>
      </x:c>
      <x:c r="W341" s="28" t="str">
        <x:v>цитрус, йогурт или мёд</x:v>
      </x:c>
      <x:c r="X341" s="28" t="str">
        <x:v>пюре, суп, запекание, крем, гарнир, соус или десертная разработка с имбирь</x:v>
      </x:c>
      <x:c r="Y341" s="28" t="str">
        <x:v>еда, соусы/маринады</x:v>
      </x:c>
      <x:c r="Z341" s="28" t="str">
        <x:v>Средняя</x:v>
      </x:c>
      <x:c r="AA341" s="28" t="str">
        <x:v>The Art &amp; Science of Foodpairing.pdf</x:v>
      </x:c>
      <x:c r="AB341" s="28" t="str">
        <x:v>The Art &amp; Science of Foodpairing.pdf: 142</x:v>
      </x:c>
      <x:c r="AC341" s="28" t="str">
        <x:v>связь из pairing grid, стр. 142</x:v>
      </x:c>
      <x:c r="AD341" s="28" t="n">
        <x:v>1</x:v>
      </x:c>
      <x:c r="AE341" s="28" t="n">
        <x:v>1</x:v>
      </x:c>
      <x:c r="AF341" s="28" t="n">
        <x:f>IF(Z341="Высокая",3,IF(Z341="Средняя",2,1))+AD341*2+MIN(AE341,3)</x:f>
        <x:v>5</x:v>
      </x:c>
    </x:row>
    <x:row r="342" ht="64" customHeight="1">
      <x:c r="A342" s="28" t="str">
        <x:v>VEG-0341</x:v>
      </x:c>
      <x:c r="B342" s="28" t="str">
        <x:v>картофель</x:v>
      </x:c>
      <x:c r="C342" s="28" t="str">
        <x:v>Универсальные</x:v>
      </x:c>
      <x:c r="D342" s="28" t="str">
        <x:v>картофель</x:v>
      </x:c>
      <x:c r="E342" s="28" t="str">
        <x:v>French fries</x:v>
      </x:c>
      <x:c r="F342" s="28" t="str">
        <x:v>Корнеплоды и клубни</x:v>
      </x:c>
      <x:c r="G342" s="28" t="str">
        <x:v>испанский чоризо</x:v>
      </x:c>
      <x:c r="H342" s="28" t="str">
        <x:v>Spanish chorizo</x:v>
      </x:c>
      <x:c r="I342" s="28" t="str">
        <x:v>Прочее</x:v>
      </x:c>
      <x:c r="J342" s="28" t="str">
        <x:v>крахмалистый, землистый, ореховый и жареный после нагрева</x:v>
      </x:c>
      <x:c r="K342" s="28" t="str">
        <x:v>профиль зависит от конкретного продукта</x:v>
      </x:c>
      <x:c r="L342" s="28" t="str">
        <x:v>метиональ, 2-ацетил-1-пирролин, пиразины, альдегиды</x:v>
      </x:c>
      <x:c r="M342" s="28" t="str">
        <x:v>конкретный молекулярный профиль не указан</x:v>
      </x:c>
      <x:c r="N342" s="28" t="str">
        <x:v>прямое пересечение семейств не подтверждено</x:v>
      </x:c>
      <x:c r="O342" s="28" t="str">
        <x:v>надёжная общая ключевая молекула не установлена</x:v>
      </x:c>
      <x:c r="P342" s="28" t="str">
        <x:v>сенсорная комплементарность</x:v>
      </x:c>
      <x:c r="Q34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2" s="28" t="str">
        <x:v>минимальный</x:v>
      </x:c>
      <x:c r="S342" s="28" t="str">
        <x:v>крахмальная водная матрица; структура зависит от сорта и желатинизации крахмала</x:v>
      </x:c>
      <x:c r="T34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2" s="28" t="str">
        <x:v>Картофель имеет профиль «крахмалистый, землистый, ореховый и жареный после нагрева».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42" s="28" t="str">
        <x:v>зелёные или проросшие клубни не использовать; пережаривание даёт горечь и чрезмерно тёмную корку</x:v>
      </x:c>
      <x:c r="W342" s="28" t="str">
        <x:v>соль, кислота или ароматический жир</x:v>
      </x:c>
      <x:c r="X342" s="28" t="str">
        <x:v>пюре, суп, запекание, крем, гарнир, соус или десертная разработка с испанский чоризо</x:v>
      </x:c>
      <x:c r="Y342" s="28" t="str">
        <x:v>еда, соусы/маринады</x:v>
      </x:c>
      <x:c r="Z342" s="28" t="str">
        <x:v>Средняя</x:v>
      </x:c>
      <x:c r="AA342" s="28" t="str">
        <x:v>The Art &amp; Science of Foodpairing.pdf</x:v>
      </x:c>
      <x:c r="AB342" s="28" t="str">
        <x:v>The Art &amp; Science of Foodpairing.pdf: 196</x:v>
      </x:c>
      <x:c r="AC342" s="28" t="str">
        <x:v>связь из pairing grid, стр. 196; связь из pairing grid, стр. 196</x:v>
      </x:c>
      <x:c r="AD342" s="28" t="n">
        <x:v>1</x:v>
      </x:c>
      <x:c r="AE342" s="28" t="n">
        <x:v>2</x:v>
      </x:c>
      <x:c r="AF342" s="28" t="n">
        <x:f>IF(Z342="Высокая",3,IF(Z342="Средняя",2,1))+AD342*2+MIN(AE342,3)</x:f>
        <x:v>6</x:v>
      </x:c>
    </x:row>
    <x:row r="343" ht="64" customHeight="1">
      <x:c r="A343" s="28" t="str">
        <x:v>VEG-0342</x:v>
      </x:c>
      <x:c r="B343" s="28" t="str">
        <x:v>картофель</x:v>
      </x:c>
      <x:c r="C343" s="28" t="str">
        <x:v>Универсальные</x:v>
      </x:c>
      <x:c r="D343" s="28" t="str">
        <x:v>картофель</x:v>
      </x:c>
      <x:c r="E343" s="28" t="str">
        <x:v>Картофель | картофель</x:v>
      </x:c>
      <x:c r="F343" s="28" t="str">
        <x:v>Корнеплоды и клубни</x:v>
      </x:c>
      <x:c r="G343" s="28" t="str">
        <x:v>каперсы</x:v>
      </x:c>
      <x:c r="H343" s="28" t="str">
        <x:v>Каперсы | каперсы</x:v>
      </x:c>
      <x:c r="I343" s="28" t="str">
        <x:v>Прочее</x:v>
      </x:c>
      <x:c r="J343" s="28" t="str">
        <x:v>крахмалистый, землистый, ореховый и жареный после нагрева</x:v>
      </x:c>
      <x:c r="K343" s="28" t="str">
        <x:v>профиль зависит от конкретного продукта</x:v>
      </x:c>
      <x:c r="L343" s="28" t="str">
        <x:v>метиональ, 2-ацетил-1-пирролин, пиразины, альдегиды</x:v>
      </x:c>
      <x:c r="M343" s="28" t="str">
        <x:v>конкретный молекулярный профиль не указан</x:v>
      </x:c>
      <x:c r="N343" s="28" t="str">
        <x:v>прямое пересечение семейств не подтверждено</x:v>
      </x:c>
      <x:c r="O343" s="28" t="str">
        <x:v>надёжная общая ключевая молекула не установлена</x:v>
      </x:c>
      <x:c r="P343" s="28" t="str">
        <x:v>сенсорная комплементарность</x:v>
      </x:c>
      <x:c r="Q34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3" s="28" t="str">
        <x:v>минимальный</x:v>
      </x:c>
      <x:c r="S343" s="28" t="str">
        <x:v>крахмальная водная матрица; структура зависит от сорта и желатинизации крахмала</x:v>
      </x:c>
      <x:c r="T34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3" s="28" t="str">
        <x:v>Картофель имеет профиль «крахмалистый, землистый, ореховый и жареный после нагрева».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43" s="28" t="str">
        <x:v>зелёные или проросшие клубни не использовать; пережаривание даёт горечь и чрезмерно тёмную корку</x:v>
      </x:c>
      <x:c r="W343" s="28" t="str">
        <x:v>соль, кислота или ароматический жир</x:v>
      </x:c>
      <x:c r="X343" s="28" t="str">
        <x:v>пюре, суп, запекание, крем, гарнир, соус или десертная разработка с каперсы</x:v>
      </x:c>
      <x:c r="Y343" s="28" t="str">
        <x:v>еда, соусы/маринады</x:v>
      </x:c>
      <x:c r="Z343" s="28" t="str">
        <x:v>Средняя</x:v>
      </x:c>
      <x:c r="AA343" s="28" t="str">
        <x:v>Тезариус вкусов (Ники Сегнит)(1).pdf</x:v>
      </x:c>
      <x:c r="AB343" s="28" t="str">
        <x:v>Тезариус вкусов (Ники Сегнит)(1).pdf: 235, 268</x:v>
      </x:c>
      <x:c r="AC343" s="28" t="str">
        <x:v>развёрнутая пара/статья, стр. 235; развёрнутая пара/статья, стр. 268</x:v>
      </x:c>
      <x:c r="AD343" s="28" t="n">
        <x:v>1</x:v>
      </x:c>
      <x:c r="AE343" s="28" t="n">
        <x:v>2</x:v>
      </x:c>
      <x:c r="AF343" s="28" t="n">
        <x:f>IF(Z343="Высокая",3,IF(Z343="Средняя",2,1))+AD343*2+MIN(AE343,3)</x:f>
        <x:v>6</x:v>
      </x:c>
    </x:row>
    <x:row r="344" ht="64" customHeight="1">
      <x:c r="A344" s="28" t="str">
        <x:v>VEG-0343</x:v>
      </x:c>
      <x:c r="B344" s="28" t="str">
        <x:v>картофель</x:v>
      </x:c>
      <x:c r="C344" s="28" t="str">
        <x:v>Еда и соусы</x:v>
      </x:c>
      <x:c r="D344" s="28" t="str">
        <x:v>картофель</x:v>
      </x:c>
      <x:c r="E344" s="28" t="str">
        <x:v>Картофель | картофель</x:v>
      </x:c>
      <x:c r="F344" s="28" t="str">
        <x:v>Корнеплоды и клубни</x:v>
      </x:c>
      <x:c r="G344" s="28" t="str">
        <x:v>капуста</x:v>
      </x:c>
      <x:c r="H344" s="28" t="str">
        <x:v>Капуста | капуста</x:v>
      </x:c>
      <x:c r="I344" s="28" t="str">
        <x:v>Крестоцветные</x:v>
      </x:c>
      <x:c r="J344" s="28" t="str">
        <x:v>крахмалистый, землистый, ореховый и жареный после нагрева</x:v>
      </x:c>
      <x:c r="K344" s="28" t="str">
        <x:v>зелёный, горчичный, сернистый и сладковатый после приготовления</x:v>
      </x:c>
      <x:c r="L344" s="28" t="str">
        <x:v>метиональ, 2-ацетил-1-пирролин, пиразины, альдегиды</x:v>
      </x:c>
      <x:c r="M344" s="28" t="str">
        <x:v>глюкозинолаты, диметилсульфид, изотиоцианаты, метантиол</x:v>
      </x:c>
      <x:c r="N344" s="28" t="str">
        <x:v>сернистый</x:v>
      </x:c>
      <x:c r="O344" s="28" t="str">
        <x:v>надёжная общая ключевая молекула не установлена</x:v>
      </x:c>
      <x:c r="P344" s="28" t="str">
        <x:v>пересечение ароматических семейств</x:v>
      </x:c>
      <x:c r="Q34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4" s="28" t="str">
        <x:v>минимальный</x:v>
      </x:c>
      <x:c r="S344" s="28" t="str">
        <x:v>крахмальная водная матрица; структура зависит от сорта и желатинизации крахмала</x:v>
      </x:c>
      <x:c r="T34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4" s="28" t="str">
        <x:v>Картофель имеет профиль «крахмалистый, землистый, ореховый и жареный после нагрева».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формируется за счёт баланса сладости, кислотности, горечи, умами и текстуры.</x:v>
      </x:c>
      <x:c r="V344" s="28" t="str">
        <x:v>зелёные или проросшие клубни не использовать; пережаривание даёт горечь и чрезмерно тёмную корку</x:v>
      </x:c>
      <x:c r="W344" s="28" t="str">
        <x:v>соль, кислота или ароматический жир</x:v>
      </x:c>
      <x:c r="X344" s="28" t="str">
        <x:v>пюре, суп, запекание, крем, гарнир, соус или десертная разработка с капуста</x:v>
      </x:c>
      <x:c r="Y344" s="28" t="str">
        <x:v>еда, соусы/маринады</x:v>
      </x:c>
      <x:c r="Z344" s="28" t="str">
        <x:v>Средняя</x:v>
      </x:c>
      <x:c r="AA344" s="28" t="str">
        <x:v>Тезариус вкусов (Ники Сегнит)(1).pdf</x:v>
      </x:c>
      <x:c r="AB344" s="28" t="str">
        <x:v>Тезариус вкусов (Ники Сегнит)(1).pdf: 235, 311</x:v>
      </x:c>
      <x:c r="AC344" s="28" t="str">
        <x:v>развёрнутая пара/статья, стр. 235; развёрнутая пара/статья, стр. 311</x:v>
      </x:c>
      <x:c r="AD344" s="28" t="n">
        <x:v>1</x:v>
      </x:c>
      <x:c r="AE344" s="28" t="n">
        <x:v>2</x:v>
      </x:c>
      <x:c r="AF344" s="28" t="n">
        <x:f>IF(Z344="Высокая",3,IF(Z344="Средняя",2,1))+AD344*2+MIN(AE344,3)</x:f>
        <x:v>6</x:v>
      </x:c>
    </x:row>
    <x:row r="345" ht="64" customHeight="1">
      <x:c r="A345" s="28" t="str">
        <x:v>VEG-0344</x:v>
      </x:c>
      <x:c r="B345" s="28" t="str">
        <x:v>картофель</x:v>
      </x:c>
      <x:c r="C345" s="28" t="str">
        <x:v>Еда и соусы</x:v>
      </x:c>
      <x:c r="D345" s="28" t="str">
        <x:v>картофель</x:v>
      </x:c>
      <x:c r="E345" s="28" t="str">
        <x:v>French fries</x:v>
      </x:c>
      <x:c r="F345" s="28" t="str">
        <x:v>Корнеплоды и клубни</x:v>
      </x:c>
      <x:c r="G345" s="28" t="str">
        <x:v>каракатица</x:v>
      </x:c>
      <x:c r="H345" s="28" t="str">
        <x:v>braised cuttlefish</x:v>
      </x:c>
      <x:c r="I345" s="28" t="str">
        <x:v>Рыба и морепродукты</x:v>
      </x:c>
      <x:c r="J345" s="28" t="str">
        <x:v>крахмалистый, землистый, ореховый и жареный после нагрева</x:v>
      </x:c>
      <x:c r="K345" s="28" t="str">
        <x:v>морской, солоноватый и умами</x:v>
      </x:c>
      <x:c r="L345" s="28" t="str">
        <x:v>метиональ, 2-ацетил-1-пирролин, пиразины, альдегиды</x:v>
      </x:c>
      <x:c r="M345" s="28" t="str">
        <x:v>альдегиды, амины</x:v>
      </x:c>
      <x:c r="N345" s="28" t="str">
        <x:v>прямое пересечение семейств не подтверждено</x:v>
      </x:c>
      <x:c r="O345" s="28" t="str">
        <x:v>альдегиды</x:v>
      </x:c>
      <x:c r="P345" s="28" t="str">
        <x:v>общие характерные молекулы; умами и солёный контраст</x:v>
      </x:c>
      <x:c r="Q34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5" s="28" t="str">
        <x:v>минимальный</x:v>
      </x:c>
      <x:c r="S345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4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5" s="28" t="str">
        <x:v>Картофель имеет профиль «крахмалистый, землистый, ореховый и жареный после нагрева». Партнёр «каракатица»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45" s="28" t="str">
        <x:v>зелёные или проросшие клубни не использовать; пережаривание даёт горечь и чрезмерно тёмную корку</x:v>
      </x:c>
      <x:c r="W345" s="28" t="str">
        <x:v>сливочное масло, соевый соус или тимьян</x:v>
      </x:c>
      <x:c r="X345" s="28" t="str">
        <x:v>пюре, суп, запекание, крем, гарнир, соус или десертная разработка с каракатица</x:v>
      </x:c>
      <x:c r="Y345" s="28" t="str">
        <x:v>еда, соусы/маринады</x:v>
      </x:c>
      <x:c r="Z345" s="28" t="str">
        <x:v>Средняя</x:v>
      </x:c>
      <x:c r="AA345" s="28" t="str">
        <x:v>The Art &amp; Science of Foodpairing.pdf</x:v>
      </x:c>
      <x:c r="AB345" s="28" t="str">
        <x:v>The Art &amp; Science of Foodpairing.pdf: 196</x:v>
      </x:c>
      <x:c r="AC345" s="28" t="str">
        <x:v>связь из pairing grid, стр. 196</x:v>
      </x:c>
      <x:c r="AD345" s="28" t="n">
        <x:v>1</x:v>
      </x:c>
      <x:c r="AE345" s="28" t="n">
        <x:v>1</x:v>
      </x:c>
      <x:c r="AF345" s="28" t="n">
        <x:f>IF(Z345="Высокая",3,IF(Z345="Средняя",2,1))+AD345*2+MIN(AE345,3)</x:f>
        <x:v>5</x:v>
      </x:c>
    </x:row>
    <x:row r="346" ht="64" customHeight="1">
      <x:c r="A346" s="28" t="str">
        <x:v>VEG-0345</x:v>
      </x:c>
      <x:c r="B346" s="28" t="str">
        <x:v>картофель</x:v>
      </x:c>
      <x:c r="C346" s="28" t="str">
        <x:v>Универсальные</x:v>
      </x:c>
      <x:c r="D346" s="28" t="str">
        <x:v>картофель</x:v>
      </x:c>
      <x:c r="E346" s="28" t="str">
        <x:v>French fries</x:v>
      </x:c>
      <x:c r="F346" s="28" t="str">
        <x:v>Корнеплоды и клубни</x:v>
      </x:c>
      <x:c r="G346" s="28" t="str">
        <x:v>кардамон</x:v>
      </x:c>
      <x:c r="H346" s="28" t="str">
        <x:v>cardamom seeds</x:v>
      </x:c>
      <x:c r="I346" s="28" t="str">
        <x:v>Специи</x:v>
      </x:c>
      <x:c r="J346" s="28" t="str">
        <x:v>крахмалистый, землистый, ореховый и жареный после нагрева</x:v>
      </x:c>
      <x:c r="K346" s="28" t="str">
        <x:v>камфорный, цветочный, цитрусовый</x:v>
      </x:c>
      <x:c r="L346" s="28" t="str">
        <x:v>метиональ, 2-ацетил-1-пирролин, пиразины, альдегиды</x:v>
      </x:c>
      <x:c r="M346" s="28" t="str">
        <x:v>1,8-цинеол, линалоол</x:v>
      </x:c>
      <x:c r="N346" s="28" t="str">
        <x:v>прямое пересечение семейств не подтверждено</x:v>
      </x:c>
      <x:c r="O346" s="28" t="str">
        <x:v>надёжная общая ключевая молекула не установлена</x:v>
      </x:c>
      <x:c r="P346" s="28" t="str">
        <x:v>сенсорная комплементарность</x:v>
      </x:c>
      <x:c r="Q34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6" s="28" t="str">
        <x:v>минимальный</x:v>
      </x:c>
      <x:c r="S346" s="28" t="str">
        <x:v>крахмальная водная матрица; структура зависит от сорта и желатинизации крахмала</x:v>
      </x:c>
      <x:c r="T34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6" s="28" t="str">
        <x:v>Картофель имеет профиль «крахмалистый, землистый, ореховый и жареный после нагрева».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346" s="28" t="str">
        <x:v>зелёные или проросшие клубни не использовать; пережаривание даёт горечь и чрезмерно тёмную корку</x:v>
      </x:c>
      <x:c r="W346" s="28" t="str">
        <x:v>цитрус, йогурт или мёд</x:v>
      </x:c>
      <x:c r="X346" s="28" t="str">
        <x:v>пюре, суп, запекание, крем, гарнир, соус или десертная разработка с кардамон</x:v>
      </x:c>
      <x:c r="Y346" s="28" t="str">
        <x:v>еда, соусы/маринады</x:v>
      </x:c>
      <x:c r="Z346" s="28" t="str">
        <x:v>Средняя</x:v>
      </x:c>
      <x:c r="AA346" s="28" t="str">
        <x:v>The Art &amp; Science of Foodpairing.pdf</x:v>
      </x:c>
      <x:c r="AB346" s="28" t="str">
        <x:v>The Art &amp; Science of Foodpairing.pdf: 196</x:v>
      </x:c>
      <x:c r="AC346" s="28" t="str">
        <x:v>связь из pairing grid, стр. 196</x:v>
      </x:c>
      <x:c r="AD346" s="28" t="n">
        <x:v>1</x:v>
      </x:c>
      <x:c r="AE346" s="28" t="n">
        <x:v>1</x:v>
      </x:c>
      <x:c r="AF346" s="28" t="n">
        <x:f>IF(Z346="Высокая",3,IF(Z346="Средняя",2,1))+AD346*2+MIN(AE346,3)</x:f>
        <x:v>5</x:v>
      </x:c>
    </x:row>
    <x:row r="347" ht="64" customHeight="1">
      <x:c r="A347" s="28" t="str">
        <x:v>VEG-0346</x:v>
      </x:c>
      <x:c r="B347" s="28" t="str">
        <x:v>картофель</x:v>
      </x:c>
      <x:c r="C347" s="28" t="str">
        <x:v>Еда и соусы</x:v>
      </x:c>
      <x:c r="D347" s="28" t="str">
        <x:v>картофель</x:v>
      </x:c>
      <x:c r="E347" s="28" t="str">
        <x:v>French fries</x:v>
      </x:c>
      <x:c r="F347" s="28" t="str">
        <x:v>Корнеплоды и клубни</x:v>
      </x:c>
      <x:c r="G347" s="28" t="str">
        <x:v>картофель фри</x:v>
      </x:c>
      <x:c r="H347" s="28" t="str">
        <x:v>Frenchfries</x:v>
      </x:c>
      <x:c r="I347" s="28" t="str">
        <x:v>Корнеплоды и клубни</x:v>
      </x:c>
      <x:c r="J347" s="28" t="str">
        <x:v>крахмалистый, землистый, ореховый и жареный после нагрева</x:v>
      </x:c>
      <x:c r="K347" s="28" t="str">
        <x:v>землистый, сладкий или крахмалистый</x:v>
      </x:c>
      <x:c r="L347" s="28" t="str">
        <x:v>метиональ, 2-ацетил-1-пирролин, пиразины, альдегиды</x:v>
      </x:c>
      <x:c r="M347" s="28" t="str">
        <x:v>альдегиды, фураны</x:v>
      </x:c>
      <x:c r="N347" s="28" t="str">
        <x:v>землистый, крахмалистый</x:v>
      </x:c>
      <x:c r="O347" s="28" t="str">
        <x:v>альдегиды</x:v>
      </x:c>
      <x:c r="P347" s="28" t="str">
        <x:v>общие характерные молекулы; пересечение ароматических семейств</x:v>
      </x:c>
      <x:c r="Q34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7" s="28" t="str">
        <x:v>минимальный</x:v>
      </x:c>
      <x:c r="S347" s="28" t="str">
        <x:v>крахмальная водная матрица; структура зависит от сорта и желатинизации крахмала</x:v>
      </x:c>
      <x:c r="T34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7" s="28" t="str">
        <x:v>Картофель имеет профиль «крахмалистый, землистый, ореховый и жареный после нагрева». Партнёр «картофель фри» относится к группе «Корнеплоды и клубни» и даёт землистый, сладкий или крахмалистый.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V347" s="28" t="str">
        <x:v>зелёные или проросшие клубни не использовать; пережаривание даёт горечь и чрезмерно тёмную корку</x:v>
      </x:c>
      <x:c r="W347" s="28" t="str">
        <x:v>соль, кислота или ароматический жир</x:v>
      </x:c>
      <x:c r="X347" s="28" t="str">
        <x:v>пюре, суп, запекание, крем, гарнир, соус или десертная разработка с картофель фри</x:v>
      </x:c>
      <x:c r="Y347" s="28" t="str">
        <x:v>еда, соусы/маринады</x:v>
      </x:c>
      <x:c r="Z347" s="28" t="str">
        <x:v>Средняя</x:v>
      </x:c>
      <x:c r="AA347" s="28" t="str">
        <x:v>The Art &amp; Science of Foodpairing.pdf</x:v>
      </x:c>
      <x:c r="AB347" s="28" t="str">
        <x:v>The Art &amp; Science of Foodpairing.pdf: 196</x:v>
      </x:c>
      <x:c r="AC347" s="28" t="str">
        <x:v>связь из pairing grid, стр. 196; связь из pairing grid, стр. 196; связь из pairing grid, стр. 196; связь из pairing grid, стр. 196</x:v>
      </x:c>
      <x:c r="AD347" s="28" t="n">
        <x:v>1</x:v>
      </x:c>
      <x:c r="AE347" s="28" t="n">
        <x:v>5</x:v>
      </x:c>
      <x:c r="AF347" s="28" t="n">
        <x:f>IF(Z347="Высокая",3,IF(Z347="Средняя",2,1))+AD347*2+MIN(AE347,3)</x:f>
        <x:v>7</x:v>
      </x:c>
    </x:row>
    <x:row r="348" ht="64" customHeight="1">
      <x:c r="A348" s="28" t="str">
        <x:v>VEG-0347</x:v>
      </x:c>
      <x:c r="B348" s="28" t="str">
        <x:v>картофель</x:v>
      </x:c>
      <x:c r="C348" s="28" t="str">
        <x:v>Универсальные</x:v>
      </x:c>
      <x:c r="D348" s="28" t="str">
        <x:v>картофель</x:v>
      </x:c>
      <x:c r="E348" s="28" t="str">
        <x:v>French fries</x:v>
      </x:c>
      <x:c r="F348" s="28" t="str">
        <x:v>Корнеплоды и клубни</x:v>
      </x:c>
      <x:c r="G348" s="28" t="str">
        <x:v>кетчуп</x:v>
      </x:c>
      <x:c r="H348" s="28" t="str">
        <x:v>ketchup</x:v>
      </x:c>
      <x:c r="I348" s="28" t="str">
        <x:v>Прочее</x:v>
      </x:c>
      <x:c r="J348" s="28" t="str">
        <x:v>крахмалистый, землистый, ореховый и жареный после нагрева</x:v>
      </x:c>
      <x:c r="K348" s="28" t="str">
        <x:v>профиль зависит от конкретного продукта</x:v>
      </x:c>
      <x:c r="L348" s="28" t="str">
        <x:v>метиональ, 2-ацетил-1-пирролин, пиразины, альдегиды</x:v>
      </x:c>
      <x:c r="M348" s="28" t="str">
        <x:v>конкретный молекулярный профиль не указан</x:v>
      </x:c>
      <x:c r="N348" s="28" t="str">
        <x:v>прямое пересечение семейств не подтверждено</x:v>
      </x:c>
      <x:c r="O348" s="28" t="str">
        <x:v>надёжная общая ключевая молекула не установлена</x:v>
      </x:c>
      <x:c r="P348" s="28" t="str">
        <x:v>сенсорная комплементарность</x:v>
      </x:c>
      <x:c r="Q34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8" s="28" t="str">
        <x:v>минимальный</x:v>
      </x:c>
      <x:c r="S348" s="28" t="str">
        <x:v>крахмальная водная матрица; структура зависит от сорта и желатинизации крахмала</x:v>
      </x:c>
      <x:c r="T34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8" s="28" t="str">
        <x:v>Картофель имеет профиль «крахмалистый, землистый, ореховый и жареный после нагрева». Партнёр «кетчуп»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48" s="28" t="str">
        <x:v>зелёные или проросшие клубни не использовать; пережаривание даёт горечь и чрезмерно тёмную корку</x:v>
      </x:c>
      <x:c r="W348" s="28" t="str">
        <x:v>соль, кислота или ароматический жир</x:v>
      </x:c>
      <x:c r="X348" s="28" t="str">
        <x:v>пюре, суп, запекание, крем, гарнир, соус или десертная разработка с кетчуп</x:v>
      </x:c>
      <x:c r="Y348" s="28" t="str">
        <x:v>еда, соусы/маринады</x:v>
      </x:c>
      <x:c r="Z348" s="28" t="str">
        <x:v>Высокая</x:v>
      </x:c>
      <x:c r="AA348" s="28" t="str">
        <x:v>The Art &amp; Science of Foodpairing.pdf</x:v>
      </x:c>
      <x:c r="AB348" s="28" t="str">
        <x:v>The Art &amp; Science of Foodpairing.pdf: 197</x:v>
      </x:c>
      <x:c r="AC348" s="28" t="str">
        <x:v>прямая Classic pairing, стр. 197</x:v>
      </x:c>
      <x:c r="AD348" s="28" t="n">
        <x:v>1</x:v>
      </x:c>
      <x:c r="AE348" s="28" t="n">
        <x:v>1</x:v>
      </x:c>
      <x:c r="AF348" s="28" t="n">
        <x:f>IF(Z348="Высокая",3,IF(Z348="Средняя",2,1))+AD348*2+MIN(AE348,3)</x:f>
        <x:v>6</x:v>
      </x:c>
    </x:row>
    <x:row r="349" ht="64" customHeight="1">
      <x:c r="A349" s="28" t="str">
        <x:v>VEG-0348</x:v>
      </x:c>
      <x:c r="B349" s="28" t="str">
        <x:v>картофель</x:v>
      </x:c>
      <x:c r="C349" s="28" t="str">
        <x:v>Универсальные</x:v>
      </x:c>
      <x:c r="D349" s="28" t="str">
        <x:v>картофель</x:v>
      </x:c>
      <x:c r="E349" s="28" t="str">
        <x:v>French fries</x:v>
      </x:c>
      <x:c r="F349" s="28" t="str">
        <x:v>Корнеплоды и клубни</x:v>
      </x:c>
      <x:c r="G349" s="28" t="str">
        <x:v>киноа</x:v>
      </x:c>
      <x:c r="H349" s="28" t="str">
        <x:v>cookedquinoa</x:v>
      </x:c>
      <x:c r="I349" s="28" t="str">
        <x:v>Прочее</x:v>
      </x:c>
      <x:c r="J349" s="28" t="str">
        <x:v>крахмалистый, землистый, ореховый и жареный после нагрева</x:v>
      </x:c>
      <x:c r="K349" s="28" t="str">
        <x:v>профиль зависит от конкретного продукта</x:v>
      </x:c>
      <x:c r="L349" s="28" t="str">
        <x:v>метиональ, 2-ацетил-1-пирролин, пиразины, альдегиды</x:v>
      </x:c>
      <x:c r="M349" s="28" t="str">
        <x:v>конкретный молекулярный профиль не указан</x:v>
      </x:c>
      <x:c r="N349" s="28" t="str">
        <x:v>прямое пересечение семейств не подтверждено</x:v>
      </x:c>
      <x:c r="O349" s="28" t="str">
        <x:v>надёжная общая ключевая молекула не установлена</x:v>
      </x:c>
      <x:c r="P349" s="28" t="str">
        <x:v>сенсорная комплементарность</x:v>
      </x:c>
      <x:c r="Q34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49" s="28" t="str">
        <x:v>минимальный</x:v>
      </x:c>
      <x:c r="S349" s="28" t="str">
        <x:v>крахмальная водная матрица; структура зависит от сорта и желатинизации крахмала</x:v>
      </x:c>
      <x:c r="T34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49" s="28" t="str">
        <x:v>Картофель имеет профиль «крахмалистый, землистый, ореховый и жареный после нагрева». Партнёр «киноа»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49" s="28" t="str">
        <x:v>зелёные или проросшие клубни не использовать; пережаривание даёт горечь и чрезмерно тёмную корку</x:v>
      </x:c>
      <x:c r="W349" s="28" t="str">
        <x:v>соль, кислота или ароматический жир</x:v>
      </x:c>
      <x:c r="X349" s="28" t="str">
        <x:v>пюре, суп, запекание, крем, гарнир, соус или десертная разработка с киноа</x:v>
      </x:c>
      <x:c r="Y349" s="28" t="str">
        <x:v>еда, соусы/маринады</x:v>
      </x:c>
      <x:c r="Z349" s="28" t="str">
        <x:v>Средняя</x:v>
      </x:c>
      <x:c r="AA349" s="28" t="str">
        <x:v>The Art &amp; Science of Foodpairing.pdf</x:v>
      </x:c>
      <x:c r="AB349" s="28" t="str">
        <x:v>The Art &amp; Science of Foodpairing.pdf: 196</x:v>
      </x:c>
      <x:c r="AC349" s="28" t="str">
        <x:v>связь из pairing grid, стр. 196</x:v>
      </x:c>
      <x:c r="AD349" s="28" t="n">
        <x:v>1</x:v>
      </x:c>
      <x:c r="AE349" s="28" t="n">
        <x:v>1</x:v>
      </x:c>
      <x:c r="AF349" s="28" t="n">
        <x:f>IF(Z349="Высокая",3,IF(Z349="Средняя",2,1))+AD349*2+MIN(AE349,3)</x:f>
        <x:v>5</x:v>
      </x:c>
    </x:row>
    <x:row r="350" ht="64" customHeight="1">
      <x:c r="A350" s="28" t="str">
        <x:v>VEG-0349</x:v>
      </x:c>
      <x:c r="B350" s="28" t="str">
        <x:v>картофель</x:v>
      </x:c>
      <x:c r="C350" s="28" t="str">
        <x:v>Десерты и выпечка</x:v>
      </x:c>
      <x:c r="D350" s="28" t="str">
        <x:v>картофель</x:v>
      </x:c>
      <x:c r="E350" s="28" t="str">
        <x:v>French fries</x:v>
      </x:c>
      <x:c r="F350" s="28" t="str">
        <x:v>Корнеплоды и клубни</x:v>
      </x:c>
      <x:c r="G350" s="28" t="str">
        <x:v>клубника</x:v>
      </x:c>
      <x:c r="H350" s="28" t="str">
        <x:v>strawberry</x:v>
      </x:c>
      <x:c r="I350" s="28" t="str">
        <x:v>Фрукты и ягоды</x:v>
      </x:c>
      <x:c r="J350" s="28" t="str">
        <x:v>крахмалистый, землистый, ореховый и жареный после нагрева</x:v>
      </x:c>
      <x:c r="K350" s="28" t="str">
        <x:v>зелёный, карамельный, фруктовый</x:v>
      </x:c>
      <x:c r="L350" s="28" t="str">
        <x:v>метиональ, 2-ацетил-1-пирролин, пиразины, альдегиды</x:v>
      </x:c>
      <x:c r="M350" s="28" t="str">
        <x:v>фуранеол, эфиры</x:v>
      </x:c>
      <x:c r="N350" s="28" t="str">
        <x:v>прямое пересечение семейств не подтверждено</x:v>
      </x:c>
      <x:c r="O350" s="28" t="str">
        <x:v>надёжная общая ключевая молекула не установлена</x:v>
      </x:c>
      <x:c r="P350" s="28" t="str">
        <x:v>кислотно-сладкий баланс</x:v>
      </x:c>
      <x:c r="Q35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0" s="28" t="str">
        <x:v>минимальный</x:v>
      </x:c>
      <x:c r="S350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5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0" s="28" t="str">
        <x:v>Картофель имеет профиль «крахмалистый, землистый, ореховый и жареный после нагрева».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5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50" s="28" t="str">
        <x:v>цитрус, мёд или мягкая трава</x:v>
      </x:c>
      <x:c r="X350" s="28" t="str">
        <x:v>пюре, суп, запекание, крем, гарнир, соус или десертная разработка с клубника</x:v>
      </x:c>
      <x:c r="Y350" s="28" t="str">
        <x:v>еда, десерты, соусы/маринады</x:v>
      </x:c>
      <x:c r="Z350" s="28" t="str">
        <x:v>Средняя</x:v>
      </x:c>
      <x:c r="AA350" s="28" t="str">
        <x:v>The Art &amp; Science of Foodpairing.pdf</x:v>
      </x:c>
      <x:c r="AB350" s="28" t="str">
        <x:v>The Art &amp; Science of Foodpairing.pdf: 196</x:v>
      </x:c>
      <x:c r="AC350" s="28" t="str">
        <x:v>связь из pairing grid, стр. 196</x:v>
      </x:c>
      <x:c r="AD350" s="28" t="n">
        <x:v>1</x:v>
      </x:c>
      <x:c r="AE350" s="28" t="n">
        <x:v>1</x:v>
      </x:c>
      <x:c r="AF350" s="28" t="n">
        <x:f>IF(Z350="Высокая",3,IF(Z350="Средняя",2,1))+AD350*2+MIN(AE350,3)</x:f>
        <x:v>5</x:v>
      </x:c>
    </x:row>
    <x:row r="351" ht="64" customHeight="1">
      <x:c r="A351" s="28" t="str">
        <x:v>VEG-0350</x:v>
      </x:c>
      <x:c r="B351" s="28" t="str">
        <x:v>картофель</x:v>
      </x:c>
      <x:c r="C351" s="28" t="str">
        <x:v>Универсальные</x:v>
      </x:c>
      <x:c r="D351" s="28" t="str">
        <x:v>картофель</x:v>
      </x:c>
      <x:c r="E351" s="28" t="str">
        <x:v>potato</x:v>
      </x:c>
      <x:c r="F351" s="28" t="str">
        <x:v>Корнеплоды и клубни</x:v>
      </x:c>
      <x:c r="G351" s="28" t="str">
        <x:v>кокос</x:v>
      </x:c>
      <x:c r="H351" s="28" t="str">
        <x:v>coconut</x:v>
      </x:c>
      <x:c r="I351" s="28" t="str">
        <x:v>Прочее</x:v>
      </x:c>
      <x:c r="J351" s="28" t="str">
        <x:v>крахмалистый, землистый, ореховый и жареный после нагрева</x:v>
      </x:c>
      <x:c r="K351" s="28" t="str">
        <x:v>лактонный, сливочный</x:v>
      </x:c>
      <x:c r="L351" s="28" t="str">
        <x:v>метиональ, 2-ацетил-1-пирролин, пиразины, альдегиды</x:v>
      </x:c>
      <x:c r="M351" s="28" t="str">
        <x:v>лактоны</x:v>
      </x:c>
      <x:c r="N351" s="28" t="str">
        <x:v>прямое пересечение семейств не подтверждено</x:v>
      </x:c>
      <x:c r="O351" s="28" t="str">
        <x:v>надёжная общая ключевая молекула не установлена</x:v>
      </x:c>
      <x:c r="P351" s="28" t="str">
        <x:v>сенсорная комплементарность</x:v>
      </x:c>
      <x:c r="Q35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1" s="28" t="str">
        <x:v>минимальный</x:v>
      </x:c>
      <x:c r="S351" s="28" t="str">
        <x:v>крахмальная водная матрица; структура зависит от сорта и желатинизации крахмала</x:v>
      </x:c>
      <x:c r="T35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1" s="28" t="str">
        <x:v>Картофель имеет профиль «крахмалистый, землистый, ореховый и жареный после нагрева».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51" s="28" t="str">
        <x:v>зелёные или проросшие клубни не использовать; пережаривание даёт горечь и чрезмерно тёмную корку</x:v>
      </x:c>
      <x:c r="W351" s="28" t="str">
        <x:v>соль, кислота или ароматический жир</x:v>
      </x:c>
      <x:c r="X351" s="28" t="str">
        <x:v>пюре, суп, запекание, крем, гарнир, соус или десертная разработка с кокос</x:v>
      </x:c>
      <x:c r="Y351" s="28" t="str">
        <x:v>еда, соусы/маринады</x:v>
      </x:c>
      <x:c r="Z351" s="28" t="str">
        <x:v>Средняя</x:v>
      </x:c>
      <x:c r="AA351" s="28" t="str">
        <x:v>The Art &amp; Science of Foodpairing.pdf</x:v>
      </x:c>
      <x:c r="AB351" s="28" t="str">
        <x:v>The Art &amp; Science of Foodpairing.pdf: 135</x:v>
      </x:c>
      <x:c r="AC351" s="28" t="str">
        <x:v>связь из pairing grid, стр. 135</x:v>
      </x:c>
      <x:c r="AD351" s="28" t="n">
        <x:v>1</x:v>
      </x:c>
      <x:c r="AE351" s="28" t="n">
        <x:v>1</x:v>
      </x:c>
      <x:c r="AF351" s="28" t="n">
        <x:f>IF(Z351="Высокая",3,IF(Z351="Средняя",2,1))+AD351*2+MIN(AE351,3)</x:f>
        <x:v>5</x:v>
      </x:c>
    </x:row>
    <x:row r="352" ht="64" customHeight="1">
      <x:c r="A352" s="28" t="str">
        <x:v>VEG-0351</x:v>
      </x:c>
      <x:c r="B352" s="28" t="str">
        <x:v>картофель</x:v>
      </x:c>
      <x:c r="C352" s="28" t="str">
        <x:v>Еда и соусы</x:v>
      </x:c>
      <x:c r="D352" s="28" t="str">
        <x:v>картофель</x:v>
      </x:c>
      <x:c r="E352" s="28" t="str">
        <x:v>Картофель | картофель</x:v>
      </x:c>
      <x:c r="F352" s="28" t="str">
        <x:v>Корнеплоды и клубни</x:v>
      </x:c>
      <x:c r="G352" s="28" t="str">
        <x:v>копченая рыба</x:v>
      </x:c>
      <x:c r="H352" s="28" t="str">
        <x:v>Копченая рыба | копченая рыба</x:v>
      </x:c>
      <x:c r="I352" s="28" t="str">
        <x:v>Рыба и морепродукты</x:v>
      </x:c>
      <x:c r="J352" s="28" t="str">
        <x:v>крахмалистый, землистый, ореховый и жареный после нагрева</x:v>
      </x:c>
      <x:c r="K352" s="28" t="str">
        <x:v>жирный, морской, умами</x:v>
      </x:c>
      <x:c r="L352" s="28" t="str">
        <x:v>метиональ, 2-ацетил-1-пирролин, пиразины, альдегиды</x:v>
      </x:c>
      <x:c r="M352" s="28" t="str">
        <x:v>альдегиды, амины</x:v>
      </x:c>
      <x:c r="N352" s="28" t="str">
        <x:v>прямое пересечение семейств не подтверждено</x:v>
      </x:c>
      <x:c r="O352" s="28" t="str">
        <x:v>альдегиды</x:v>
      </x:c>
      <x:c r="P352" s="28" t="str">
        <x:v>общие характерные молекулы; умами и солёный контраст</x:v>
      </x:c>
      <x:c r="Q35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2" s="28" t="str">
        <x:v>минимальный</x:v>
      </x:c>
      <x:c r="S352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5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2" s="28" t="str">
        <x:v>Картофель имеет профиль «крахмалистый, землистый, ореховый и жареный после нагрева». Партнёр «копченая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52" s="28" t="str">
        <x:v>зелёные или проросшие клубни не использовать; пережаривание даёт горечь и чрезмерно тёмную корку</x:v>
      </x:c>
      <x:c r="W352" s="28" t="str">
        <x:v>сливочное масло, соевый соус или тимьян</x:v>
      </x:c>
      <x:c r="X352" s="28" t="str">
        <x:v>пюре, суп, запекание, крем, гарнир, соус или десертная разработка с копченая рыба</x:v>
      </x:c>
      <x:c r="Y352" s="28" t="str">
        <x:v>еда, соусы/маринады</x:v>
      </x:c>
      <x:c r="Z352" s="28" t="str">
        <x:v>Средняя</x:v>
      </x:c>
      <x:c r="AA352" s="28" t="str">
        <x:v>Тезариус вкусов (Ники Сегнит)(1).pdf</x:v>
      </x:c>
      <x:c r="AB352" s="28" t="str">
        <x:v>Тезариус вкусов (Ники Сегнит)(1).pdf: 236, 435</x:v>
      </x:c>
      <x:c r="AC352" s="28" t="str">
        <x:v>развёрнутая пара/статья, стр. 236; развёрнутая пара/статья, стр. 435</x:v>
      </x:c>
      <x:c r="AD352" s="28" t="n">
        <x:v>1</x:v>
      </x:c>
      <x:c r="AE352" s="28" t="n">
        <x:v>2</x:v>
      </x:c>
      <x:c r="AF352" s="28" t="n">
        <x:f>IF(Z352="Высокая",3,IF(Z352="Средняя",2,1))+AD352*2+MIN(AE352,3)</x:f>
        <x:v>6</x:v>
      </x:c>
    </x:row>
    <x:row r="353" ht="64" customHeight="1">
      <x:c r="A353" s="28" t="str">
        <x:v>VEG-0352</x:v>
      </x:c>
      <x:c r="B353" s="28" t="str">
        <x:v>картофель</x:v>
      </x:c>
      <x:c r="C353" s="28" t="str">
        <x:v>Еда и соусы</x:v>
      </x:c>
      <x:c r="D353" s="28" t="str">
        <x:v>картофель</x:v>
      </x:c>
      <x:c r="E353" s="28" t="str">
        <x:v>French fries</x:v>
      </x:c>
      <x:c r="F353" s="28" t="str">
        <x:v>Корнеплоды и клубни</x:v>
      </x:c>
      <x:c r="G353" s="28" t="str">
        <x:v>корейский рыбный соус</x:v>
      </x:c>
      <x:c r="H353" s="28" t="str">
        <x:v>Korean fish sauce</x:v>
      </x:c>
      <x:c r="I353" s="28" t="str">
        <x:v>Рыба и морепродукты</x:v>
      </x:c>
      <x:c r="J353" s="28" t="str">
        <x:v>крахмалистый, землистый, ореховый и жареный после нагрева</x:v>
      </x:c>
      <x:c r="K353" s="28" t="str">
        <x:v>морской, солоноватый и умами</x:v>
      </x:c>
      <x:c r="L353" s="28" t="str">
        <x:v>метиональ, 2-ацетил-1-пирролин, пиразины, альдегиды</x:v>
      </x:c>
      <x:c r="M353" s="28" t="str">
        <x:v>альдегиды, амины</x:v>
      </x:c>
      <x:c r="N353" s="28" t="str">
        <x:v>прямое пересечение семейств не подтверждено</x:v>
      </x:c>
      <x:c r="O353" s="28" t="str">
        <x:v>альдегиды</x:v>
      </x:c>
      <x:c r="P353" s="28" t="str">
        <x:v>общие характерные молекулы; умами и солёный контраст</x:v>
      </x:c>
      <x:c r="Q35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3" s="28" t="str">
        <x:v>минимальный</x:v>
      </x:c>
      <x:c r="S353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5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3" s="28" t="str">
        <x:v>Картофель имеет профиль «крахмалистый, землистый, ореховый и жареный после нагрева». Партнёр «корейский рыбный соус»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53" s="28" t="str">
        <x:v>зелёные или проросшие клубни не использовать; пережаривание даёт горечь и чрезмерно тёмную корку</x:v>
      </x:c>
      <x:c r="W353" s="28" t="str">
        <x:v>сливочное масло, соевый соус или тимьян</x:v>
      </x:c>
      <x:c r="X353" s="28" t="str">
        <x:v>пюре, суп, запекание, крем, гарнир, соус или десертная разработка с корейский рыбный соус</x:v>
      </x:c>
      <x:c r="Y353" s="28" t="str">
        <x:v>еда, соусы/маринады</x:v>
      </x:c>
      <x:c r="Z353" s="28" t="str">
        <x:v>Средняя</x:v>
      </x:c>
      <x:c r="AA353" s="28" t="str">
        <x:v>The Art &amp; Science of Foodpairing.pdf</x:v>
      </x:c>
      <x:c r="AB353" s="28" t="str">
        <x:v>The Art &amp; Science of Foodpairing.pdf: 196</x:v>
      </x:c>
      <x:c r="AC353" s="28" t="str">
        <x:v>связь из pairing grid, стр. 196</x:v>
      </x:c>
      <x:c r="AD353" s="28" t="n">
        <x:v>1</x:v>
      </x:c>
      <x:c r="AE353" s="28" t="n">
        <x:v>1</x:v>
      </x:c>
      <x:c r="AF353" s="28" t="n">
        <x:f>IF(Z353="Высокая",3,IF(Z353="Средняя",2,1))+AD353*2+MIN(AE353,3)</x:f>
        <x:v>5</x:v>
      </x:c>
    </x:row>
    <x:row r="354" ht="64" customHeight="1">
      <x:c r="A354" s="28" t="str">
        <x:v>VEG-0353</x:v>
      </x:c>
      <x:c r="B354" s="28" t="str">
        <x:v>картофель</x:v>
      </x:c>
      <x:c r="C354" s="28" t="str">
        <x:v>Напитки</x:v>
      </x:c>
      <x:c r="D354" s="28" t="str">
        <x:v>картофель</x:v>
      </x:c>
      <x:c r="E354" s="28" t="str">
        <x:v>French fries</x:v>
      </x:c>
      <x:c r="F354" s="28" t="str">
        <x:v>Корнеплоды и клубни</x:v>
      </x:c>
      <x:c r="G354" s="28" t="str">
        <x:v>кофе</x:v>
      </x:c>
      <x:c r="H354" s="28" t="str">
        <x:v>freshlybrewed filter coffee</x:v>
      </x:c>
      <x:c r="I354" s="28" t="str">
        <x:v>Кофе</x:v>
      </x:c>
      <x:c r="J354" s="28" t="str">
        <x:v>крахмалистый, землистый, ореховый и жареный после нагрева</x:v>
      </x:c>
      <x:c r="K354" s="28" t="str">
        <x:v>жареный, карамельный, ореховый</x:v>
      </x:c>
      <x:c r="L354" s="28" t="str">
        <x:v>метиональ, 2-ацетил-1-пирролин, пиразины, альдегиды</x:v>
      </x:c>
      <x:c r="M354" s="28" t="str">
        <x:v>гваякол, пиразины, фураны</x:v>
      </x:c>
      <x:c r="N354" s="28" t="str">
        <x:v>жареный</x:v>
      </x:c>
      <x:c r="O354" s="28" t="str">
        <x:v>пиразины</x:v>
      </x:c>
      <x:c r="P354" s="28" t="str">
        <x:v>общие характерные молекулы; пересечение ароматических семейств</x:v>
      </x:c>
      <x:c r="Q35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4" s="28" t="str">
        <x:v>минимальный</x:v>
      </x:c>
      <x:c r="S354" s="28" t="str">
        <x:v>крахмальная водная матрица; структура зависит от сорта и желатинизации крахмала</x:v>
      </x:c>
      <x:c r="T35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4" s="28" t="str">
        <x:v>Картофель имеет профиль «крахмалистый, землистый, ореховый и жареный после нагрева».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354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W354" s="28" t="str">
        <x:v>сливки, орех или карамель</x:v>
      </x:c>
      <x:c r="X354" s="28" t="str">
        <x:v>пюре, суп, запекание, крем, гарнир, соус или десертная разработка с кофе</x:v>
      </x:c>
      <x:c r="Y354" s="28" t="str">
        <x:v>напитки, еда, соусы/маринады</x:v>
      </x:c>
      <x:c r="Z354" s="28" t="str">
        <x:v>Средняя</x:v>
      </x:c>
      <x:c r="AA354" s="28" t="str">
        <x:v>The Art &amp; Science of Foodpairing.pdf</x:v>
      </x:c>
      <x:c r="AB354" s="28" t="str">
        <x:v>The Art &amp; Science of Foodpairing.pdf: 196</x:v>
      </x:c>
      <x:c r="AC354" s="28" t="str">
        <x:v>связь из pairing grid, стр. 196</x:v>
      </x:c>
      <x:c r="AD354" s="28" t="n">
        <x:v>1</x:v>
      </x:c>
      <x:c r="AE354" s="28" t="n">
        <x:v>1</x:v>
      </x:c>
      <x:c r="AF354" s="28" t="n">
        <x:f>IF(Z354="Высокая",3,IF(Z354="Средняя",2,1))+AD354*2+MIN(AE354,3)</x:f>
        <x:v>5</x:v>
      </x:c>
    </x:row>
    <x:row r="355" ht="64" customHeight="1">
      <x:c r="A355" s="28" t="str">
        <x:v>VEG-0354</x:v>
      </x:c>
      <x:c r="B355" s="28" t="str">
        <x:v>картофель</x:v>
      </x:c>
      <x:c r="C355" s="28" t="str">
        <x:v>Еда и соусы</x:v>
      </x:c>
      <x:c r="D355" s="28" t="str">
        <x:v>картофель</x:v>
      </x:c>
      <x:c r="E355" s="28" t="str">
        <x:v>French fries</x:v>
      </x:c>
      <x:c r="F355" s="28" t="str">
        <x:v>Корнеплоды и клубни</x:v>
      </x:c>
      <x:c r="G355" s="28" t="str">
        <x:v>краб</x:v>
      </x:c>
      <x:c r="H355" s="28" t="str">
        <x:v>(Liocarcinusholsatus) | baked flying crab | boiled b;own crabmeat | boiled blue crab</x:v>
      </x:c>
      <x:c r="I355" s="28" t="str">
        <x:v>Рыба и морепродукты</x:v>
      </x:c>
      <x:c r="J355" s="28" t="str">
        <x:v>крахмалистый, землистый, ореховый и жареный после нагрева</x:v>
      </x:c>
      <x:c r="K355" s="28" t="str">
        <x:v>морской, солоноватый и умами</x:v>
      </x:c>
      <x:c r="L355" s="28" t="str">
        <x:v>метиональ, 2-ацетил-1-пирролин, пиразины, альдегиды</x:v>
      </x:c>
      <x:c r="M355" s="28" t="str">
        <x:v>альдегиды, амины</x:v>
      </x:c>
      <x:c r="N355" s="28" t="str">
        <x:v>прямое пересечение семейств не подтверждено</x:v>
      </x:c>
      <x:c r="O355" s="28" t="str">
        <x:v>альдегиды</x:v>
      </x:c>
      <x:c r="P355" s="28" t="str">
        <x:v>общие характерные молекулы; умами и солёный контраст</x:v>
      </x:c>
      <x:c r="Q35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5" s="28" t="str">
        <x:v>минимальный</x:v>
      </x:c>
      <x:c r="S355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5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5" s="28" t="str">
        <x:v>Картофель имеет профиль «крахмалистый, землистый, ореховый и жареный после нагрева». Партнёр «краб»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55" s="28" t="str">
        <x:v>зелёные или проросшие клубни не использовать; пережаривание даёт горечь и чрезмерно тёмную корку</x:v>
      </x:c>
      <x:c r="W355" s="28" t="str">
        <x:v>сливочное масло, соевый соус или тимьян</x:v>
      </x:c>
      <x:c r="X355" s="28" t="str">
        <x:v>пюре, суп, запекание, крем, гарнир, соус или десертная разработка с краб</x:v>
      </x:c>
      <x:c r="Y355" s="28" t="str">
        <x:v>еда, соусы/маринады</x:v>
      </x:c>
      <x:c r="Z355" s="28" t="str">
        <x:v>Средняя</x:v>
      </x:c>
      <x:c r="AA355" s="28" t="str">
        <x:v>The Art &amp; Science of Foodpairing.pdf</x:v>
      </x:c>
      <x:c r="AB355" s="28" t="str">
        <x:v>The Art &amp; Science of Foodpairing.pdf: 196</x:v>
      </x:c>
      <x:c r="AC355" s="28" t="str">
        <x:v>связь из pairing grid, стр. 196; связь из pairing grid, стр. 196; связь из pairing grid, стр. 196; связь из pairing grid, стр. 196</x:v>
      </x:c>
      <x:c r="AD355" s="28" t="n">
        <x:v>1</x:v>
      </x:c>
      <x:c r="AE355" s="28" t="n">
        <x:v>4</x:v>
      </x:c>
      <x:c r="AF355" s="28" t="n">
        <x:f>IF(Z355="Высокая",3,IF(Z355="Средняя",2,1))+AD355*2+MIN(AE355,3)</x:f>
        <x:v>7</x:v>
      </x:c>
    </x:row>
    <x:row r="356" ht="64" customHeight="1">
      <x:c r="A356" s="28" t="str">
        <x:v>VEG-0355</x:v>
      </x:c>
      <x:c r="B356" s="28" t="str">
        <x:v>картофель</x:v>
      </x:c>
      <x:c r="C356" s="28" t="str">
        <x:v>Десерты и выпечка</x:v>
      </x:c>
      <x:c r="D356" s="28" t="str">
        <x:v>картофель</x:v>
      </x:c>
      <x:c r="E356" s="28" t="str">
        <x:v>French fries</x:v>
      </x:c>
      <x:c r="F356" s="28" t="str">
        <x:v>Корнеплоды и клубни</x:v>
      </x:c>
      <x:c r="G356" s="28" t="str">
        <x:v>кунжутная халва</x:v>
      </x:c>
      <x:c r="H356" s="28" t="str">
        <x:v>sesame halva</x:v>
      </x:c>
      <x:c r="I356" s="28" t="str">
        <x:v>Орехи и семена</x:v>
      </x:c>
      <x:c r="J356" s="28" t="str">
        <x:v>крахмалистый, землистый, ореховый и жареный после нагрева</x:v>
      </x:c>
      <x:c r="K356" s="28" t="str">
        <x:v>ореховый, жареный и жирный</x:v>
      </x:c>
      <x:c r="L356" s="28" t="str">
        <x:v>метиональ, 2-ацетил-1-пирролин, пиразины, альдегиды</x:v>
      </x:c>
      <x:c r="M356" s="28" t="str">
        <x:v>альдегиды, пиразины, фураны</x:v>
      </x:c>
      <x:c r="N356" s="28" t="str">
        <x:v>жареный</x:v>
      </x:c>
      <x:c r="O356" s="28" t="str">
        <x:v>альдегиды, пиразины</x:v>
      </x:c>
      <x:c r="P356" s="28" t="str">
        <x:v>общие характерные молекулы; пересечение ароматических семейств</x:v>
      </x:c>
      <x:c r="Q35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6" s="28" t="str">
        <x:v>минимальный</x:v>
      </x:c>
      <x:c r="S356" s="28" t="str">
        <x:v>крахмальная водная матрица; структура зависит от сорта и желатинизации крахмала</x:v>
      </x:c>
      <x:c r="T35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6" s="28" t="str">
        <x:v>Картофель имеет профиль «крахмалистый, землистый, ореховый и жареный после нагрева». Партнёр «кунжутная халва»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V356" s="28" t="str">
        <x:v>зелёные или проросшие клубни не использовать; пережаривание даёт горечь и чрезмерно тёмную корку</x:v>
      </x:c>
      <x:c r="W356" s="28" t="str">
        <x:v>соль, кислота или ароматический жир</x:v>
      </x:c>
      <x:c r="X356" s="28" t="str">
        <x:v>пюре, суп, запекание, крем, гарнир, соус или десертная разработка с кунжутная халва</x:v>
      </x:c>
      <x:c r="Y356" s="28" t="str">
        <x:v>еда, десерты, соусы/маринады</x:v>
      </x:c>
      <x:c r="Z356" s="28" t="str">
        <x:v>Средняя</x:v>
      </x:c>
      <x:c r="AA356" s="28" t="str">
        <x:v>The Art &amp; Science of Foodpairing.pdf</x:v>
      </x:c>
      <x:c r="AB356" s="28" t="str">
        <x:v>The Art &amp; Science of Foodpairing.pdf: 196</x:v>
      </x:c>
      <x:c r="AC356" s="28" t="str">
        <x:v>связь из pairing grid, стр. 196</x:v>
      </x:c>
      <x:c r="AD356" s="28" t="n">
        <x:v>1</x:v>
      </x:c>
      <x:c r="AE356" s="28" t="n">
        <x:v>1</x:v>
      </x:c>
      <x:c r="AF356" s="28" t="n">
        <x:f>IF(Z356="Высокая",3,IF(Z356="Средняя",2,1))+AD356*2+MIN(AE356,3)</x:f>
        <x:v>5</x:v>
      </x:c>
    </x:row>
    <x:row r="357" ht="64" customHeight="1">
      <x:c r="A357" s="28" t="str">
        <x:v>VEG-0356</x:v>
      </x:c>
      <x:c r="B357" s="28" t="str">
        <x:v>картофель</x:v>
      </x:c>
      <x:c r="C357" s="28" t="str">
        <x:v>Еда и соусы</x:v>
      </x:c>
      <x:c r="D357" s="28" t="str">
        <x:v>картофель</x:v>
      </x:c>
      <x:c r="E357" s="28" t="str">
        <x:v>French fries</x:v>
      </x:c>
      <x:c r="F357" s="28" t="str">
        <x:v>Корнеплоды и клубни</x:v>
      </x:c>
      <x:c r="G357" s="28" t="str">
        <x:v>лангустин</x:v>
      </x:c>
      <x:c r="H357" s="28" t="str">
        <x:v>boiled langoustine</x:v>
      </x:c>
      <x:c r="I357" s="28" t="str">
        <x:v>Рыба и морепродукты</x:v>
      </x:c>
      <x:c r="J357" s="28" t="str">
        <x:v>крахмалистый, землистый, ореховый и жареный после нагрева</x:v>
      </x:c>
      <x:c r="K357" s="28" t="str">
        <x:v>морской, солоноватый и умами</x:v>
      </x:c>
      <x:c r="L357" s="28" t="str">
        <x:v>метиональ, 2-ацетил-1-пирролин, пиразины, альдегиды</x:v>
      </x:c>
      <x:c r="M357" s="28" t="str">
        <x:v>альдегиды, амины</x:v>
      </x:c>
      <x:c r="N357" s="28" t="str">
        <x:v>прямое пересечение семейств не подтверждено</x:v>
      </x:c>
      <x:c r="O357" s="28" t="str">
        <x:v>альдегиды</x:v>
      </x:c>
      <x:c r="P357" s="28" t="str">
        <x:v>общие характерные молекулы; умами и солёный контраст</x:v>
      </x:c>
      <x:c r="Q35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7" s="28" t="str">
        <x:v>минимальный</x:v>
      </x:c>
      <x:c r="S357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5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7" s="28" t="str">
        <x:v>Картофель имеет профиль «крахмалистый, землистый, ореховый и жареный после нагрева». Партнёр «лангустин»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57" s="28" t="str">
        <x:v>зелёные или проросшие клубни не использовать; пережаривание даёт горечь и чрезмерно тёмную корку</x:v>
      </x:c>
      <x:c r="W357" s="28" t="str">
        <x:v>сливочное масло, соевый соус или тимьян</x:v>
      </x:c>
      <x:c r="X357" s="28" t="str">
        <x:v>пюре, суп, запекание, крем, гарнир, соус или десертная разработка с лангустин</x:v>
      </x:c>
      <x:c r="Y357" s="28" t="str">
        <x:v>еда, соусы/маринады</x:v>
      </x:c>
      <x:c r="Z357" s="28" t="str">
        <x:v>Средняя</x:v>
      </x:c>
      <x:c r="AA357" s="28" t="str">
        <x:v>The Art &amp; Science of Foodpairing.pdf</x:v>
      </x:c>
      <x:c r="AB357" s="28" t="str">
        <x:v>The Art &amp; Science of Foodpairing.pdf: 196</x:v>
      </x:c>
      <x:c r="AC357" s="28" t="str">
        <x:v>связь из pairing grid, стр. 196</x:v>
      </x:c>
      <x:c r="AD357" s="28" t="n">
        <x:v>1</x:v>
      </x:c>
      <x:c r="AE357" s="28" t="n">
        <x:v>1</x:v>
      </x:c>
      <x:c r="AF357" s="28" t="n">
        <x:f>IF(Z357="Высокая",3,IF(Z357="Средняя",2,1))+AD357*2+MIN(AE357,3)</x:f>
        <x:v>5</x:v>
      </x:c>
    </x:row>
    <x:row r="358" ht="64" customHeight="1">
      <x:c r="A358" s="28" t="str">
        <x:v>VEG-0357</x:v>
      </x:c>
      <x:c r="B358" s="28" t="str">
        <x:v>картофель</x:v>
      </x:c>
      <x:c r="C358" s="28" t="str">
        <x:v>Еда и соусы</x:v>
      </x:c>
      <x:c r="D358" s="28" t="str">
        <x:v>картофель</x:v>
      </x:c>
      <x:c r="E358" s="28" t="str">
        <x:v>French fries</x:v>
      </x:c>
      <x:c r="F358" s="28" t="str">
        <x:v>Корнеплоды и клубни</x:v>
      </x:c>
      <x:c r="G358" s="28" t="str">
        <x:v>летний трюфель</x:v>
      </x:c>
      <x:c r="H358" s="28" t="str">
        <x:v>summer truffle</x:v>
      </x:c>
      <x:c r="I358" s="28" t="str">
        <x:v>Грибы</x:v>
      </x:c>
      <x:c r="J358" s="28" t="str">
        <x:v>крахмалистый, землистый, ореховый и жареный после нагрева</x:v>
      </x:c>
      <x:c r="K358" s="28" t="str">
        <x:v>землистый, грибной и умами</x:v>
      </x:c>
      <x:c r="L358" s="28" t="str">
        <x:v>метиональ, 2-ацетил-1-пирролин, пиразины, альдегиды</x:v>
      </x:c>
      <x:c r="M358" s="28" t="str">
        <x:v>1-октен-3-ол, сернистые соединения</x:v>
      </x:c>
      <x:c r="N358" s="28" t="str">
        <x:v>жареный, землистый</x:v>
      </x:c>
      <x:c r="O358" s="28" t="str">
        <x:v>надёжная общая ключевая молекула не установлена</x:v>
      </x:c>
      <x:c r="P358" s="28" t="str">
        <x:v>пересечение ароматических семейств; умами и солёный контраст</x:v>
      </x:c>
      <x:c r="Q35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8" s="28" t="str">
        <x:v>минимальный</x:v>
      </x:c>
      <x:c r="S358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5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8" s="28" t="str">
        <x:v>Картофель имеет профиль «крахмалистый, землистый, ореховый и жареный после нагрева». Партнёр «летний 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V358" s="28" t="str">
        <x:v>зелёные или проросшие клубни не использовать; пережаривание даёт горечь и чрезмерно тёмную корку</x:v>
      </x:c>
      <x:c r="W358" s="28" t="str">
        <x:v>соль, кислота или ароматический жир</x:v>
      </x:c>
      <x:c r="X358" s="28" t="str">
        <x:v>пюре, суп, запекание, крем, гарнир, соус или десертная разработка с летний трюфель</x:v>
      </x:c>
      <x:c r="Y358" s="28" t="str">
        <x:v>еда, соусы/маринады</x:v>
      </x:c>
      <x:c r="Z358" s="28" t="str">
        <x:v>Средняя</x:v>
      </x:c>
      <x:c r="AA358" s="28" t="str">
        <x:v>The Art &amp; Science of Foodpairing.pdf</x:v>
      </x:c>
      <x:c r="AB358" s="28" t="str">
        <x:v>The Art &amp; Science of Foodpairing.pdf: 196</x:v>
      </x:c>
      <x:c r="AC358" s="28" t="str">
        <x:v>связь из pairing grid, стр. 196</x:v>
      </x:c>
      <x:c r="AD358" s="28" t="n">
        <x:v>1</x:v>
      </x:c>
      <x:c r="AE358" s="28" t="n">
        <x:v>1</x:v>
      </x:c>
      <x:c r="AF358" s="28" t="n">
        <x:f>IF(Z358="Высокая",3,IF(Z358="Средняя",2,1))+AD358*2+MIN(AE358,3)</x:f>
        <x:v>5</x:v>
      </x:c>
    </x:row>
    <x:row r="359" ht="64" customHeight="1">
      <x:c r="A359" s="28" t="str">
        <x:v>VEG-0358</x:v>
      </x:c>
      <x:c r="B359" s="28" t="str">
        <x:v>картофель</x:v>
      </x:c>
      <x:c r="C359" s="28" t="str">
        <x:v>Универсальные</x:v>
      </x:c>
      <x:c r="D359" s="28" t="str">
        <x:v>картофель</x:v>
      </x:c>
      <x:c r="E359" s="28" t="str">
        <x:v>French fries</x:v>
      </x:c>
      <x:c r="F359" s="28" t="str">
        <x:v>Корнеплоды и клубни</x:v>
      </x:c>
      <x:c r="G359" s="28" t="str">
        <x:v>ликёр бенедиктин</x:v>
      </x:c>
      <x:c r="H359" s="28" t="str">
        <x:v>Benedictine | Benedictine D.O.M. liqueur | D.O.M. liqueur</x:v>
      </x:c>
      <x:c r="I359" s="28" t="str">
        <x:v>Прочее</x:v>
      </x:c>
      <x:c r="J359" s="28" t="str">
        <x:v>крахмалистый, землистый, ореховый и жареный после нагрева</x:v>
      </x:c>
      <x:c r="K359" s="28" t="str">
        <x:v>профиль зависит от конкретного продукта</x:v>
      </x:c>
      <x:c r="L359" s="28" t="str">
        <x:v>метиональ, 2-ацетил-1-пирролин, пиразины, альдегиды</x:v>
      </x:c>
      <x:c r="M359" s="28" t="str">
        <x:v>конкретный молекулярный профиль не указан</x:v>
      </x:c>
      <x:c r="N359" s="28" t="str">
        <x:v>прямое пересечение семейств не подтверждено</x:v>
      </x:c>
      <x:c r="O359" s="28" t="str">
        <x:v>надёжная общая ключевая молекула не установлена</x:v>
      </x:c>
      <x:c r="P359" s="28" t="str">
        <x:v>сенсорная комплементарность</x:v>
      </x:c>
      <x:c r="Q35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59" s="28" t="str">
        <x:v>минимальный</x:v>
      </x:c>
      <x:c r="S359" s="28" t="str">
        <x:v>крахмальная водная матрица; структура зависит от сорта и желатинизации крахмала</x:v>
      </x:c>
      <x:c r="T35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59" s="28" t="str">
        <x:v>Картофель имеет профиль «крахмалистый, землистый, ореховый и жареный после нагрева». Партнёр «ликёр бенедиктин»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59" s="28" t="str">
        <x:v>зелёные или проросшие клубни не использовать; пережаривание даёт горечь и чрезмерно тёмную корку</x:v>
      </x:c>
      <x:c r="W359" s="28" t="str">
        <x:v>соль, кислота или ароматический жир</x:v>
      </x:c>
      <x:c r="X359" s="28" t="str">
        <x:v>пюре, суп, запекание, крем, гарнир, соус или десертная разработка с ликёр бенедиктин</x:v>
      </x:c>
      <x:c r="Y359" s="28" t="str">
        <x:v>еда, соусы/маринады</x:v>
      </x:c>
      <x:c r="Z359" s="28" t="str">
        <x:v>Средняя</x:v>
      </x:c>
      <x:c r="AA359" s="28" t="str">
        <x:v>The Art &amp; Science of Foodpairing.pdf</x:v>
      </x:c>
      <x:c r="AB359" s="28" t="str">
        <x:v>The Art &amp; Science of Foodpairing.pdf: 196</x:v>
      </x:c>
      <x:c r="AC359" s="28" t="str">
        <x:v>связь из pairing grid, стр. 196; связь из pairing grid, стр. 196; связь из pairing grid, стр. 196</x:v>
      </x:c>
      <x:c r="AD359" s="28" t="n">
        <x:v>1</x:v>
      </x:c>
      <x:c r="AE359" s="28" t="n">
        <x:v>3</x:v>
      </x:c>
      <x:c r="AF359" s="28" t="n">
        <x:f>IF(Z359="Высокая",3,IF(Z359="Средняя",2,1))+AD359*2+MIN(AE359,3)</x:f>
        <x:v>7</x:v>
      </x:c>
    </x:row>
    <x:row r="360" ht="64" customHeight="1">
      <x:c r="A360" s="28" t="str">
        <x:v>VEG-0359</x:v>
      </x:c>
      <x:c r="B360" s="28" t="str">
        <x:v>картофель</x:v>
      </x:c>
      <x:c r="C360" s="28" t="str">
        <x:v>Десерты и выпечка</x:v>
      </x:c>
      <x:c r="D360" s="28" t="str">
        <x:v>картофель</x:v>
      </x:c>
      <x:c r="E360" s="28" t="str">
        <x:v>Картофель | картофель</x:v>
      </x:c>
      <x:c r="F360" s="28" t="str">
        <x:v>Корнеплоды и клубни</x:v>
      </x:c>
      <x:c r="G360" s="28" t="str">
        <x:v>лимон</x:v>
      </x:c>
      <x:c r="H360" s="28" t="str">
        <x:v>Лимон | лимон</x:v>
      </x:c>
      <x:c r="I360" s="28" t="str">
        <x:v>Фрукты и ягоды</x:v>
      </x:c>
      <x:c r="J360" s="28" t="str">
        <x:v>крахмалистый, землистый, ореховый и жареный после нагрева</x:v>
      </x:c>
      <x:c r="K360" s="28" t="str">
        <x:v>кислый, свежий, цитрусовый</x:v>
      </x:c>
      <x:c r="L360" s="28" t="str">
        <x:v>метиональ, 2-ацетил-1-пирролин, пиразины, альдегиды</x:v>
      </x:c>
      <x:c r="M360" s="28" t="str">
        <x:v>лимонен, цитраль</x:v>
      </x:c>
      <x:c r="N360" s="28" t="str">
        <x:v>прямое пересечение семейств не подтверждено</x:v>
      </x:c>
      <x:c r="O360" s="28" t="str">
        <x:v>надёжная общая ключевая молекула не установлена</x:v>
      </x:c>
      <x:c r="P360" s="28" t="str">
        <x:v>кислотно-сладкий баланс</x:v>
      </x:c>
      <x:c r="Q36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0" s="28" t="str">
        <x:v>минимальный</x:v>
      </x:c>
      <x:c r="S360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6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0" s="28" t="str">
        <x:v>Картофель имеет профиль «крахмалистый, землистый, ореховый и жареный после нагрева».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6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60" s="28" t="str">
        <x:v>цитрус, мёд или мягкая трава</x:v>
      </x:c>
      <x:c r="X360" s="28" t="str">
        <x:v>пюре, суп, запекание, крем, гарнир, соус или десертная разработка с лимон</x:v>
      </x:c>
      <x:c r="Y360" s="28" t="str">
        <x:v>еда, десерты, соусы/маринады</x:v>
      </x:c>
      <x:c r="Z360" s="28" t="str">
        <x:v>Средняя</x:v>
      </x:c>
      <x:c r="AA360" s="28" t="str">
        <x:v>Тезариус вкусов (Ники Сегнит)(1).pdf</x:v>
      </x:c>
      <x:c r="AB360" s="28" t="str">
        <x:v>Тезариус вкусов (Ники Сегнит)(1).pdf: 236, 803</x:v>
      </x:c>
      <x:c r="AC360" s="28" t="str">
        <x:v>развёрнутая пара/статья, стр. 236; развёрнутая пара/статья, стр. 803</x:v>
      </x:c>
      <x:c r="AD360" s="28" t="n">
        <x:v>1</x:v>
      </x:c>
      <x:c r="AE360" s="28" t="n">
        <x:v>2</x:v>
      </x:c>
      <x:c r="AF360" s="28" t="n">
        <x:f>IF(Z360="Высокая",3,IF(Z360="Средняя",2,1))+AD360*2+MIN(AE360,3)</x:f>
        <x:v>6</x:v>
      </x:c>
    </x:row>
    <x:row r="361" ht="64" customHeight="1">
      <x:c r="A361" s="28" t="str">
        <x:v>VEG-0360</x:v>
      </x:c>
      <x:c r="B361" s="28" t="str">
        <x:v>картофель</x:v>
      </x:c>
      <x:c r="C361" s="28" t="str">
        <x:v>Десерты и выпечка</x:v>
      </x:c>
      <x:c r="D361" s="28" t="str">
        <x:v>картофель</x:v>
      </x:c>
      <x:c r="E361" s="28" t="str">
        <x:v>boiled potato</x:v>
      </x:c>
      <x:c r="F361" s="28" t="str">
        <x:v>Корнеплоды и клубни</x:v>
      </x:c>
      <x:c r="G361" s="28" t="str">
        <x:v>лимон и лайм</x:v>
      </x:c>
      <x:c r="H361" s="28" t="str">
        <x:v>lemon &amp; lime</x:v>
      </x:c>
      <x:c r="I361" s="28" t="str">
        <x:v>Фрукты и ягоды</x:v>
      </x:c>
      <x:c r="J361" s="28" t="str">
        <x:v>крахмалистый, землистый, ореховый и жареный после нагрева</x:v>
      </x:c>
      <x:c r="K361" s="28" t="str">
        <x:v>кислый, свежий, цитрусовый</x:v>
      </x:c>
      <x:c r="L361" s="28" t="str">
        <x:v>метиональ, 2-ацетил-1-пирролин, пиразины, альдегиды</x:v>
      </x:c>
      <x:c r="M361" s="28" t="str">
        <x:v>лимонен, цитраль</x:v>
      </x:c>
      <x:c r="N361" s="28" t="str">
        <x:v>прямое пересечение семейств не подтверждено</x:v>
      </x:c>
      <x:c r="O361" s="28" t="str">
        <x:v>надёжная общая ключевая молекула не установлена</x:v>
      </x:c>
      <x:c r="P361" s="28" t="str">
        <x:v>кислотно-сладкий баланс</x:v>
      </x:c>
      <x:c r="Q36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1" s="28" t="str">
        <x:v>минимальный</x:v>
      </x:c>
      <x:c r="S361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6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1" s="28" t="str">
        <x:v>Картофель имеет профиль «крахмалистый, землистый, ореховый и жареный после нагрева». Партнёр «лимон и лайм»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61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61" s="28" t="str">
        <x:v>цитрус, мёд или мягкая трава</x:v>
      </x:c>
      <x:c r="X361" s="28" t="str">
        <x:v>пюре, суп, запекание, крем, гарнир, соус или десертная разработка с лимон и лайм</x:v>
      </x:c>
      <x:c r="Y361" s="28" t="str">
        <x:v>еда, десерты, соусы/маринады</x:v>
      </x:c>
      <x:c r="Z361" s="28" t="str">
        <x:v>Средняя</x:v>
      </x:c>
      <x:c r="AA361" s="28" t="str">
        <x:v>The Art &amp; Science of Foodpairing.pdf</x:v>
      </x:c>
      <x:c r="AB361" s="28" t="str">
        <x:v>The Art &amp; Science of Foodpairing.pdf: 88</x:v>
      </x:c>
      <x:c r="AC361" s="28" t="str">
        <x:v>связь из pairing grid, стр. 88</x:v>
      </x:c>
      <x:c r="AD361" s="28" t="n">
        <x:v>1</x:v>
      </x:c>
      <x:c r="AE361" s="28" t="n">
        <x:v>1</x:v>
      </x:c>
      <x:c r="AF361" s="28" t="n">
        <x:f>IF(Z361="Высокая",3,IF(Z361="Средняя",2,1))+AD361*2+MIN(AE361,3)</x:f>
        <x:v>5</x:v>
      </x:c>
    </x:row>
    <x:row r="362" ht="64" customHeight="1">
      <x:c r="A362" s="28" t="str">
        <x:v>VEG-0361</x:v>
      </x:c>
      <x:c r="B362" s="28" t="str">
        <x:v>картофель</x:v>
      </x:c>
      <x:c r="C362" s="28" t="str">
        <x:v>Универсальные</x:v>
      </x:c>
      <x:c r="D362" s="28" t="str">
        <x:v>картофель</x:v>
      </x:c>
      <x:c r="E362" s="28" t="str">
        <x:v>French fries</x:v>
      </x:c>
      <x:c r="F362" s="28" t="str">
        <x:v>Корнеплоды и клубни</x:v>
      </x:c>
      <x:c r="G362" s="28" t="str">
        <x:v>лисички</x:v>
      </x:c>
      <x:c r="H362" s="28" t="str">
        <x:v>chanterelle</x:v>
      </x:c>
      <x:c r="I362" s="28" t="str">
        <x:v>Прочее</x:v>
      </x:c>
      <x:c r="J362" s="28" t="str">
        <x:v>крахмалистый, землистый, ореховый и жареный после нагрева</x:v>
      </x:c>
      <x:c r="K362" s="28" t="str">
        <x:v>профиль зависит от конкретного продукта</x:v>
      </x:c>
      <x:c r="L362" s="28" t="str">
        <x:v>метиональ, 2-ацетил-1-пирролин, пиразины, альдегиды</x:v>
      </x:c>
      <x:c r="M362" s="28" t="str">
        <x:v>конкретный молекулярный профиль не указан</x:v>
      </x:c>
      <x:c r="N362" s="28" t="str">
        <x:v>прямое пересечение семейств не подтверждено</x:v>
      </x:c>
      <x:c r="O362" s="28" t="str">
        <x:v>надёжная общая ключевая молекула не установлена</x:v>
      </x:c>
      <x:c r="P362" s="28" t="str">
        <x:v>сенсорная комплементарность</x:v>
      </x:c>
      <x:c r="Q36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2" s="28" t="str">
        <x:v>минимальный</x:v>
      </x:c>
      <x:c r="S362" s="28" t="str">
        <x:v>крахмальная водная матрица; структура зависит от сорта и желатинизации крахмала</x:v>
      </x:c>
      <x:c r="T36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2" s="28" t="str">
        <x:v>Картофель имеет профиль «крахмалистый, землистый, ореховый и жареный после нагрева». Партнёр «лисички»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62" s="28" t="str">
        <x:v>зелёные или проросшие клубни не использовать; пережаривание даёт горечь и чрезмерно тёмную корку</x:v>
      </x:c>
      <x:c r="W362" s="28" t="str">
        <x:v>соль, кислота или ароматический жир</x:v>
      </x:c>
      <x:c r="X362" s="28" t="str">
        <x:v>пюре, суп, запекание, крем, гарнир, соус или десертная разработка с лисички</x:v>
      </x:c>
      <x:c r="Y362" s="28" t="str">
        <x:v>еда, соусы/маринады</x:v>
      </x:c>
      <x:c r="Z362" s="28" t="str">
        <x:v>Средняя</x:v>
      </x:c>
      <x:c r="AA362" s="28" t="str">
        <x:v>The Art &amp; Science of Foodpairing.pdf</x:v>
      </x:c>
      <x:c r="AB362" s="28" t="str">
        <x:v>The Art &amp; Science of Foodpairing.pdf: 196</x:v>
      </x:c>
      <x:c r="AC362" s="28" t="str">
        <x:v>связь из pairing grid, стр. 196</x:v>
      </x:c>
      <x:c r="AD362" s="28" t="n">
        <x:v>1</x:v>
      </x:c>
      <x:c r="AE362" s="28" t="n">
        <x:v>1</x:v>
      </x:c>
      <x:c r="AF362" s="28" t="n">
        <x:f>IF(Z362="Высокая",3,IF(Z362="Средняя",2,1))+AD362*2+MIN(AE362,3)</x:f>
        <x:v>5</x:v>
      </x:c>
    </x:row>
    <x:row r="363" ht="64" customHeight="1">
      <x:c r="A363" s="28" t="str">
        <x:v>VEG-0362</x:v>
      </x:c>
      <x:c r="B363" s="28" t="str">
        <x:v>картофель</x:v>
      </x:c>
      <x:c r="C363" s="28" t="str">
        <x:v>Универсальные</x:v>
      </x:c>
      <x:c r="D363" s="28" t="str">
        <x:v>картофель</x:v>
      </x:c>
      <x:c r="E363" s="28" t="str">
        <x:v>French fries</x:v>
      </x:c>
      <x:c r="F363" s="28" t="str">
        <x:v>Корнеплоды и клубни</x:v>
      </x:c>
      <x:c r="G363" s="28" t="str">
        <x:v>листья душистой герани</x:v>
      </x:c>
      <x:c r="H363" s="28" t="str">
        <x:v>lemon-scentedgeranium leaves</x:v>
      </x:c>
      <x:c r="I363" s="28" t="str">
        <x:v>Прочее</x:v>
      </x:c>
      <x:c r="J363" s="28" t="str">
        <x:v>крахмалистый, землистый, ореховый и жареный после нагрева</x:v>
      </x:c>
      <x:c r="K363" s="28" t="str">
        <x:v>профиль зависит от конкретного продукта</x:v>
      </x:c>
      <x:c r="L363" s="28" t="str">
        <x:v>метиональ, 2-ацетил-1-пирролин, пиразины, альдегиды</x:v>
      </x:c>
      <x:c r="M363" s="28" t="str">
        <x:v>конкретный молекулярный профиль не указан</x:v>
      </x:c>
      <x:c r="N363" s="28" t="str">
        <x:v>прямое пересечение семейств не подтверждено</x:v>
      </x:c>
      <x:c r="O363" s="28" t="str">
        <x:v>надёжная общая ключевая молекула не установлена</x:v>
      </x:c>
      <x:c r="P363" s="28" t="str">
        <x:v>сенсорная комплементарность</x:v>
      </x:c>
      <x:c r="Q36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3" s="28" t="str">
        <x:v>минимальный</x:v>
      </x:c>
      <x:c r="S363" s="28" t="str">
        <x:v>крахмальная водная матрица; структура зависит от сорта и желатинизации крахмала</x:v>
      </x:c>
      <x:c r="T36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3" s="28" t="str">
        <x:v>Картофель имеет профиль «крахмалистый, землистый, ореховый и жареный после нагрева». Партнёр «листья душистой герани»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63" s="28" t="str">
        <x:v>зелёные или проросшие клубни не использовать; пережаривание даёт горечь и чрезмерно тёмную корку</x:v>
      </x:c>
      <x:c r="W363" s="28" t="str">
        <x:v>соль, кислота или ароматический жир</x:v>
      </x:c>
      <x:c r="X363" s="28" t="str">
        <x:v>пюре, суп, запекание, крем, гарнир, соус или десертная разработка с листья душистой герани</x:v>
      </x:c>
      <x:c r="Y363" s="28" t="str">
        <x:v>еда, соусы/маринады</x:v>
      </x:c>
      <x:c r="Z363" s="28" t="str">
        <x:v>Средняя</x:v>
      </x:c>
      <x:c r="AA363" s="28" t="str">
        <x:v>The Art &amp; Science of Foodpairing.pdf</x:v>
      </x:c>
      <x:c r="AB363" s="28" t="str">
        <x:v>The Art &amp; Science of Foodpairing.pdf: 196</x:v>
      </x:c>
      <x:c r="AC363" s="28" t="str">
        <x:v>связь из pairing grid, стр. 196</x:v>
      </x:c>
      <x:c r="AD363" s="28" t="n">
        <x:v>1</x:v>
      </x:c>
      <x:c r="AE363" s="28" t="n">
        <x:v>1</x:v>
      </x:c>
      <x:c r="AF363" s="28" t="n">
        <x:f>IF(Z363="Высокая",3,IF(Z363="Средняя",2,1))+AD363*2+MIN(AE363,3)</x:f>
        <x:v>5</x:v>
      </x:c>
    </x:row>
    <x:row r="364" ht="64" customHeight="1">
      <x:c r="A364" s="28" t="str">
        <x:v>VEG-0363</x:v>
      </x:c>
      <x:c r="B364" s="28" t="str">
        <x:v>картофель</x:v>
      </x:c>
      <x:c r="C364" s="28" t="str">
        <x:v>Универсальные</x:v>
      </x:c>
      <x:c r="D364" s="28" t="str">
        <x:v>картофель</x:v>
      </x:c>
      <x:c r="E364" s="28" t="str">
        <x:v>Картофель | картофель</x:v>
      </x:c>
      <x:c r="F364" s="28" t="str">
        <x:v>Корнеплоды и клубни</x:v>
      </x:c>
      <x:c r="G364" s="28" t="str">
        <x:v>листья кориандра</x:v>
      </x:c>
      <x:c r="H364" s="28" t="str">
        <x:v>Листья кориандра | листья кориандра</x:v>
      </x:c>
      <x:c r="I364" s="28" t="str">
        <x:v>Травы, цветы и листья</x:v>
      </x:c>
      <x:c r="J364" s="28" t="str">
        <x:v>крахмалистый, землистый, ореховый и жареный после нагрева</x:v>
      </x:c>
      <x:c r="K364" s="28" t="str">
        <x:v>зелёный, цветочный и терпеновый</x:v>
      </x:c>
      <x:c r="L364" s="28" t="str">
        <x:v>метиональ, 2-ацетил-1-пирролин, пиразины, альдегиды</x:v>
      </x:c>
      <x:c r="M364" s="28" t="str">
        <x:v>линалоол, терпены</x:v>
      </x:c>
      <x:c r="N364" s="28" t="str">
        <x:v>прямое пересечение семейств не подтверждено</x:v>
      </x:c>
      <x:c r="O364" s="28" t="str">
        <x:v>надёжная общая ключевая молекула не установлена</x:v>
      </x:c>
      <x:c r="P364" s="28" t="str">
        <x:v>сенсорная комплементарность</x:v>
      </x:c>
      <x:c r="Q36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4" s="28" t="str">
        <x:v>минимальный</x:v>
      </x:c>
      <x:c r="S364" s="28" t="str">
        <x:v>крахмальная водная матрица; структура зависит от сорта и желатинизации крахмала</x:v>
      </x:c>
      <x:c r="T36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4" s="28" t="str">
        <x:v>Картофель имеет профиль «крахмалистый, землистый, ореховый и жареный после нагрева».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364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W364" s="28" t="str">
        <x:v>оливковое масло, лимон или сыр</x:v>
      </x:c>
      <x:c r="X364" s="28" t="str">
        <x:v>пюре, суп, запекание, крем, гарнир, соус или десертная разработка с листья кориандра</x:v>
      </x:c>
      <x:c r="Y364" s="28" t="str">
        <x:v>еда, соусы/маринады</x:v>
      </x:c>
      <x:c r="Z364" s="28" t="str">
        <x:v>Средняя</x:v>
      </x:c>
      <x:c r="AA364" s="28" t="str">
        <x:v>Тезариус вкусов (Ники Сегнит)(1).pdf</x:v>
      </x:c>
      <x:c r="AB364" s="28" t="str">
        <x:v>Тезариус вкусов (Ники Сегнит)(1).pdf: 236, 519</x:v>
      </x:c>
      <x:c r="AC364" s="28" t="str">
        <x:v>развёрнутая пара/статья, стр. 236; развёрнутая пара/статья, стр. 519</x:v>
      </x:c>
      <x:c r="AD364" s="28" t="n">
        <x:v>1</x:v>
      </x:c>
      <x:c r="AE364" s="28" t="n">
        <x:v>2</x:v>
      </x:c>
      <x:c r="AF364" s="28" t="n">
        <x:f>IF(Z364="Высокая",3,IF(Z364="Средняя",2,1))+AD364*2+MIN(AE364,3)</x:f>
        <x:v>6</x:v>
      </x:c>
    </x:row>
    <x:row r="365" ht="64" customHeight="1">
      <x:c r="A365" s="28" t="str">
        <x:v>VEG-0364</x:v>
      </x:c>
      <x:c r="B365" s="28" t="str">
        <x:v>картофель</x:v>
      </x:c>
      <x:c r="C365" s="28" t="str">
        <x:v>Десерты и выпечка</x:v>
      </x:c>
      <x:c r="D365" s="28" t="str">
        <x:v>картофель</x:v>
      </x:c>
      <x:c r="E365" s="28" t="str">
        <x:v>French fries</x:v>
      </x:c>
      <x:c r="F365" s="28" t="str">
        <x:v>Корнеплоды и клубни</x:v>
      </x:c>
      <x:c r="G365" s="28" t="str">
        <x:v>личи</x:v>
      </x:c>
      <x:c r="H365" s="28" t="str">
        <x:v>lychee</x:v>
      </x:c>
      <x:c r="I365" s="28" t="str">
        <x:v>Фрукты и ягоды</x:v>
      </x:c>
      <x:c r="J365" s="28" t="str">
        <x:v>крахмалистый, землистый, ореховый и жареный после нагрева</x:v>
      </x:c>
      <x:c r="K365" s="28" t="str">
        <x:v>фруктовый, цветочный и свежий</x:v>
      </x:c>
      <x:c r="L365" s="28" t="str">
        <x:v>метиональ, 2-ацетил-1-пирролин, пиразины, альдегиды</x:v>
      </x:c>
      <x:c r="M365" s="28" t="str">
        <x:v>альдегиды, эфиры</x:v>
      </x:c>
      <x:c r="N365" s="28" t="str">
        <x:v>прямое пересечение семейств не подтверждено</x:v>
      </x:c>
      <x:c r="O365" s="28" t="str">
        <x:v>альдегиды</x:v>
      </x:c>
      <x:c r="P365" s="28" t="str">
        <x:v>общие характерные молекулы; кислотно-сладкий баланс</x:v>
      </x:c>
      <x:c r="Q36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5" s="28" t="str">
        <x:v>минимальный</x:v>
      </x:c>
      <x:c r="S365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6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5" s="28" t="str">
        <x:v>Картофель имеет профиль «крахмалистый, землистый, ореховый и жареный после нагрева». Партнёр «личи»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6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65" s="28" t="str">
        <x:v>цитрус, мёд или мягкая трава</x:v>
      </x:c>
      <x:c r="X365" s="28" t="str">
        <x:v>пюре, суп, запекание, крем, гарнир, соус или десертная разработка с личи</x:v>
      </x:c>
      <x:c r="Y365" s="28" t="str">
        <x:v>еда, десерты, соусы/маринады</x:v>
      </x:c>
      <x:c r="Z365" s="28" t="str">
        <x:v>Средняя</x:v>
      </x:c>
      <x:c r="AA365" s="28" t="str">
        <x:v>The Art &amp; Science of Foodpairing.pdf</x:v>
      </x:c>
      <x:c r="AB365" s="28" t="str">
        <x:v>The Art &amp; Science of Foodpairing.pdf: 196</x:v>
      </x:c>
      <x:c r="AC365" s="28" t="str">
        <x:v>связь из pairing grid, стр. 196</x:v>
      </x:c>
      <x:c r="AD365" s="28" t="n">
        <x:v>1</x:v>
      </x:c>
      <x:c r="AE365" s="28" t="n">
        <x:v>1</x:v>
      </x:c>
      <x:c r="AF365" s="28" t="n">
        <x:f>IF(Z365="Высокая",3,IF(Z365="Средняя",2,1))+AD365*2+MIN(AE365,3)</x:f>
        <x:v>5</x:v>
      </x:c>
    </x:row>
    <x:row r="366" ht="64" customHeight="1">
      <x:c r="A366" s="28" t="str">
        <x:v>VEG-0365</x:v>
      </x:c>
      <x:c r="B366" s="28" t="str">
        <x:v>картофель</x:v>
      </x:c>
      <x:c r="C366" s="28" t="str">
        <x:v>Еда и соусы</x:v>
      </x:c>
      <x:c r="D366" s="28" t="str">
        <x:v>картофель</x:v>
      </x:c>
      <x:c r="E366" s="28" t="str">
        <x:v>French fries | Картофель | картофель</x:v>
      </x:c>
      <x:c r="F366" s="28" t="str">
        <x:v>Корнеплоды и клубни</x:v>
      </x:c>
      <x:c r="G366" s="28" t="str">
        <x:v>лук</x:v>
      </x:c>
      <x:c r="H366" s="28" t="str">
        <x:v>shallot | Лук | лук</x:v>
      </x:c>
      <x:c r="I366" s="28" t="str">
        <x:v>Луковые овощи</x:v>
      </x:c>
      <x:c r="J366" s="28" t="str">
        <x:v>крахмалистый, землистый, ореховый и жареный после нагрева</x:v>
      </x:c>
      <x:c r="K366" s="28" t="str">
        <x:v>сернистый, сладкий, зелёный; после жарки — карамельный и мясной</x:v>
      </x:c>
      <x:c r="L366" s="28" t="str">
        <x:v>метиональ, 2-ацетил-1-пирролин, пиразины, альдегиды</x:v>
      </x:c>
      <x:c r="M366" s="28" t="str">
        <x:v>диаллилдисульфид, пропантиаль-S-оксид, тиосульфинаты, фураны</x:v>
      </x:c>
      <x:c r="N366" s="28" t="str">
        <x:v>жареный, сернистый</x:v>
      </x:c>
      <x:c r="O366" s="28" t="str">
        <x:v>надёжная общая ключевая молекула не установлена</x:v>
      </x:c>
      <x:c r="P366" s="28" t="str">
        <x:v>пересечение ароматических семейств</x:v>
      </x:c>
      <x:c r="Q36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6" s="28" t="str">
        <x:v>минимальный</x:v>
      </x:c>
      <x:c r="S366" s="28" t="str">
        <x:v>крахмальная водная матрица; структура зависит от сорта и желатинизации крахмала</x:v>
      </x:c>
      <x:c r="T36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6" s="28" t="str">
        <x:v>Картофель имеет профиль «крахмалистый, землистый, ореховый и жареный после нагрева».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V366" s="28" t="str">
        <x:v>зелёные или проросшие клубни не использовать; пережаривание даёт горечь и чрезмерно тёмную корку</x:v>
      </x:c>
      <x:c r="W366" s="28" t="str">
        <x:v>соль, кислота или ароматический жир</x:v>
      </x:c>
      <x:c r="X366" s="28" t="str">
        <x:v>пюре, суп, запекание, крем, гарнир, соус или десертная разработка с лук</x:v>
      </x:c>
      <x:c r="Y366" s="28" t="str">
        <x:v>еда, соусы/маринады</x:v>
      </x:c>
      <x:c r="Z366" s="28" t="str">
        <x:v>Высокая</x:v>
      </x:c>
      <x:c r="AA366" s="28" t="str">
        <x:v>The Art &amp; Science of Foodpairing.pdf | Тезариус вкусов (Ники Сегнит)(1).pdf</x:v>
      </x:c>
      <x:c r="AB366" s="28" t="str">
        <x:v>Тезариус вкусов (Ники Сегнит)(1).pdf: 236, 284; The Art &amp; Science of Foodpairing.pdf: 196</x:v>
      </x:c>
      <x:c r="AC366" s="28" t="str">
        <x:v>развёрнутая пара/статья, стр. 236; развёрнутая пара/статья, стр. 284; связь из pairing grid, стр. 196</x:v>
      </x:c>
      <x:c r="AD366" s="28" t="n">
        <x:v>2</x:v>
      </x:c>
      <x:c r="AE366" s="28" t="n">
        <x:v>3</x:v>
      </x:c>
      <x:c r="AF366" s="28" t="n">
        <x:f>IF(Z366="Высокая",3,IF(Z366="Средняя",2,1))+AD366*2+MIN(AE366,3)</x:f>
        <x:v>10</x:v>
      </x:c>
    </x:row>
    <x:row r="367" ht="64" customHeight="1">
      <x:c r="A367" s="28" t="str">
        <x:v>VEG-0366</x:v>
      </x:c>
      <x:c r="B367" s="28" t="str">
        <x:v>картофель</x:v>
      </x:c>
      <x:c r="C367" s="28" t="str">
        <x:v>Десерты и выпечка</x:v>
      </x:c>
      <x:c r="D367" s="28" t="str">
        <x:v>картофель</x:v>
      </x:c>
      <x:c r="E367" s="28" t="str">
        <x:v>French fries</x:v>
      </x:c>
      <x:c r="F367" s="28" t="str">
        <x:v>Корнеплоды и клубни</x:v>
      </x:c>
      <x:c r="G367" s="28" t="str">
        <x:v>манго</x:v>
      </x:c>
      <x:c r="H367" s="28" t="str">
        <x:v>mango</x:v>
      </x:c>
      <x:c r="I367" s="28" t="str">
        <x:v>Фрукты и ягоды</x:v>
      </x:c>
      <x:c r="J367" s="28" t="str">
        <x:v>крахмалистый, землистый, ореховый и жареный после нагрева</x:v>
      </x:c>
      <x:c r="K367" s="28" t="str">
        <x:v>фруктовый, цветочный и свежий</x:v>
      </x:c>
      <x:c r="L367" s="28" t="str">
        <x:v>метиональ, 2-ацетил-1-пирролин, пиразины, альдегиды</x:v>
      </x:c>
      <x:c r="M367" s="28" t="str">
        <x:v>альдегиды, эфиры</x:v>
      </x:c>
      <x:c r="N367" s="28" t="str">
        <x:v>прямое пересечение семейств не подтверждено</x:v>
      </x:c>
      <x:c r="O367" s="28" t="str">
        <x:v>альдегиды</x:v>
      </x:c>
      <x:c r="P367" s="28" t="str">
        <x:v>общие характерные молекулы; кислотно-сладкий баланс</x:v>
      </x:c>
      <x:c r="Q36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7" s="28" t="str">
        <x:v>минимальный</x:v>
      </x:c>
      <x:c r="S367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36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7" s="28" t="str">
        <x:v>Картофель имеет профиль «крахмалистый, землистый, ореховый и жареный после нагрева». Партнёр «манго»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367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367" s="28" t="str">
        <x:v>цитрус, мёд или мягкая трава</x:v>
      </x:c>
      <x:c r="X367" s="28" t="str">
        <x:v>пюре, суп, запекание, крем, гарнир, соус или десертная разработка с манго</x:v>
      </x:c>
      <x:c r="Y367" s="28" t="str">
        <x:v>еда, десерты, соусы/маринады</x:v>
      </x:c>
      <x:c r="Z367" s="28" t="str">
        <x:v>Средняя</x:v>
      </x:c>
      <x:c r="AA367" s="28" t="str">
        <x:v>The Art &amp; Science of Foodpairing.pdf</x:v>
      </x:c>
      <x:c r="AB367" s="28" t="str">
        <x:v>The Art &amp; Science of Foodpairing.pdf: 312</x:v>
      </x:c>
      <x:c r="AC367" s="28" t="str">
        <x:v>связь из pairing grid, стр. 312</x:v>
      </x:c>
      <x:c r="AD367" s="28" t="n">
        <x:v>1</x:v>
      </x:c>
      <x:c r="AE367" s="28" t="n">
        <x:v>1</x:v>
      </x:c>
      <x:c r="AF367" s="28" t="n">
        <x:f>IF(Z367="Высокая",3,IF(Z367="Средняя",2,1))+AD367*2+MIN(AE367,3)</x:f>
        <x:v>5</x:v>
      </x:c>
    </x:row>
    <x:row r="368" ht="64" customHeight="1">
      <x:c r="A368" s="28" t="str">
        <x:v>VEG-0367</x:v>
      </x:c>
      <x:c r="B368" s="28" t="str">
        <x:v>картофель</x:v>
      </x:c>
      <x:c r="C368" s="28" t="str">
        <x:v>Универсальные</x:v>
      </x:c>
      <x:c r="D368" s="28" t="str">
        <x:v>картофель</x:v>
      </x:c>
      <x:c r="E368" s="28" t="str">
        <x:v>boiled Gourmandine potato | boiled potato</x:v>
      </x:c>
      <x:c r="F368" s="28" t="str">
        <x:v>Корнеплоды и клубни</x:v>
      </x:c>
      <x:c r="G368" s="28" t="str">
        <x:v>маниок</x:v>
      </x:c>
      <x:c r="H368" s="28" t="str">
        <x:v>cassava</x:v>
      </x:c>
      <x:c r="I368" s="28" t="str">
        <x:v>Прочее</x:v>
      </x:c>
      <x:c r="J368" s="28" t="str">
        <x:v>крахмалистый, землистый, ореховый и жареный после нагрева</x:v>
      </x:c>
      <x:c r="K368" s="28" t="str">
        <x:v>профиль зависит от конкретного продукта</x:v>
      </x:c>
      <x:c r="L368" s="28" t="str">
        <x:v>метиональ, 2-ацетил-1-пирролин, пиразины, альдегиды</x:v>
      </x:c>
      <x:c r="M368" s="28" t="str">
        <x:v>конкретный молекулярный профиль не указан</x:v>
      </x:c>
      <x:c r="N368" s="28" t="str">
        <x:v>прямое пересечение семейств не подтверждено</x:v>
      </x:c>
      <x:c r="O368" s="28" t="str">
        <x:v>надёжная общая ключевая молекула не установлена</x:v>
      </x:c>
      <x:c r="P368" s="28" t="str">
        <x:v>сенсорная комплементарность</x:v>
      </x:c>
      <x:c r="Q36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8" s="28" t="str">
        <x:v>минимальный</x:v>
      </x:c>
      <x:c r="S368" s="28" t="str">
        <x:v>крахмальная водная матрица; структура зависит от сорта и желатинизации крахмала</x:v>
      </x:c>
      <x:c r="T36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8" s="28" t="str">
        <x:v>Картофель имеет профиль «крахмалистый, землистый, ореховый и жареный после нагрева».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68" s="28" t="str">
        <x:v>зелёные или проросшие клубни не использовать; пережаривание даёт горечь и чрезмерно тёмную корку</x:v>
      </x:c>
      <x:c r="W368" s="28" t="str">
        <x:v>соль, кислота или ароматический жир</x:v>
      </x:c>
      <x:c r="X368" s="28" t="str">
        <x:v>пюре, суп, запекание, крем, гарнир, соус или десертная разработка с маниок</x:v>
      </x:c>
      <x:c r="Y368" s="28" t="str">
        <x:v>еда, соусы/маринады</x:v>
      </x:c>
      <x:c r="Z368" s="28" t="str">
        <x:v>Средняя</x:v>
      </x:c>
      <x:c r="AA368" s="28" t="str">
        <x:v>The Art &amp; Science of Foodpairing.pdf</x:v>
      </x:c>
      <x:c r="AB368" s="28" t="str">
        <x:v>The Art &amp; Science of Foodpairing.pdf: 251</x:v>
      </x:c>
      <x:c r="AC368" s="28" t="str">
        <x:v>связь из pairing grid, стр. 251; связь из pairing grid, стр. 251</x:v>
      </x:c>
      <x:c r="AD368" s="28" t="n">
        <x:v>1</x:v>
      </x:c>
      <x:c r="AE368" s="28" t="n">
        <x:v>2</x:v>
      </x:c>
      <x:c r="AF368" s="28" t="n">
        <x:f>IF(Z368="Высокая",3,IF(Z368="Средняя",2,1))+AD368*2+MIN(AE368,3)</x:f>
        <x:v>6</x:v>
      </x:c>
    </x:row>
    <x:row r="369" ht="64" customHeight="1">
      <x:c r="A369" s="28" t="str">
        <x:v>VEG-0368</x:v>
      </x:c>
      <x:c r="B369" s="28" t="str">
        <x:v>картофель</x:v>
      </x:c>
      <x:c r="C369" s="28" t="str">
        <x:v>Универсальные</x:v>
      </x:c>
      <x:c r="D369" s="28" t="str">
        <x:v>картофель</x:v>
      </x:c>
      <x:c r="E369" s="28" t="str">
        <x:v>French fries</x:v>
      </x:c>
      <x:c r="F369" s="28" t="str">
        <x:v>Корнеплоды и клубни</x:v>
      </x:c>
      <x:c r="G369" s="28" t="str">
        <x:v>маракуйя</x:v>
      </x:c>
      <x:c r="H369" s="28" t="str">
        <x:v>granadilla | passionfruit</x:v>
      </x:c>
      <x:c r="I369" s="28" t="str">
        <x:v>Прочее</x:v>
      </x:c>
      <x:c r="J369" s="28" t="str">
        <x:v>крахмалистый, землистый, ореховый и жареный после нагрева</x:v>
      </x:c>
      <x:c r="K369" s="28" t="str">
        <x:v>профиль зависит от конкретного продукта</x:v>
      </x:c>
      <x:c r="L369" s="28" t="str">
        <x:v>метиональ, 2-ацетил-1-пирролин, пиразины, альдегиды</x:v>
      </x:c>
      <x:c r="M369" s="28" t="str">
        <x:v>конкретный молекулярный профиль не указан</x:v>
      </x:c>
      <x:c r="N369" s="28" t="str">
        <x:v>прямое пересечение семейств не подтверждено</x:v>
      </x:c>
      <x:c r="O369" s="28" t="str">
        <x:v>надёжная общая ключевая молекула не установлена</x:v>
      </x:c>
      <x:c r="P369" s="28" t="str">
        <x:v>сенсорная комплементарность</x:v>
      </x:c>
      <x:c r="Q36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69" s="28" t="str">
        <x:v>минимальный</x:v>
      </x:c>
      <x:c r="S369" s="28" t="str">
        <x:v>крахмальная водная матрица; структура зависит от сорта и желатинизации крахмала</x:v>
      </x:c>
      <x:c r="T36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69" s="28" t="str">
        <x:v>Картофель имеет профиль «крахмалистый, землистый, ореховый и жареный после нагрева».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69" s="28" t="str">
        <x:v>зелёные или проросшие клубни не использовать; пережаривание даёт горечь и чрезмерно тёмную корку</x:v>
      </x:c>
      <x:c r="W369" s="28" t="str">
        <x:v>соль, кислота или ароматический жир</x:v>
      </x:c>
      <x:c r="X369" s="28" t="str">
        <x:v>пюре, суп, запекание, крем, гарнир, соус или десертная разработка с маракуйя</x:v>
      </x:c>
      <x:c r="Y369" s="28" t="str">
        <x:v>еда, соусы/маринады</x:v>
      </x:c>
      <x:c r="Z369" s="28" t="str">
        <x:v>Средняя</x:v>
      </x:c>
      <x:c r="AA369" s="28" t="str">
        <x:v>The Art &amp; Science of Foodpairing.pdf</x:v>
      </x:c>
      <x:c r="AB369" s="28" t="str">
        <x:v>The Art &amp; Science of Foodpairing.pdf: 196</x:v>
      </x:c>
      <x:c r="AC369" s="28" t="str">
        <x:v>связь из pairing grid, стр. 196; связь из pairing grid, стр. 196</x:v>
      </x:c>
      <x:c r="AD369" s="28" t="n">
        <x:v>1</x:v>
      </x:c>
      <x:c r="AE369" s="28" t="n">
        <x:v>2</x:v>
      </x:c>
      <x:c r="AF369" s="28" t="n">
        <x:f>IF(Z369="Высокая",3,IF(Z369="Средняя",2,1))+AD369*2+MIN(AE369,3)</x:f>
        <x:v>6</x:v>
      </x:c>
    </x:row>
    <x:row r="370" ht="64" customHeight="1">
      <x:c r="A370" s="28" t="str">
        <x:v>VEG-0369</x:v>
      </x:c>
      <x:c r="B370" s="28" t="str">
        <x:v>картофель</x:v>
      </x:c>
      <x:c r="C370" s="28" t="str">
        <x:v>Еда и соусы</x:v>
      </x:c>
      <x:c r="D370" s="28" t="str">
        <x:v>картофель</x:v>
      </x:c>
      <x:c r="E370" s="28" t="str">
        <x:v>Картофель | картофель</x:v>
      </x:c>
      <x:c r="F370" s="28" t="str">
        <x:v>Корнеплоды и клубни</x:v>
      </x:c>
      <x:c r="G370" s="28" t="str">
        <x:v>моллюски</x:v>
      </x:c>
      <x:c r="H370" s="28" t="str">
        <x:v>Моллюски | моллюски</x:v>
      </x:c>
      <x:c r="I370" s="28" t="str">
        <x:v>Рыба и морепродукты</x:v>
      </x:c>
      <x:c r="J370" s="28" t="str">
        <x:v>крахмалистый, землистый, ореховый и жареный после нагрева</x:v>
      </x:c>
      <x:c r="K370" s="28" t="str">
        <x:v>морской, солоноватый и умами</x:v>
      </x:c>
      <x:c r="L370" s="28" t="str">
        <x:v>метиональ, 2-ацетил-1-пирролин, пиразины, альдегиды</x:v>
      </x:c>
      <x:c r="M370" s="28" t="str">
        <x:v>альдегиды, амины</x:v>
      </x:c>
      <x:c r="N370" s="28" t="str">
        <x:v>прямое пересечение семейств не подтверждено</x:v>
      </x:c>
      <x:c r="O370" s="28" t="str">
        <x:v>альдегиды</x:v>
      </x:c>
      <x:c r="P370" s="28" t="str">
        <x:v>общие характерные молекулы; умами и солёный контраст</x:v>
      </x:c>
      <x:c r="Q37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0" s="28" t="str">
        <x:v>минимальный</x:v>
      </x:c>
      <x:c r="S370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7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0" s="28" t="str">
        <x:v>Картофель имеет профиль «крахмалистый, землистый, ореховый и жареный после нагрева». Партнёр «моллюски»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70" s="28" t="str">
        <x:v>зелёные или проросшие клубни не использовать; пережаривание даёт горечь и чрезмерно тёмную корку</x:v>
      </x:c>
      <x:c r="W370" s="28" t="str">
        <x:v>сливочное масло, соевый соус или тимьян</x:v>
      </x:c>
      <x:c r="X370" s="28" t="str">
        <x:v>пюре, суп, запекание, крем, гарнир, соус или десертная разработка с моллюски</x:v>
      </x:c>
      <x:c r="Y370" s="28" t="str">
        <x:v>еда, соусы/маринады</x:v>
      </x:c>
      <x:c r="Z370" s="28" t="str">
        <x:v>Средняя</x:v>
      </x:c>
      <x:c r="AA370" s="28" t="str">
        <x:v>Тезариус вкусов (Ники Сегнит)(1).pdf</x:v>
      </x:c>
      <x:c r="AB370" s="28" t="str">
        <x:v>Тезариус вкусов (Ники Сегнит)(1).pdf: 237, 370</x:v>
      </x:c>
      <x:c r="AC370" s="28" t="str">
        <x:v>развёрнутая пара/статья, стр. 237; развёрнутая пара/статья, стр. 370</x:v>
      </x:c>
      <x:c r="AD370" s="28" t="n">
        <x:v>1</x:v>
      </x:c>
      <x:c r="AE370" s="28" t="n">
        <x:v>2</x:v>
      </x:c>
      <x:c r="AF370" s="28" t="n">
        <x:f>IF(Z370="Высокая",3,IF(Z370="Средняя",2,1))+AD370*2+MIN(AE370,3)</x:f>
        <x:v>6</x:v>
      </x:c>
    </x:row>
    <x:row r="371" ht="64" customHeight="1">
      <x:c r="A371" s="28" t="str">
        <x:v>VEG-0370</x:v>
      </x:c>
      <x:c r="B371" s="28" t="str">
        <x:v>картофель</x:v>
      </x:c>
      <x:c r="C371" s="28" t="str">
        <x:v>Еда и соусы</x:v>
      </x:c>
      <x:c r="D371" s="28" t="str">
        <x:v>картофель</x:v>
      </x:c>
      <x:c r="E371" s="28" t="str">
        <x:v>Картофель | картофель</x:v>
      </x:c>
      <x:c r="F371" s="28" t="str">
        <x:v>Корнеплоды и клубни</x:v>
      </x:c>
      <x:c r="G371" s="28" t="str">
        <x:v>мускатный орех</x:v>
      </x:c>
      <x:c r="H371" s="28" t="str">
        <x:v>Мускатный орех | мускатный орех</x:v>
      </x:c>
      <x:c r="I371" s="28" t="str">
        <x:v>Рыба и морепродукты</x:v>
      </x:c>
      <x:c r="J371" s="28" t="str">
        <x:v>крахмалистый, землистый, ореховый и жареный после нагрева</x:v>
      </x:c>
      <x:c r="K371" s="28" t="str">
        <x:v>камфорный, ореховый, пряный</x:v>
      </x:c>
      <x:c r="L371" s="28" t="str">
        <x:v>метиональ, 2-ацетил-1-пирролин, пиразины, альдегиды</x:v>
      </x:c>
      <x:c r="M371" s="28" t="str">
        <x:v>пинены, сабинен</x:v>
      </x:c>
      <x:c r="N371" s="28" t="str">
        <x:v>прямое пересечение семейств не подтверждено</x:v>
      </x:c>
      <x:c r="O371" s="28" t="str">
        <x:v>надёжная общая ключевая молекула не установлена</x:v>
      </x:c>
      <x:c r="P371" s="28" t="str">
        <x:v>умами и солёный контраст</x:v>
      </x:c>
      <x:c r="Q37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1" s="28" t="str">
        <x:v>минимальный</x:v>
      </x:c>
      <x:c r="S371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7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1" s="28" t="str">
        <x:v>Картофель имеет профиль «крахмалистый, землистый, ореховый и жареный после нагрева».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371" s="28" t="str">
        <x:v>зелёные или проросшие клубни не использовать; пережаривание даёт горечь и чрезмерно тёмную корку</x:v>
      </x:c>
      <x:c r="W371" s="28" t="str">
        <x:v>сливочное масло, соевый соус или тимьян</x:v>
      </x:c>
      <x:c r="X371" s="28" t="str">
        <x:v>пюре, суп, запекание, крем, гарнир, соус или десертная разработка с мускатный орех</x:v>
      </x:c>
      <x:c r="Y371" s="28" t="str">
        <x:v>еда, соусы/маринады</x:v>
      </x:c>
      <x:c r="Z371" s="28" t="str">
        <x:v>Средняя</x:v>
      </x:c>
      <x:c r="AA371" s="28" t="str">
        <x:v>Тезариус вкусов (Ники Сегнит)(1).pdf</x:v>
      </x:c>
      <x:c r="AB371" s="28" t="str">
        <x:v>Тезариус вкусов (Ники Сегнит)(1).pdf: 239, 588</x:v>
      </x:c>
      <x:c r="AC371" s="28" t="str">
        <x:v>развёрнутая пара/статья, стр. 239; развёрнутая пара/статья, стр. 588</x:v>
      </x:c>
      <x:c r="AD371" s="28" t="n">
        <x:v>1</x:v>
      </x:c>
      <x:c r="AE371" s="28" t="n">
        <x:v>2</x:v>
      </x:c>
      <x:c r="AF371" s="28" t="n">
        <x:f>IF(Z371="Высокая",3,IF(Z371="Средняя",2,1))+AD371*2+MIN(AE371,3)</x:f>
        <x:v>6</x:v>
      </x:c>
    </x:row>
    <x:row r="372" ht="64" customHeight="1">
      <x:c r="A372" s="28" t="str">
        <x:v>VEG-0371</x:v>
      </x:c>
      <x:c r="B372" s="28" t="str">
        <x:v>картофель</x:v>
      </x:c>
      <x:c r="C372" s="28" t="str">
        <x:v>Универсальные</x:v>
      </x:c>
      <x:c r="D372" s="28" t="str">
        <x:v>картофель</x:v>
      </x:c>
      <x:c r="E372" s="28" t="str">
        <x:v>French fries</x:v>
      </x:c>
      <x:c r="F372" s="28" t="str">
        <x:v>Корнеплоды и клубни</x:v>
      </x:c>
      <x:c r="G372" s="28" t="str">
        <x:v>мушмула</x:v>
      </x:c>
      <x:c r="H372" s="28" t="str">
        <x:v>loquat</x:v>
      </x:c>
      <x:c r="I372" s="28" t="str">
        <x:v>Прочее</x:v>
      </x:c>
      <x:c r="J372" s="28" t="str">
        <x:v>крахмалистый, землистый, ореховый и жареный после нагрева</x:v>
      </x:c>
      <x:c r="K372" s="28" t="str">
        <x:v>профиль зависит от конкретного продукта</x:v>
      </x:c>
      <x:c r="L372" s="28" t="str">
        <x:v>метиональ, 2-ацетил-1-пирролин, пиразины, альдегиды</x:v>
      </x:c>
      <x:c r="M372" s="28" t="str">
        <x:v>конкретный молекулярный профиль не указан</x:v>
      </x:c>
      <x:c r="N372" s="28" t="str">
        <x:v>прямое пересечение семейств не подтверждено</x:v>
      </x:c>
      <x:c r="O372" s="28" t="str">
        <x:v>надёжная общая ключевая молекула не установлена</x:v>
      </x:c>
      <x:c r="P372" s="28" t="str">
        <x:v>сенсорная комплементарность</x:v>
      </x:c>
      <x:c r="Q37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2" s="28" t="str">
        <x:v>минимальный</x:v>
      </x:c>
      <x:c r="S372" s="28" t="str">
        <x:v>крахмальная водная матрица; структура зависит от сорта и желатинизации крахмала</x:v>
      </x:c>
      <x:c r="T37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2" s="28" t="str">
        <x:v>Картофель имеет профиль «крахмалистый, землистый, ореховый и жареный после нагрева». Партнёр «мушмула»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72" s="28" t="str">
        <x:v>зелёные или проросшие клубни не использовать; пережаривание даёт горечь и чрезмерно тёмную корку</x:v>
      </x:c>
      <x:c r="W372" s="28" t="str">
        <x:v>соль, кислота или ароматический жир</x:v>
      </x:c>
      <x:c r="X372" s="28" t="str">
        <x:v>пюре, суп, запекание, крем, гарнир, соус или десертная разработка с мушмула</x:v>
      </x:c>
      <x:c r="Y372" s="28" t="str">
        <x:v>еда, соусы/маринады</x:v>
      </x:c>
      <x:c r="Z372" s="28" t="str">
        <x:v>Средняя</x:v>
      </x:c>
      <x:c r="AA372" s="28" t="str">
        <x:v>The Art &amp; Science of Foodpairing.pdf</x:v>
      </x:c>
      <x:c r="AB372" s="28" t="str">
        <x:v>The Art &amp; Science of Foodpairing.pdf: 196</x:v>
      </x:c>
      <x:c r="AC372" s="28" t="str">
        <x:v>связь из pairing grid, стр. 196</x:v>
      </x:c>
      <x:c r="AD372" s="28" t="n">
        <x:v>1</x:v>
      </x:c>
      <x:c r="AE372" s="28" t="n">
        <x:v>1</x:v>
      </x:c>
      <x:c r="AF372" s="28" t="n">
        <x:f>IF(Z372="Высокая",3,IF(Z372="Средняя",2,1))+AD372*2+MIN(AE372,3)</x:f>
        <x:v>5</x:v>
      </x:c>
    </x:row>
    <x:row r="373" ht="64" customHeight="1">
      <x:c r="A373" s="28" t="str">
        <x:v>VEG-0372</x:v>
      </x:c>
      <x:c r="B373" s="28" t="str">
        <x:v>картофель</x:v>
      </x:c>
      <x:c r="C373" s="28" t="str">
        <x:v>Еда и соусы</x:v>
      </x:c>
      <x:c r="D373" s="28" t="str">
        <x:v>картофель</x:v>
      </x:c>
      <x:c r="E373" s="28" t="str">
        <x:v>oven-roasted potato</x:v>
      </x:c>
      <x:c r="F373" s="28" t="str">
        <x:v>Корнеплоды и клубни</x:v>
      </x:c>
      <x:c r="G373" s="28" t="str">
        <x:v>мясо</x:v>
      </x:c>
      <x:c r="H373" s="28" t="str">
        <x:v>meat</x:v>
      </x:c>
      <x:c r="I373" s="28" t="str">
        <x:v>Мясо и птица</x:v>
      </x:c>
      <x:c r="J373" s="28" t="str">
        <x:v>крахмалистый, землистый, ореховый и жареный после нагрева</x:v>
      </x:c>
      <x:c r="K373" s="28" t="str">
        <x:v>жареный, жирный, умами</x:v>
      </x:c>
      <x:c r="L373" s="28" t="str">
        <x:v>метиональ, 2-ацетил-1-пирролин, пиразины, альдегиды</x:v>
      </x:c>
      <x:c r="M373" s="28" t="str">
        <x:v>пиразины, сернистые соединения</x:v>
      </x:c>
      <x:c r="N373" s="28" t="str">
        <x:v>жареный</x:v>
      </x:c>
      <x:c r="O373" s="28" t="str">
        <x:v>пиразины</x:v>
      </x:c>
      <x:c r="P373" s="28" t="str">
        <x:v>общие характерные молекулы; пересечение ароматических семейств; умами и солёный контраст</x:v>
      </x:c>
      <x:c r="Q37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3" s="28" t="str">
        <x:v>минимальный</x:v>
      </x:c>
      <x:c r="S373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7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3" s="28" t="str">
        <x:v>Картофель имеет профиль «крахмалистый, землистый, ореховый и жареный после нагрева».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73" s="28" t="str">
        <x:v>зелёные или проросшие клубни не использовать; пережаривание даёт горечь и чрезмерно тёмную корку</x:v>
      </x:c>
      <x:c r="W373" s="28" t="str">
        <x:v>сливочное масло, соевый соус или тимьян</x:v>
      </x:c>
      <x:c r="X373" s="28" t="str">
        <x:v>пюре, суп, запекание, крем, гарнир, соус или десертная разработка с мясо</x:v>
      </x:c>
      <x:c r="Y373" s="28" t="str">
        <x:v>еда, соусы/маринады</x:v>
      </x:c>
      <x:c r="Z373" s="28" t="str">
        <x:v>Средняя</x:v>
      </x:c>
      <x:c r="AA373" s="28" t="str">
        <x:v>The Art &amp; Science of Foodpairing.pdf</x:v>
      </x:c>
      <x:c r="AB373" s="28" t="str">
        <x:v>The Art &amp; Science of Foodpairing.pdf: 186</x:v>
      </x:c>
      <x:c r="AC373" s="28" t="str">
        <x:v>связь из pairing grid, стр. 186</x:v>
      </x:c>
      <x:c r="AD373" s="28" t="n">
        <x:v>1</x:v>
      </x:c>
      <x:c r="AE373" s="28" t="n">
        <x:v>1</x:v>
      </x:c>
      <x:c r="AF373" s="28" t="n">
        <x:f>IF(Z373="Высокая",3,IF(Z373="Средняя",2,1))+AD373*2+MIN(AE373,3)</x:f>
        <x:v>5</x:v>
      </x:c>
    </x:row>
    <x:row r="374" ht="64" customHeight="1">
      <x:c r="A374" s="28" t="str">
        <x:v>VEG-0373</x:v>
      </x:c>
      <x:c r="B374" s="28" t="str">
        <x:v>картофель</x:v>
      </x:c>
      <x:c r="C374" s="28" t="str">
        <x:v>Универсальные</x:v>
      </x:c>
      <x:c r="D374" s="28" t="str">
        <x:v>картофель</x:v>
      </x:c>
      <x:c r="E374" s="28" t="str">
        <x:v>Картофель | картофель</x:v>
      </x:c>
      <x:c r="F374" s="28" t="str">
        <x:v>Корнеплоды и клубни</x:v>
      </x:c>
      <x:c r="G374" s="28" t="str">
        <x:v>мята</x:v>
      </x:c>
      <x:c r="H374" s="28" t="str">
        <x:v>Мята | мята</x:v>
      </x:c>
      <x:c r="I374" s="28" t="str">
        <x:v>Травы, цветы и листья</x:v>
      </x:c>
      <x:c r="J374" s="28" t="str">
        <x:v>крахмалистый, землистый, ореховый и жареный после нагрева</x:v>
      </x:c>
      <x:c r="K374" s="28" t="str">
        <x:v>зелёный, холодящий</x:v>
      </x:c>
      <x:c r="L374" s="28" t="str">
        <x:v>метиональ, 2-ацетил-1-пирролин, пиразины, альдегиды</x:v>
      </x:c>
      <x:c r="M374" s="28" t="str">
        <x:v>ментол</x:v>
      </x:c>
      <x:c r="N374" s="28" t="str">
        <x:v>прямое пересечение семейств не подтверждено</x:v>
      </x:c>
      <x:c r="O374" s="28" t="str">
        <x:v>надёжная общая ключевая молекула не установлена</x:v>
      </x:c>
      <x:c r="P374" s="28" t="str">
        <x:v>сенсорная комплементарность</x:v>
      </x:c>
      <x:c r="Q37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4" s="28" t="str">
        <x:v>минимальный</x:v>
      </x:c>
      <x:c r="S374" s="28" t="str">
        <x:v>крахмальная водная матрица; структура зависит от сорта и желатинизации крахмала</x:v>
      </x:c>
      <x:c r="T37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4" s="28" t="str">
        <x:v>Картофель имеет профиль «крахмалистый, землистый, ореховый и жареный после нагрева».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374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W374" s="28" t="str">
        <x:v>оливковое масло, лимон или сыр</x:v>
      </x:c>
      <x:c r="X374" s="28" t="str">
        <x:v>пюре, суп, запекание, крем, гарнир, соус или десертная разработка с мята</x:v>
      </x:c>
      <x:c r="Y374" s="28" t="str">
        <x:v>еда, соусы/маринады</x:v>
      </x:c>
      <x:c r="Z374" s="28" t="str">
        <x:v>Средняя</x:v>
      </x:c>
      <x:c r="AA374" s="28" t="str">
        <x:v>Тезариус вкусов (Ники Сегнит)(1).pdf</x:v>
      </x:c>
      <x:c r="AB374" s="28" t="str">
        <x:v>Тезариус вкусов (Ники Сегнит)(1).pdf: 240, 867</x:v>
      </x:c>
      <x:c r="AC374" s="28" t="str">
        <x:v>развёрнутая пара/статья, стр. 240; развёрнутая пара/статья, стр. 867</x:v>
      </x:c>
      <x:c r="AD374" s="28" t="n">
        <x:v>1</x:v>
      </x:c>
      <x:c r="AE374" s="28" t="n">
        <x:v>2</x:v>
      </x:c>
      <x:c r="AF374" s="28" t="n">
        <x:f>IF(Z374="Высокая",3,IF(Z374="Средняя",2,1))+AD374*2+MIN(AE374,3)</x:f>
        <x:v>6</x:v>
      </x:c>
    </x:row>
    <x:row r="375" ht="64" customHeight="1">
      <x:c r="A375" s="28" t="str">
        <x:v>VEG-0374</x:v>
      </x:c>
      <x:c r="B375" s="28" t="str">
        <x:v>картофель</x:v>
      </x:c>
      <x:c r="C375" s="28" t="str">
        <x:v>Универсальные</x:v>
      </x:c>
      <x:c r="D375" s="28" t="str">
        <x:v>картофель</x:v>
      </x:c>
      <x:c r="E375" s="28" t="str">
        <x:v>French fries</x:v>
      </x:c>
      <x:c r="F375" s="28" t="str">
        <x:v>Корнеплоды и клубни</x:v>
      </x:c>
      <x:c r="G375" s="28" t="str">
        <x:v>огурец</x:v>
      </x:c>
      <x:c r="H375" s="28" t="str">
        <x:v>pickled cucumber</x:v>
      </x:c>
      <x:c r="I375" s="28" t="str">
        <x:v>Тыквенные</x:v>
      </x:c>
      <x:c r="J375" s="28" t="str">
        <x:v>крахмалистый, землистый, ореховый и жареный после нагрева</x:v>
      </x:c>
      <x:c r="K375" s="28" t="str">
        <x:v>зелёный, водянистый, свежий и дынный</x:v>
      </x:c>
      <x:c r="L375" s="28" t="str">
        <x:v>метиональ, 2-ацетил-1-пирролин, пиразины, альдегиды</x:v>
      </x:c>
      <x:c r="M375" s="28" t="str">
        <x:v>(E)-2-ноненаль, (E,Z)-2,6-нонадиеналь, гексаналь</x:v>
      </x:c>
      <x:c r="N375" s="28" t="str">
        <x:v>прямое пересечение семейств не подтверждено</x:v>
      </x:c>
      <x:c r="O375" s="28" t="str">
        <x:v>надёжная общая ключевая молекула не установлена</x:v>
      </x:c>
      <x:c r="P375" s="28" t="str">
        <x:v>сенсорная комплементарность</x:v>
      </x:c>
      <x:c r="Q37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5" s="28" t="str">
        <x:v>минимальный</x:v>
      </x:c>
      <x:c r="S375" s="28" t="str">
        <x:v>крахмальная водная матрица; структура зависит от сорта и желатинизации крахмала</x:v>
      </x:c>
      <x:c r="T37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5" s="28" t="str">
        <x:v>Картофель имеет профиль «крахмалистый, землистый, ореховый и жареный после нагрева».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75" s="28" t="str">
        <x:v>зелёные или проросшие клубни не использовать; пережаривание даёт горечь и чрезмерно тёмную корку</x:v>
      </x:c>
      <x:c r="W375" s="28" t="str">
        <x:v>соль, кислота или ароматический жир</x:v>
      </x:c>
      <x:c r="X375" s="28" t="str">
        <x:v>пюре, суп, запекание, крем, гарнир, соус или десертная разработка с огурец</x:v>
      </x:c>
      <x:c r="Y375" s="28" t="str">
        <x:v>еда, соусы/маринады</x:v>
      </x:c>
      <x:c r="Z375" s="28" t="str">
        <x:v>Средняя</x:v>
      </x:c>
      <x:c r="AA375" s="28" t="str">
        <x:v>The Art &amp; Science of Foodpairing.pdf</x:v>
      </x:c>
      <x:c r="AB375" s="28" t="str">
        <x:v>The Art &amp; Science of Foodpairing.pdf: 196</x:v>
      </x:c>
      <x:c r="AC375" s="28" t="str">
        <x:v>связь из pairing grid, стр. 196</x:v>
      </x:c>
      <x:c r="AD375" s="28" t="n">
        <x:v>1</x:v>
      </x:c>
      <x:c r="AE375" s="28" t="n">
        <x:v>1</x:v>
      </x:c>
      <x:c r="AF375" s="28" t="n">
        <x:f>IF(Z375="Высокая",3,IF(Z375="Средняя",2,1))+AD375*2+MIN(AE375,3)</x:f>
        <x:v>5</x:v>
      </x:c>
    </x:row>
    <x:row r="376" ht="64" customHeight="1">
      <x:c r="A376" s="28" t="str">
        <x:v>VEG-0375</x:v>
      </x:c>
      <x:c r="B376" s="28" t="str">
        <x:v>картофель</x:v>
      </x:c>
      <x:c r="C376" s="28" t="str">
        <x:v>Еда и соусы</x:v>
      </x:c>
      <x:c r="D376" s="28" t="str">
        <x:v>картофель</x:v>
      </x:c>
      <x:c r="E376" s="28" t="str">
        <x:v>French fries</x:v>
      </x:c>
      <x:c r="F376" s="28" t="str">
        <x:v>Корнеплоды и клубни</x:v>
      </x:c>
      <x:c r="G376" s="28" t="str">
        <x:v>огуречная трава</x:v>
      </x:c>
      <x:c r="H376" s="28" t="str">
        <x:v>borage</x:v>
      </x:c>
      <x:c r="I376" s="28" t="str">
        <x:v>Плодовые и тыквенные овощи</x:v>
      </x:c>
      <x:c r="J376" s="28" t="str">
        <x:v>крахмалистый, землистый, ореховый и жареный после нагрева</x:v>
      </x:c>
      <x:c r="K376" s="28" t="str">
        <x:v>зелёный, фруктовый или водянистый</x:v>
      </x:c>
      <x:c r="L376" s="28" t="str">
        <x:v>метиональ, 2-ацетил-1-пирролин, пиразины, альдегиды</x:v>
      </x:c>
      <x:c r="M376" s="28" t="str">
        <x:v>альдегиды, эфиры</x:v>
      </x:c>
      <x:c r="N376" s="28" t="str">
        <x:v>прямое пересечение семейств не подтверждено</x:v>
      </x:c>
      <x:c r="O376" s="28" t="str">
        <x:v>альдегиды</x:v>
      </x:c>
      <x:c r="P376" s="28" t="str">
        <x:v>общие характерные молекулы</x:v>
      </x:c>
      <x:c r="Q37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6" s="28" t="str">
        <x:v>минимальный</x:v>
      </x:c>
      <x:c r="S376" s="28" t="str">
        <x:v>крахмальная водная матрица; структура зависит от сорта и желатинизации крахмала</x:v>
      </x:c>
      <x:c r="T37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6" s="28" t="str">
        <x:v>Картофель имеет профиль «крахмалистый, землистый, ореховый и жареный после нагрева». Партнёр «огуречная трава»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V376" s="28" t="str">
        <x:v>зелёные или проросшие клубни не использовать; пережаривание даёт горечь и чрезмерно тёмную корку</x:v>
      </x:c>
      <x:c r="W376" s="28" t="str">
        <x:v>соль, кислота или ароматический жир</x:v>
      </x:c>
      <x:c r="X376" s="28" t="str">
        <x:v>пюре, суп, запекание, крем, гарнир, соус или десертная разработка с огуречная трава</x:v>
      </x:c>
      <x:c r="Y376" s="28" t="str">
        <x:v>еда, соусы/маринады</x:v>
      </x:c>
      <x:c r="Z376" s="28" t="str">
        <x:v>Средняя</x:v>
      </x:c>
      <x:c r="AA376" s="28" t="str">
        <x:v>The Art &amp; Science of Foodpairing.pdf</x:v>
      </x:c>
      <x:c r="AB376" s="28" t="str">
        <x:v>The Art &amp; Science of Foodpairing.pdf: 196</x:v>
      </x:c>
      <x:c r="AC376" s="28" t="str">
        <x:v>связь из pairing grid, стр. 196</x:v>
      </x:c>
      <x:c r="AD376" s="28" t="n">
        <x:v>1</x:v>
      </x:c>
      <x:c r="AE376" s="28" t="n">
        <x:v>1</x:v>
      </x:c>
      <x:c r="AF376" s="28" t="n">
        <x:f>IF(Z376="Высокая",3,IF(Z376="Средняя",2,1))+AD376*2+MIN(AE376,3)</x:f>
        <x:v>5</x:v>
      </x:c>
    </x:row>
    <x:row r="377" ht="64" customHeight="1">
      <x:c r="A377" s="28" t="str">
        <x:v>VEG-0376</x:v>
      </x:c>
      <x:c r="B377" s="28" t="str">
        <x:v>картофель</x:v>
      </x:c>
      <x:c r="C377" s="28" t="str">
        <x:v>Универсальные</x:v>
      </x:c>
      <x:c r="D377" s="28" t="str">
        <x:v>картофель</x:v>
      </x:c>
      <x:c r="E377" s="28" t="str">
        <x:v>Картофель | картофель</x:v>
      </x:c>
      <x:c r="F377" s="28" t="str">
        <x:v>Корнеплоды и клубни</x:v>
      </x:c>
      <x:c r="G377" s="28" t="str">
        <x:v>оливки</x:v>
      </x:c>
      <x:c r="H377" s="28" t="str">
        <x:v>Оливки | оливки</x:v>
      </x:c>
      <x:c r="I377" s="28" t="str">
        <x:v>Прочее</x:v>
      </x:c>
      <x:c r="J377" s="28" t="str">
        <x:v>крахмалистый, землистый, ореховый и жареный после нагрева</x:v>
      </x:c>
      <x:c r="K377" s="28" t="str">
        <x:v>профиль зависит от конкретного продукта</x:v>
      </x:c>
      <x:c r="L377" s="28" t="str">
        <x:v>метиональ, 2-ацетил-1-пирролин, пиразины, альдегиды</x:v>
      </x:c>
      <x:c r="M377" s="28" t="str">
        <x:v>конкретный молекулярный профиль не указан</x:v>
      </x:c>
      <x:c r="N377" s="28" t="str">
        <x:v>прямое пересечение семейств не подтверждено</x:v>
      </x:c>
      <x:c r="O377" s="28" t="str">
        <x:v>надёжная общая ключевая молекула не установлена</x:v>
      </x:c>
      <x:c r="P377" s="28" t="str">
        <x:v>сенсорная комплементарность</x:v>
      </x:c>
      <x:c r="Q37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7" s="28" t="str">
        <x:v>минимальный</x:v>
      </x:c>
      <x:c r="S377" s="28" t="str">
        <x:v>крахмальная водная матрица; структура зависит от сорта и желатинизации крахмала</x:v>
      </x:c>
      <x:c r="T37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7" s="28" t="str">
        <x:v>Картофель имеет профиль «крахмалистый, землистый, ореховый и жареный после нагрева».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77" s="28" t="str">
        <x:v>зелёные или проросшие клубни не использовать; пережаривание даёт горечь и чрезмерно тёмную корку</x:v>
      </x:c>
      <x:c r="W377" s="28" t="str">
        <x:v>соль, кислота или ароматический жир</x:v>
      </x:c>
      <x:c r="X377" s="28" t="str">
        <x:v>пюре, суп, запекание, крем, гарнир, соус или десертная разработка с оливки</x:v>
      </x:c>
      <x:c r="Y377" s="28" t="str">
        <x:v>еда, соусы/маринады</x:v>
      </x:c>
      <x:c r="Z377" s="28" t="str">
        <x:v>Средняя</x:v>
      </x:c>
      <x:c r="AA377" s="28" t="str">
        <x:v>Тезариус вкусов (Ники Сегнит)(1).pdf</x:v>
      </x:c>
      <x:c r="AB377" s="28" t="str">
        <x:v>Тезариус вкусов (Ники Сегнит)(1).pdf: 240, 466</x:v>
      </x:c>
      <x:c r="AC377" s="28" t="str">
        <x:v>развёрнутая пара/статья, стр. 240; развёрнутая пара/статья, стр. 466</x:v>
      </x:c>
      <x:c r="AD377" s="28" t="n">
        <x:v>1</x:v>
      </x:c>
      <x:c r="AE377" s="28" t="n">
        <x:v>2</x:v>
      </x:c>
      <x:c r="AF377" s="28" t="n">
        <x:f>IF(Z377="Высокая",3,IF(Z377="Средняя",2,1))+AD377*2+MIN(AE377,3)</x:f>
        <x:v>6</x:v>
      </x:c>
    </x:row>
    <x:row r="378" ht="64" customHeight="1">
      <x:c r="A378" s="28" t="str">
        <x:v>VEG-0377</x:v>
      </x:c>
      <x:c r="B378" s="28" t="str">
        <x:v>картофель</x:v>
      </x:c>
      <x:c r="C378" s="28" t="str">
        <x:v>Универсальные</x:v>
      </x:c>
      <x:c r="D378" s="28" t="str">
        <x:v>картофель</x:v>
      </x:c>
      <x:c r="E378" s="28" t="str">
        <x:v>boiledsweet potato | oven-roasted potato</x:v>
      </x:c>
      <x:c r="F378" s="28" t="str">
        <x:v>Корнеплоды и клубни</x:v>
      </x:c>
      <x:c r="G378" s="28" t="str">
        <x:v>оливковое масло</x:v>
      </x:c>
      <x:c r="H378" s="28" t="str">
        <x:v>olive oil</x:v>
      </x:c>
      <x:c r="I378" s="28" t="str">
        <x:v>Масла и жиры</x:v>
      </x:c>
      <x:c r="J378" s="28" t="str">
        <x:v>крахмалистый, землистый, ореховый и жареный после нагрева</x:v>
      </x:c>
      <x:c r="K378" s="28" t="str">
        <x:v>жирный и мягкий</x:v>
      </x:c>
      <x:c r="L378" s="28" t="str">
        <x:v>метиональ, 2-ацетил-1-пирролин, пиразины, альдегиды</x:v>
      </x:c>
      <x:c r="M378" s="28" t="str">
        <x:v>альдегиды, лактоны</x:v>
      </x:c>
      <x:c r="N378" s="28" t="str">
        <x:v>прямое пересечение семейств не подтверждено</x:v>
      </x:c>
      <x:c r="O378" s="28" t="str">
        <x:v>альдегиды</x:v>
      </x:c>
      <x:c r="P378" s="28" t="str">
        <x:v>общие характерные молекулы; жировая матрица</x:v>
      </x:c>
      <x:c r="Q37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8" s="28" t="str">
        <x:v>минимальный</x:v>
      </x:c>
      <x:c r="S378" s="28" t="str">
        <x:v>крахмальная водная матрица; структура зависит от сорта и желатинизации крахмала Жировая фаза удерживает гидрофобные молекулы, но может сделать вкус тяжёлым.</x:v>
      </x:c>
      <x:c r="T37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8" s="28" t="str">
        <x:v>Картофель имеет профиль «крахмалистый, землистый, ореховый и жареный после нагрева». Партнёр «оливковое масло» относится к группе «Масла и жиры» и даёт жирный и мягкий. Вероятный молекулярный мост: альдегиды.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378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W378" s="28" t="str">
        <x:v>кислота, зелень или жареный орех</x:v>
      </x:c>
      <x:c r="X378" s="28" t="str">
        <x:v>пюре, суп, запекание, крем, гарнир, соус или десертная разработка с оливковое масло</x:v>
      </x:c>
      <x:c r="Y378" s="28" t="str">
        <x:v>еда, соусы/маринады</x:v>
      </x:c>
      <x:c r="Z378" s="28" t="str">
        <x:v>Средняя</x:v>
      </x:c>
      <x:c r="AA378" s="28" t="str">
        <x:v>The Art &amp; Science of Foodpairing.pdf</x:v>
      </x:c>
      <x:c r="AB378" s="28" t="str">
        <x:v>The Art &amp; Science of Foodpairing.pdf: 172</x:v>
      </x:c>
      <x:c r="AC378" s="28" t="str">
        <x:v>связь из pairing grid, стр. 172; связь из pairing grid, стр. 172</x:v>
      </x:c>
      <x:c r="AD378" s="28" t="n">
        <x:v>1</x:v>
      </x:c>
      <x:c r="AE378" s="28" t="n">
        <x:v>2</x:v>
      </x:c>
      <x:c r="AF378" s="28" t="n">
        <x:f>IF(Z378="Высокая",3,IF(Z378="Средняя",2,1))+AD378*2+MIN(AE378,3)</x:f>
        <x:v>6</x:v>
      </x:c>
    </x:row>
    <x:row r="379" ht="64" customHeight="1">
      <x:c r="A379" s="28" t="str">
        <x:v>VEG-0378</x:v>
      </x:c>
      <x:c r="B379" s="28" t="str">
        <x:v>картофель</x:v>
      </x:c>
      <x:c r="C379" s="28" t="str">
        <x:v>Универсальные</x:v>
      </x:c>
      <x:c r="D379" s="28" t="str">
        <x:v>картофель</x:v>
      </x:c>
      <x:c r="E379" s="28" t="str">
        <x:v>French fries</x:v>
      </x:c>
      <x:c r="F379" s="28" t="str">
        <x:v>Корнеплоды и клубни</x:v>
      </x:c>
      <x:c r="G379" s="28" t="str">
        <x:v>папайя</x:v>
      </x:c>
      <x:c r="H379" s="28" t="str">
        <x:v>papaya</x:v>
      </x:c>
      <x:c r="I379" s="28" t="str">
        <x:v>Прочее</x:v>
      </x:c>
      <x:c r="J379" s="28" t="str">
        <x:v>крахмалистый, землистый, ореховый и жареный после нагрева</x:v>
      </x:c>
      <x:c r="K379" s="28" t="str">
        <x:v>профиль зависит от конкретного продукта</x:v>
      </x:c>
      <x:c r="L379" s="28" t="str">
        <x:v>метиональ, 2-ацетил-1-пирролин, пиразины, альдегиды</x:v>
      </x:c>
      <x:c r="M379" s="28" t="str">
        <x:v>конкретный молекулярный профиль не указан</x:v>
      </x:c>
      <x:c r="N379" s="28" t="str">
        <x:v>прямое пересечение семейств не подтверждено</x:v>
      </x:c>
      <x:c r="O379" s="28" t="str">
        <x:v>надёжная общая ключевая молекула не установлена</x:v>
      </x:c>
      <x:c r="P379" s="28" t="str">
        <x:v>сенсорная комплементарность</x:v>
      </x:c>
      <x:c r="Q37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79" s="28" t="str">
        <x:v>минимальный</x:v>
      </x:c>
      <x:c r="S379" s="28" t="str">
        <x:v>крахмальная водная матрица; структура зависит от сорта и желатинизации крахмала</x:v>
      </x:c>
      <x:c r="T37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79" s="28" t="str">
        <x:v>Картофель имеет профиль «крахмалистый, землистый, ореховый и жареный после нагрева». Партнёр «папайя»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79" s="28" t="str">
        <x:v>зелёные или проросшие клубни не использовать; пережаривание даёт горечь и чрезмерно тёмную корку</x:v>
      </x:c>
      <x:c r="W379" s="28" t="str">
        <x:v>соль, кислота или ароматический жир</x:v>
      </x:c>
      <x:c r="X379" s="28" t="str">
        <x:v>пюре, суп, запекание, крем, гарнир, соус или десертная разработка с папайя</x:v>
      </x:c>
      <x:c r="Y379" s="28" t="str">
        <x:v>еда, соусы/маринады</x:v>
      </x:c>
      <x:c r="Z379" s="28" t="str">
        <x:v>Средняя</x:v>
      </x:c>
      <x:c r="AA379" s="28" t="str">
        <x:v>The Art &amp; Science of Foodpairing.pdf</x:v>
      </x:c>
      <x:c r="AB379" s="28" t="str">
        <x:v>The Art &amp; Science of Foodpairing.pdf: 196</x:v>
      </x:c>
      <x:c r="AC379" s="28" t="str">
        <x:v>связь из pairing grid, стр. 196</x:v>
      </x:c>
      <x:c r="AD379" s="28" t="n">
        <x:v>1</x:v>
      </x:c>
      <x:c r="AE379" s="28" t="n">
        <x:v>1</x:v>
      </x:c>
      <x:c r="AF379" s="28" t="n">
        <x:f>IF(Z379="Высокая",3,IF(Z379="Средняя",2,1))+AD379*2+MIN(AE379,3)</x:f>
        <x:v>5</x:v>
      </x:c>
    </x:row>
    <x:row r="380" ht="64" customHeight="1">
      <x:c r="A380" s="28" t="str">
        <x:v>VEG-0379</x:v>
      </x:c>
      <x:c r="B380" s="28" t="str">
        <x:v>картофель</x:v>
      </x:c>
      <x:c r="C380" s="28" t="str">
        <x:v>Универсальные</x:v>
      </x:c>
      <x:c r="D380" s="28" t="str">
        <x:v>картофель</x:v>
      </x:c>
      <x:c r="E380" s="28" t="str">
        <x:v>Картофель | картофель</x:v>
      </x:c>
      <x:c r="F380" s="28" t="str">
        <x:v>Корнеплоды и клубни</x:v>
      </x:c>
      <x:c r="G380" s="28" t="str">
        <x:v>пастернак</x:v>
      </x:c>
      <x:c r="H380" s="28" t="str">
        <x:v>Пастернак | пастернак</x:v>
      </x:c>
      <x:c r="I380" s="28" t="str">
        <x:v>Корнеплоды</x:v>
      </x:c>
      <x:c r="J380" s="28" t="str">
        <x:v>крахмалистый, землистый, ореховый и жареный после нагрева</x:v>
      </x:c>
      <x:c r="K380" s="28" t="str">
        <x:v>сладкий, пряный, древесный и слегка анисовый</x:v>
      </x:c>
      <x:c r="L380" s="28" t="str">
        <x:v>метиональ, 2-ацетил-1-пирролин, пиразины, альдегиды</x:v>
      </x:c>
      <x:c r="M380" s="28" t="str">
        <x:v>пинены, терпены, фенольные соединения, фураны</x:v>
      </x:c>
      <x:c r="N380" s="28" t="str">
        <x:v>землистый</x:v>
      </x:c>
      <x:c r="O380" s="28" t="str">
        <x:v>надёжная общая ключевая молекула не установлена</x:v>
      </x:c>
      <x:c r="P380" s="28" t="str">
        <x:v>пересечение ароматических семейств</x:v>
      </x:c>
      <x:c r="Q38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0" s="28" t="str">
        <x:v>минимальный</x:v>
      </x:c>
      <x:c r="S380" s="28" t="str">
        <x:v>крахмальная водная матрица; структура зависит от сорта и желатинизации крахмала</x:v>
      </x:c>
      <x:c r="T38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0" s="28" t="str">
        <x:v>Картофель имеет профиль «крахмалистый, землистый, ореховый и жареный после нагрева». Партнёр «пастернак» относится к группе «Корнеплоды» и даёт сладкий, пряный, древесный и слегка анисовый.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V380" s="28" t="str">
        <x:v>зелёные или проросшие клубни не использовать; пережаривание даёт горечь и чрезмерно тёмную корку</x:v>
      </x:c>
      <x:c r="W380" s="28" t="str">
        <x:v>соль, кислота или ароматический жир</x:v>
      </x:c>
      <x:c r="X380" s="28" t="str">
        <x:v>пюре, суп, запекание, крем, гарнир, соус или десертная разработка с пастернак</x:v>
      </x:c>
      <x:c r="Y380" s="28" t="str">
        <x:v>еда, соусы/маринады</x:v>
      </x:c>
      <x:c r="Z380" s="28" t="str">
        <x:v>Средняя</x:v>
      </x:c>
      <x:c r="AA380" s="28" t="str">
        <x:v>Тезариус вкусов (Ники Сегнит)(1).pdf</x:v>
      </x:c>
      <x:c r="AB380" s="28" t="str">
        <x:v>Тезариус вкусов (Ники Сегнит)(1).pdf: 240, 597</x:v>
      </x:c>
      <x:c r="AC380" s="28" t="str">
        <x:v>развёрнутая пара/статья, стр. 240; развёрнутая пара/статья, стр. 597</x:v>
      </x:c>
      <x:c r="AD380" s="28" t="n">
        <x:v>1</x:v>
      </x:c>
      <x:c r="AE380" s="28" t="n">
        <x:v>2</x:v>
      </x:c>
      <x:c r="AF380" s="28" t="n">
        <x:f>IF(Z380="Высокая",3,IF(Z380="Средняя",2,1))+AD380*2+MIN(AE380,3)</x:f>
        <x:v>6</x:v>
      </x:c>
    </x:row>
    <x:row r="381" ht="64" customHeight="1">
      <x:c r="A381" s="28" t="str">
        <x:v>VEG-0380</x:v>
      </x:c>
      <x:c r="B381" s="28" t="str">
        <x:v>картофель</x:v>
      </x:c>
      <x:c r="C381" s="28" t="str">
        <x:v>Универсальные</x:v>
      </x:c>
      <x:c r="D381" s="28" t="str">
        <x:v>картофель</x:v>
      </x:c>
      <x:c r="E381" s="28" t="str">
        <x:v>Картофель | картофель</x:v>
      </x:c>
      <x:c r="F381" s="28" t="str">
        <x:v>Корнеплоды и клубни</x:v>
      </x:c>
      <x:c r="G381" s="28" t="str">
        <x:v>петрушка</x:v>
      </x:c>
      <x:c r="H381" s="28" t="str">
        <x:v>Петрушка | петрушка</x:v>
      </x:c>
      <x:c r="I381" s="28" t="str">
        <x:v>Травы, цветы и листья</x:v>
      </x:c>
      <x:c r="J381" s="28" t="str">
        <x:v>крахмалистый, землистый, ореховый и жареный после нагрева</x:v>
      </x:c>
      <x:c r="K381" s="28" t="str">
        <x:v>зелёный, травянистый</x:v>
      </x:c>
      <x:c r="L381" s="28" t="str">
        <x:v>метиональ, 2-ацетил-1-пирролин, пиразины, альдегиды</x:v>
      </x:c>
      <x:c r="M381" s="28" t="str">
        <x:v>апиол, п-ментатриен</x:v>
      </x:c>
      <x:c r="N381" s="28" t="str">
        <x:v>прямое пересечение семейств не подтверждено</x:v>
      </x:c>
      <x:c r="O381" s="28" t="str">
        <x:v>надёжная общая ключевая молекула не установлена</x:v>
      </x:c>
      <x:c r="P381" s="28" t="str">
        <x:v>сенсорная комплементарность</x:v>
      </x:c>
      <x:c r="Q38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1" s="28" t="str">
        <x:v>минимальный</x:v>
      </x:c>
      <x:c r="S381" s="28" t="str">
        <x:v>крахмальная водная матрица; структура зависит от сорта и желатинизации крахмала</x:v>
      </x:c>
      <x:c r="T38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1" s="28" t="str">
        <x:v>Картофель имеет профиль «крахмалистый, землистый, ореховый и жареный после нагрева».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381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W381" s="28" t="str">
        <x:v>оливковое масло, лимон или сыр</x:v>
      </x:c>
      <x:c r="X381" s="28" t="str">
        <x:v>пюре, суп, запекание, крем, гарнир, соус или десертная разработка с петрушка</x:v>
      </x:c>
      <x:c r="Y381" s="28" t="str">
        <x:v>еда, соусы/маринады</x:v>
      </x:c>
      <x:c r="Z381" s="28" t="str">
        <x:v>Средняя</x:v>
      </x:c>
      <x:c r="AA381" s="28" t="str">
        <x:v>Тезариус вкусов (Ники Сегнит)(1).pdf</x:v>
      </x:c>
      <x:c r="AB381" s="28" t="str">
        <x:v>Тезариус вкусов (Ники Сегнит)(1).pdf: 240, 509</x:v>
      </x:c>
      <x:c r="AC381" s="28" t="str">
        <x:v>развёрнутая пара/статья, стр. 240; развёрнутая пара/статья, стр. 509</x:v>
      </x:c>
      <x:c r="AD381" s="28" t="n">
        <x:v>1</x:v>
      </x:c>
      <x:c r="AE381" s="28" t="n">
        <x:v>2</x:v>
      </x:c>
      <x:c r="AF381" s="28" t="n">
        <x:f>IF(Z381="Высокая",3,IF(Z381="Средняя",2,1))+AD381*2+MIN(AE381,3)</x:f>
        <x:v>6</x:v>
      </x:c>
    </x:row>
    <x:row r="382" ht="64" customHeight="1">
      <x:c r="A382" s="28" t="str">
        <x:v>VEG-0381</x:v>
      </x:c>
      <x:c r="B382" s="28" t="str">
        <x:v>картофель</x:v>
      </x:c>
      <x:c r="C382" s="28" t="str">
        <x:v>Напитки</x:v>
      </x:c>
      <x:c r="D382" s="28" t="str">
        <x:v>картофель</x:v>
      </x:c>
      <x:c r="E382" s="28" t="str">
        <x:v>French fries</x:v>
      </x:c>
      <x:c r="F382" s="28" t="str">
        <x:v>Корнеплоды и клубни</x:v>
      </x:c>
      <x:c r="G382" s="28" t="str">
        <x:v>пиво</x:v>
      </x:c>
      <x:c r="H382" s="28" t="str">
        <x:v>Westmalledubbelbeer</x:v>
      </x:c>
      <x:c r="I382" s="28" t="str">
        <x:v>Алкогольные напитки</x:v>
      </x:c>
      <x:c r="J382" s="28" t="str">
        <x:v>крахмалистый, землистый, ореховый и жареный после нагрева</x:v>
      </x:c>
      <x:c r="K382" s="28" t="str">
        <x:v>спиртовой, фруктовый или древесный</x:v>
      </x:c>
      <x:c r="L382" s="28" t="str">
        <x:v>метиональ, 2-ацетил-1-пирролин, пиразины, альдегиды</x:v>
      </x:c>
      <x:c r="M382" s="28" t="str">
        <x:v>альдегиды, эфиры</x:v>
      </x:c>
      <x:c r="N382" s="28" t="str">
        <x:v>прямое пересечение семейств не подтверждено</x:v>
      </x:c>
      <x:c r="O382" s="28" t="str">
        <x:v>альдегиды</x:v>
      </x:c>
      <x:c r="P382" s="28" t="str">
        <x:v>общие характерные молекулы</x:v>
      </x:c>
      <x:c r="Q38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2" s="28" t="str">
        <x:v>минимальный</x:v>
      </x:c>
      <x:c r="S382" s="28" t="str">
        <x:v>крахмальная водная матрица; структура зависит от сорта и желатинизации крахмала Этанол извлекает терпены и сернистые соединения эффективнее воды; время контакта ограничивать.</x:v>
      </x:c>
      <x:c r="T38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2" s="28" t="str">
        <x:v>Картофель имеет профиль «крахмалистый, землистый, ореховый и жареный после нагрева». Партнёр «пиво»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V382" s="28" t="str">
        <x:v>зелёные или проросшие клубни не использовать; пережаривание даёт горечь и чрезмерно тёмную корку</x:v>
      </x:c>
      <x:c r="W382" s="28" t="str">
        <x:v>соль, кислота или ароматический жир</x:v>
      </x:c>
      <x:c r="X382" s="28" t="str">
        <x:v>пюре, суп, запекание, крем, гарнир, соус или десертная разработка с пиво</x:v>
      </x:c>
      <x:c r="Y382" s="28" t="str">
        <x:v>напитки, еда, соусы/маринады</x:v>
      </x:c>
      <x:c r="Z382" s="28" t="str">
        <x:v>Средняя</x:v>
      </x:c>
      <x:c r="AA382" s="28" t="str">
        <x:v>The Art &amp; Science of Foodpairing.pdf</x:v>
      </x:c>
      <x:c r="AB382" s="28" t="str">
        <x:v>The Art &amp; Science of Foodpairing.pdf: 196</x:v>
      </x:c>
      <x:c r="AC382" s="28" t="str">
        <x:v>связь из pairing grid, стр. 196</x:v>
      </x:c>
      <x:c r="AD382" s="28" t="n">
        <x:v>1</x:v>
      </x:c>
      <x:c r="AE382" s="28" t="n">
        <x:v>1</x:v>
      </x:c>
      <x:c r="AF382" s="28" t="n">
        <x:f>IF(Z382="Высокая",3,IF(Z382="Средняя",2,1))+AD382*2+MIN(AE382,3)</x:f>
        <x:v>5</x:v>
      </x:c>
    </x:row>
    <x:row r="383" ht="64" customHeight="1">
      <x:c r="A383" s="28" t="str">
        <x:v>VEG-0382</x:v>
      </x:c>
      <x:c r="B383" s="28" t="str">
        <x:v>картофель</x:v>
      </x:c>
      <x:c r="C383" s="28" t="str">
        <x:v>Десерты и выпечка</x:v>
      </x:c>
      <x:c r="D383" s="28" t="str">
        <x:v>картофель</x:v>
      </x:c>
      <x:c r="E383" s="28" t="str">
        <x:v>French fries</x:v>
      </x:c>
      <x:c r="F383" s="28" t="str">
        <x:v>Корнеплоды и клубни</x:v>
      </x:c>
      <x:c r="G383" s="28" t="str">
        <x:v>рапсовый мёд</x:v>
      </x:c>
      <x:c r="H383" s="28" t="str">
        <x:v>rapeseed honey</x:v>
      </x:c>
      <x:c r="I383" s="28" t="str">
        <x:v>Выпечка, крупы, сахара и десерты</x:v>
      </x:c>
      <x:c r="J383" s="28" t="str">
        <x:v>крахмалистый, землистый, ореховый и жареный после нагрева</x:v>
      </x:c>
      <x:c r="K383" s="28" t="str">
        <x:v>медовый, сладкий, цветочный</x:v>
      </x:c>
      <x:c r="L383" s="28" t="str">
        <x:v>метиональ, 2-ацетил-1-пирролин, пиразины, альдегиды</x:v>
      </x:c>
      <x:c r="M383" s="28" t="str">
        <x:v>норизопреноиды, фенилуксусная кислота</x:v>
      </x:c>
      <x:c r="N383" s="28" t="str">
        <x:v>прямое пересечение семейств не подтверждено</x:v>
      </x:c>
      <x:c r="O383" s="28" t="str">
        <x:v>надёжная общая ключевая молекула не установлена</x:v>
      </x:c>
      <x:c r="P383" s="28" t="str">
        <x:v>сенсорная комплементарность</x:v>
      </x:c>
      <x:c r="Q38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3" s="28" t="str">
        <x:v>минимальный</x:v>
      </x:c>
      <x:c r="S383" s="28" t="str">
        <x:v>крахмальная водная матрица; структура зависит от сорта и желатинизации крахмала</x:v>
      </x:c>
      <x:c r="T38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3" s="28" t="str">
        <x:v>Картофель имеет профиль «крахмалистый, землистый, ореховый и жареный после нагрева». Партнёр «рапсовый 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383" s="28" t="str">
        <x:v>зелёные или проросшие клубни не использовать; пережаривание даёт горечь и чрезмерно тёмную корку</x:v>
      </x:c>
      <x:c r="W383" s="28" t="str">
        <x:v>соль, кислота или ароматический жир</x:v>
      </x:c>
      <x:c r="X383" s="28" t="str">
        <x:v>пюре, суп, запекание, крем, гарнир, соус или десертная разработка с рапсовый мёд</x:v>
      </x:c>
      <x:c r="Y383" s="28" t="str">
        <x:v>еда, десерты, соусы/маринады</x:v>
      </x:c>
      <x:c r="Z383" s="28" t="str">
        <x:v>Средняя</x:v>
      </x:c>
      <x:c r="AA383" s="28" t="str">
        <x:v>The Art &amp; Science of Foodpairing.pdf</x:v>
      </x:c>
      <x:c r="AB383" s="28" t="str">
        <x:v>The Art &amp; Science of Foodpairing.pdf: 196</x:v>
      </x:c>
      <x:c r="AC383" s="28" t="str">
        <x:v>связь из pairing grid, стр. 196</x:v>
      </x:c>
      <x:c r="AD383" s="28" t="n">
        <x:v>1</x:v>
      </x:c>
      <x:c r="AE383" s="28" t="n">
        <x:v>1</x:v>
      </x:c>
      <x:c r="AF383" s="28" t="n">
        <x:f>IF(Z383="Высокая",3,IF(Z383="Средняя",2,1))+AD383*2+MIN(AE383,3)</x:f>
        <x:v>5</x:v>
      </x:c>
    </x:row>
    <x:row r="384" ht="64" customHeight="1">
      <x:c r="A384" s="28" t="str">
        <x:v>VEG-0383</x:v>
      </x:c>
      <x:c r="B384" s="28" t="str">
        <x:v>картофель</x:v>
      </x:c>
      <x:c r="C384" s="28" t="str">
        <x:v>Десерты и выпечка</x:v>
      </x:c>
      <x:c r="D384" s="28" t="str">
        <x:v>картофель</x:v>
      </x:c>
      <x:c r="E384" s="28" t="str">
        <x:v>Картофель | картофель</x:v>
      </x:c>
      <x:c r="F384" s="28" t="str">
        <x:v>Корнеплоды и клубни</x:v>
      </x:c>
      <x:c r="G384" s="28" t="str">
        <x:v>рассольный сыр</x:v>
      </x:c>
      <x:c r="H384" s="28" t="str">
        <x:v>Рассольный сыр | рассольный сыр</x:v>
      </x:c>
      <x:c r="I384" s="28" t="str">
        <x:v>Молочные продукты и сыры</x:v>
      </x:c>
      <x:c r="J384" s="28" t="str">
        <x:v>крахмалистый, землистый, ореховый и жареный после нагрева</x:v>
      </x:c>
      <x:c r="K384" s="28" t="str">
        <x:v>молочный, умами, ферментированный</x:v>
      </x:c>
      <x:c r="L384" s="28" t="str">
        <x:v>метиональ, 2-ацетил-1-пирролин, пиразины, альдегиды</x:v>
      </x:c>
      <x:c r="M384" s="28" t="str">
        <x:v>диацетил, жирные кислоты</x:v>
      </x:c>
      <x:c r="N384" s="28" t="str">
        <x:v>прямое пересечение семейств не подтверждено</x:v>
      </x:c>
      <x:c r="O384" s="28" t="str">
        <x:v>надёжная общая ключевая молекула не установлена</x:v>
      </x:c>
      <x:c r="P384" s="28" t="str">
        <x:v>жировая матрица</x:v>
      </x:c>
      <x:c r="Q38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4" s="28" t="str">
        <x:v>минимальный</x:v>
      </x:c>
      <x:c r="S384" s="28" t="str">
        <x:v>крахмальная водная матрица; структура зависит от сорта и желатинизации крахмала Жировая фаза удерживает гидрофобные молекулы, но может сделать вкус тяжёлым.</x:v>
      </x:c>
      <x:c r="T38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4" s="28" t="str">
        <x:v>Картофель имеет профиль «крахмалистый, землистый, ореховый и жареный после нагрева». Партнёр «рассольный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384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W384" s="28" t="str">
        <x:v>кислота, зелень или жареный орех</x:v>
      </x:c>
      <x:c r="X384" s="28" t="str">
        <x:v>пюре, суп, запекание, крем, гарнир, соус или десертная разработка с рассольный сыр</x:v>
      </x:c>
      <x:c r="Y384" s="28" t="str">
        <x:v>еда, десерты, соусы/маринады</x:v>
      </x:c>
      <x:c r="Z384" s="28" t="str">
        <x:v>Средняя</x:v>
      </x:c>
      <x:c r="AA384" s="28" t="str">
        <x:v>Тезариус вкусов (Ники Сегнит)(1).pdf</x:v>
      </x:c>
      <x:c r="AB384" s="28" t="str">
        <x:v>Тезариус вкусов (Ники Сегнит)(1).pdf: 150, 240</x:v>
      </x:c>
      <x:c r="AC384" s="28" t="str">
        <x:v>развёрнутая пара/статья, стр. 150; развёрнутая пара/статья, стр. 240</x:v>
      </x:c>
      <x:c r="AD384" s="28" t="n">
        <x:v>1</x:v>
      </x:c>
      <x:c r="AE384" s="28" t="n">
        <x:v>2</x:v>
      </x:c>
      <x:c r="AF384" s="28" t="n">
        <x:f>IF(Z384="Высокая",3,IF(Z384="Средняя",2,1))+AD384*2+MIN(AE384,3)</x:f>
        <x:v>6</x:v>
      </x:c>
    </x:row>
    <x:row r="385" ht="64" customHeight="1">
      <x:c r="A385" s="28" t="str">
        <x:v>VEG-0384</x:v>
      </x:c>
      <x:c r="B385" s="28" t="str">
        <x:v>картофель</x:v>
      </x:c>
      <x:c r="C385" s="28" t="str">
        <x:v>Универсальные</x:v>
      </x:c>
      <x:c r="D385" s="28" t="str">
        <x:v>картофель</x:v>
      </x:c>
      <x:c r="E385" s="28" t="str">
        <x:v>Картофель | картофель</x:v>
      </x:c>
      <x:c r="F385" s="28" t="str">
        <x:v>Корнеплоды и клубни</x:v>
      </x:c>
      <x:c r="G385" s="28" t="str">
        <x:v>розмарин</x:v>
      </x:c>
      <x:c r="H385" s="28" t="str">
        <x:v>Розмарин | розмарин</x:v>
      </x:c>
      <x:c r="I385" s="28" t="str">
        <x:v>Травы, цветы и листья</x:v>
      </x:c>
      <x:c r="J385" s="28" t="str">
        <x:v>крахмалистый, землистый, ореховый и жареный после нагрева</x:v>
      </x:c>
      <x:c r="K385" s="28" t="str">
        <x:v>древесный, камфорный, хвойный</x:v>
      </x:c>
      <x:c r="L385" s="28" t="str">
        <x:v>метиональ, 2-ацетил-1-пирролин, пиразины, альдегиды</x:v>
      </x:c>
      <x:c r="M385" s="28" t="str">
        <x:v>1,8-цинеол, пинены</x:v>
      </x:c>
      <x:c r="N385" s="28" t="str">
        <x:v>прямое пересечение семейств не подтверждено</x:v>
      </x:c>
      <x:c r="O385" s="28" t="str">
        <x:v>надёжная общая ключевая молекула не установлена</x:v>
      </x:c>
      <x:c r="P385" s="28" t="str">
        <x:v>сенсорная комплементарность</x:v>
      </x:c>
      <x:c r="Q38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5" s="28" t="str">
        <x:v>минимальный</x:v>
      </x:c>
      <x:c r="S385" s="28" t="str">
        <x:v>крахмальная водная матрица; структура зависит от сорта и желатинизации крахмала</x:v>
      </x:c>
      <x:c r="T38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5" s="28" t="str">
        <x:v>Картофель имеет профиль «крахмалистый, землистый, ореховый и жареный после нагрева».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385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W385" s="28" t="str">
        <x:v>оливковое масло, лимон или сыр</x:v>
      </x:c>
      <x:c r="X385" s="28" t="str">
        <x:v>пюре, суп, запекание, крем, гарнир, соус или десертная разработка с розмарин</x:v>
      </x:c>
      <x:c r="Y385" s="28" t="str">
        <x:v>еда, соусы/маринады</x:v>
      </x:c>
      <x:c r="Z385" s="28" t="str">
        <x:v>Средняя</x:v>
      </x:c>
      <x:c r="AA385" s="28" t="str">
        <x:v>Тезариус вкусов (Ники Сегнит)(1).pdf</x:v>
      </x:c>
      <x:c r="AB385" s="28" t="str">
        <x:v>Тезариус вкусов (Ники Сегнит)(1).pdf: 240, 837</x:v>
      </x:c>
      <x:c r="AC385" s="28" t="str">
        <x:v>развёрнутая пара/статья, стр. 240; развёрнутая пара/статья, стр. 837</x:v>
      </x:c>
      <x:c r="AD385" s="28" t="n">
        <x:v>1</x:v>
      </x:c>
      <x:c r="AE385" s="28" t="n">
        <x:v>2</x:v>
      </x:c>
      <x:c r="AF385" s="28" t="n">
        <x:f>IF(Z385="Высокая",3,IF(Z385="Средняя",2,1))+AD385*2+MIN(AE385,3)</x:f>
        <x:v>6</x:v>
      </x:c>
    </x:row>
    <x:row r="386" ht="64" customHeight="1">
      <x:c r="A386" s="28" t="str">
        <x:v>VEG-0385</x:v>
      </x:c>
      <x:c r="B386" s="28" t="str">
        <x:v>картофель</x:v>
      </x:c>
      <x:c r="C386" s="28" t="str">
        <x:v>Еда и соусы</x:v>
      </x:c>
      <x:c r="D386" s="28" t="str">
        <x:v>картофель</x:v>
      </x:c>
      <x:c r="E386" s="28" t="str">
        <x:v>oven-roasted potato</x:v>
      </x:c>
      <x:c r="F386" s="28" t="str">
        <x:v>Корнеплоды и клубни</x:v>
      </x:c>
      <x:c r="G386" s="28" t="str">
        <x:v>рыба</x:v>
      </x:c>
      <x:c r="H386" s="28" t="str">
        <x:v>fish</x:v>
      </x:c>
      <x:c r="I386" s="28" t="str">
        <x:v>Рыба и морепродукты</x:v>
      </x:c>
      <x:c r="J386" s="28" t="str">
        <x:v>крахмалистый, землистый, ореховый и жареный после нагрева</x:v>
      </x:c>
      <x:c r="K386" s="28" t="str">
        <x:v>жирный, морской, умами</x:v>
      </x:c>
      <x:c r="L386" s="28" t="str">
        <x:v>метиональ, 2-ацетил-1-пирролин, пиразины, альдегиды</x:v>
      </x:c>
      <x:c r="M386" s="28" t="str">
        <x:v>альдегиды, амины</x:v>
      </x:c>
      <x:c r="N386" s="28" t="str">
        <x:v>прямое пересечение семейств не подтверждено</x:v>
      </x:c>
      <x:c r="O386" s="28" t="str">
        <x:v>альдегиды</x:v>
      </x:c>
      <x:c r="P386" s="28" t="str">
        <x:v>общие характерные молекулы; умами и солёный контраст</x:v>
      </x:c>
      <x:c r="Q38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6" s="28" t="str">
        <x:v>минимальный</x:v>
      </x:c>
      <x:c r="S386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8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6" s="28" t="str">
        <x:v>Картофель имеет профиль «крахмалистый, землистый, ореховый и жареный после нагрева». Партнёр «рыба»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386" s="28" t="str">
        <x:v>зелёные или проросшие клубни не использовать; пережаривание даёт горечь и чрезмерно тёмную корку</x:v>
      </x:c>
      <x:c r="W386" s="28" t="str">
        <x:v>сливочное масло, соевый соус или тимьян</x:v>
      </x:c>
      <x:c r="X386" s="28" t="str">
        <x:v>пюре, суп, запекание, крем, гарнир, соус или десертная разработка с рыба</x:v>
      </x:c>
      <x:c r="Y386" s="28" t="str">
        <x:v>еда, соусы/маринады</x:v>
      </x:c>
      <x:c r="Z386" s="28" t="str">
        <x:v>Средняя</x:v>
      </x:c>
      <x:c r="AA386" s="28" t="str">
        <x:v>The Art &amp; Science of Foodpairing.pdf</x:v>
      </x:c>
      <x:c r="AB386" s="28" t="str">
        <x:v>The Art &amp; Science of Foodpairing.pdf: 104</x:v>
      </x:c>
      <x:c r="AC386" s="28" t="str">
        <x:v>связь из pairing grid, стр. 104</x:v>
      </x:c>
      <x:c r="AD386" s="28" t="n">
        <x:v>1</x:v>
      </x:c>
      <x:c r="AE386" s="28" t="n">
        <x:v>1</x:v>
      </x:c>
      <x:c r="AF386" s="28" t="n">
        <x:f>IF(Z386="Высокая",3,IF(Z386="Средняя",2,1))+AD386*2+MIN(AE386,3)</x:f>
        <x:v>5</x:v>
      </x:c>
    </x:row>
    <x:row r="387" ht="64" customHeight="1">
      <x:c r="A387" s="28" t="str">
        <x:v>VEG-0386</x:v>
      </x:c>
      <x:c r="B387" s="28" t="str">
        <x:v>картофель</x:v>
      </x:c>
      <x:c r="C387" s="28" t="str">
        <x:v>Универсальные</x:v>
      </x:c>
      <x:c r="D387" s="28" t="str">
        <x:v>картофель</x:v>
      </x:c>
      <x:c r="E387" s="28" t="str">
        <x:v>French fries</x:v>
      </x:c>
      <x:c r="F387" s="28" t="str">
        <x:v>Корнеплоды и клубни</x:v>
      </x:c>
      <x:c r="G387" s="28" t="str">
        <x:v>салями</x:v>
      </x:c>
      <x:c r="H387" s="28" t="str">
        <x:v>salami</x:v>
      </x:c>
      <x:c r="I387" s="28" t="str">
        <x:v>Прочее</x:v>
      </x:c>
      <x:c r="J387" s="28" t="str">
        <x:v>крахмалистый, землистый, ореховый и жареный после нагрева</x:v>
      </x:c>
      <x:c r="K387" s="28" t="str">
        <x:v>профиль зависит от конкретного продукта</x:v>
      </x:c>
      <x:c r="L387" s="28" t="str">
        <x:v>метиональ, 2-ацетил-1-пирролин, пиразины, альдегиды</x:v>
      </x:c>
      <x:c r="M387" s="28" t="str">
        <x:v>конкретный молекулярный профиль не указан</x:v>
      </x:c>
      <x:c r="N387" s="28" t="str">
        <x:v>прямое пересечение семейств не подтверждено</x:v>
      </x:c>
      <x:c r="O387" s="28" t="str">
        <x:v>надёжная общая ключевая молекула не установлена</x:v>
      </x:c>
      <x:c r="P387" s="28" t="str">
        <x:v>сенсорная комплементарность</x:v>
      </x:c>
      <x:c r="Q38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7" s="28" t="str">
        <x:v>минимальный</x:v>
      </x:c>
      <x:c r="S387" s="28" t="str">
        <x:v>крахмальная водная матрица; структура зависит от сорта и желатинизации крахмала</x:v>
      </x:c>
      <x:c r="T38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7" s="28" t="str">
        <x:v>Картофель имеет профиль «крахмалистый, землистый, ореховый и жареный после нагрева». Партнёр «салями»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87" s="28" t="str">
        <x:v>зелёные или проросшие клубни не использовать; пережаривание даёт горечь и чрезмерно тёмную корку</x:v>
      </x:c>
      <x:c r="W387" s="28" t="str">
        <x:v>соль, кислота или ароматический жир</x:v>
      </x:c>
      <x:c r="X387" s="28" t="str">
        <x:v>пюре, суп, запекание, крем, гарнир, соус или десертная разработка с салями</x:v>
      </x:c>
      <x:c r="Y387" s="28" t="str">
        <x:v>еда, соусы/маринады</x:v>
      </x:c>
      <x:c r="Z387" s="28" t="str">
        <x:v>Средняя</x:v>
      </x:c>
      <x:c r="AA387" s="28" t="str">
        <x:v>The Art &amp; Science of Foodpairing.pdf</x:v>
      </x:c>
      <x:c r="AB387" s="28" t="str">
        <x:v>The Art &amp; Science of Foodpairing.pdf: 196</x:v>
      </x:c>
      <x:c r="AC387" s="28" t="str">
        <x:v>связь из pairing grid, стр. 196</x:v>
      </x:c>
      <x:c r="AD387" s="28" t="n">
        <x:v>1</x:v>
      </x:c>
      <x:c r="AE387" s="28" t="n">
        <x:v>1</x:v>
      </x:c>
      <x:c r="AF387" s="28" t="n">
        <x:f>IF(Z387="Высокая",3,IF(Z387="Средняя",2,1))+AD387*2+MIN(AE387,3)</x:f>
        <x:v>5</x:v>
      </x:c>
    </x:row>
    <x:row r="388" ht="64" customHeight="1">
      <x:c r="A388" s="28" t="str">
        <x:v>VEG-0387</x:v>
      </x:c>
      <x:c r="B388" s="28" t="str">
        <x:v>картофель</x:v>
      </x:c>
      <x:c r="C388" s="28" t="str">
        <x:v>Еда и соусы</x:v>
      </x:c>
      <x:c r="D388" s="28" t="str">
        <x:v>картофель</x:v>
      </x:c>
      <x:c r="E388" s="28" t="str">
        <x:v>Картофель | картофель</x:v>
      </x:c>
      <x:c r="F388" s="28" t="str">
        <x:v>Корнеплоды и клубни</x:v>
      </x:c>
      <x:c r="G388" s="28" t="str">
        <x:v>свинина</x:v>
      </x:c>
      <x:c r="H388" s="28" t="str">
        <x:v>Свинина | свинина</x:v>
      </x:c>
      <x:c r="I388" s="28" t="str">
        <x:v>Мясо и птица</x:v>
      </x:c>
      <x:c r="J388" s="28" t="str">
        <x:v>крахмалистый, землистый, ореховый и жареный после нагрева</x:v>
      </x:c>
      <x:c r="K388" s="28" t="str">
        <x:v>жареный, мясной и умами</x:v>
      </x:c>
      <x:c r="L388" s="28" t="str">
        <x:v>метиональ, 2-ацетил-1-пирролин, пиразины, альдегиды</x:v>
      </x:c>
      <x:c r="M388" s="28" t="str">
        <x:v>пиразины, сернистые соединения</x:v>
      </x:c>
      <x:c r="N388" s="28" t="str">
        <x:v>жареный</x:v>
      </x:c>
      <x:c r="O388" s="28" t="str">
        <x:v>пиразины</x:v>
      </x:c>
      <x:c r="P388" s="28" t="str">
        <x:v>общие характерные молекулы; пересечение ароматических семейств; умами и солёный контраст</x:v>
      </x:c>
      <x:c r="Q38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8" s="28" t="str">
        <x:v>минимальный</x:v>
      </x:c>
      <x:c r="S388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8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8" s="28" t="str">
        <x:v>Картофель имеет профиль «крахмалистый, землистый, ореховый и жареный после нагрева».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V388" s="28" t="str">
        <x:v>зелёные или проросшие клубни не использовать; пережаривание даёт горечь и чрезмерно тёмную корку</x:v>
      </x:c>
      <x:c r="W388" s="28" t="str">
        <x:v>сливочное масло, соевый соус или тимьян</x:v>
      </x:c>
      <x:c r="X388" s="28" t="str">
        <x:v>пюре, суп, запекание, крем, гарнир, соус или десертная разработка с свинина</x:v>
      </x:c>
      <x:c r="Y388" s="28" t="str">
        <x:v>еда, соусы/маринады</x:v>
      </x:c>
      <x:c r="Z388" s="28" t="str">
        <x:v>Средняя</x:v>
      </x:c>
      <x:c r="AA388" s="28" t="str">
        <x:v>Тезариус вкусов (Ники Сегнит)(1).pdf</x:v>
      </x:c>
      <x:c r="AB388" s="28" t="str">
        <x:v>Тезариус вкусов (Ники Сегнит)(1).pdf: 84, 242</x:v>
      </x:c>
      <x:c r="AC388" s="28" t="str">
        <x:v>развёрнутая пара/статья, стр. 84; развёрнутая пара/статья, стр. 242</x:v>
      </x:c>
      <x:c r="AD388" s="28" t="n">
        <x:v>1</x:v>
      </x:c>
      <x:c r="AE388" s="28" t="n">
        <x:v>2</x:v>
      </x:c>
      <x:c r="AF388" s="28" t="n">
        <x:f>IF(Z388="Высокая",3,IF(Z388="Средняя",2,1))+AD388*2+MIN(AE388,3)</x:f>
        <x:v>6</x:v>
      </x:c>
    </x:row>
    <x:row r="389" ht="64" customHeight="1">
      <x:c r="A389" s="28" t="str">
        <x:v>VEG-0388</x:v>
      </x:c>
      <x:c r="B389" s="28" t="str">
        <x:v>картофель</x:v>
      </x:c>
      <x:c r="C389" s="28" t="str">
        <x:v>Универсальные</x:v>
      </x:c>
      <x:c r="D389" s="28" t="str">
        <x:v>картофель</x:v>
      </x:c>
      <x:c r="E389" s="28" t="str">
        <x:v>French fries | Картофель | картофель</x:v>
      </x:c>
      <x:c r="F389" s="28" t="str">
        <x:v>Корнеплоды и клубни</x:v>
      </x:c>
      <x:c r="G389" s="28" t="str">
        <x:v>сельдерей</x:v>
      </x:c>
      <x:c r="H389" s="28" t="str">
        <x:v>boiled celery | Сельдерей | сельдерей</x:v>
      </x:c>
      <x:c r="I389" s="28" t="str">
        <x:v>Стеблевые овощи</x:v>
      </x:c>
      <x:c r="J389" s="28" t="str">
        <x:v>крахмалистый, землистый, ореховый и жареный после нагрева</x:v>
      </x:c>
      <x:c r="K389" s="28" t="str">
        <x:v>зелёный, травянистый, пряный, слегка анисовый</x:v>
      </x:c>
      <x:c r="L389" s="28" t="str">
        <x:v>метиональ, 2-ацетил-1-пирролин, пиразины, альдегиды</x:v>
      </x:c>
      <x:c r="M389" s="28" t="str">
        <x:v>3-н-бутилфталид, лимонен, селинен, фталиды</x:v>
      </x:c>
      <x:c r="N389" s="28" t="str">
        <x:v>прямое пересечение семейств не подтверждено</x:v>
      </x:c>
      <x:c r="O389" s="28" t="str">
        <x:v>надёжная общая ключевая молекула не установлена</x:v>
      </x:c>
      <x:c r="P389" s="28" t="str">
        <x:v>сенсорная комплементарность</x:v>
      </x:c>
      <x:c r="Q38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89" s="28" t="str">
        <x:v>минимальный</x:v>
      </x:c>
      <x:c r="S389" s="28" t="str">
        <x:v>крахмальная водная матрица; структура зависит от сорта и желатинизации крахмала</x:v>
      </x:c>
      <x:c r="T38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89" s="28" t="str">
        <x:v>Картофель имеет профиль «крахмалистый, землистый, ореховый и жареный после нагрева». Партнёр «сельдерей» относится к группе «Стеблевые овощи» и даёт зелёный, травянистый, пряный, слегка анисовый.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89" s="28" t="str">
        <x:v>зелёные или проросшие клубни не использовать; пережаривание даёт горечь и чрезмерно тёмную корку</x:v>
      </x:c>
      <x:c r="W389" s="28" t="str">
        <x:v>соль, кислота или ароматический жир</x:v>
      </x:c>
      <x:c r="X389" s="28" t="str">
        <x:v>пюре, суп, запекание, крем, гарнир, соус или десертная разработка с сельдерей</x:v>
      </x:c>
      <x:c r="Y389" s="28" t="str">
        <x:v>еда, соусы/маринады</x:v>
      </x:c>
      <x:c r="Z389" s="28" t="str">
        <x:v>Высокая</x:v>
      </x:c>
      <x:c r="AA389" s="28" t="str">
        <x:v>The Art &amp; Science of Foodpairing.pdf | Тезариус вкусов (Ники Сегнит)(1).pdf</x:v>
      </x:c>
      <x:c r="AB389" s="28" t="str">
        <x:v>Тезариус вкусов (Ники Сегнит)(1).pdf: 242, 251; The Art &amp; Science of Foodpairing.pdf: 196</x:v>
      </x:c>
      <x:c r="AC389" s="28" t="str">
        <x:v>развёрнутая пара/статья, стр. 242; развёрнутая пара/статья, стр. 251; связь из pairing grid, стр. 196</x:v>
      </x:c>
      <x:c r="AD389" s="28" t="n">
        <x:v>2</x:v>
      </x:c>
      <x:c r="AE389" s="28" t="n">
        <x:v>3</x:v>
      </x:c>
      <x:c r="AF389" s="28" t="n">
        <x:f>IF(Z389="Высокая",3,IF(Z389="Средняя",2,1))+AD389*2+MIN(AE389,3)</x:f>
        <x:v>10</x:v>
      </x:c>
    </x:row>
    <x:row r="390" ht="64" customHeight="1">
      <x:c r="A390" s="28" t="str">
        <x:v>VEG-0389</x:v>
      </x:c>
      <x:c r="B390" s="28" t="str">
        <x:v>картофель</x:v>
      </x:c>
      <x:c r="C390" s="28" t="str">
        <x:v>Универсальные</x:v>
      </x:c>
      <x:c r="D390" s="28" t="str">
        <x:v>картофель</x:v>
      </x:c>
      <x:c r="E390" s="28" t="str">
        <x:v>French fries</x:v>
      </x:c>
      <x:c r="F390" s="28" t="str">
        <x:v>Корнеплоды и клубни</x:v>
      </x:c>
      <x:c r="G390" s="28" t="str">
        <x:v>соус чили</x:v>
      </x:c>
      <x:c r="H390" s="28" t="str">
        <x:v>chilli sauce</x:v>
      </x:c>
      <x:c r="I390" s="28" t="str">
        <x:v>Специи</x:v>
      </x:c>
      <x:c r="J390" s="28" t="str">
        <x:v>крахмалистый, землистый, ореховый и жареный после нагрева</x:v>
      </x:c>
      <x:c r="K390" s="28" t="str">
        <x:v>пряный и древесный</x:v>
      </x:c>
      <x:c r="L390" s="28" t="str">
        <x:v>метиональ, 2-ацетил-1-пирролин, пиразины, альдегиды</x:v>
      </x:c>
      <x:c r="M390" s="28" t="str">
        <x:v>терпены, фенилпропаноиды</x:v>
      </x:c>
      <x:c r="N390" s="28" t="str">
        <x:v>прямое пересечение семейств не подтверждено</x:v>
      </x:c>
      <x:c r="O390" s="28" t="str">
        <x:v>надёжная общая ключевая молекула не установлена</x:v>
      </x:c>
      <x:c r="P390" s="28" t="str">
        <x:v>сенсорная комплементарность</x:v>
      </x:c>
      <x:c r="Q39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0" s="28" t="str">
        <x:v>минимальный</x:v>
      </x:c>
      <x:c r="S390" s="28" t="str">
        <x:v>крахмальная водная матрица; структура зависит от сорта и желатинизации крахмала</x:v>
      </x:c>
      <x:c r="T39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0" s="28" t="str">
        <x:v>Картофель имеет профиль «крахмалистый, землистый, ореховый и жареный после нагрева». Партнёр «соус 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390" s="28" t="str">
        <x:v>зелёные или проросшие клубни не использовать; пережаривание даёт горечь и чрезмерно тёмную корку</x:v>
      </x:c>
      <x:c r="W390" s="28" t="str">
        <x:v>цитрус, йогурт или мёд</x:v>
      </x:c>
      <x:c r="X390" s="28" t="str">
        <x:v>пюре, суп, запекание, крем, гарнир, соус или десертная разработка с соус чили</x:v>
      </x:c>
      <x:c r="Y390" s="28" t="str">
        <x:v>еда, соусы/маринады</x:v>
      </x:c>
      <x:c r="Z390" s="28" t="str">
        <x:v>Средняя</x:v>
      </x:c>
      <x:c r="AA390" s="28" t="str">
        <x:v>The Art &amp; Science of Foodpairing.pdf</x:v>
      </x:c>
      <x:c r="AB390" s="28" t="str">
        <x:v>The Art &amp; Science of Foodpairing.pdf: 196</x:v>
      </x:c>
      <x:c r="AC390" s="28" t="str">
        <x:v>связь из pairing grid, стр. 196</x:v>
      </x:c>
      <x:c r="AD390" s="28" t="n">
        <x:v>1</x:v>
      </x:c>
      <x:c r="AE390" s="28" t="n">
        <x:v>1</x:v>
      </x:c>
      <x:c r="AF390" s="28" t="n">
        <x:f>IF(Z390="Высокая",3,IF(Z390="Средняя",2,1))+AD390*2+MIN(AE390,3)</x:f>
        <x:v>5</x:v>
      </x:c>
    </x:row>
    <x:row r="391" ht="64" customHeight="1">
      <x:c r="A391" s="28" t="str">
        <x:v>VEG-0390</x:v>
      </x:c>
      <x:c r="B391" s="28" t="str">
        <x:v>картофель</x:v>
      </x:c>
      <x:c r="C391" s="28" t="str">
        <x:v>Универсальные</x:v>
      </x:c>
      <x:c r="D391" s="28" t="str">
        <x:v>картофель</x:v>
      </x:c>
      <x:c r="E391" s="28" t="str">
        <x:v>Картофель | картофель</x:v>
      </x:c>
      <x:c r="F391" s="28" t="str">
        <x:v>Корнеплоды и клубни</x:v>
      </x:c>
      <x:c r="G391" s="28" t="str">
        <x:v>спаржа</x:v>
      </x:c>
      <x:c r="H391" s="28" t="str">
        <x:v>Спаржа | спаржа</x:v>
      </x:c>
      <x:c r="I391" s="28" t="str">
        <x:v>Побеговые овощи</x:v>
      </x:c>
      <x:c r="J391" s="28" t="str">
        <x:v>крахмалистый, землистый, ореховый и жареный после нагрева</x:v>
      </x:c>
      <x:c r="K391" s="28" t="str">
        <x:v>зелёный, сернистый, ореховый и слегка сладкий</x:v>
      </x:c>
      <x:c r="L391" s="28" t="str">
        <x:v>метиональ, 2-ацетил-1-пирролин, пиразины, альдегиды</x:v>
      </x:c>
      <x:c r="M391" s="28" t="str">
        <x:v>аспарагусовая кислота, диметилсульфид, метантиол, пиразины</x:v>
      </x:c>
      <x:c r="N391" s="28" t="str">
        <x:v>сернистый</x:v>
      </x:c>
      <x:c r="O391" s="28" t="str">
        <x:v>пиразины</x:v>
      </x:c>
      <x:c r="P391" s="28" t="str">
        <x:v>общие характерные молекулы; пересечение ароматических семейств</x:v>
      </x:c>
      <x:c r="Q39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1" s="28" t="str">
        <x:v>минимальный</x:v>
      </x:c>
      <x:c r="S391" s="28" t="str">
        <x:v>крахмальная водная матрица; структура зависит от сорта и желатинизации крахмала</x:v>
      </x:c>
      <x:c r="T39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1" s="28" t="str">
        <x:v>Картофель имеет профиль «крахмалистый, землистый, ореховый и жареный после нагрева». Партнёр «спаржа» относится к группе «Побеговые овощи» и даёт зелёный, сернистый, ореховый и слегка сладкий. Вероятный молекулярный мост: пиразины. Совместимость формируется за счёт баланса сладости, кислотности, горечи, умами и текстуры.</x:v>
      </x:c>
      <x:c r="V391" s="28" t="str">
        <x:v>зелёные или проросшие клубни не использовать; пережаривание даёт горечь и чрезмерно тёмную корку</x:v>
      </x:c>
      <x:c r="W391" s="28" t="str">
        <x:v>соль, кислота или ароматический жир</x:v>
      </x:c>
      <x:c r="X391" s="28" t="str">
        <x:v>пюре, суп, запекание, крем, гарнир, соус или десертная разработка с спаржа</x:v>
      </x:c>
      <x:c r="Y391" s="28" t="str">
        <x:v>еда, соусы/маринады</x:v>
      </x:c>
      <x:c r="Z391" s="28" t="str">
        <x:v>Средняя</x:v>
      </x:c>
      <x:c r="AA391" s="28" t="str">
        <x:v>Тезариус вкусов (Ники Сегнит)(1).pdf</x:v>
      </x:c>
      <x:c r="AB391" s="28" t="str">
        <x:v>Тезариус вкусов (Ники Сегнит)(1).pdf: 242, 346</x:v>
      </x:c>
      <x:c r="AC391" s="28" t="str">
        <x:v>развёрнутая пара/статья, стр. 242; развёрнутая пара/статья, стр. 346</x:v>
      </x:c>
      <x:c r="AD391" s="28" t="n">
        <x:v>1</x:v>
      </x:c>
      <x:c r="AE391" s="28" t="n">
        <x:v>2</x:v>
      </x:c>
      <x:c r="AF391" s="28" t="n">
        <x:f>IF(Z391="Высокая",3,IF(Z391="Средняя",2,1))+AD391*2+MIN(AE391,3)</x:f>
        <x:v>6</x:v>
      </x:c>
    </x:row>
    <x:row r="392" ht="64" customHeight="1">
      <x:c r="A392" s="28" t="str">
        <x:v>VEG-0391</x:v>
      </x:c>
      <x:c r="B392" s="28" t="str">
        <x:v>картофель</x:v>
      </x:c>
      <x:c r="C392" s="28" t="str">
        <x:v>Десерты и выпечка</x:v>
      </x:c>
      <x:c r="D392" s="28" t="str">
        <x:v>картофель</x:v>
      </x:c>
      <x:c r="E392" s="28" t="str">
        <x:v>French fries</x:v>
      </x:c>
      <x:c r="F392" s="28" t="str">
        <x:v>Корнеплоды и клубни</x:v>
      </x:c>
      <x:c r="G392" s="28" t="str">
        <x:v>сыр</x:v>
      </x:c>
      <x:c r="H392" s="28" t="str">
        <x:v>Parmesan-style cheese | goats' cheese</x:v>
      </x:c>
      <x:c r="I392" s="28" t="str">
        <x:v>Молочные продукты и сыры</x:v>
      </x:c>
      <x:c r="J392" s="28" t="str">
        <x:v>крахмалистый, землистый, ореховый и жареный после нагрева</x:v>
      </x:c>
      <x:c r="K392" s="28" t="str">
        <x:v>молочный, умами, ферментированный</x:v>
      </x:c>
      <x:c r="L392" s="28" t="str">
        <x:v>метиональ, 2-ацетил-1-пирролин, пиразины, альдегиды</x:v>
      </x:c>
      <x:c r="M392" s="28" t="str">
        <x:v>диацетил, жирные кислоты</x:v>
      </x:c>
      <x:c r="N392" s="28" t="str">
        <x:v>прямое пересечение семейств не подтверждено</x:v>
      </x:c>
      <x:c r="O392" s="28" t="str">
        <x:v>надёжная общая ключевая молекула не установлена</x:v>
      </x:c>
      <x:c r="P392" s="28" t="str">
        <x:v>жировая матрица</x:v>
      </x:c>
      <x:c r="Q39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2" s="28" t="str">
        <x:v>минимальный</x:v>
      </x:c>
      <x:c r="S392" s="28" t="str">
        <x:v>крахмальная водная матрица; структура зависит от сорта и желатинизации крахмала Жировая фаза удерживает гидрофобные молекулы, но может сделать вкус тяжёлым.</x:v>
      </x:c>
      <x:c r="T39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2" s="28" t="str">
        <x:v>Картофель имеет профиль «крахмалистый, землистый, ореховый и жареный после нагрева».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392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W392" s="28" t="str">
        <x:v>кислота, зелень или жареный орех</x:v>
      </x:c>
      <x:c r="X392" s="28" t="str">
        <x:v>пюре, суп, запекание, крем, гарнир, соус или десертная разработка с сыр</x:v>
      </x:c>
      <x:c r="Y392" s="28" t="str">
        <x:v>еда, десерты, соусы/маринады</x:v>
      </x:c>
      <x:c r="Z392" s="28" t="str">
        <x:v>Высокая</x:v>
      </x:c>
      <x:c r="AA392" s="28" t="str">
        <x:v>The Art &amp; Science of Foodpairing.pdf</x:v>
      </x:c>
      <x:c r="AB392" s="28" t="str">
        <x:v>The Art &amp; Science of Foodpairing.pdf: 196, 197</x:v>
      </x:c>
      <x:c r="AC392" s="28" t="str">
        <x:v>прямая Potential pairing, стр. 197; связь из pairing grid, стр. 196</x:v>
      </x:c>
      <x:c r="AD392" s="28" t="n">
        <x:v>1</x:v>
      </x:c>
      <x:c r="AE392" s="28" t="n">
        <x:v>2</x:v>
      </x:c>
      <x:c r="AF392" s="28" t="n">
        <x:f>IF(Z392="Высокая",3,IF(Z392="Средняя",2,1))+AD392*2+MIN(AE392,3)</x:f>
        <x:v>7</x:v>
      </x:c>
    </x:row>
    <x:row r="393" ht="64" customHeight="1">
      <x:c r="A393" s="28" t="str">
        <x:v>VEG-0392</x:v>
      </x:c>
      <x:c r="B393" s="28" t="str">
        <x:v>картофель</x:v>
      </x:c>
      <x:c r="C393" s="28" t="str">
        <x:v>Десерты и выпечка</x:v>
      </x:c>
      <x:c r="D393" s="28" t="str">
        <x:v>картофель</x:v>
      </x:c>
      <x:c r="E393" s="28" t="str">
        <x:v>Картофель | картофель</x:v>
      </x:c>
      <x:c r="F393" s="28" t="str">
        <x:v>Корнеплоды и клубни</x:v>
      </x:c>
      <x:c r="G393" s="28" t="str">
        <x:v>твердый сыр</x:v>
      </x:c>
      <x:c r="H393" s="28" t="str">
        <x:v>Твердый сыр | твердый сыр</x:v>
      </x:c>
      <x:c r="I393" s="28" t="str">
        <x:v>Молочные продукты и сыры</x:v>
      </x:c>
      <x:c r="J393" s="28" t="str">
        <x:v>крахмалистый, землистый, ореховый и жареный после нагрева</x:v>
      </x:c>
      <x:c r="K393" s="28" t="str">
        <x:v>молочный, умами, ферментированный</x:v>
      </x:c>
      <x:c r="L393" s="28" t="str">
        <x:v>метиональ, 2-ацетил-1-пирролин, пиразины, альдегиды</x:v>
      </x:c>
      <x:c r="M393" s="28" t="str">
        <x:v>диацетил, жирные кислоты</x:v>
      </x:c>
      <x:c r="N393" s="28" t="str">
        <x:v>прямое пересечение семейств не подтверждено</x:v>
      </x:c>
      <x:c r="O393" s="28" t="str">
        <x:v>надёжная общая ключевая молекула не установлена</x:v>
      </x:c>
      <x:c r="P393" s="28" t="str">
        <x:v>жировая матрица</x:v>
      </x:c>
      <x:c r="Q39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3" s="28" t="str">
        <x:v>минимальный</x:v>
      </x:c>
      <x:c r="S393" s="28" t="str">
        <x:v>крахмальная водная матрица; структура зависит от сорта и желатинизации крахмала Жировая фаза удерживает гидрофобные молекулы, но может сделать вкус тяжёлым.</x:v>
      </x:c>
      <x:c r="T39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3" s="28" t="str">
        <x:v>Картофель имеет профиль «крахмалистый, землистый, ореховый и жареный после нагрева».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393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W393" s="28" t="str">
        <x:v>кислота, зелень или жареный орех</x:v>
      </x:c>
      <x:c r="X393" s="28" t="str">
        <x:v>пюре, суп, запекание, крем, гарнир, соус или десертная разработка с твердый сыр</x:v>
      </x:c>
      <x:c r="Y393" s="28" t="str">
        <x:v>еда, десерты, соусы/маринады</x:v>
      </x:c>
      <x:c r="Z393" s="28" t="str">
        <x:v>Средняя</x:v>
      </x:c>
      <x:c r="AA393" s="28" t="str">
        <x:v>Тезариус вкусов (Ники Сегнит)(1).pdf</x:v>
      </x:c>
      <x:c r="AB393" s="28" t="str">
        <x:v>Тезариус вкусов (Ники Сегнит)(1).pdf: 171, 242</x:v>
      </x:c>
      <x:c r="AC393" s="28" t="str">
        <x:v>развёрнутая пара/статья, стр. 171; развёрнутая пара/статья, стр. 242</x:v>
      </x:c>
      <x:c r="AD393" s="28" t="n">
        <x:v>1</x:v>
      </x:c>
      <x:c r="AE393" s="28" t="n">
        <x:v>2</x:v>
      </x:c>
      <x:c r="AF393" s="28" t="n">
        <x:f>IF(Z393="Высокая",3,IF(Z393="Средняя",2,1))+AD393*2+MIN(AE393,3)</x:f>
        <x:v>6</x:v>
      </x:c>
    </x:row>
    <x:row r="394" ht="64" customHeight="1">
      <x:c r="A394" s="28" t="str">
        <x:v>VEG-0393</x:v>
      </x:c>
      <x:c r="B394" s="28" t="str">
        <x:v>картофель</x:v>
      </x:c>
      <x:c r="C394" s="28" t="str">
        <x:v>Универсальные</x:v>
      </x:c>
      <x:c r="D394" s="28" t="str">
        <x:v>картофель</x:v>
      </x:c>
      <x:c r="E394" s="28" t="str">
        <x:v>Картофель | картофель</x:v>
      </x:c>
      <x:c r="F394" s="28" t="str">
        <x:v>Корнеплоды и клубни</x:v>
      </x:c>
      <x:c r="G394" s="28" t="str">
        <x:v>томат</x:v>
      </x:c>
      <x:c r="H394" s="28" t="str">
        <x:v>Томаты | томаты</x:v>
      </x:c>
      <x:c r="I394" s="28" t="str">
        <x:v>Плодовые овощи</x:v>
      </x:c>
      <x:c r="J394" s="28" t="str">
        <x:v>крахмалистый, землистый, ореховый и жареный после нагрева</x:v>
      </x:c>
      <x:c r="K394" s="28" t="str">
        <x:v>зелёный, фруктовый, листовой, сернистый и умами</x:v>
      </x:c>
      <x:c r="L394" s="28" t="str">
        <x:v>метиональ, 2-ацетил-1-пирролин, пиразины, альдегиды</x:v>
      </x:c>
      <x:c r="M394" s="28" t="str">
        <x:v>β-ионон, гексаналь, глутамат, метиональ, цис-3-гексеналь</x:v>
      </x:c>
      <x:c r="N394" s="28" t="str">
        <x:v>сернистый</x:v>
      </x:c>
      <x:c r="O394" s="28" t="str">
        <x:v>метиональ</x:v>
      </x:c>
      <x:c r="P394" s="28" t="str">
        <x:v>общие характерные молекулы; пересечение ароматических семейств</x:v>
      </x:c>
      <x:c r="Q39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4" s="28" t="str">
        <x:v>минимальный</x:v>
      </x:c>
      <x:c r="S394" s="28" t="str">
        <x:v>крахмальная водная матрица; структура зависит от сорта и желатинизации крахмала</x:v>
      </x:c>
      <x:c r="T39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4" s="28" t="str">
        <x:v>Картофель имеет профиль «крахмалистый, землистый, ореховый и жареный после нагрева». Партнёр «томат» относится к группе «Плодовые овощи» и даёт зелёный, фруктовый, листовой, сернистый и умами. Вероятный молекулярный мост: метиональ. Совместимость формируется за счёт баланса сладости, кислотности, горечи, умами и текстуры.</x:v>
      </x:c>
      <x:c r="V394" s="28" t="str">
        <x:v>зелёные или проросшие клубни не использовать; пережаривание даёт горечь и чрезмерно тёмную корку</x:v>
      </x:c>
      <x:c r="W394" s="28" t="str">
        <x:v>соль, кислота или ароматический жир</x:v>
      </x:c>
      <x:c r="X394" s="28" t="str">
        <x:v>пюре, суп, запекание, крем, гарнир, соус или десертная разработка с томат</x:v>
      </x:c>
      <x:c r="Y394" s="28" t="str">
        <x:v>еда, соусы/маринады</x:v>
      </x:c>
      <x:c r="Z394" s="28" t="str">
        <x:v>Средняя</x:v>
      </x:c>
      <x:c r="AA394" s="28" t="str">
        <x:v>Тезариус вкусов (Ники Сегнит)(1).pdf</x:v>
      </x:c>
      <x:c r="AB394" s="28" t="str">
        <x:v>Тезариус вкусов (Ники Сегнит)(1).pdf: 242, 685</x:v>
      </x:c>
      <x:c r="AC394" s="28" t="str">
        <x:v>развёрнутая пара/статья, стр. 242; развёрнутая пара/статья, стр. 685</x:v>
      </x:c>
      <x:c r="AD394" s="28" t="n">
        <x:v>1</x:v>
      </x:c>
      <x:c r="AE394" s="28" t="n">
        <x:v>2</x:v>
      </x:c>
      <x:c r="AF394" s="28" t="n">
        <x:f>IF(Z394="Высокая",3,IF(Z394="Средняя",2,1))+AD394*2+MIN(AE394,3)</x:f>
        <x:v>6</x:v>
      </x:c>
    </x:row>
    <x:row r="395" ht="64" customHeight="1">
      <x:c r="A395" s="28" t="str">
        <x:v>VEG-0394</x:v>
      </x:c>
      <x:c r="B395" s="28" t="str">
        <x:v>картофель</x:v>
      </x:c>
      <x:c r="C395" s="28" t="str">
        <x:v>Еда и соусы</x:v>
      </x:c>
      <x:c r="D395" s="28" t="str">
        <x:v>картофель</x:v>
      </x:c>
      <x:c r="E395" s="28" t="str">
        <x:v>French fries</x:v>
      </x:c>
      <x:c r="F395" s="28" t="str">
        <x:v>Корнеплоды и клубни</x:v>
      </x:c>
      <x:c r="G395" s="28" t="str">
        <x:v>томатный сок</x:v>
      </x:c>
      <x:c r="H395" s="28" t="str">
        <x:v>pasteurized tomatojuice</x:v>
      </x:c>
      <x:c r="I395" s="28" t="str">
        <x:v>Плодовые и тыквенные овощи</x:v>
      </x:c>
      <x:c r="J395" s="28" t="str">
        <x:v>крахмалистый, землистый, ореховый и жареный после нагрева</x:v>
      </x:c>
      <x:c r="K395" s="28" t="str">
        <x:v>зелёный, фруктовый или водянистый</x:v>
      </x:c>
      <x:c r="L395" s="28" t="str">
        <x:v>метиональ, 2-ацетил-1-пирролин, пиразины, альдегиды</x:v>
      </x:c>
      <x:c r="M395" s="28" t="str">
        <x:v>альдегиды, эфиры</x:v>
      </x:c>
      <x:c r="N395" s="28" t="str">
        <x:v>прямое пересечение семейств не подтверждено</x:v>
      </x:c>
      <x:c r="O395" s="28" t="str">
        <x:v>альдегиды</x:v>
      </x:c>
      <x:c r="P395" s="28" t="str">
        <x:v>общие характерные молекулы</x:v>
      </x:c>
      <x:c r="Q39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5" s="28" t="str">
        <x:v>минимальный</x:v>
      </x:c>
      <x:c r="S395" s="28" t="str">
        <x:v>крахмальная водная матрица; структура зависит от сорта и желатинизации крахмала</x:v>
      </x:c>
      <x:c r="T39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5" s="28" t="str">
        <x:v>Картофель имеет профиль «крахмалистый, землистый, ореховый и жареный после нагрева». Партнёр «томатный сок»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V395" s="28" t="str">
        <x:v>зелёные или проросшие клубни не использовать; пережаривание даёт горечь и чрезмерно тёмную корку</x:v>
      </x:c>
      <x:c r="W395" s="28" t="str">
        <x:v>соль, кислота или ароматический жир</x:v>
      </x:c>
      <x:c r="X395" s="28" t="str">
        <x:v>пюре, суп, запекание, крем, гарнир, соус или десертная разработка с томатный сок</x:v>
      </x:c>
      <x:c r="Y395" s="28" t="str">
        <x:v>напитки, еда, соусы/маринады</x:v>
      </x:c>
      <x:c r="Z395" s="28" t="str">
        <x:v>Средняя</x:v>
      </x:c>
      <x:c r="AA395" s="28" t="str">
        <x:v>The Art &amp; Science of Foodpairing.pdf</x:v>
      </x:c>
      <x:c r="AB395" s="28" t="str">
        <x:v>The Art &amp; Science of Foodpairing.pdf: 196</x:v>
      </x:c>
      <x:c r="AC395" s="28" t="str">
        <x:v>связь из pairing grid, стр. 196</x:v>
      </x:c>
      <x:c r="AD395" s="28" t="n">
        <x:v>1</x:v>
      </x:c>
      <x:c r="AE395" s="28" t="n">
        <x:v>1</x:v>
      </x:c>
      <x:c r="AF395" s="28" t="n">
        <x:f>IF(Z395="Высокая",3,IF(Z395="Средняя",2,1))+AD395*2+MIN(AE395,3)</x:f>
        <x:v>5</x:v>
      </x:c>
    </x:row>
    <x:row r="396" ht="64" customHeight="1">
      <x:c r="A396" s="28" t="str">
        <x:v>VEG-0395</x:v>
      </x:c>
      <x:c r="B396" s="28" t="str">
        <x:v>картофель</x:v>
      </x:c>
      <x:c r="C396" s="28" t="str">
        <x:v>Еда и соусы</x:v>
      </x:c>
      <x:c r="D396" s="28" t="str">
        <x:v>картофель</x:v>
      </x:c>
      <x:c r="E396" s="28" t="str">
        <x:v>Картофель | картофель</x:v>
      </x:c>
      <x:c r="F396" s="28" t="str">
        <x:v>Корнеплоды и клубни</x:v>
      </x:c>
      <x:c r="G396" s="28" t="str">
        <x:v>трюфель</x:v>
      </x:c>
      <x:c r="H396" s="28" t="str">
        <x:v>Трюфель | трюфель</x:v>
      </x:c>
      <x:c r="I396" s="28" t="str">
        <x:v>Грибы</x:v>
      </x:c>
      <x:c r="J396" s="28" t="str">
        <x:v>крахмалистый, землистый, ореховый и жареный после нагрева</x:v>
      </x:c>
      <x:c r="K396" s="28" t="str">
        <x:v>землистый, грибной и умами</x:v>
      </x:c>
      <x:c r="L396" s="28" t="str">
        <x:v>метиональ, 2-ацетил-1-пирролин, пиразины, альдегиды</x:v>
      </x:c>
      <x:c r="M396" s="28" t="str">
        <x:v>1-октен-3-ол, сернистые соединения</x:v>
      </x:c>
      <x:c r="N396" s="28" t="str">
        <x:v>жареный, землистый</x:v>
      </x:c>
      <x:c r="O396" s="28" t="str">
        <x:v>надёжная общая ключевая молекула не установлена</x:v>
      </x:c>
      <x:c r="P396" s="28" t="str">
        <x:v>пересечение ароматических семейств; умами и солёный контраст</x:v>
      </x:c>
      <x:c r="Q39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6" s="28" t="str">
        <x:v>минимальный</x:v>
      </x:c>
      <x:c r="S396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39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6" s="28" t="str">
        <x:v>Картофель имеет профиль «крахмалистый, землистый, ореховый и жареный после нагрева». Партнёр «трюфель»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V396" s="28" t="str">
        <x:v>зелёные или проросшие клубни не использовать; пережаривание даёт горечь и чрезмерно тёмную корку</x:v>
      </x:c>
      <x:c r="W396" s="28" t="str">
        <x:v>соль, кислота или ароматический жир</x:v>
      </x:c>
      <x:c r="X396" s="28" t="str">
        <x:v>пюре, суп, запекание, крем, гарнир, соус или десертная разработка с трюфель</x:v>
      </x:c>
      <x:c r="Y396" s="28" t="str">
        <x:v>еда, соусы/маринады</x:v>
      </x:c>
      <x:c r="Z396" s="28" t="str">
        <x:v>Средняя</x:v>
      </x:c>
      <x:c r="AA396" s="28" t="str">
        <x:v>Тезариус вкусов (Ники Сегнит)(1).pdf</x:v>
      </x:c>
      <x:c r="AB396" s="28" t="str">
        <x:v>Тезариус вкусов (Ники Сегнит)(1).pdf: 243, 303</x:v>
      </x:c>
      <x:c r="AC396" s="28" t="str">
        <x:v>развёрнутая пара/статья, стр. 243; развёрнутая пара/статья, стр. 303</x:v>
      </x:c>
      <x:c r="AD396" s="28" t="n">
        <x:v>1</x:v>
      </x:c>
      <x:c r="AE396" s="28" t="n">
        <x:v>2</x:v>
      </x:c>
      <x:c r="AF396" s="28" t="n">
        <x:f>IF(Z396="Высокая",3,IF(Z396="Средняя",2,1))+AD396*2+MIN(AE396,3)</x:f>
        <x:v>6</x:v>
      </x:c>
    </x:row>
    <x:row r="397" ht="64" customHeight="1">
      <x:c r="A397" s="28" t="str">
        <x:v>VEG-0396</x:v>
      </x:c>
      <x:c r="B397" s="28" t="str">
        <x:v>картофель</x:v>
      </x:c>
      <x:c r="C397" s="28" t="str">
        <x:v>Универсальные</x:v>
      </x:c>
      <x:c r="D397" s="28" t="str">
        <x:v>картофель</x:v>
      </x:c>
      <x:c r="E397" s="28" t="str">
        <x:v>French fries</x:v>
      </x:c>
      <x:c r="F397" s="28" t="str">
        <x:v>Корнеплоды и клубни</x:v>
      </x:c>
      <x:c r="G397" s="28" t="str">
        <x:v>тыква баттернат</x:v>
      </x:c>
      <x:c r="H397" s="28" t="str">
        <x:v>boiled butternut squash</x:v>
      </x:c>
      <x:c r="I397" s="28" t="str">
        <x:v>Тыквенные</x:v>
      </x:c>
      <x:c r="J397" s="28" t="str">
        <x:v>крахмалистый, землистый, ореховый и жареный после нагрева</x:v>
      </x:c>
      <x:c r="K397" s="28" t="str">
        <x:v>сладкий, сливочный, ореховый и карамельный</x:v>
      </x:c>
      <x:c r="L397" s="28" t="str">
        <x:v>метиональ, 2-ацетил-1-пирролин, пиразины, альдегиды</x:v>
      </x:c>
      <x:c r="M397" s="28" t="str">
        <x:v>лактоны, мальтол, норизопреноиды, фураны</x:v>
      </x:c>
      <x:c r="N397" s="28" t="str">
        <x:v>прямое пересечение семейств не подтверждено</x:v>
      </x:c>
      <x:c r="O397" s="28" t="str">
        <x:v>надёжная общая ключевая молекула не установлена</x:v>
      </x:c>
      <x:c r="P397" s="28" t="str">
        <x:v>сенсорная комплементарность</x:v>
      </x:c>
      <x:c r="Q39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7" s="28" t="str">
        <x:v>минимальный</x:v>
      </x:c>
      <x:c r="S397" s="28" t="str">
        <x:v>крахмальная водная матрица; структура зависит от сорта и желатинизации крахмала</x:v>
      </x:c>
      <x:c r="T39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7" s="28" t="str">
        <x:v>Картофель имеет профиль «крахмалистый, землистый, ореховый и жареный после нагрева».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397" s="28" t="str">
        <x:v>зелёные или проросшие клубни не использовать; пережаривание даёт горечь и чрезмерно тёмную корку</x:v>
      </x:c>
      <x:c r="W397" s="28" t="str">
        <x:v>соль, кислота или ароматический жир</x:v>
      </x:c>
      <x:c r="X397" s="28" t="str">
        <x:v>пюре, суп, запекание, крем, гарнир, соус или десертная разработка с тыква баттернат</x:v>
      </x:c>
      <x:c r="Y397" s="28" t="str">
        <x:v>еда, соусы/маринады</x:v>
      </x:c>
      <x:c r="Z397" s="28" t="str">
        <x:v>Средняя</x:v>
      </x:c>
      <x:c r="AA397" s="28" t="str">
        <x:v>The Art &amp; Science of Foodpairing.pdf</x:v>
      </x:c>
      <x:c r="AB397" s="28" t="str">
        <x:v>The Art &amp; Science of Foodpairing.pdf: 196</x:v>
      </x:c>
      <x:c r="AC397" s="28" t="str">
        <x:v>связь из pairing grid, стр. 196</x:v>
      </x:c>
      <x:c r="AD397" s="28" t="n">
        <x:v>1</x:v>
      </x:c>
      <x:c r="AE397" s="28" t="n">
        <x:v>1</x:v>
      </x:c>
      <x:c r="AF397" s="28" t="n">
        <x:f>IF(Z397="Высокая",3,IF(Z397="Средняя",2,1))+AD397*2+MIN(AE397,3)</x:f>
        <x:v>5</x:v>
      </x:c>
    </x:row>
    <x:row r="398" ht="64" customHeight="1">
      <x:c r="A398" s="28" t="str">
        <x:v>VEG-0397</x:v>
      </x:c>
      <x:c r="B398" s="28" t="str">
        <x:v>картофель</x:v>
      </x:c>
      <x:c r="C398" s="28" t="str">
        <x:v>Универсальные</x:v>
      </x:c>
      <x:c r="D398" s="28" t="str">
        <x:v>картофель</x:v>
      </x:c>
      <x:c r="E398" s="28" t="str">
        <x:v>Картофель | картофель</x:v>
      </x:c>
      <x:c r="F398" s="28" t="str">
        <x:v>Корнеплоды и клубни</x:v>
      </x:c>
      <x:c r="G398" s="28" t="str">
        <x:v>укроп</x:v>
      </x:c>
      <x:c r="H398" s="28" t="str">
        <x:v>Укроп | укроп</x:v>
      </x:c>
      <x:c r="I398" s="28" t="str">
        <x:v>Травы, цветы и листья</x:v>
      </x:c>
      <x:c r="J398" s="28" t="str">
        <x:v>крахмалистый, землистый, ореховый и жареный после нагрева</x:v>
      </x:c>
      <x:c r="K398" s="28" t="str">
        <x:v>анисовый, зелёный</x:v>
      </x:c>
      <x:c r="L398" s="28" t="str">
        <x:v>метиональ, 2-ацетил-1-пирролин, пиразины, альдегиды</x:v>
      </x:c>
      <x:c r="M398" s="28" t="str">
        <x:v>карвон, лимонен</x:v>
      </x:c>
      <x:c r="N398" s="28" t="str">
        <x:v>прямое пересечение семейств не подтверждено</x:v>
      </x:c>
      <x:c r="O398" s="28" t="str">
        <x:v>надёжная общая ключевая молекула не установлена</x:v>
      </x:c>
      <x:c r="P398" s="28" t="str">
        <x:v>сенсорная комплементарность</x:v>
      </x:c>
      <x:c r="Q39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8" s="28" t="str">
        <x:v>минимальный</x:v>
      </x:c>
      <x:c r="S398" s="28" t="str">
        <x:v>крахмальная водная матрица; структура зависит от сорта и желатинизации крахмала</x:v>
      </x:c>
      <x:c r="T39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8" s="28" t="str">
        <x:v>Картофель имеет профиль «крахмалистый, землистый, ореховый и жареный после нагрева». Партнёр «укроп» относится к группе «Травы, цветы и листья» и даёт анисовый, зелёный.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398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W398" s="28" t="str">
        <x:v>оливковое масло, лимон или сыр</x:v>
      </x:c>
      <x:c r="X398" s="28" t="str">
        <x:v>пюре, суп, запекание, крем, гарнир, соус или десертная разработка с укроп</x:v>
      </x:c>
      <x:c r="Y398" s="28" t="str">
        <x:v>еда, соусы/маринады</x:v>
      </x:c>
      <x:c r="Z398" s="28" t="str">
        <x:v>Средняя</x:v>
      </x:c>
      <x:c r="AA398" s="28" t="str">
        <x:v>Тезариус вкусов (Ники Сегнит)(1).pdf</x:v>
      </x:c>
      <x:c r="AB398" s="28" t="str">
        <x:v>Тезариус вкусов (Ники Сегнит)(1).pdf: 244, 502</x:v>
      </x:c>
      <x:c r="AC398" s="28" t="str">
        <x:v>развёрнутая пара/статья, стр. 244; развёрнутая пара/статья, стр. 502</x:v>
      </x:c>
      <x:c r="AD398" s="28" t="n">
        <x:v>1</x:v>
      </x:c>
      <x:c r="AE398" s="28" t="n">
        <x:v>2</x:v>
      </x:c>
      <x:c r="AF398" s="28" t="n">
        <x:f>IF(Z398="Высокая",3,IF(Z398="Средняя",2,1))+AD398*2+MIN(AE398,3)</x:f>
        <x:v>6</x:v>
      </x:c>
    </x:row>
    <x:row r="399" ht="64" customHeight="1">
      <x:c r="A399" s="28" t="str">
        <x:v>VEG-0398</x:v>
      </x:c>
      <x:c r="B399" s="28" t="str">
        <x:v>картофель</x:v>
      </x:c>
      <x:c r="C399" s="28" t="str">
        <x:v>Десерты и выпечка</x:v>
      </x:c>
      <x:c r="D399" s="28" t="str">
        <x:v>картофель</x:v>
      </x:c>
      <x:c r="E399" s="28" t="str">
        <x:v>French fries</x:v>
      </x:c>
      <x:c r="F399" s="28" t="str">
        <x:v>Корнеплоды и клубни</x:v>
      </x:c>
      <x:c r="G399" s="28" t="str">
        <x:v>фундук</x:v>
      </x:c>
      <x:c r="H399" s="28" t="str">
        <x:v>hazelnut | roasted hazelnut</x:v>
      </x:c>
      <x:c r="I399" s="28" t="str">
        <x:v>Орехи и семена</x:v>
      </x:c>
      <x:c r="J399" s="28" t="str">
        <x:v>крахмалистый, землистый, ореховый и жареный после нагрева</x:v>
      </x:c>
      <x:c r="K399" s="28" t="str">
        <x:v>жареный, какаовый, ореховый</x:v>
      </x:c>
      <x:c r="L399" s="28" t="str">
        <x:v>метиональ, 2-ацетил-1-пирролин, пиразины, альдегиды</x:v>
      </x:c>
      <x:c r="M399" s="28" t="str">
        <x:v>пиразины, фильбертон</x:v>
      </x:c>
      <x:c r="N399" s="28" t="str">
        <x:v>жареный</x:v>
      </x:c>
      <x:c r="O399" s="28" t="str">
        <x:v>пиразины</x:v>
      </x:c>
      <x:c r="P399" s="28" t="str">
        <x:v>общие характерные молекулы; пересечение ароматических семейств</x:v>
      </x:c>
      <x:c r="Q39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399" s="28" t="str">
        <x:v>минимальный</x:v>
      </x:c>
      <x:c r="S399" s="28" t="str">
        <x:v>крахмальная водная матрица; структура зависит от сорта и желатинизации крахмала</x:v>
      </x:c>
      <x:c r="T39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399" s="28" t="str">
        <x:v>Картофель имеет профиль «крахмалистый, землистый, ореховый и жареный после нагрева».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399" s="28" t="str">
        <x:v>зелёные или проросшие клубни не использовать; пережаривание даёт горечь и чрезмерно тёмную корку</x:v>
      </x:c>
      <x:c r="W399" s="28" t="str">
        <x:v>соль, кислота или ароматический жир</x:v>
      </x:c>
      <x:c r="X399" s="28" t="str">
        <x:v>пюре, суп, запекание, крем, гарнир, соус или десертная разработка с фундук</x:v>
      </x:c>
      <x:c r="Y399" s="28" t="str">
        <x:v>еда, десерты, соусы/маринады</x:v>
      </x:c>
      <x:c r="Z399" s="28" t="str">
        <x:v>Средняя</x:v>
      </x:c>
      <x:c r="AA399" s="28" t="str">
        <x:v>The Art &amp; Science of Foodpairing.pdf</x:v>
      </x:c>
      <x:c r="AB399" s="28" t="str">
        <x:v>The Art &amp; Science of Foodpairing.pdf: 196</x:v>
      </x:c>
      <x:c r="AC399" s="28" t="str">
        <x:v>связь из pairing grid, стр. 196; связь из pairing grid, стр. 196</x:v>
      </x:c>
      <x:c r="AD399" s="28" t="n">
        <x:v>1</x:v>
      </x:c>
      <x:c r="AE399" s="28" t="n">
        <x:v>2</x:v>
      </x:c>
      <x:c r="AF399" s="28" t="n">
        <x:f>IF(Z399="Высокая",3,IF(Z399="Средняя",2,1))+AD399*2+MIN(AE399,3)</x:f>
        <x:v>6</x:v>
      </x:c>
    </x:row>
    <x:row r="400" ht="64" customHeight="1">
      <x:c r="A400" s="28" t="str">
        <x:v>VEG-0399</x:v>
      </x:c>
      <x:c r="B400" s="28" t="str">
        <x:v>картофель</x:v>
      </x:c>
      <x:c r="C400" s="28" t="str">
        <x:v>Универсальные</x:v>
      </x:c>
      <x:c r="D400" s="28" t="str">
        <x:v>картофель</x:v>
      </x:c>
      <x:c r="E400" s="28" t="str">
        <x:v>Картофель | картофель</x:v>
      </x:c>
      <x:c r="F400" s="28" t="str">
        <x:v>Корнеплоды и клубни</x:v>
      </x:c>
      <x:c r="G400" s="28" t="str">
        <x:v>хрен</x:v>
      </x:c>
      <x:c r="H400" s="28" t="str">
        <x:v>Хрен | хрен</x:v>
      </x:c>
      <x:c r="I400" s="28" t="str">
        <x:v>Прочее</x:v>
      </x:c>
      <x:c r="J400" s="28" t="str">
        <x:v>крахмалистый, землистый, ореховый и жареный после нагрева</x:v>
      </x:c>
      <x:c r="K400" s="28" t="str">
        <x:v>профиль зависит от конкретного продукта</x:v>
      </x:c>
      <x:c r="L400" s="28" t="str">
        <x:v>метиональ, 2-ацетил-1-пирролин, пиразины, альдегиды</x:v>
      </x:c>
      <x:c r="M400" s="28" t="str">
        <x:v>конкретный молекулярный профиль не указан</x:v>
      </x:c>
      <x:c r="N400" s="28" t="str">
        <x:v>прямое пересечение семейств не подтверждено</x:v>
      </x:c>
      <x:c r="O400" s="28" t="str">
        <x:v>надёжная общая ключевая молекула не установлена</x:v>
      </x:c>
      <x:c r="P400" s="28" t="str">
        <x:v>сенсорная комплементарность</x:v>
      </x:c>
      <x:c r="Q40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0" s="28" t="str">
        <x:v>минимальный</x:v>
      </x:c>
      <x:c r="S400" s="28" t="str">
        <x:v>крахмальная водная матрица; структура зависит от сорта и желатинизации крахмала</x:v>
      </x:c>
      <x:c r="T40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0" s="28" t="str">
        <x:v>Картофель имеет профиль «крахмалистый, землистый, ореховый и жареный после нагрева».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400" s="28" t="str">
        <x:v>зелёные или проросшие клубни не использовать; пережаривание даёт горечь и чрезмерно тёмную корку</x:v>
      </x:c>
      <x:c r="W400" s="28" t="str">
        <x:v>соль, кислота или ароматический жир</x:v>
      </x:c>
      <x:c r="X400" s="28" t="str">
        <x:v>пюре, суп, запекание, крем, гарнир, соус или десертная разработка с хрен</x:v>
      </x:c>
      <x:c r="Y400" s="28" t="str">
        <x:v>еда, соусы/маринады</x:v>
      </x:c>
      <x:c r="Z400" s="28" t="str">
        <x:v>Средняя</x:v>
      </x:c>
      <x:c r="AA400" s="28" t="str">
        <x:v>Тезариус вкусов (Ники Сегнит)(1).pdf</x:v>
      </x:c>
      <x:c r="AB400" s="28" t="str">
        <x:v>Тезариус вкусов (Ники Сегнит)(1).pdf: 244, 274</x:v>
      </x:c>
      <x:c r="AC400" s="28" t="str">
        <x:v>развёрнутая пара/статья, стр. 244; развёрнутая пара/статья, стр. 274</x:v>
      </x:c>
      <x:c r="AD400" s="28" t="n">
        <x:v>1</x:v>
      </x:c>
      <x:c r="AE400" s="28" t="n">
        <x:v>2</x:v>
      </x:c>
      <x:c r="AF400" s="28" t="n">
        <x:f>IF(Z400="Высокая",3,IF(Z400="Средняя",2,1))+AD400*2+MIN(AE400,3)</x:f>
        <x:v>6</x:v>
      </x:c>
    </x:row>
    <x:row r="401" ht="64" customHeight="1">
      <x:c r="A401" s="28" t="str">
        <x:v>VEG-0400</x:v>
      </x:c>
      <x:c r="B401" s="28" t="str">
        <x:v>картофель</x:v>
      </x:c>
      <x:c r="C401" s="28" t="str">
        <x:v>Еда и соусы</x:v>
      </x:c>
      <x:c r="D401" s="28" t="str">
        <x:v>картофель</x:v>
      </x:c>
      <x:c r="E401" s="28" t="str">
        <x:v>Картофель | картофель</x:v>
      </x:c>
      <x:c r="F401" s="28" t="str">
        <x:v>Корнеплоды и клубни</x:v>
      </x:c>
      <x:c r="G401" s="28" t="str">
        <x:v>цветная капуста</x:v>
      </x:c>
      <x:c r="H401" s="28" t="str">
        <x:v>Цветная капуста | цветная капуста</x:v>
      </x:c>
      <x:c r="I401" s="28" t="str">
        <x:v>Крестоцветные</x:v>
      </x:c>
      <x:c r="J401" s="28" t="str">
        <x:v>крахмалистый, землистый, ореховый и жареный после нагрева</x:v>
      </x:c>
      <x:c r="K401" s="28" t="str">
        <x:v>мягко капустный, ореховый, сернистый и сливочный после запекания</x:v>
      </x:c>
      <x:c r="L401" s="28" t="str">
        <x:v>метиональ, 2-ацетил-1-пирролин, пиразины, альдегиды</x:v>
      </x:c>
      <x:c r="M401" s="28" t="str">
        <x:v>диметилсульфид, изотиоцианаты, метантиол, пиразины</x:v>
      </x:c>
      <x:c r="N401" s="28" t="str">
        <x:v>сернистый</x:v>
      </x:c>
      <x:c r="O401" s="28" t="str">
        <x:v>пиразины</x:v>
      </x:c>
      <x:c r="P401" s="28" t="str">
        <x:v>общие характерные молекулы; пересечение ароматических семейств</x:v>
      </x:c>
      <x:c r="Q40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1" s="28" t="str">
        <x:v>минимальный</x:v>
      </x:c>
      <x:c r="S401" s="28" t="str">
        <x:v>крахмальная водная матрица; структура зависит от сорта и желатинизации крахмала</x:v>
      </x:c>
      <x:c r="T40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1" s="28" t="str">
        <x:v>Картофель имеет профиль «крахмалистый, землистый, ореховый и жареный после нагрева». Партнёр «цветная капуста» относится к группе «Крестоцветные» и даёт мягко капустный, ореховый, сернистый и сливочный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V401" s="28" t="str">
        <x:v>зелёные или проросшие клубни не использовать; пережаривание даёт горечь и чрезмерно тёмную корку</x:v>
      </x:c>
      <x:c r="W401" s="28" t="str">
        <x:v>соль, кислота или ароматический жир</x:v>
      </x:c>
      <x:c r="X401" s="28" t="str">
        <x:v>пюре, суп, запекание, крем, гарнир, соус или десертная разработка с цветная капуста</x:v>
      </x:c>
      <x:c r="Y401" s="28" t="str">
        <x:v>еда, соусы/маринады</x:v>
      </x:c>
      <x:c r="Z401" s="28" t="str">
        <x:v>Средняя</x:v>
      </x:c>
      <x:c r="AA401" s="28" t="str">
        <x:v>Тезариус вкусов (Ники Сегнит)(1).pdf</x:v>
      </x:c>
      <x:c r="AB401" s="28" t="str">
        <x:v>Тезариус вкусов (Ники Сегнит)(1).pdf: 244, 323</x:v>
      </x:c>
      <x:c r="AC401" s="28" t="str">
        <x:v>развёрнутая пара/статья, стр. 244; развёрнутая пара/статья, стр. 323</x:v>
      </x:c>
      <x:c r="AD401" s="28" t="n">
        <x:v>1</x:v>
      </x:c>
      <x:c r="AE401" s="28" t="n">
        <x:v>2</x:v>
      </x:c>
      <x:c r="AF401" s="28" t="n">
        <x:f>IF(Z401="Высокая",3,IF(Z401="Средняя",2,1))+AD401*2+MIN(AE401,3)</x:f>
        <x:v>6</x:v>
      </x:c>
    </x:row>
    <x:row r="402" ht="64" customHeight="1">
      <x:c r="A402" s="28" t="str">
        <x:v>VEG-0401</x:v>
      </x:c>
      <x:c r="B402" s="28" t="str">
        <x:v>картофель</x:v>
      </x:c>
      <x:c r="C402" s="28" t="str">
        <x:v>Универсальные</x:v>
      </x:c>
      <x:c r="D402" s="28" t="str">
        <x:v>картофель</x:v>
      </x:c>
      <x:c r="E402" s="28" t="str">
        <x:v>French fries</x:v>
      </x:c>
      <x:c r="F402" s="28" t="str">
        <x:v>Корнеплоды и клубни</x:v>
      </x:c>
      <x:c r="G402" s="28" t="str">
        <x:v>цветы бузины</x:v>
      </x:c>
      <x:c r="H402" s="28" t="str">
        <x:v>elderflower</x:v>
      </x:c>
      <x:c r="I402" s="28" t="str">
        <x:v>Травы, цветы и листья</x:v>
      </x:c>
      <x:c r="J402" s="28" t="str">
        <x:v>крахмалистый, землистый, ореховый и жареный после нагрева</x:v>
      </x:c>
      <x:c r="K402" s="28" t="str">
        <x:v>зелёный, цветочный и терпеновый</x:v>
      </x:c>
      <x:c r="L402" s="28" t="str">
        <x:v>метиональ, 2-ацетил-1-пирролин, пиразины, альдегиды</x:v>
      </x:c>
      <x:c r="M402" s="28" t="str">
        <x:v>линалоол, терпены</x:v>
      </x:c>
      <x:c r="N402" s="28" t="str">
        <x:v>прямое пересечение семейств не подтверждено</x:v>
      </x:c>
      <x:c r="O402" s="28" t="str">
        <x:v>надёжная общая ключевая молекула не установлена</x:v>
      </x:c>
      <x:c r="P402" s="28" t="str">
        <x:v>сенсорная комплементарность</x:v>
      </x:c>
      <x:c r="Q40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2" s="28" t="str">
        <x:v>минимальный</x:v>
      </x:c>
      <x:c r="S402" s="28" t="str">
        <x:v>крахмальная водная матрица; структура зависит от сорта и желатинизации крахмала</x:v>
      </x:c>
      <x:c r="T40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2" s="28" t="str">
        <x:v>Картофель имеет профиль «крахмалистый, землистый, ореховый и жареный после нагрева». Партнёр «цветы бузины»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402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W402" s="28" t="str">
        <x:v>оливковое масло, лимон или сыр</x:v>
      </x:c>
      <x:c r="X402" s="28" t="str">
        <x:v>пюре, суп, запекание, крем, гарнир, соус или десертная разработка с цветы бузины</x:v>
      </x:c>
      <x:c r="Y402" s="28" t="str">
        <x:v>еда, соусы/маринады</x:v>
      </x:c>
      <x:c r="Z402" s="28" t="str">
        <x:v>Средняя</x:v>
      </x:c>
      <x:c r="AA402" s="28" t="str">
        <x:v>The Art &amp; Science of Foodpairing.pdf</x:v>
      </x:c>
      <x:c r="AB402" s="28" t="str">
        <x:v>The Art &amp; Science of Foodpairing.pdf: 196</x:v>
      </x:c>
      <x:c r="AC402" s="28" t="str">
        <x:v>связь из pairing grid, стр. 196</x:v>
      </x:c>
      <x:c r="AD402" s="28" t="n">
        <x:v>1</x:v>
      </x:c>
      <x:c r="AE402" s="28" t="n">
        <x:v>1</x:v>
      </x:c>
      <x:c r="AF402" s="28" t="n">
        <x:f>IF(Z402="Высокая",3,IF(Z402="Средняя",2,1))+AD402*2+MIN(AE402,3)</x:f>
        <x:v>5</x:v>
      </x:c>
    </x:row>
    <x:row r="403" ht="64" customHeight="1">
      <x:c r="A403" s="28" t="str">
        <x:v>VEG-0402</x:v>
      </x:c>
      <x:c r="B403" s="28" t="str">
        <x:v>картофель</x:v>
      </x:c>
      <x:c r="C403" s="28" t="str">
        <x:v>Универсальные</x:v>
      </x:c>
      <x:c r="D403" s="28" t="str">
        <x:v>картофель</x:v>
      </x:c>
      <x:c r="E403" s="28" t="str">
        <x:v>Картофель | картофель</x:v>
      </x:c>
      <x:c r="F403" s="28" t="str">
        <x:v>Корнеплоды и клубни</x:v>
      </x:c>
      <x:c r="G403" s="28" t="str">
        <x:v>цыпленок</x:v>
      </x:c>
      <x:c r="H403" s="28" t="str">
        <x:v>Цыпленок | цыпленок</x:v>
      </x:c>
      <x:c r="I403" s="28" t="str">
        <x:v>Прочее</x:v>
      </x:c>
      <x:c r="J403" s="28" t="str">
        <x:v>крахмалистый, землистый, ореховый и жареный после нагрева</x:v>
      </x:c>
      <x:c r="K403" s="28" t="str">
        <x:v>профиль зависит от конкретного продукта</x:v>
      </x:c>
      <x:c r="L403" s="28" t="str">
        <x:v>метиональ, 2-ацетил-1-пирролин, пиразины, альдегиды</x:v>
      </x:c>
      <x:c r="M403" s="28" t="str">
        <x:v>конкретный молекулярный профиль не указан</x:v>
      </x:c>
      <x:c r="N403" s="28" t="str">
        <x:v>прямое пересечение семейств не подтверждено</x:v>
      </x:c>
      <x:c r="O403" s="28" t="str">
        <x:v>надёжная общая ключевая молекула не установлена</x:v>
      </x:c>
      <x:c r="P403" s="28" t="str">
        <x:v>сенсорная комплементарность</x:v>
      </x:c>
      <x:c r="Q40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3" s="28" t="str">
        <x:v>минимальный</x:v>
      </x:c>
      <x:c r="S403" s="28" t="str">
        <x:v>крахмальная водная матрица; структура зависит от сорта и желатинизации крахмала</x:v>
      </x:c>
      <x:c r="T40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3" s="28" t="str">
        <x:v>Картофель имеет профиль «крахмалистый, землистый, ореховый и жареный после нагрева».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403" s="28" t="str">
        <x:v>зелёные или проросшие клубни не использовать; пережаривание даёт горечь и чрезмерно тёмную корку</x:v>
      </x:c>
      <x:c r="W403" s="28" t="str">
        <x:v>соль, кислота или ароматический жир</x:v>
      </x:c>
      <x:c r="X403" s="28" t="str">
        <x:v>пюре, суп, запекание, крем, гарнир, соус или десертная разработка с цыпленок</x:v>
      </x:c>
      <x:c r="Y403" s="28" t="str">
        <x:v>еда, соусы/маринады</x:v>
      </x:c>
      <x:c r="Z403" s="28" t="str">
        <x:v>Средняя</x:v>
      </x:c>
      <x:c r="AA403" s="28" t="str">
        <x:v>Тезариус вкусов (Ники Сегнит)(1).pdf</x:v>
      </x:c>
      <x:c r="AB403" s="28" t="str">
        <x:v>Тезариус вкусов (Ники Сегнит)(1).pdf: 67, 244</x:v>
      </x:c>
      <x:c r="AC403" s="28" t="str">
        <x:v>развёрнутая пара/статья, стр. 67; развёрнутая пара/статья, стр. 244</x:v>
      </x:c>
      <x:c r="AD403" s="28" t="n">
        <x:v>1</x:v>
      </x:c>
      <x:c r="AE403" s="28" t="n">
        <x:v>2</x:v>
      </x:c>
      <x:c r="AF403" s="28" t="n">
        <x:f>IF(Z403="Высокая",3,IF(Z403="Средняя",2,1))+AD403*2+MIN(AE403,3)</x:f>
        <x:v>6</x:v>
      </x:c>
    </x:row>
    <x:row r="404" ht="64" customHeight="1">
      <x:c r="A404" s="28" t="str">
        <x:v>VEG-0403</x:v>
      </x:c>
      <x:c r="B404" s="28" t="str">
        <x:v>картофель</x:v>
      </x:c>
      <x:c r="C404" s="28" t="str">
        <x:v>Напитки</x:v>
      </x:c>
      <x:c r="D404" s="28" t="str">
        <x:v>картофель</x:v>
      </x:c>
      <x:c r="E404" s="28" t="str">
        <x:v>French fries</x:v>
      </x:c>
      <x:c r="F404" s="28" t="str">
        <x:v>Корнеплоды и клубни</x:v>
      </x:c>
      <x:c r="G404" s="28" t="str">
        <x:v>чай</x:v>
      </x:c>
      <x:c r="H404" s="28" t="str">
        <x:v>Darjeeling tea | longjing tea (Dragon Well tea)</x:v>
      </x:c>
      <x:c r="I404" s="28" t="str">
        <x:v>Чай</x:v>
      </x:c>
      <x:c r="J404" s="28" t="str">
        <x:v>крахмалистый, землистый, ореховый и жареный после нагрева</x:v>
      </x:c>
      <x:c r="K404" s="28" t="str">
        <x:v>цветочный, древесный или зелёный</x:v>
      </x:c>
      <x:c r="L404" s="28" t="str">
        <x:v>метиональ, 2-ацетил-1-пирролин, пиразины, альдегиды</x:v>
      </x:c>
      <x:c r="M404" s="28" t="str">
        <x:v>линалоол, полифенолы</x:v>
      </x:c>
      <x:c r="N404" s="28" t="str">
        <x:v>прямое пересечение семейств не подтверждено</x:v>
      </x:c>
      <x:c r="O404" s="28" t="str">
        <x:v>надёжная общая ключевая молекула не установлена</x:v>
      </x:c>
      <x:c r="P404" s="28" t="str">
        <x:v>сенсорная комплементарность</x:v>
      </x:c>
      <x:c r="Q40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4" s="28" t="str">
        <x:v>минимальный</x:v>
      </x:c>
      <x:c r="S404" s="28" t="str">
        <x:v>крахмальная водная матрица; структура зависит от сорта и желатинизации крахмала</x:v>
      </x:c>
      <x:c r="T40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4" s="28" t="str">
        <x:v>Картофель имеет профиль «крахмалистый, землистый, ореховый и жареный после нагрева».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404" s="28" t="str">
        <x:v>зелёные или проросшие клубни не использовать; пережаривание даёт горечь и чрезмерно тёмную корку</x:v>
      </x:c>
      <x:c r="W404" s="28" t="str">
        <x:v>соль, кислота или ароматический жир</x:v>
      </x:c>
      <x:c r="X404" s="28" t="str">
        <x:v>пюре, суп, запекание, крем, гарнир, соус или десертная разработка с чай</x:v>
      </x:c>
      <x:c r="Y404" s="28" t="str">
        <x:v>напитки, еда, соусы/маринады</x:v>
      </x:c>
      <x:c r="Z404" s="28" t="str">
        <x:v>Средняя</x:v>
      </x:c>
      <x:c r="AA404" s="28" t="str">
        <x:v>The Art &amp; Science of Foodpairing.pdf</x:v>
      </x:c>
      <x:c r="AB404" s="28" t="str">
        <x:v>The Art &amp; Science of Foodpairing.pdf: 196</x:v>
      </x:c>
      <x:c r="AC404" s="28" t="str">
        <x:v>связь из pairing grid, стр. 196; связь из pairing grid, стр. 196</x:v>
      </x:c>
      <x:c r="AD404" s="28" t="n">
        <x:v>1</x:v>
      </x:c>
      <x:c r="AE404" s="28" t="n">
        <x:v>2</x:v>
      </x:c>
      <x:c r="AF404" s="28" t="n">
        <x:f>IF(Z404="Высокая",3,IF(Z404="Средняя",2,1))+AD404*2+MIN(AE404,3)</x:f>
        <x:v>6</x:v>
      </x:c>
    </x:row>
    <x:row r="405" ht="64" customHeight="1">
      <x:c r="A405" s="28" t="str">
        <x:v>VEG-0404</x:v>
      </x:c>
      <x:c r="B405" s="28" t="str">
        <x:v>картофель</x:v>
      </x:c>
      <x:c r="C405" s="28" t="str">
        <x:v>Универсальные</x:v>
      </x:c>
      <x:c r="D405" s="28" t="str">
        <x:v>картофель</x:v>
      </x:c>
      <x:c r="E405" s="28" t="str">
        <x:v>French fries</x:v>
      </x:c>
      <x:c r="F405" s="28" t="str">
        <x:v>Корнеплоды и клубни</x:v>
      </x:c>
      <x:c r="G405" s="28" t="str">
        <x:v>чеддер</x:v>
      </x:c>
      <x:c r="H405" s="28" t="str">
        <x:v>mild Cheddar</x:v>
      </x:c>
      <x:c r="I405" s="28" t="str">
        <x:v>Прочее</x:v>
      </x:c>
      <x:c r="J405" s="28" t="str">
        <x:v>крахмалистый, землистый, ореховый и жареный после нагрева</x:v>
      </x:c>
      <x:c r="K405" s="28" t="str">
        <x:v>профиль зависит от конкретного продукта</x:v>
      </x:c>
      <x:c r="L405" s="28" t="str">
        <x:v>метиональ, 2-ацетил-1-пирролин, пиразины, альдегиды</x:v>
      </x:c>
      <x:c r="M405" s="28" t="str">
        <x:v>конкретный молекулярный профиль не указан</x:v>
      </x:c>
      <x:c r="N405" s="28" t="str">
        <x:v>прямое пересечение семейств не подтверждено</x:v>
      </x:c>
      <x:c r="O405" s="28" t="str">
        <x:v>надёжная общая ключевая молекула не установлена</x:v>
      </x:c>
      <x:c r="P405" s="28" t="str">
        <x:v>сенсорная комплементарность</x:v>
      </x:c>
      <x:c r="Q40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5" s="28" t="str">
        <x:v>минимальный</x:v>
      </x:c>
      <x:c r="S405" s="28" t="str">
        <x:v>крахмальная водная матрица; структура зависит от сорта и желатинизации крахмала</x:v>
      </x:c>
      <x:c r="T40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5" s="28" t="str">
        <x:v>Картофель имеет профиль «крахмалистый, землистый, ореховый и жареный после нагрева». Партнёр «чеддер»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405" s="28" t="str">
        <x:v>зелёные или проросшие клубни не использовать; пережаривание даёт горечь и чрезмерно тёмную корку</x:v>
      </x:c>
      <x:c r="W405" s="28" t="str">
        <x:v>соль, кислота или ароматический жир</x:v>
      </x:c>
      <x:c r="X405" s="28" t="str">
        <x:v>пюре, суп, запекание, крем, гарнир, соус или десертная разработка с чеддер</x:v>
      </x:c>
      <x:c r="Y405" s="28" t="str">
        <x:v>еда, соусы/маринады</x:v>
      </x:c>
      <x:c r="Z405" s="28" t="str">
        <x:v>Средняя</x:v>
      </x:c>
      <x:c r="AA405" s="28" t="str">
        <x:v>The Art &amp; Science of Foodpairing.pdf</x:v>
      </x:c>
      <x:c r="AB405" s="28" t="str">
        <x:v>The Art &amp; Science of Foodpairing.pdf: 196</x:v>
      </x:c>
      <x:c r="AC405" s="28" t="str">
        <x:v>связь из pairing grid, стр. 196</x:v>
      </x:c>
      <x:c r="AD405" s="28" t="n">
        <x:v>1</x:v>
      </x:c>
      <x:c r="AE405" s="28" t="n">
        <x:v>1</x:v>
      </x:c>
      <x:c r="AF405" s="28" t="n">
        <x:f>IF(Z405="Высокая",3,IF(Z405="Средняя",2,1))+AD405*2+MIN(AE405,3)</x:f>
        <x:v>5</x:v>
      </x:c>
    </x:row>
    <x:row r="406" ht="64" customHeight="1">
      <x:c r="A406" s="28" t="str">
        <x:v>VEG-0405</x:v>
      </x:c>
      <x:c r="B406" s="28" t="str">
        <x:v>картофель</x:v>
      </x:c>
      <x:c r="C406" s="28" t="str">
        <x:v>Еда и соусы</x:v>
      </x:c>
      <x:c r="D406" s="28" t="str">
        <x:v>картофель</x:v>
      </x:c>
      <x:c r="E406" s="28" t="str">
        <x:v>Картофель | картофель</x:v>
      </x:c>
      <x:c r="F406" s="28" t="str">
        <x:v>Корнеплоды и клубни</x:v>
      </x:c>
      <x:c r="G406" s="28" t="str">
        <x:v>черная икра</x:v>
      </x:c>
      <x:c r="H406" s="28" t="str">
        <x:v>Черная икра | черная икра</x:v>
      </x:c>
      <x:c r="I406" s="28" t="str">
        <x:v>Рыба и морепродукты</x:v>
      </x:c>
      <x:c r="J406" s="28" t="str">
        <x:v>крахмалистый, землистый, ореховый и жареный после нагрева</x:v>
      </x:c>
      <x:c r="K406" s="28" t="str">
        <x:v>морской, солоноватый и умами</x:v>
      </x:c>
      <x:c r="L406" s="28" t="str">
        <x:v>метиональ, 2-ацетил-1-пирролин, пиразины, альдегиды</x:v>
      </x:c>
      <x:c r="M406" s="28" t="str">
        <x:v>альдегиды, амины</x:v>
      </x:c>
      <x:c r="N406" s="28" t="str">
        <x:v>прямое пересечение семейств не подтверждено</x:v>
      </x:c>
      <x:c r="O406" s="28" t="str">
        <x:v>альдегиды</x:v>
      </x:c>
      <x:c r="P406" s="28" t="str">
        <x:v>общие характерные молекулы; умами и солёный контраст</x:v>
      </x:c>
      <x:c r="Q40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6" s="28" t="str">
        <x:v>минимальный</x:v>
      </x:c>
      <x:c r="S406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40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6" s="28" t="str">
        <x:v>Картофель имеет профиль «крахмалистый, землистый, ореховый и жареный после нагрева». Партнёр «черная икра»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V406" s="28" t="str">
        <x:v>зелёные или проросшие клубни не использовать; пережаривание даёт горечь и чрезмерно тёмную корку</x:v>
      </x:c>
      <x:c r="W406" s="28" t="str">
        <x:v>сливочное масло, соевый соус или тимьян</x:v>
      </x:c>
      <x:c r="X406" s="28" t="str">
        <x:v>пюре, суп, запекание, крем, гарнир, соус или десертная разработка с черная икра</x:v>
      </x:c>
      <x:c r="Y406" s="28" t="str">
        <x:v>еда, соусы/маринады</x:v>
      </x:c>
      <x:c r="Z406" s="28" t="str">
        <x:v>Средняя</x:v>
      </x:c>
      <x:c r="AA406" s="28" t="str">
        <x:v>Тезариус вкусов (Ники Сегнит)(1).pdf</x:v>
      </x:c>
      <x:c r="AB406" s="28" t="str">
        <x:v>Тезариус вкусов (Ники Сегнит)(1).pdf: 244, 406</x:v>
      </x:c>
      <x:c r="AC406" s="28" t="str">
        <x:v>развёрнутая пара/статья, стр. 244; развёрнутая пара/статья, стр. 406</x:v>
      </x:c>
      <x:c r="AD406" s="28" t="n">
        <x:v>1</x:v>
      </x:c>
      <x:c r="AE406" s="28" t="n">
        <x:v>2</x:v>
      </x:c>
      <x:c r="AF406" s="28" t="n">
        <x:f>IF(Z406="Высокая",3,IF(Z406="Средняя",2,1))+AD406*2+MIN(AE406,3)</x:f>
        <x:v>6</x:v>
      </x:c>
    </x:row>
    <x:row r="407" ht="64" customHeight="1">
      <x:c r="A407" s="28" t="str">
        <x:v>VEG-0406</x:v>
      </x:c>
      <x:c r="B407" s="28" t="str">
        <x:v>картофель</x:v>
      </x:c>
      <x:c r="C407" s="28" t="str">
        <x:v>Десерты и выпечка</x:v>
      </x:c>
      <x:c r="D407" s="28" t="str">
        <x:v>картофель</x:v>
      </x:c>
      <x:c r="E407" s="28" t="str">
        <x:v>French fries</x:v>
      </x:c>
      <x:c r="F407" s="28" t="str">
        <x:v>Корнеплоды и клубни</x:v>
      </x:c>
      <x:c r="G407" s="28" t="str">
        <x:v>чернослив ажен</x:v>
      </x:c>
      <x:c r="H407" s="28" t="str">
        <x:v>Agen prunes</x:v>
      </x:c>
      <x:c r="I407" s="28" t="str">
        <x:v>Фрукты и ягоды</x:v>
      </x:c>
      <x:c r="J407" s="28" t="str">
        <x:v>крахмалистый, землистый, ореховый и жареный после нагрева</x:v>
      </x:c>
      <x:c r="K407" s="28" t="str">
        <x:v>фруктовый, цветочный и свежий</x:v>
      </x:c>
      <x:c r="L407" s="28" t="str">
        <x:v>метиональ, 2-ацетил-1-пирролин, пиразины, альдегиды</x:v>
      </x:c>
      <x:c r="M407" s="28" t="str">
        <x:v>альдегиды, эфиры</x:v>
      </x:c>
      <x:c r="N407" s="28" t="str">
        <x:v>прямое пересечение семейств не подтверждено</x:v>
      </x:c>
      <x:c r="O407" s="28" t="str">
        <x:v>альдегиды</x:v>
      </x:c>
      <x:c r="P407" s="28" t="str">
        <x:v>общие характерные молекулы; кислотно-сладкий баланс</x:v>
      </x:c>
      <x:c r="Q40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7" s="28" t="str">
        <x:v>минимальный</x:v>
      </x:c>
      <x:c r="S407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40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7" s="28" t="str">
        <x:v>Картофель имеет профиль «крахмалистый, землистый, ореховый и жареный после нагрева». Партнёр «чернослив ажен»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407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407" s="28" t="str">
        <x:v>цитрус, мёд или мягкая трава</x:v>
      </x:c>
      <x:c r="X407" s="28" t="str">
        <x:v>пюре, суп, запекание, крем, гарнир, соус или десертная разработка с чернослив ажен</x:v>
      </x:c>
      <x:c r="Y407" s="28" t="str">
        <x:v>еда, десерты, соусы/маринады</x:v>
      </x:c>
      <x:c r="Z407" s="28" t="str">
        <x:v>Средняя</x:v>
      </x:c>
      <x:c r="AA407" s="28" t="str">
        <x:v>The Art &amp; Science of Foodpairing.pdf</x:v>
      </x:c>
      <x:c r="AB407" s="28" t="str">
        <x:v>The Art &amp; Science of Foodpairing.pdf: 196</x:v>
      </x:c>
      <x:c r="AC407" s="28" t="str">
        <x:v>связь из pairing grid, стр. 196</x:v>
      </x:c>
      <x:c r="AD407" s="28" t="n">
        <x:v>1</x:v>
      </x:c>
      <x:c r="AE407" s="28" t="n">
        <x:v>1</x:v>
      </x:c>
      <x:c r="AF407" s="28" t="n">
        <x:f>IF(Z407="Высокая",3,IF(Z407="Средняя",2,1))+AD407*2+MIN(AE407,3)</x:f>
        <x:v>5</x:v>
      </x:c>
    </x:row>
    <x:row r="408" ht="64" customHeight="1">
      <x:c r="A408" s="28" t="str">
        <x:v>VEG-0407</x:v>
      </x:c>
      <x:c r="B408" s="28" t="str">
        <x:v>картофель</x:v>
      </x:c>
      <x:c r="C408" s="28" t="str">
        <x:v>Еда и соусы</x:v>
      </x:c>
      <x:c r="D408" s="28" t="str">
        <x:v>картофель</x:v>
      </x:c>
      <x:c r="E408" s="28" t="str">
        <x:v>Картофель | картофель</x:v>
      </x:c>
      <x:c r="F408" s="28" t="str">
        <x:v>Корнеплоды и клубни</x:v>
      </x:c>
      <x:c r="G408" s="28" t="str">
        <x:v>чеснок</x:v>
      </x:c>
      <x:c r="H408" s="28" t="str">
        <x:v>Чеснок | чеснок</x:v>
      </x:c>
      <x:c r="I408" s="28" t="str">
        <x:v>Луковые овощи</x:v>
      </x:c>
      <x:c r="J408" s="28" t="str">
        <x:v>крахмалистый, землистый, ореховый и жареный после нагрева</x:v>
      </x:c>
      <x:c r="K408" s="28" t="str">
        <x:v>резкий сернистый, зелёный и мясной; после запекания — сладкий и ореховый</x:v>
      </x:c>
      <x:c r="L408" s="28" t="str">
        <x:v>метиональ, 2-ацетил-1-пирролин, пиразины, альдегиды</x:v>
      </x:c>
      <x:c r="M408" s="28" t="str">
        <x:v>аллицин, диаллилдисульфид, диаллилтрисульфид, метантиол</x:v>
      </x:c>
      <x:c r="N408" s="28" t="str">
        <x:v>жареный, сернистый</x:v>
      </x:c>
      <x:c r="O408" s="28" t="str">
        <x:v>надёжная общая ключевая молекула не установлена</x:v>
      </x:c>
      <x:c r="P408" s="28" t="str">
        <x:v>пересечение ароматических семейств</x:v>
      </x:c>
      <x:c r="Q40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8" s="28" t="str">
        <x:v>минимальный</x:v>
      </x:c>
      <x:c r="S408" s="28" t="str">
        <x:v>крахмальная водная матрица; структура зависит от сорта и желатинизации крахмала</x:v>
      </x:c>
      <x:c r="T40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8" s="28" t="str">
        <x:v>Картофель имеет профиль «крахмалистый, землистый, ореховый и жареный после нагрева».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V408" s="28" t="str">
        <x:v>зелёные или проросшие клубни не использовать; пережаривание даёт горечь и чрезмерно тёмную корку</x:v>
      </x:c>
      <x:c r="W408" s="28" t="str">
        <x:v>соль, кислота или ароматический жир</x:v>
      </x:c>
      <x:c r="X408" s="28" t="str">
        <x:v>пюре, суп, запекание, крем, гарнир, соус или десертная разработка с чеснок</x:v>
      </x:c>
      <x:c r="Y408" s="28" t="str">
        <x:v>еда, соусы/маринады</x:v>
      </x:c>
      <x:c r="Z408" s="28" t="str">
        <x:v>Средняя</x:v>
      </x:c>
      <x:c r="AA408" s="28" t="str">
        <x:v>Тезариус вкусов (Ники Сегнит)(1).pdf</x:v>
      </x:c>
      <x:c r="AB408" s="28" t="str">
        <x:v>Тезариус вкусов (Ники Сегнит)(1).pdf: 245, 294</x:v>
      </x:c>
      <x:c r="AC408" s="28" t="str">
        <x:v>развёрнутая пара/статья, стр. 245; развёрнутая пара/статья, стр. 294</x:v>
      </x:c>
      <x:c r="AD408" s="28" t="n">
        <x:v>1</x:v>
      </x:c>
      <x:c r="AE408" s="28" t="n">
        <x:v>2</x:v>
      </x:c>
      <x:c r="AF408" s="28" t="n">
        <x:f>IF(Z408="Высокая",3,IF(Z408="Средняя",2,1))+AD408*2+MIN(AE408,3)</x:f>
        <x:v>6</x:v>
      </x:c>
    </x:row>
    <x:row r="409" ht="64" customHeight="1">
      <x:c r="A409" s="28" t="str">
        <x:v>VEG-0408</x:v>
      </x:c>
      <x:c r="B409" s="28" t="str">
        <x:v>картофель</x:v>
      </x:c>
      <x:c r="C409" s="28" t="str">
        <x:v>Универсальные</x:v>
      </x:c>
      <x:c r="D409" s="28" t="str">
        <x:v>картофель</x:v>
      </x:c>
      <x:c r="E409" s="28" t="str">
        <x:v>French fries</x:v>
      </x:c>
      <x:c r="F409" s="28" t="str">
        <x:v>Корнеплоды и клубни</x:v>
      </x:c>
      <x:c r="G409" s="28" t="str">
        <x:v>чиабатта</x:v>
      </x:c>
      <x:c r="H409" s="28" t="str">
        <x:v>ciabatta</x:v>
      </x:c>
      <x:c r="I409" s="28" t="str">
        <x:v>Прочее</x:v>
      </x:c>
      <x:c r="J409" s="28" t="str">
        <x:v>крахмалистый, землистый, ореховый и жареный после нагрева</x:v>
      </x:c>
      <x:c r="K409" s="28" t="str">
        <x:v>профиль зависит от конкретного продукта</x:v>
      </x:c>
      <x:c r="L409" s="28" t="str">
        <x:v>метиональ, 2-ацетил-1-пирролин, пиразины, альдегиды</x:v>
      </x:c>
      <x:c r="M409" s="28" t="str">
        <x:v>конкретный молекулярный профиль не указан</x:v>
      </x:c>
      <x:c r="N409" s="28" t="str">
        <x:v>прямое пересечение семейств не подтверждено</x:v>
      </x:c>
      <x:c r="O409" s="28" t="str">
        <x:v>надёжная общая ключевая молекула не установлена</x:v>
      </x:c>
      <x:c r="P409" s="28" t="str">
        <x:v>сенсорная комплементарность</x:v>
      </x:c>
      <x:c r="Q40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09" s="28" t="str">
        <x:v>минимальный</x:v>
      </x:c>
      <x:c r="S409" s="28" t="str">
        <x:v>крахмальная водная матрица; структура зависит от сорта и желатинизации крахмала</x:v>
      </x:c>
      <x:c r="T40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09" s="28" t="str">
        <x:v>Картофель имеет профиль «крахмалистый, землистый, ореховый и жареный после нагрева».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409" s="28" t="str">
        <x:v>зелёные или проросшие клубни не использовать; пережаривание даёт горечь и чрезмерно тёмную корку</x:v>
      </x:c>
      <x:c r="W409" s="28" t="str">
        <x:v>соль, кислота или ароматический жир</x:v>
      </x:c>
      <x:c r="X409" s="28" t="str">
        <x:v>пюре, суп, запекание, крем, гарнир, соус или десертная разработка с чиабатта</x:v>
      </x:c>
      <x:c r="Y409" s="28" t="str">
        <x:v>еда, соусы/маринады</x:v>
      </x:c>
      <x:c r="Z409" s="28" t="str">
        <x:v>Средняя</x:v>
      </x:c>
      <x:c r="AA409" s="28" t="str">
        <x:v>The Art &amp; Science of Foodpairing.pdf</x:v>
      </x:c>
      <x:c r="AB409" s="28" t="str">
        <x:v>The Art &amp; Science of Foodpairing.pdf: 196</x:v>
      </x:c>
      <x:c r="AC409" s="28" t="str">
        <x:v>связь из pairing grid, стр. 196</x:v>
      </x:c>
      <x:c r="AD409" s="28" t="n">
        <x:v>1</x:v>
      </x:c>
      <x:c r="AE409" s="28" t="n">
        <x:v>1</x:v>
      </x:c>
      <x:c r="AF409" s="28" t="n">
        <x:f>IF(Z409="Высокая",3,IF(Z409="Средняя",2,1))+AD409*2+MIN(AE409,3)</x:f>
        <x:v>5</x:v>
      </x:c>
    </x:row>
    <x:row r="410" ht="64" customHeight="1">
      <x:c r="A410" s="28" t="str">
        <x:v>VEG-0409</x:v>
      </x:c>
      <x:c r="B410" s="28" t="str">
        <x:v>картофель</x:v>
      </x:c>
      <x:c r="C410" s="28" t="str">
        <x:v>Универсальные</x:v>
      </x:c>
      <x:c r="D410" s="28" t="str">
        <x:v>картофель</x:v>
      </x:c>
      <x:c r="E410" s="28" t="str">
        <x:v>Картофель | картофель</x:v>
      </x:c>
      <x:c r="F410" s="28" t="str">
        <x:v>Корнеплоды и клубни</x:v>
      </x:c>
      <x:c r="G410" s="28" t="str">
        <x:v>чили</x:v>
      </x:c>
      <x:c r="H410" s="28" t="str">
        <x:v>Чили | чили</x:v>
      </x:c>
      <x:c r="I410" s="28" t="str">
        <x:v>Специи</x:v>
      </x:c>
      <x:c r="J410" s="28" t="str">
        <x:v>крахмалистый, землистый, ореховый и жареный после нагрева</x:v>
      </x:c>
      <x:c r="K410" s="28" t="str">
        <x:v>пряный и древесный</x:v>
      </x:c>
      <x:c r="L410" s="28" t="str">
        <x:v>метиональ, 2-ацетил-1-пирролин, пиразины, альдегиды</x:v>
      </x:c>
      <x:c r="M410" s="28" t="str">
        <x:v>терпены, фенилпропаноиды</x:v>
      </x:c>
      <x:c r="N410" s="28" t="str">
        <x:v>прямое пересечение семейств не подтверждено</x:v>
      </x:c>
      <x:c r="O410" s="28" t="str">
        <x:v>надёжная общая ключевая молекула не установлена</x:v>
      </x:c>
      <x:c r="P410" s="28" t="str">
        <x:v>сенсорная комплементарность</x:v>
      </x:c>
      <x:c r="Q41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0" s="28" t="str">
        <x:v>минимальный</x:v>
      </x:c>
      <x:c r="S410" s="28" t="str">
        <x:v>крахмальная водная матрица; структура зависит от сорта и желатинизации крахмала</x:v>
      </x:c>
      <x:c r="T41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0" s="28" t="str">
        <x:v>Картофель имеет профиль «крахмалистый, землистый, ореховый и жареный после нагрева».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410" s="28" t="str">
        <x:v>зелёные или проросшие клубни не использовать; пережаривание даёт горечь и чрезмерно тёмную корку</x:v>
      </x:c>
      <x:c r="W410" s="28" t="str">
        <x:v>цитрус, йогурт или мёд</x:v>
      </x:c>
      <x:c r="X410" s="28" t="str">
        <x:v>пюре, суп, запекание, крем, гарнир, соус или десертная разработка с чили</x:v>
      </x:c>
      <x:c r="Y410" s="28" t="str">
        <x:v>еда, соусы/маринады</x:v>
      </x:c>
      <x:c r="Z410" s="28" t="str">
        <x:v>Средняя</x:v>
      </x:c>
      <x:c r="AA410" s="28" t="str">
        <x:v>Тезариус вкусов (Ники Сегнит)(1).pdf</x:v>
      </x:c>
      <x:c r="AB410" s="28" t="str">
        <x:v>Тезариус вкусов (Ники Сегнит)(1).pdf: 245, 555</x:v>
      </x:c>
      <x:c r="AC410" s="28" t="str">
        <x:v>развёрнутая пара/статья, стр. 245; развёрнутая пара/статья, стр. 555</x:v>
      </x:c>
      <x:c r="AD410" s="28" t="n">
        <x:v>1</x:v>
      </x:c>
      <x:c r="AE410" s="28" t="n">
        <x:v>2</x:v>
      </x:c>
      <x:c r="AF410" s="28" t="n">
        <x:f>IF(Z410="Высокая",3,IF(Z410="Средняя",2,1))+AD410*2+MIN(AE410,3)</x:f>
        <x:v>6</x:v>
      </x:c>
    </x:row>
    <x:row r="411" ht="64" customHeight="1">
      <x:c r="A411" s="28" t="str">
        <x:v>VEG-0410</x:v>
      </x:c>
      <x:c r="B411" s="28" t="str">
        <x:v>картофель</x:v>
      </x:c>
      <x:c r="C411" s="28" t="str">
        <x:v>Универсальные</x:v>
      </x:c>
      <x:c r="D411" s="28" t="str">
        <x:v>картофель</x:v>
      </x:c>
      <x:c r="E411" s="28" t="str">
        <x:v>French fries</x:v>
      </x:c>
      <x:c r="F411" s="28" t="str">
        <x:v>Корнеплоды и клубни</x:v>
      </x:c>
      <x:c r="G411" s="28" t="str">
        <x:v>чили ахи панка</x:v>
      </x:c>
      <x:c r="H411" s="28" t="str">
        <x:v>aji panca chilli</x:v>
      </x:c>
      <x:c r="I411" s="28" t="str">
        <x:v>Специи</x:v>
      </x:c>
      <x:c r="J411" s="28" t="str">
        <x:v>крахмалистый, землистый, ореховый и жареный после нагрева</x:v>
      </x:c>
      <x:c r="K411" s="28" t="str">
        <x:v>пряный и древесный</x:v>
      </x:c>
      <x:c r="L411" s="28" t="str">
        <x:v>метиональ, 2-ацетил-1-пирролин, пиразины, альдегиды</x:v>
      </x:c>
      <x:c r="M411" s="28" t="str">
        <x:v>терпены, фенилпропаноиды</x:v>
      </x:c>
      <x:c r="N411" s="28" t="str">
        <x:v>прямое пересечение семейств не подтверждено</x:v>
      </x:c>
      <x:c r="O411" s="28" t="str">
        <x:v>надёжная общая ключевая молекула не установлена</x:v>
      </x:c>
      <x:c r="P411" s="28" t="str">
        <x:v>сенсорная комплементарность</x:v>
      </x:c>
      <x:c r="Q41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1" s="28" t="str">
        <x:v>минимальный</x:v>
      </x:c>
      <x:c r="S411" s="28" t="str">
        <x:v>крахмальная водная матрица; структура зависит от сорта и желатинизации крахмала</x:v>
      </x:c>
      <x:c r="T41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1" s="28" t="str">
        <x:v>Картофель имеет профиль «крахмалистый, землистый, ореховый и жареный после нагрева». Партнёр «чили ахи панка»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411" s="28" t="str">
        <x:v>зелёные или проросшие клубни не использовать; пережаривание даёт горечь и чрезмерно тёмную корку</x:v>
      </x:c>
      <x:c r="W411" s="28" t="str">
        <x:v>цитрус, йогурт или мёд</x:v>
      </x:c>
      <x:c r="X411" s="28" t="str">
        <x:v>пюре, суп, запекание, крем, гарнир, соус или десертная разработка с чили ахи панка</x:v>
      </x:c>
      <x:c r="Y411" s="28" t="str">
        <x:v>еда, соусы/маринады</x:v>
      </x:c>
      <x:c r="Z411" s="28" t="str">
        <x:v>Средняя</x:v>
      </x:c>
      <x:c r="AA411" s="28" t="str">
        <x:v>The Art &amp; Science of Foodpairing.pdf</x:v>
      </x:c>
      <x:c r="AB411" s="28" t="str">
        <x:v>The Art &amp; Science of Foodpairing.pdf: 196</x:v>
      </x:c>
      <x:c r="AC411" s="28" t="str">
        <x:v>связь из pairing grid, стр. 196</x:v>
      </x:c>
      <x:c r="AD411" s="28" t="n">
        <x:v>1</x:v>
      </x:c>
      <x:c r="AE411" s="28" t="n">
        <x:v>1</x:v>
      </x:c>
      <x:c r="AF411" s="28" t="n">
        <x:f>IF(Z411="Высокая",3,IF(Z411="Средняя",2,1))+AD411*2+MIN(AE411,3)</x:f>
        <x:v>5</x:v>
      </x:c>
    </x:row>
    <x:row r="412" ht="64" customHeight="1">
      <x:c r="A412" s="28" t="str">
        <x:v>VEG-0411</x:v>
      </x:c>
      <x:c r="B412" s="28" t="str">
        <x:v>картофель</x:v>
      </x:c>
      <x:c r="C412" s="28" t="str">
        <x:v>Универсальные</x:v>
      </x:c>
      <x:c r="D412" s="28" t="str">
        <x:v>картофель</x:v>
      </x:c>
      <x:c r="E412" s="28" t="str">
        <x:v>oven-roasted potato | potato crisps</x:v>
      </x:c>
      <x:c r="F412" s="28" t="str">
        <x:v>Корнеплоды и клубни</x:v>
      </x:c>
      <x:c r="G412" s="28" t="str">
        <x:v>чёрный перец</x:v>
      </x:c>
      <x:c r="H412" s="28" t="str">
        <x:v>peppercorns</x:v>
      </x:c>
      <x:c r="I412" s="28" t="str">
        <x:v>Специи</x:v>
      </x:c>
      <x:c r="J412" s="28" t="str">
        <x:v>крахмалистый, землистый, ореховый и жареный после нагрева</x:v>
      </x:c>
      <x:c r="K412" s="28" t="str">
        <x:v>древесный, пряный, цитрусовый</x:v>
      </x:c>
      <x:c r="L412" s="28" t="str">
        <x:v>метиональ, 2-ацетил-1-пирролин, пиразины, альдегиды</x:v>
      </x:c>
      <x:c r="M412" s="28" t="str">
        <x:v>лимонен, пинен, пиперин</x:v>
      </x:c>
      <x:c r="N412" s="28" t="str">
        <x:v>прямое пересечение семейств не подтверждено</x:v>
      </x:c>
      <x:c r="O412" s="28" t="str">
        <x:v>надёжная общая ключевая молекула не установлена</x:v>
      </x:c>
      <x:c r="P412" s="28" t="str">
        <x:v>сенсорная комплементарность</x:v>
      </x:c>
      <x:c r="Q41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2" s="28" t="str">
        <x:v>минимальный</x:v>
      </x:c>
      <x:c r="S412" s="28" t="str">
        <x:v>крахмальная водная матрица; структура зависит от сорта и желатинизации крахмала</x:v>
      </x:c>
      <x:c r="T41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2" s="28" t="str">
        <x:v>Картофель имеет профиль «крахмалистый, землистый, ореховый и жареный после нагрева».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412" s="28" t="str">
        <x:v>зелёные или проросшие клубни не использовать; пережаривание даёт горечь и чрезмерно тёмную корку</x:v>
      </x:c>
      <x:c r="W412" s="28" t="str">
        <x:v>цитрус, йогурт или мёд</x:v>
      </x:c>
      <x:c r="X412" s="28" t="str">
        <x:v>пюре, суп, запекание, крем, гарнир, соус или десертная разработка с чёрный перец</x:v>
      </x:c>
      <x:c r="Y412" s="28" t="str">
        <x:v>еда, соусы/маринады</x:v>
      </x:c>
      <x:c r="Z412" s="28" t="str">
        <x:v>Средняя</x:v>
      </x:c>
      <x:c r="AA412" s="28" t="str">
        <x:v>The Art &amp; Science of Foodpairing.pdf</x:v>
      </x:c>
      <x:c r="AB412" s="28" t="str">
        <x:v>The Art &amp; Science of Foodpairing.pdf: 273</x:v>
      </x:c>
      <x:c r="AC412" s="28" t="str">
        <x:v>связь из pairing grid, стр. 273; связь из pairing grid, стр. 273</x:v>
      </x:c>
      <x:c r="AD412" s="28" t="n">
        <x:v>1</x:v>
      </x:c>
      <x:c r="AE412" s="28" t="n">
        <x:v>2</x:v>
      </x:c>
      <x:c r="AF412" s="28" t="n">
        <x:f>IF(Z412="Высокая",3,IF(Z412="Средняя",2,1))+AD412*2+MIN(AE412,3)</x:f>
        <x:v>6</x:v>
      </x:c>
    </x:row>
    <x:row r="413" ht="64" customHeight="1">
      <x:c r="A413" s="28" t="str">
        <x:v>VEG-0412</x:v>
      </x:c>
      <x:c r="B413" s="28" t="str">
        <x:v>картофель</x:v>
      </x:c>
      <x:c r="C413" s="28" t="str">
        <x:v>Еда и соусы</x:v>
      </x:c>
      <x:c r="D413" s="28" t="str">
        <x:v>картофель</x:v>
      </x:c>
      <x:c r="E413" s="28" t="str">
        <x:v>French fries</x:v>
      </x:c>
      <x:c r="F413" s="28" t="str">
        <x:v>Корнеплоды и клубни</x:v>
      </x:c>
      <x:c r="G413" s="28" t="str">
        <x:v>чёрный трюфель</x:v>
      </x:c>
      <x:c r="H413" s="28" t="str">
        <x:v>black truffle</x:v>
      </x:c>
      <x:c r="I413" s="28" t="str">
        <x:v>Грибы</x:v>
      </x:c>
      <x:c r="J413" s="28" t="str">
        <x:v>крахмалистый, землистый, ореховый и жареный после нагрева</x:v>
      </x:c>
      <x:c r="K413" s="28" t="str">
        <x:v>землистый, грибной и умами</x:v>
      </x:c>
      <x:c r="L413" s="28" t="str">
        <x:v>метиональ, 2-ацетил-1-пирролин, пиразины, альдегиды</x:v>
      </x:c>
      <x:c r="M413" s="28" t="str">
        <x:v>1-октен-3-ол, сернистые соединения</x:v>
      </x:c>
      <x:c r="N413" s="28" t="str">
        <x:v>жареный, землистый</x:v>
      </x:c>
      <x:c r="O413" s="28" t="str">
        <x:v>надёжная общая ключевая молекула не установлена</x:v>
      </x:c>
      <x:c r="P413" s="28" t="str">
        <x:v>пересечение ароматических семейств; умами и солёный контраст</x:v>
      </x:c>
      <x:c r="Q41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3" s="28" t="str">
        <x:v>минимальный</x:v>
      </x:c>
      <x:c r="S413" s="28" t="str">
        <x:v>крахмальная водная матрица; структура зависит от сорта и желатинизации крахмала Белок и жир требуют контроля воды: для жареной ароматики поверхность должна подсохнуть.</x:v>
      </x:c>
      <x:c r="T41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3" s="28" t="str">
        <x:v>Картофель имеет профиль «крахмалистый, землистый, ореховый и жареный после нагрева». Партнёр «чёрный 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V413" s="28" t="str">
        <x:v>зелёные или проросшие клубни не использовать; пережаривание даёт горечь и чрезмерно тёмную корку</x:v>
      </x:c>
      <x:c r="W413" s="28" t="str">
        <x:v>соль, кислота или ароматический жир</x:v>
      </x:c>
      <x:c r="X413" s="28" t="str">
        <x:v>пюре, суп, запекание, крем, гарнир, соус или десертная разработка с чёрный трюфель</x:v>
      </x:c>
      <x:c r="Y413" s="28" t="str">
        <x:v>еда, соусы/маринады</x:v>
      </x:c>
      <x:c r="Z413" s="28" t="str">
        <x:v>Высокая</x:v>
      </x:c>
      <x:c r="AA413" s="28" t="str">
        <x:v>The Art &amp; Science of Foodpairing.pdf</x:v>
      </x:c>
      <x:c r="AB413" s="28" t="str">
        <x:v>The Art &amp; Science of Foodpairing.pdf: 193</x:v>
      </x:c>
      <x:c r="AC413" s="28" t="str">
        <x:v>прямая Classic pairing, стр. 193</x:v>
      </x:c>
      <x:c r="AD413" s="28" t="n">
        <x:v>1</x:v>
      </x:c>
      <x:c r="AE413" s="28" t="n">
        <x:v>1</x:v>
      </x:c>
      <x:c r="AF413" s="28" t="n">
        <x:f>IF(Z413="Высокая",3,IF(Z413="Средняя",2,1))+AD413*2+MIN(AE413,3)</x:f>
        <x:v>6</x:v>
      </x:c>
    </x:row>
    <x:row r="414" ht="64" customHeight="1">
      <x:c r="A414" s="28" t="str">
        <x:v>VEG-0413</x:v>
      </x:c>
      <x:c r="B414" s="28" t="str">
        <x:v>картофель</x:v>
      </x:c>
      <x:c r="C414" s="28" t="str">
        <x:v>Напитки</x:v>
      </x:c>
      <x:c r="D414" s="28" t="str">
        <x:v>картофель</x:v>
      </x:c>
      <x:c r="E414" s="28" t="str">
        <x:v>French fries</x:v>
      </x:c>
      <x:c r="F414" s="28" t="str">
        <x:v>Корнеплоды и клубни</x:v>
      </x:c>
      <x:c r="G414" s="28" t="str">
        <x:v>чёрный чай</x:v>
      </x:c>
      <x:c r="H414" s="28" t="str">
        <x:v>black tea</x:v>
      </x:c>
      <x:c r="I414" s="28" t="str">
        <x:v>Чай</x:v>
      </x:c>
      <x:c r="J414" s="28" t="str">
        <x:v>крахмалистый, землистый, ореховый и жареный после нагрева</x:v>
      </x:c>
      <x:c r="K414" s="28" t="str">
        <x:v>цветочный, древесный или зелёный</x:v>
      </x:c>
      <x:c r="L414" s="28" t="str">
        <x:v>метиональ, 2-ацетил-1-пирролин, пиразины, альдегиды</x:v>
      </x:c>
      <x:c r="M414" s="28" t="str">
        <x:v>линалоол, полифенолы</x:v>
      </x:c>
      <x:c r="N414" s="28" t="str">
        <x:v>прямое пересечение семейств не подтверждено</x:v>
      </x:c>
      <x:c r="O414" s="28" t="str">
        <x:v>надёжная общая ключевая молекула не установлена</x:v>
      </x:c>
      <x:c r="P414" s="28" t="str">
        <x:v>сенсорная комплементарность</x:v>
      </x:c>
      <x:c r="Q41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4" s="28" t="str">
        <x:v>минимальный</x:v>
      </x:c>
      <x:c r="S414" s="28" t="str">
        <x:v>крахмальная водная матрица; структура зависит от сорта и желатинизации крахмала</x:v>
      </x:c>
      <x:c r="T41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4" s="28" t="str">
        <x:v>Картофель имеет профиль «крахмалистый, землистый, ореховый и жареный после нагрева». Партнёр «чёрный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414" s="28" t="str">
        <x:v>зелёные или проросшие клубни не использовать; пережаривание даёт горечь и чрезмерно тёмную корку</x:v>
      </x:c>
      <x:c r="W414" s="28" t="str">
        <x:v>соль, кислота или ароматический жир</x:v>
      </x:c>
      <x:c r="X414" s="28" t="str">
        <x:v>пюре, суп, запекание, крем, гарнир, соус или десертная разработка с чёрный чай</x:v>
      </x:c>
      <x:c r="Y414" s="28" t="str">
        <x:v>напитки, еда, соусы/маринады</x:v>
      </x:c>
      <x:c r="Z414" s="28" t="str">
        <x:v>Средняя</x:v>
      </x:c>
      <x:c r="AA414" s="28" t="str">
        <x:v>The Art &amp; Science of Foodpairing.pdf</x:v>
      </x:c>
      <x:c r="AB414" s="28" t="str">
        <x:v>The Art &amp; Science of Foodpairing.pdf: 196</x:v>
      </x:c>
      <x:c r="AC414" s="28" t="str">
        <x:v>связь из pairing grid, стр. 196</x:v>
      </x:c>
      <x:c r="AD414" s="28" t="n">
        <x:v>1</x:v>
      </x:c>
      <x:c r="AE414" s="28" t="n">
        <x:v>1</x:v>
      </x:c>
      <x:c r="AF414" s="28" t="n">
        <x:f>IF(Z414="Высокая",3,IF(Z414="Средняя",2,1))+AD414*2+MIN(AE414,3)</x:f>
        <x:v>5</x:v>
      </x:c>
    </x:row>
    <x:row r="415" ht="64" customHeight="1">
      <x:c r="A415" s="28" t="str">
        <x:v>VEG-0414</x:v>
      </x:c>
      <x:c r="B415" s="28" t="str">
        <x:v>картофель</x:v>
      </x:c>
      <x:c r="C415" s="28" t="str">
        <x:v>Универсальные</x:v>
      </x:c>
      <x:c r="D415" s="28" t="str">
        <x:v>картофель</x:v>
      </x:c>
      <x:c r="E415" s="28" t="str">
        <x:v>Картофель | картофель</x:v>
      </x:c>
      <x:c r="F415" s="28" t="str">
        <x:v>Корнеплоды и клубни</x:v>
      </x:c>
      <x:c r="G415" s="28" t="str">
        <x:v>шафран</x:v>
      </x:c>
      <x:c r="H415" s="28" t="str">
        <x:v>Шафран | шафран</x:v>
      </x:c>
      <x:c r="I415" s="28" t="str">
        <x:v>Специи</x:v>
      </x:c>
      <x:c r="J415" s="28" t="str">
        <x:v>крахмалистый, землистый, ореховый и жареный после нагрева</x:v>
      </x:c>
      <x:c r="K415" s="28" t="str">
        <x:v>пряный и древесный</x:v>
      </x:c>
      <x:c r="L415" s="28" t="str">
        <x:v>метиональ, 2-ацетил-1-пирролин, пиразины, альдегиды</x:v>
      </x:c>
      <x:c r="M415" s="28" t="str">
        <x:v>терпены, фенилпропаноиды</x:v>
      </x:c>
      <x:c r="N415" s="28" t="str">
        <x:v>прямое пересечение семейств не подтверждено</x:v>
      </x:c>
      <x:c r="O415" s="28" t="str">
        <x:v>надёжная общая ключевая молекула не установлена</x:v>
      </x:c>
      <x:c r="P415" s="28" t="str">
        <x:v>сенсорная комплементарность</x:v>
      </x:c>
      <x:c r="Q41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5" s="28" t="str">
        <x:v>минимальный</x:v>
      </x:c>
      <x:c r="S415" s="28" t="str">
        <x:v>крахмальная водная матрица; структура зависит от сорта и желатинизации крахмала</x:v>
      </x:c>
      <x:c r="T41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5" s="28" t="str">
        <x:v>Картофель имеет профиль «крахмалистый, землистый, ореховый и жареный после нагрева».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415" s="28" t="str">
        <x:v>зелёные или проросшие клубни не использовать; пережаривание даёт горечь и чрезмерно тёмную корку</x:v>
      </x:c>
      <x:c r="W415" s="28" t="str">
        <x:v>цитрус, йогурт или мёд</x:v>
      </x:c>
      <x:c r="X415" s="28" t="str">
        <x:v>пюре, суп, запекание, крем, гарнир, соус или десертная разработка с шафран</x:v>
      </x:c>
      <x:c r="Y415" s="28" t="str">
        <x:v>еда, соусы/маринады</x:v>
      </x:c>
      <x:c r="Z415" s="28" t="str">
        <x:v>Средняя</x:v>
      </x:c>
      <x:c r="AA415" s="28" t="str">
        <x:v>Тезариус вкусов (Ники Сегнит)(1).pdf</x:v>
      </x:c>
      <x:c r="AB415" s="28" t="str">
        <x:v>Тезариус вкусов (Ники Сегнит)(1).pdf: 246, 474</x:v>
      </x:c>
      <x:c r="AC415" s="28" t="str">
        <x:v>развёрнутая пара/статья, стр. 246; развёрнутая пара/статья, стр. 474</x:v>
      </x:c>
      <x:c r="AD415" s="28" t="n">
        <x:v>1</x:v>
      </x:c>
      <x:c r="AE415" s="28" t="n">
        <x:v>2</x:v>
      </x:c>
      <x:c r="AF415" s="28" t="n">
        <x:f>IF(Z415="Высокая",3,IF(Z415="Средняя",2,1))+AD415*2+MIN(AE415,3)</x:f>
        <x:v>6</x:v>
      </x:c>
    </x:row>
    <x:row r="416" ht="64" customHeight="1">
      <x:c r="A416" s="28" t="str">
        <x:v>VEG-0415</x:v>
      </x:c>
      <x:c r="B416" s="28" t="str">
        <x:v>картофель</x:v>
      </x:c>
      <x:c r="C416" s="28" t="str">
        <x:v>Десерты и выпечка</x:v>
      </x:c>
      <x:c r="D416" s="28" t="str">
        <x:v>картофель</x:v>
      </x:c>
      <x:c r="E416" s="28" t="str">
        <x:v>boiled potato</x:v>
      </x:c>
      <x:c r="F416" s="28" t="str">
        <x:v>Корнеплоды и клубни</x:v>
      </x:c>
      <x:c r="G416" s="28" t="str">
        <x:v>шоколад</x:v>
      </x:c>
      <x:c r="H416" s="28" t="str">
        <x:v>chocolate</x:v>
      </x:c>
      <x:c r="I416" s="28" t="str">
        <x:v>Какао и шоколад</x:v>
      </x:c>
      <x:c r="J416" s="28" t="str">
        <x:v>крахмалистый, землистый, ореховый и жареный после нагрева</x:v>
      </x:c>
      <x:c r="K416" s="28" t="str">
        <x:v>жареный, какаовый, карамельный</x:v>
      </x:c>
      <x:c r="L416" s="28" t="str">
        <x:v>метиональ, 2-ацетил-1-пирролин, пиразины, альдегиды</x:v>
      </x:c>
      <x:c r="M416" s="28" t="str">
        <x:v>пиразины, фураны</x:v>
      </x:c>
      <x:c r="N416" s="28" t="str">
        <x:v>жареный</x:v>
      </x:c>
      <x:c r="O416" s="28" t="str">
        <x:v>пиразины</x:v>
      </x:c>
      <x:c r="P416" s="28" t="str">
        <x:v>общие характерные молекулы; пересечение ароматических семейств</x:v>
      </x:c>
      <x:c r="Q41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6" s="28" t="str">
        <x:v>минимальный</x:v>
      </x:c>
      <x:c r="S416" s="28" t="str">
        <x:v>крахмальная водная матрица; структура зависит от сорта и желатинизации крахмала</x:v>
      </x:c>
      <x:c r="T41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6" s="28" t="str">
        <x:v>Картофель имеет профиль «крахмалистый, землистый, ореховый и жареный после нагрева».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V416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W416" s="28" t="str">
        <x:v>сливки, орех или карамель</x:v>
      </x:c>
      <x:c r="X416" s="28" t="str">
        <x:v>пюре, суп, запекание, крем, гарнир, соус или десертная разработка с шоколад</x:v>
      </x:c>
      <x:c r="Y416" s="28" t="str">
        <x:v>еда, десерты, соусы/маринады</x:v>
      </x:c>
      <x:c r="Z416" s="28" t="str">
        <x:v>Средняя</x:v>
      </x:c>
      <x:c r="AA416" s="28" t="str">
        <x:v>The Art &amp; Science of Foodpairing.pdf</x:v>
      </x:c>
      <x:c r="AB416" s="28" t="str">
        <x:v>The Art &amp; Science of Foodpairing.pdf: 62</x:v>
      </x:c>
      <x:c r="AC416" s="28" t="str">
        <x:v>связь из pairing grid, стр. 62</x:v>
      </x:c>
      <x:c r="AD416" s="28" t="n">
        <x:v>1</x:v>
      </x:c>
      <x:c r="AE416" s="28" t="n">
        <x:v>1</x:v>
      </x:c>
      <x:c r="AF416" s="28" t="n">
        <x:f>IF(Z416="Высокая",3,IF(Z416="Средняя",2,1))+AD416*2+MIN(AE416,3)</x:f>
        <x:v>5</x:v>
      </x:c>
    </x:row>
    <x:row r="417" ht="64" customHeight="1">
      <x:c r="A417" s="28" t="str">
        <x:v>VEG-0416</x:v>
      </x:c>
      <x:c r="B417" s="28" t="str">
        <x:v>картофель</x:v>
      </x:c>
      <x:c r="C417" s="28" t="str">
        <x:v>Десерты и выпечка</x:v>
      </x:c>
      <x:c r="D417" s="28" t="str">
        <x:v>картофель</x:v>
      </x:c>
      <x:c r="E417" s="28" t="str">
        <x:v>potato</x:v>
      </x:c>
      <x:c r="F417" s="28" t="str">
        <x:v>Корнеплоды и клубни</x:v>
      </x:c>
      <x:c r="G417" s="28" t="str">
        <x:v>яблоко</x:v>
      </x:c>
      <x:c r="H417" s="28" t="str">
        <x:v>apple sauce</x:v>
      </x:c>
      <x:c r="I417" s="28" t="str">
        <x:v>Фрукты и ягоды</x:v>
      </x:c>
      <x:c r="J417" s="28" t="str">
        <x:v>крахмалистый, землистый, ореховый и жареный после нагрева</x:v>
      </x:c>
      <x:c r="K417" s="28" t="str">
        <x:v>зелёный, свежий, фруктовый</x:v>
      </x:c>
      <x:c r="L417" s="28" t="str">
        <x:v>метиональ, 2-ацетил-1-пирролин, пиразины, альдегиды</x:v>
      </x:c>
      <x:c r="M417" s="28" t="str">
        <x:v>гексаналь, гексилацетат</x:v>
      </x:c>
      <x:c r="N417" s="28" t="str">
        <x:v>прямое пересечение семейств не подтверждено</x:v>
      </x:c>
      <x:c r="O417" s="28" t="str">
        <x:v>надёжная общая ключевая молекула не установлена</x:v>
      </x:c>
      <x:c r="P417" s="28" t="str">
        <x:v>кислотно-сладкий баланс</x:v>
      </x:c>
      <x:c r="Q41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7" s="28" t="str">
        <x:v>минимальный</x:v>
      </x:c>
      <x:c r="S417" s="28" t="str">
        <x:v>крахмальная водная матрица; структура зависит от сорта и желатинизации крахмала Водная кислая фаза усиливает свежесть, но может разжижать пюре и нарушать молочную эмульсию.</x:v>
      </x:c>
      <x:c r="T41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7" s="28" t="str">
        <x:v>Картофель имеет профиль «крахмалистый, землистый, ореховый и жареный после нагрева».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417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W417" s="28" t="str">
        <x:v>цитрус, мёд или мягкая трава</x:v>
      </x:c>
      <x:c r="X417" s="28" t="str">
        <x:v>пюре, суп, запекание, крем, гарнир, соус или десертная разработка с яблоко</x:v>
      </x:c>
      <x:c r="Y417" s="28" t="str">
        <x:v>еда, десерты, соусы/маринады</x:v>
      </x:c>
      <x:c r="Z417" s="28" t="str">
        <x:v>Высокая</x:v>
      </x:c>
      <x:c r="AA417" s="28" t="str">
        <x:v>The Art &amp; Science of Foodpairing.pdf</x:v>
      </x:c>
      <x:c r="AB417" s="28" t="str">
        <x:v>The Art &amp; Science of Foodpairing.pdf: 48</x:v>
      </x:c>
      <x:c r="AC417" s="28" t="str">
        <x:v>прямая Classic pairing, стр. 48</x:v>
      </x:c>
      <x:c r="AD417" s="28" t="n">
        <x:v>1</x:v>
      </x:c>
      <x:c r="AE417" s="28" t="n">
        <x:v>1</x:v>
      </x:c>
      <x:c r="AF417" s="28" t="n">
        <x:f>IF(Z417="Высокая",3,IF(Z417="Средняя",2,1))+AD417*2+MIN(AE417,3)</x:f>
        <x:v>6</x:v>
      </x:c>
    </x:row>
    <x:row r="418" ht="64" customHeight="1">
      <x:c r="A418" s="28" t="str">
        <x:v>VEG-0417</x:v>
      </x:c>
      <x:c r="B418" s="28" t="str">
        <x:v>картофель</x:v>
      </x:c>
      <x:c r="C418" s="28" t="str">
        <x:v>Универсальные</x:v>
      </x:c>
      <x:c r="D418" s="28" t="str">
        <x:v>картофель</x:v>
      </x:c>
      <x:c r="E418" s="28" t="str">
        <x:v>Картофель | картофель</x:v>
      </x:c>
      <x:c r="F418" s="28" t="str">
        <x:v>Корнеплоды и клубни</x:v>
      </x:c>
      <x:c r="G418" s="28" t="str">
        <x:v>яйца</x:v>
      </x:c>
      <x:c r="H418" s="28" t="str">
        <x:v>Яйца | яйца</x:v>
      </x:c>
      <x:c r="I418" s="28" t="str">
        <x:v>Прочее</x:v>
      </x:c>
      <x:c r="J418" s="28" t="str">
        <x:v>крахмалистый, землистый, ореховый и жареный после нагрева</x:v>
      </x:c>
      <x:c r="K418" s="28" t="str">
        <x:v>профиль зависит от конкретного продукта</x:v>
      </x:c>
      <x:c r="L418" s="28" t="str">
        <x:v>метиональ, 2-ацетил-1-пирролин, пиразины, альдегиды</x:v>
      </x:c>
      <x:c r="M418" s="28" t="str">
        <x:v>конкретный молекулярный профиль не указан</x:v>
      </x:c>
      <x:c r="N418" s="28" t="str">
        <x:v>прямое пересечение семейств не подтверждено</x:v>
      </x:c>
      <x:c r="O418" s="28" t="str">
        <x:v>надёжная общая ключевая молекула не установлена</x:v>
      </x:c>
      <x:c r="P418" s="28" t="str">
        <x:v>сенсорная комплементарность</x:v>
      </x:c>
      <x:c r="Q41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418" s="28" t="str">
        <x:v>минимальный</x:v>
      </x:c>
      <x:c r="S418" s="28" t="str">
        <x:v>крахмальная водная матрица; структура зависит от сорта и желатинизации крахмала</x:v>
      </x:c>
      <x:c r="T41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U418" s="28" t="str">
        <x:v>Картофель имеет профиль «крахмалистый, землистый, ореховый и жареный после нагрева».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418" s="28" t="str">
        <x:v>зелёные или проросшие клубни не использовать; пережаривание даёт горечь и чрезмерно тёмную корку</x:v>
      </x:c>
      <x:c r="W418" s="28" t="str">
        <x:v>соль, кислота или ароматический жир</x:v>
      </x:c>
      <x:c r="X418" s="28" t="str">
        <x:v>пюре, суп, запекание, крем, гарнир, соус или десертная разработка с яйца</x:v>
      </x:c>
      <x:c r="Y418" s="28" t="str">
        <x:v>еда, соусы/маринады</x:v>
      </x:c>
      <x:c r="Z418" s="28" t="str">
        <x:v>Средняя</x:v>
      </x:c>
      <x:c r="AA418" s="28" t="str">
        <x:v>Тезариус вкусов (Ники Сегнит)(1).pdf</x:v>
      </x:c>
      <x:c r="AB418" s="28" t="str">
        <x:v>Тезариус вкусов (Ники Сегнит)(1).pdf: 246, 354</x:v>
      </x:c>
      <x:c r="AC418" s="28" t="str">
        <x:v>развёрнутая пара/статья, стр. 246; развёрнутая пара/статья, стр. 354</x:v>
      </x:c>
      <x:c r="AD418" s="28" t="n">
        <x:v>1</x:v>
      </x:c>
      <x:c r="AE418" s="28" t="n">
        <x:v>2</x:v>
      </x:c>
      <x:c r="AF418" s="28" t="n">
        <x:f>IF(Z418="Высокая",3,IF(Z418="Средняя",2,1))+AD418*2+MIN(AE418,3)</x:f>
        <x:v>6</x:v>
      </x:c>
    </x:row>
    <x:row r="419" ht="64" customHeight="1">
      <x:c r="A419" s="28" t="str">
        <x:v>VEG-0418</x:v>
      </x:c>
      <x:c r="B419" s="28" t="str">
        <x:v>лук</x:v>
      </x:c>
      <x:c r="C419" s="28" t="str">
        <x:v>Универсальные</x:v>
      </x:c>
      <x:c r="D419" s="28" t="str">
        <x:v>лук</x:v>
      </x:c>
      <x:c r="E419" s="28" t="str">
        <x:v>Лук | лук</x:v>
      </x:c>
      <x:c r="F419" s="28" t="str">
        <x:v>Луковые овощи</x:v>
      </x:c>
      <x:c r="G419" s="28" t="str">
        <x:v>«черный пудинг»</x:v>
      </x:c>
      <x:c r="H419" s="28" t="str">
        <x:v>«Черный пудинг» | «черный пудинг»</x:v>
      </x:c>
      <x:c r="I419" s="28" t="str">
        <x:v>Прочее</x:v>
      </x:c>
      <x:c r="J419" s="28" t="str">
        <x:v>сернистый, сладкий, зелёный; после жарки — карамельный и мясной</x:v>
      </x:c>
      <x:c r="K419" s="28" t="str">
        <x:v>профиль зависит от конкретного продукта</x:v>
      </x:c>
      <x:c r="L419" s="28" t="str">
        <x:v>тиосульфинаты, пропантиаль-S-оксид, диаллилдисульфид, фураны</x:v>
      </x:c>
      <x:c r="M419" s="28" t="str">
        <x:v>конкретный молекулярный профиль не указан</x:v>
      </x:c>
      <x:c r="N419" s="28" t="str">
        <x:v>прямое пересечение семейств не подтверждено</x:v>
      </x:c>
      <x:c r="O419" s="28" t="str">
        <x:v>надёжная общая ключевая молекула не установлена</x:v>
      </x:c>
      <x:c r="P419" s="28" t="str">
        <x:v>сернистая или горчичная комплементарность</x:v>
      </x:c>
      <x:c r="Q41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19" s="28" t="str">
        <x:v>слезоточивое и жгучее воздействие сернистых соединений</x:v>
      </x:c>
      <x:c r="S419" s="28" t="str">
        <x:v>водная клеточная матрица с сахарами и серосодержащими предшественниками</x:v>
      </x:c>
      <x:c r="T41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19" s="28" t="str">
        <x:v>Лук имеет профиль «сернистый, сладкий, зелёный; после жарки — карамельный и мясной». Партнёр ««черный пудинг»»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19" s="28" t="str">
        <x:v>сырой лук легко перекрывает деликатные ароматы; подгорание создаёт устойчивую горечь</x:v>
      </x:c>
      <x:c r="W419" s="28" t="str">
        <x:v>соль, кислота или ароматический жир</x:v>
      </x:c>
      <x:c r="X419" s="28" t="str">
        <x:v>горячее блюдо, бульон, соус, пюре, ферментация или гарнир с «черный пудинг»</x:v>
      </x:c>
      <x:c r="Y419" s="28" t="str">
        <x:v>еда, соусы/маринады</x:v>
      </x:c>
      <x:c r="Z419" s="28" t="str">
        <x:v>Средняя</x:v>
      </x:c>
      <x:c r="AA419" s="28" t="str">
        <x:v>Тезариус вкусов (Ники Сегнит)(1).pdf</x:v>
      </x:c>
      <x:c r="AB419" s="28" t="str">
        <x:v>Тезариус вкусов (Ники Сегнит)(1).pdf: 94, 288</x:v>
      </x:c>
      <x:c r="AC419" s="28" t="str">
        <x:v>развёрнутая пара/статья, стр. 94; развёрнутая пара/статья, стр. 288</x:v>
      </x:c>
      <x:c r="AD419" s="28" t="n">
        <x:v>1</x:v>
      </x:c>
      <x:c r="AE419" s="28" t="n">
        <x:v>2</x:v>
      </x:c>
      <x:c r="AF419" s="28" t="n">
        <x:f>IF(Z419="Высокая",3,IF(Z419="Средняя",2,1))+AD419*2+MIN(AE419,3)</x:f>
        <x:v>6</x:v>
      </x:c>
    </x:row>
    <x:row r="420" ht="64" customHeight="1">
      <x:c r="A420" s="28" t="str">
        <x:v>VEG-0419</x:v>
      </x:c>
      <x:c r="B420" s="28" t="str">
        <x:v>лук</x:v>
      </x:c>
      <x:c r="C420" s="28" t="str">
        <x:v>Еда и соусы</x:v>
      </x:c>
      <x:c r="D420" s="28" t="str">
        <x:v>лук</x:v>
      </x:c>
      <x:c r="E420" s="28" t="str">
        <x:v>Лук | лук</x:v>
      </x:c>
      <x:c r="F420" s="28" t="str">
        <x:v>Луковые овощи</x:v>
      </x:c>
      <x:c r="G420" s="28" t="str">
        <x:v>анчоусы</x:v>
      </x:c>
      <x:c r="H420" s="28" t="str">
        <x:v>Анчоусы | анчоусы</x:v>
      </x:c>
      <x:c r="I420" s="28" t="str">
        <x:v>Рыба и морепродукты</x:v>
      </x:c>
      <x:c r="J420" s="28" t="str">
        <x:v>сернистый, сладкий, зелёный; после жарки — карамельный и мясной</x:v>
      </x:c>
      <x:c r="K420" s="28" t="str">
        <x:v>морской, солоноватый и умами</x:v>
      </x:c>
      <x:c r="L420" s="28" t="str">
        <x:v>тиосульфинаты, пропантиаль-S-оксид, диаллилдисульфид, фураны</x:v>
      </x:c>
      <x:c r="M420" s="28" t="str">
        <x:v>альдегиды, амины</x:v>
      </x:c>
      <x:c r="N420" s="28" t="str">
        <x:v>прямое пересечение семейств не подтверждено</x:v>
      </x:c>
      <x:c r="O420" s="28" t="str">
        <x:v>надёжная общая ключевая молекула не установлена</x:v>
      </x:c>
      <x:c r="P420" s="28" t="str">
        <x:v>умами и солёный контраст; сернистая или горчичная комплементарность</x:v>
      </x:c>
      <x:c r="Q42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0" s="28" t="str">
        <x:v>слезоточивое и жгучее воздействие сернистых соединений</x:v>
      </x:c>
      <x:c r="S420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2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0" s="28" t="str">
        <x:v>Лук имеет профиль «сернистый, сладкий, зелёный; после жарки — карамельный и мясной».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0" s="28" t="str">
        <x:v>сырой лук легко перекрывает деликатные ароматы; подгорание создаёт устойчивую горечь</x:v>
      </x:c>
      <x:c r="W420" s="28" t="str">
        <x:v>сливочное масло, соевый соус или тимьян</x:v>
      </x:c>
      <x:c r="X420" s="28" t="str">
        <x:v>горячее блюдо, бульон, соус, пюре, ферментация или гарнир с анчоусы</x:v>
      </x:c>
      <x:c r="Y420" s="28" t="str">
        <x:v>еда, соусы/маринады</x:v>
      </x:c>
      <x:c r="Z420" s="28" t="str">
        <x:v>Средняя</x:v>
      </x:c>
      <x:c r="AA420" s="28" t="str">
        <x:v>Тезариус вкусов (Ники Сегнит)(1).pdf</x:v>
      </x:c>
      <x:c r="AB420" s="28" t="str">
        <x:v>Тезариус вкусов (Ники Сегнит)(1).pdf: 278, 428</x:v>
      </x:c>
      <x:c r="AC420" s="28" t="str">
        <x:v>развёрнутая пара/статья, стр. 278; развёрнутая пара/статья, стр. 428</x:v>
      </x:c>
      <x:c r="AD420" s="28" t="n">
        <x:v>1</x:v>
      </x:c>
      <x:c r="AE420" s="28" t="n">
        <x:v>2</x:v>
      </x:c>
      <x:c r="AF420" s="28" t="n">
        <x:f>IF(Z420="Высокая",3,IF(Z420="Средняя",2,1))+AD420*2+MIN(AE420,3)</x:f>
        <x:v>6</x:v>
      </x:c>
    </x:row>
    <x:row r="421" ht="64" customHeight="1">
      <x:c r="A421" s="28" t="str">
        <x:v>VEG-0420</x:v>
      </x:c>
      <x:c r="B421" s="28" t="str">
        <x:v>лук</x:v>
      </x:c>
      <x:c r="C421" s="28" t="str">
        <x:v>Десерты и выпечка</x:v>
      </x:c>
      <x:c r="D421" s="28" t="str">
        <x:v>лук</x:v>
      </x:c>
      <x:c r="E421" s="28" t="str">
        <x:v>Лук | лук</x:v>
      </x:c>
      <x:c r="F421" s="28" t="str">
        <x:v>Луковые овощи</x:v>
      </x:c>
      <x:c r="G421" s="28" t="str">
        <x:v>апельсин</x:v>
      </x:c>
      <x:c r="H421" s="28" t="str">
        <x:v>Апельсин | апельсин</x:v>
      </x:c>
      <x:c r="I421" s="28" t="str">
        <x:v>Фрукты и ягоды</x:v>
      </x:c>
      <x:c r="J421" s="28" t="str">
        <x:v>сернистый, сладкий, зелёный; после жарки — карамельный и мясной</x:v>
      </x:c>
      <x:c r="K421" s="28" t="str">
        <x:v>сладкий, цветочный, цитрусовый</x:v>
      </x:c>
      <x:c r="L421" s="28" t="str">
        <x:v>тиосульфинаты, пропантиаль-S-оксид, диаллилдисульфид, фураны</x:v>
      </x:c>
      <x:c r="M421" s="28" t="str">
        <x:v>лимонен, линалоол</x:v>
      </x:c>
      <x:c r="N421" s="28" t="str">
        <x:v>сладкий</x:v>
      </x:c>
      <x:c r="O421" s="28" t="str">
        <x:v>надёжная общая ключевая молекула не установлена</x:v>
      </x:c>
      <x:c r="P421" s="28" t="str">
        <x:v>пересечение ароматических семейств; кислотно-сладкий баланс; сернистая или горчичная комплементарность</x:v>
      </x:c>
      <x:c r="Q42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1" s="28" t="str">
        <x:v>слезоточивое и жгучее воздействие сернистых соединений</x:v>
      </x:c>
      <x:c r="S421" s="28" t="str">
        <x:v>водная клеточная матрица с сахарами и серосодержащими предшественниками Водная кислая фаза усиливает свежесть, но может разжижать пюре и нарушать молочную эмульсию.</x:v>
      </x:c>
      <x:c r="T42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1" s="28" t="str">
        <x:v>Лук имеет профиль «сернистый, сладкий, зелёный; после жарки — карамельный и мясной».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1" s="28" t="str">
        <x:v>сырой лук легко перекрывает деликатные ароматы; подгорание создаёт устойчивую горечь; избыток кислоты или воды может сделать овощной вкус тонким и разрушить сливочную эмульсию</x:v>
      </x:c>
      <x:c r="W421" s="28" t="str">
        <x:v>цитрус, мёд или мягкая трава</x:v>
      </x:c>
      <x:c r="X421" s="28" t="str">
        <x:v>горячее блюдо, бульон, соус, пюре, ферментация или гарнир с апельсин</x:v>
      </x:c>
      <x:c r="Y421" s="28" t="str">
        <x:v>еда, десерты, соусы/маринады</x:v>
      </x:c>
      <x:c r="Z421" s="28" t="str">
        <x:v>Средняя</x:v>
      </x:c>
      <x:c r="AA421" s="28" t="str">
        <x:v>Тезариус вкусов (Ники Сегнит)(1).pdf</x:v>
      </x:c>
      <x:c r="AB421" s="28" t="str">
        <x:v>Тезариус вкусов (Ники Сегнит)(1).pdf: 280, 777</x:v>
      </x:c>
      <x:c r="AC421" s="28" t="str">
        <x:v>развёрнутая пара/статья, стр. 280; развёрнутая пара/статья, стр. 777</x:v>
      </x:c>
      <x:c r="AD421" s="28" t="n">
        <x:v>1</x:v>
      </x:c>
      <x:c r="AE421" s="28" t="n">
        <x:v>2</x:v>
      </x:c>
      <x:c r="AF421" s="28" t="n">
        <x:f>IF(Z421="Высокая",3,IF(Z421="Средняя",2,1))+AD421*2+MIN(AE421,3)</x:f>
        <x:v>6</x:v>
      </x:c>
    </x:row>
    <x:row r="422" ht="64" customHeight="1">
      <x:c r="A422" s="28" t="str">
        <x:v>VEG-0421</x:v>
      </x:c>
      <x:c r="B422" s="28" t="str">
        <x:v>лук</x:v>
      </x:c>
      <x:c r="C422" s="28" t="str">
        <x:v>Еда и соусы</x:v>
      </x:c>
      <x:c r="D422" s="28" t="str">
        <x:v>лук</x:v>
      </x:c>
      <x:c r="E422" s="28" t="str">
        <x:v>Лук | лук</x:v>
      </x:c>
      <x:c r="F422" s="28" t="str">
        <x:v>Луковые овощи</x:v>
      </x:c>
      <x:c r="G422" s="28" t="str">
        <x:v>баранина</x:v>
      </x:c>
      <x:c r="H422" s="28" t="str">
        <x:v>Баранина | баранина</x:v>
      </x:c>
      <x:c r="I422" s="28" t="str">
        <x:v>Мясо и птица</x:v>
      </x:c>
      <x:c r="J422" s="28" t="str">
        <x:v>сернистый, сладкий, зелёный; после жарки — карамельный и мясной</x:v>
      </x:c>
      <x:c r="K422" s="28" t="str">
        <x:v>жареный, мясной и умами</x:v>
      </x:c>
      <x:c r="L422" s="28" t="str">
        <x:v>тиосульфинаты, пропантиаль-S-оксид, диаллилдисульфид, фураны</x:v>
      </x:c>
      <x:c r="M422" s="28" t="str">
        <x:v>пиразины, сернистые соединения</x:v>
      </x:c>
      <x:c r="N422" s="28" t="str">
        <x:v>жареный</x:v>
      </x:c>
      <x:c r="O422" s="28" t="str">
        <x:v>надёжная общая ключевая молекула не установлена</x:v>
      </x:c>
      <x:c r="P422" s="28" t="str">
        <x:v>пересечение ароматических семейств; умами и солёный контраст; сернистая или горчичная комплементарность</x:v>
      </x:c>
      <x:c r="Q42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2" s="28" t="str">
        <x:v>слезоточивое и жгучее воздействие сернистых соединений</x:v>
      </x:c>
      <x:c r="S422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2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2" s="28" t="str">
        <x:v>Лук имеет профиль «сернистый, сладкий, зелёный; после жарки — карамельный и мясной». Партнёр «баранина»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2" s="28" t="str">
        <x:v>сырой лук легко перекрывает деликатные ароматы; подгорание создаёт устойчивую горечь</x:v>
      </x:c>
      <x:c r="W422" s="28" t="str">
        <x:v>сливочное масло, соевый соус или тимьян</x:v>
      </x:c>
      <x:c r="X422" s="28" t="str">
        <x:v>горячее блюдо, бульон, соус, пюре, ферментация или гарнир с баранина</x:v>
      </x:c>
      <x:c r="Y422" s="28" t="str">
        <x:v>еда, соусы/маринады</x:v>
      </x:c>
      <x:c r="Z422" s="28" t="str">
        <x:v>Средняя</x:v>
      </x:c>
      <x:c r="AA422" s="28" t="str">
        <x:v>Тезариус вкусов (Ники Сегнит)(1).pdf</x:v>
      </x:c>
      <x:c r="AB422" s="28" t="str">
        <x:v>Тезариус вкусов (Ники Сегнит)(1).pdf: 130, 280</x:v>
      </x:c>
      <x:c r="AC422" s="28" t="str">
        <x:v>развёрнутая пара/статья, стр. 130; развёрнутая пара/статья, стр. 280</x:v>
      </x:c>
      <x:c r="AD422" s="28" t="n">
        <x:v>1</x:v>
      </x:c>
      <x:c r="AE422" s="28" t="n">
        <x:v>2</x:v>
      </x:c>
      <x:c r="AF422" s="28" t="n">
        <x:f>IF(Z422="Высокая",3,IF(Z422="Средняя",2,1))+AD422*2+MIN(AE422,3)</x:f>
        <x:v>6</x:v>
      </x:c>
    </x:row>
    <x:row r="423" ht="64" customHeight="1">
      <x:c r="A423" s="28" t="str">
        <x:v>VEG-0422</x:v>
      </x:c>
      <x:c r="B423" s="28" t="str">
        <x:v>лук</x:v>
      </x:c>
      <x:c r="C423" s="28" t="str">
        <x:v>Еда и соусы</x:v>
      </x:c>
      <x:c r="D423" s="28" t="str">
        <x:v>лук</x:v>
      </x:c>
      <x:c r="E423" s="28" t="str">
        <x:v>Лук | лук</x:v>
      </x:c>
      <x:c r="F423" s="28" t="str">
        <x:v>Луковые овощи</x:v>
      </x:c>
      <x:c r="G423" s="28" t="str">
        <x:v>бекон</x:v>
      </x:c>
      <x:c r="H423" s="28" t="str">
        <x:v>Бекон | бекон</x:v>
      </x:c>
      <x:c r="I423" s="28" t="str">
        <x:v>Мясо и птица</x:v>
      </x:c>
      <x:c r="J423" s="28" t="str">
        <x:v>сернистый, сладкий, зелёный; после жарки — карамельный и мясной</x:v>
      </x:c>
      <x:c r="K423" s="28" t="str">
        <x:v>дымный, жареный, умами</x:v>
      </x:c>
      <x:c r="L423" s="28" t="str">
        <x:v>тиосульфинаты, пропантиаль-S-оксид, диаллилдисульфид, фураны</x:v>
      </x:c>
      <x:c r="M423" s="28" t="str">
        <x:v>пиразины, фенолы</x:v>
      </x:c>
      <x:c r="N423" s="28" t="str">
        <x:v>жареный</x:v>
      </x:c>
      <x:c r="O423" s="28" t="str">
        <x:v>надёжная общая ключевая молекула не установлена</x:v>
      </x:c>
      <x:c r="P423" s="28" t="str">
        <x:v>пересечение ароматических семейств; умами и солёный контраст; сернистая или горчичная комплементарность</x:v>
      </x:c>
      <x:c r="Q42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3" s="28" t="str">
        <x:v>слезоточивое и жгучее воздействие сернистых соединений</x:v>
      </x:c>
      <x:c r="S423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2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3" s="28" t="str">
        <x:v>Лук имеет профиль «сернистый, сладкий, зелёный; после жарки — карамельный и мясной». Партнёр «бекон» относится к группе «Мясо и птица» и даёт дымный, жареный,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3" s="28" t="str">
        <x:v>сырой лук легко перекрывает деликатные ароматы; подгорание создаёт устойчивую горечь</x:v>
      </x:c>
      <x:c r="W423" s="28" t="str">
        <x:v>сливочное масло, соевый соус или тимьян</x:v>
      </x:c>
      <x:c r="X423" s="28" t="str">
        <x:v>горячее блюдо, бульон, соус, пюре, ферментация или гарнир с бекон</x:v>
      </x:c>
      <x:c r="Y423" s="28" t="str">
        <x:v>еда, соусы/маринады</x:v>
      </x:c>
      <x:c r="Z423" s="28" t="str">
        <x:v>Средняя</x:v>
      </x:c>
      <x:c r="AA423" s="28" t="str">
        <x:v>Тезариус вкусов (Ники Сегнит)(1).pdf</x:v>
      </x:c>
      <x:c r="AB423" s="28" t="str">
        <x:v>Тезариус вкусов (Ники Сегнит)(1).pdf: 281, 445</x:v>
      </x:c>
      <x:c r="AC423" s="28" t="str">
        <x:v>развёрнутая пара/статья, стр. 281; развёрнутая пара/статья, стр. 445</x:v>
      </x:c>
      <x:c r="AD423" s="28" t="n">
        <x:v>1</x:v>
      </x:c>
      <x:c r="AE423" s="28" t="n">
        <x:v>2</x:v>
      </x:c>
      <x:c r="AF423" s="28" t="n">
        <x:f>IF(Z423="Высокая",3,IF(Z423="Средняя",2,1))+AD423*2+MIN(AE423,3)</x:f>
        <x:v>6</x:v>
      </x:c>
    </x:row>
    <x:row r="424" ht="64" customHeight="1">
      <x:c r="A424" s="28" t="str">
        <x:v>VEG-0423</x:v>
      </x:c>
      <x:c r="B424" s="28" t="str">
        <x:v>лук</x:v>
      </x:c>
      <x:c r="C424" s="28" t="str">
        <x:v>Универсальные</x:v>
      </x:c>
      <x:c r="D424" s="28" t="str">
        <x:v>лук</x:v>
      </x:c>
      <x:c r="E424" s="28" t="str">
        <x:v>Лук | лук</x:v>
      </x:c>
      <x:c r="F424" s="28" t="str">
        <x:v>Луковые овощи</x:v>
      </x:c>
      <x:c r="G424" s="28" t="str">
        <x:v>болгарский перец</x:v>
      </x:c>
      <x:c r="H424" s="28" t="str">
        <x:v>Болгарский перец | болгарский перец</x:v>
      </x:c>
      <x:c r="I424" s="28" t="str">
        <x:v>Плодовые овощи</x:v>
      </x:c>
      <x:c r="J424" s="28" t="str">
        <x:v>сернистый, сладкий, зелёный; после жарки — карамельный и мясной</x:v>
      </x:c>
      <x:c r="K424" s="28" t="str">
        <x:v>зелёный, травянистый, фруктовый; у красного — сладкий и жареный</x:v>
      </x:c>
      <x:c r="L424" s="28" t="str">
        <x:v>тиосульфинаты, пропантиаль-S-оксид, диаллилдисульфид, фураны</x:v>
      </x:c>
      <x:c r="M424" s="28" t="str">
        <x:v>2-изобутил-3-метоксипиразин, гексаналь, лимонен, эфиры</x:v>
      </x:c>
      <x:c r="N424" s="28" t="str">
        <x:v>сладкий</x:v>
      </x:c>
      <x:c r="O424" s="28" t="str">
        <x:v>надёжная общая ключевая молекула не установлена</x:v>
      </x:c>
      <x:c r="P424" s="28" t="str">
        <x:v>пересечение ароматических семейств; сернистая или горчичная комплементарность</x:v>
      </x:c>
      <x:c r="Q42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4" s="28" t="str">
        <x:v>слезоточивое и жгучее воздействие сернистых соединений</x:v>
      </x:c>
      <x:c r="S424" s="28" t="str">
        <x:v>водная клеточная матрица с сахарами и серосодержащими предшественниками</x:v>
      </x:c>
      <x:c r="T42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4" s="28" t="str">
        <x:v>Лук имеет профиль «сернистый, сладкий, зелёный; после жарки — карамельный и мясной».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4" s="28" t="str">
        <x:v>сырой лук легко перекрывает деликатные ароматы; подгорание создаёт устойчивую горечь</x:v>
      </x:c>
      <x:c r="W424" s="28" t="str">
        <x:v>соль, кислота или ароматический жир</x:v>
      </x:c>
      <x:c r="X424" s="28" t="str">
        <x:v>горячее блюдо, бульон, соус, пюре, ферментация или гарнир с болгарский перец</x:v>
      </x:c>
      <x:c r="Y424" s="28" t="str">
        <x:v>еда, соусы/маринады</x:v>
      </x:c>
      <x:c r="Z424" s="28" t="str">
        <x:v>Средняя</x:v>
      </x:c>
      <x:c r="AA424" s="28" t="str">
        <x:v>Тезариус вкусов (Ники Сегнит)(1).pdf</x:v>
      </x:c>
      <x:c r="AB424" s="28" t="str">
        <x:v>Тезариус вкусов (Ники Сегнит)(1).pdf: 281, 547</x:v>
      </x:c>
      <x:c r="AC424" s="28" t="str">
        <x:v>развёрнутая пара/статья, стр. 281; развёрнутая пара/статья, стр. 547</x:v>
      </x:c>
      <x:c r="AD424" s="28" t="n">
        <x:v>1</x:v>
      </x:c>
      <x:c r="AE424" s="28" t="n">
        <x:v>2</x:v>
      </x:c>
      <x:c r="AF424" s="28" t="n">
        <x:f>IF(Z424="Высокая",3,IF(Z424="Средняя",2,1))+AD424*2+MIN(AE424,3)</x:f>
        <x:v>6</x:v>
      </x:c>
    </x:row>
    <x:row r="425" ht="64" customHeight="1">
      <x:c r="A425" s="28" t="str">
        <x:v>VEG-0424</x:v>
      </x:c>
      <x:c r="B425" s="28" t="str">
        <x:v>лук</x:v>
      </x:c>
      <x:c r="C425" s="28" t="str">
        <x:v>Универсальные</x:v>
      </x:c>
      <x:c r="D425" s="28" t="str">
        <x:v>лук</x:v>
      </x:c>
      <x:c r="E425" s="28" t="str">
        <x:v>Лук | лук</x:v>
      </x:c>
      <x:c r="F425" s="28" t="str">
        <x:v>Луковые овощи</x:v>
      </x:c>
      <x:c r="G425" s="28" t="str">
        <x:v>гвоздика</x:v>
      </x:c>
      <x:c r="H425" s="28" t="str">
        <x:v>Гвоздика | гвоздика</x:v>
      </x:c>
      <x:c r="I425" s="28" t="str">
        <x:v>Специи</x:v>
      </x:c>
      <x:c r="J425" s="28" t="str">
        <x:v>сернистый, сладкий, зелёный; после жарки — карамельный и мясной</x:v>
      </x:c>
      <x:c r="K425" s="28" t="str">
        <x:v>древесный, пряный, фенольный</x:v>
      </x:c>
      <x:c r="L425" s="28" t="str">
        <x:v>тиосульфинаты, пропантиаль-S-оксид, диаллилдисульфид, фураны</x:v>
      </x:c>
      <x:c r="M425" s="28" t="str">
        <x:v>эвгенол</x:v>
      </x:c>
      <x:c r="N425" s="28" t="str">
        <x:v>прямое пересечение семейств не подтверждено</x:v>
      </x:c>
      <x:c r="O425" s="28" t="str">
        <x:v>надёжная общая ключевая молекула не установлена</x:v>
      </x:c>
      <x:c r="P425" s="28" t="str">
        <x:v>сернистая или горчичная комплементарность</x:v>
      </x:c>
      <x:c r="Q42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5" s="28" t="str">
        <x:v>слезоточивое и жгучее воздействие сернистых соединений</x:v>
      </x:c>
      <x:c r="S425" s="28" t="str">
        <x:v>водная клеточная матрица с сахарами и серосодержащими предшественниками</x:v>
      </x:c>
      <x:c r="T42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5" s="28" t="str">
        <x:v>Лук имеет профиль «сернистый, сладкий, зелёный; после жарки — карамельный и мясной».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5" s="28" t="str">
        <x:v>сырой лук легко перекрывает деликатные ароматы; подгорание создаёт устойчивую горечь</x:v>
      </x:c>
      <x:c r="W425" s="28" t="str">
        <x:v>цитрус, йогурт или мёд</x:v>
      </x:c>
      <x:c r="X425" s="28" t="str">
        <x:v>горячее блюдо, бульон, соус, пюре, ферментация или гарнир с гвоздика</x:v>
      </x:c>
      <x:c r="Y425" s="28" t="str">
        <x:v>еда, соусы/маринады</x:v>
      </x:c>
      <x:c r="Z425" s="28" t="str">
        <x:v>Средняя</x:v>
      </x:c>
      <x:c r="AA425" s="28" t="str">
        <x:v>Тезариус вкусов (Ники Сегнит)(1).pdf</x:v>
      </x:c>
      <x:c r="AB425" s="28" t="str">
        <x:v>Тезариус вкусов (Ники Сегнит)(1).pdf: 282, 584</x:v>
      </x:c>
      <x:c r="AC425" s="28" t="str">
        <x:v>развёрнутая пара/статья, стр. 282; развёрнутая пара/статья, стр. 584</x:v>
      </x:c>
      <x:c r="AD425" s="28" t="n">
        <x:v>1</x:v>
      </x:c>
      <x:c r="AE425" s="28" t="n">
        <x:v>2</x:v>
      </x:c>
      <x:c r="AF425" s="28" t="n">
        <x:f>IF(Z425="Высокая",3,IF(Z425="Средняя",2,1))+AD425*2+MIN(AE425,3)</x:f>
        <x:v>6</x:v>
      </x:c>
    </x:row>
    <x:row r="426" ht="64" customHeight="1">
      <x:c r="A426" s="28" t="str">
        <x:v>VEG-0425</x:v>
      </x:c>
      <x:c r="B426" s="28" t="str">
        <x:v>лук</x:v>
      </x:c>
      <x:c r="C426" s="28" t="str">
        <x:v>Еда и соусы</x:v>
      </x:c>
      <x:c r="D426" s="28" t="str">
        <x:v>лук</x:v>
      </x:c>
      <x:c r="E426" s="28" t="str">
        <x:v>Лук | лук</x:v>
      </x:c>
      <x:c r="F426" s="28" t="str">
        <x:v>Луковые овощи</x:v>
      </x:c>
      <x:c r="G426" s="28" t="str">
        <x:v>говядина</x:v>
      </x:c>
      <x:c r="H426" s="28" t="str">
        <x:v>Говядина | говядина</x:v>
      </x:c>
      <x:c r="I426" s="28" t="str">
        <x:v>Мясо и птица</x:v>
      </x:c>
      <x:c r="J426" s="28" t="str">
        <x:v>сернистый, сладкий, зелёный; после жарки — карамельный и мясной</x:v>
      </x:c>
      <x:c r="K426" s="28" t="str">
        <x:v>жареный, мясной и умами</x:v>
      </x:c>
      <x:c r="L426" s="28" t="str">
        <x:v>тиосульфинаты, пропантиаль-S-оксид, диаллилдисульфид, фураны</x:v>
      </x:c>
      <x:c r="M426" s="28" t="str">
        <x:v>пиразины, сернистые соединения</x:v>
      </x:c>
      <x:c r="N426" s="28" t="str">
        <x:v>жареный</x:v>
      </x:c>
      <x:c r="O426" s="28" t="str">
        <x:v>надёжная общая ключевая молекула не установлена</x:v>
      </x:c>
      <x:c r="P426" s="28" t="str">
        <x:v>пересечение ароматических семейств; умами и солёный контраст; сернистая или горчичная комплементарность</x:v>
      </x:c>
      <x:c r="Q42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6" s="28" t="str">
        <x:v>слезоточивое и жгучее воздействие сернистых соединений</x:v>
      </x:c>
      <x:c r="S426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2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6" s="28" t="str">
        <x:v>Лук имеет профиль «сернистый, сладкий, зелёный; после жарки — карамельный и мясной». Партнёр «говядина»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6" s="28" t="str">
        <x:v>сырой лук легко перекрывает деликатные ароматы; подгорание создаёт устойчивую горечь</x:v>
      </x:c>
      <x:c r="W426" s="28" t="str">
        <x:v>сливочное масло, соевый соус или тимьян</x:v>
      </x:c>
      <x:c r="X426" s="28" t="str">
        <x:v>горячее блюдо, бульон, соус, пюре, ферментация или гарнир с говядина</x:v>
      </x:c>
      <x:c r="Y426" s="28" t="str">
        <x:v>еда, соусы/маринады</x:v>
      </x:c>
      <x:c r="Z426" s="28" t="str">
        <x:v>Средняя</x:v>
      </x:c>
      <x:c r="AA426" s="28" t="str">
        <x:v>Тезариус вкусов (Ники Сегнит)(1).pdf</x:v>
      </x:c>
      <x:c r="AB426" s="28" t="str">
        <x:v>Тезариус вкусов (Ники Сегнит)(1).pdf: 113, 283</x:v>
      </x:c>
      <x:c r="AC426" s="28" t="str">
        <x:v>развёрнутая пара/статья, стр. 113; развёрнутая пара/статья, стр. 283</x:v>
      </x:c>
      <x:c r="AD426" s="28" t="n">
        <x:v>1</x:v>
      </x:c>
      <x:c r="AE426" s="28" t="n">
        <x:v>2</x:v>
      </x:c>
      <x:c r="AF426" s="28" t="n">
        <x:f>IF(Z426="Высокая",3,IF(Z426="Средняя",2,1))+AD426*2+MIN(AE426,3)</x:f>
        <x:v>6</x:v>
      </x:c>
    </x:row>
    <x:row r="427" ht="64" customHeight="1">
      <x:c r="A427" s="28" t="str">
        <x:v>VEG-0426</x:v>
      </x:c>
      <x:c r="B427" s="28" t="str">
        <x:v>лук</x:v>
      </x:c>
      <x:c r="C427" s="28" t="str">
        <x:v>Еда и соусы</x:v>
      </x:c>
      <x:c r="D427" s="28" t="str">
        <x:v>лук</x:v>
      </x:c>
      <x:c r="E427" s="28" t="str">
        <x:v>Лук | лук</x:v>
      </x:c>
      <x:c r="F427" s="28" t="str">
        <x:v>Луковые овощи</x:v>
      </x:c>
      <x:c r="G427" s="28" t="str">
        <x:v>горох</x:v>
      </x:c>
      <x:c r="H427" s="28" t="str">
        <x:v>Горох | горох</x:v>
      </x:c>
      <x:c r="I427" s="28" t="str">
        <x:v>Бобовые</x:v>
      </x:c>
      <x:c r="J427" s="28" t="str">
        <x:v>сернистый, сладкий, зелёный; после жарки — карамельный и мясной</x:v>
      </x:c>
      <x:c r="K427" s="28" t="str">
        <x:v>зелёный, сладкий, бобовый и слегка цветочный</x:v>
      </x:c>
      <x:c r="L427" s="28" t="str">
        <x:v>тиосульфинаты, пропантиаль-S-оксид, диаллилдисульфид, фураны</x:v>
      </x:c>
      <x:c r="M427" s="28" t="str">
        <x:v>гексаналь, метоксипиразины, цис-3-гексенол, эфиры</x:v>
      </x:c>
      <x:c r="N427" s="28" t="str">
        <x:v>сладкий</x:v>
      </x:c>
      <x:c r="O427" s="28" t="str">
        <x:v>надёжная общая ключевая молекула не установлена</x:v>
      </x:c>
      <x:c r="P427" s="28" t="str">
        <x:v>пересечение ароматических семейств; сернистая или горчичная комплементарность</x:v>
      </x:c>
      <x:c r="Q42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7" s="28" t="str">
        <x:v>слезоточивое и жгучее воздействие сернистых соединений</x:v>
      </x:c>
      <x:c r="S427" s="28" t="str">
        <x:v>водная клеточная матрица с сахарами и серосодержащими предшественниками</x:v>
      </x:c>
      <x:c r="T42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7" s="28" t="str">
        <x:v>Лук имеет профиль «сернистый, сладкий, зелёный; после жарки — карамельный и мясной». Партнёр «горох» относится к группе «Бобовые» и даёт зелёный, сладкий, бобовый и слегка цветочный.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7" s="28" t="str">
        <x:v>сырой лук легко перекрывает деликатные ароматы; подгорание создаёт устойчивую горечь</x:v>
      </x:c>
      <x:c r="W427" s="28" t="str">
        <x:v>соль, кислота или ароматический жир</x:v>
      </x:c>
      <x:c r="X427" s="28" t="str">
        <x:v>горячее блюдо, бульон, соус, пюре, ферментация или гарнир с горох</x:v>
      </x:c>
      <x:c r="Y427" s="28" t="str">
        <x:v>еда, соусы/маринады</x:v>
      </x:c>
      <x:c r="Z427" s="28" t="str">
        <x:v>Средняя</x:v>
      </x:c>
      <x:c r="AA427" s="28" t="str">
        <x:v>Тезариус вкусов (Ники Сегнит)(1).pdf</x:v>
      </x:c>
      <x:c r="AB427" s="28" t="str">
        <x:v>Тезариус вкусов (Ники Сегнит)(1).pdf: 283, 538</x:v>
      </x:c>
      <x:c r="AC427" s="28" t="str">
        <x:v>развёрнутая пара/статья, стр. 283; развёрнутая пара/статья, стр. 538</x:v>
      </x:c>
      <x:c r="AD427" s="28" t="n">
        <x:v>1</x:v>
      </x:c>
      <x:c r="AE427" s="28" t="n">
        <x:v>2</x:v>
      </x:c>
      <x:c r="AF427" s="28" t="n">
        <x:f>IF(Z427="Высокая",3,IF(Z427="Средняя",2,1))+AD427*2+MIN(AE427,3)</x:f>
        <x:v>6</x:v>
      </x:c>
    </x:row>
    <x:row r="428" ht="64" customHeight="1">
      <x:c r="A428" s="28" t="str">
        <x:v>VEG-0427</x:v>
      </x:c>
      <x:c r="B428" s="28" t="str">
        <x:v>лук</x:v>
      </x:c>
      <x:c r="C428" s="28" t="str">
        <x:v>Еда и соусы</x:v>
      </x:c>
      <x:c r="D428" s="28" t="str">
        <x:v>лук</x:v>
      </x:c>
      <x:c r="E428" s="28" t="str">
        <x:v>Лук | лук</x:v>
      </x:c>
      <x:c r="F428" s="28" t="str">
        <x:v>Луковые овощи</x:v>
      </x:c>
      <x:c r="G428" s="28" t="str">
        <x:v>жирная рыба</x:v>
      </x:c>
      <x:c r="H428" s="28" t="str">
        <x:v>Жирная рыба | жирная рыба</x:v>
      </x:c>
      <x:c r="I428" s="28" t="str">
        <x:v>Рыба и морепродукты</x:v>
      </x:c>
      <x:c r="J428" s="28" t="str">
        <x:v>сернистый, сладкий, зелёный; после жарки — карамельный и мясной</x:v>
      </x:c>
      <x:c r="K428" s="28" t="str">
        <x:v>жирный, морской, умами</x:v>
      </x:c>
      <x:c r="L428" s="28" t="str">
        <x:v>тиосульфинаты, пропантиаль-S-оксид, диаллилдисульфид, фураны</x:v>
      </x:c>
      <x:c r="M428" s="28" t="str">
        <x:v>альдегиды, амины</x:v>
      </x:c>
      <x:c r="N428" s="28" t="str">
        <x:v>прямое пересечение семейств не подтверждено</x:v>
      </x:c>
      <x:c r="O428" s="28" t="str">
        <x:v>надёжная общая ключевая молекула не установлена</x:v>
      </x:c>
      <x:c r="P428" s="28" t="str">
        <x:v>умами и солёный контраст; сернистая или горчичная комплементарность</x:v>
      </x:c>
      <x:c r="Q42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8" s="28" t="str">
        <x:v>слезоточивое и жгучее воздействие сернистых соединений</x:v>
      </x:c>
      <x:c r="S428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2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8" s="28" t="str">
        <x:v>Лук имеет профиль «сернистый, сладкий, зелёный; после жарки — карамельный и мясной».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8" s="28" t="str">
        <x:v>сырой лук легко перекрывает деликатные ароматы; подгорание создаёт устойчивую горечь</x:v>
      </x:c>
      <x:c r="W428" s="28" t="str">
        <x:v>сливочное масло, соевый соус или тимьян</x:v>
      </x:c>
      <x:c r="X428" s="28" t="str">
        <x:v>горячее блюдо, бульон, соус, пюре, ферментация или гарнир с жирная рыба</x:v>
      </x:c>
      <x:c r="Y428" s="28" t="str">
        <x:v>еда, соусы/маринады</x:v>
      </x:c>
      <x:c r="Z428" s="28" t="str">
        <x:v>Средняя</x:v>
      </x:c>
      <x:c r="AA428" s="28" t="str">
        <x:v>Тезариус вкусов (Ники Сегнит)(1).pdf</x:v>
      </x:c>
      <x:c r="AB428" s="28" t="str">
        <x:v>Тезариус вкусов (Ники Сегнит)(1).pdf: 283, 414</x:v>
      </x:c>
      <x:c r="AC428" s="28" t="str">
        <x:v>развёрнутая пара/статья, стр. 283; развёрнутая пара/статья, стр. 414</x:v>
      </x:c>
      <x:c r="AD428" s="28" t="n">
        <x:v>1</x:v>
      </x:c>
      <x:c r="AE428" s="28" t="n">
        <x:v>2</x:v>
      </x:c>
      <x:c r="AF428" s="28" t="n">
        <x:f>IF(Z428="Высокая",3,IF(Z428="Средняя",2,1))+AD428*2+MIN(AE428,3)</x:f>
        <x:v>6</x:v>
      </x:c>
    </x:row>
    <x:row r="429" ht="64" customHeight="1">
      <x:c r="A429" s="28" t="str">
        <x:v>VEG-0428</x:v>
      </x:c>
      <x:c r="B429" s="28" t="str">
        <x:v>лук</x:v>
      </x:c>
      <x:c r="C429" s="28" t="str">
        <x:v>Универсальные</x:v>
      </x:c>
      <x:c r="D429" s="28" t="str">
        <x:v>лук</x:v>
      </x:c>
      <x:c r="E429" s="28" t="str">
        <x:v>roasted shallot | Лук | лук</x:v>
      </x:c>
      <x:c r="F429" s="28" t="str">
        <x:v>Луковые овощи</x:v>
      </x:c>
      <x:c r="G429" s="28" t="str">
        <x:v>имбирь</x:v>
      </x:c>
      <x:c r="H429" s="28" t="str">
        <x:v>ginger | Имбирь | имбирь</x:v>
      </x:c>
      <x:c r="I429" s="28" t="str">
        <x:v>Специи</x:v>
      </x:c>
      <x:c r="J429" s="28" t="str">
        <x:v>сернистый, сладкий, зелёный; после жарки — карамельный и мясной</x:v>
      </x:c>
      <x:c r="K429" s="28" t="str">
        <x:v>пряный, тёплый, цитрусовый</x:v>
      </x:c>
      <x:c r="L429" s="28" t="str">
        <x:v>тиосульфинаты, пропантиаль-S-оксид, диаллилдисульфид, фураны</x:v>
      </x:c>
      <x:c r="M429" s="28" t="str">
        <x:v>гингеролы, цитраль</x:v>
      </x:c>
      <x:c r="N429" s="28" t="str">
        <x:v>прямое пересечение семейств не подтверждено</x:v>
      </x:c>
      <x:c r="O429" s="28" t="str">
        <x:v>надёжная общая ключевая молекула не установлена</x:v>
      </x:c>
      <x:c r="P429" s="28" t="str">
        <x:v>сернистая или горчичная комплементарность</x:v>
      </x:c>
      <x:c r="Q42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29" s="28" t="str">
        <x:v>слезоточивое и жгучее воздействие сернистых соединений</x:v>
      </x:c>
      <x:c r="S429" s="28" t="str">
        <x:v>водная клеточная матрица с сахарами и серосодержащими предшественниками</x:v>
      </x:c>
      <x:c r="T42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29" s="28" t="str">
        <x:v>Лук имеет профиль «сернистый, сладкий, зелёный; после жарки — карамельный и мясной».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29" s="28" t="str">
        <x:v>сырой лук легко перекрывает деликатные ароматы; подгорание создаёт устойчивую горечь</x:v>
      </x:c>
      <x:c r="W429" s="28" t="str">
        <x:v>цитрус, йогурт или мёд</x:v>
      </x:c>
      <x:c r="X429" s="28" t="str">
        <x:v>горячее блюдо, бульон, соус, пюре, ферментация или гарнир с имбирь</x:v>
      </x:c>
      <x:c r="Y429" s="28" t="str">
        <x:v>еда, соусы/маринады</x:v>
      </x:c>
      <x:c r="Z429" s="28" t="str">
        <x:v>Высокая</x:v>
      </x:c>
      <x:c r="AA429" s="28" t="str">
        <x:v>The Art &amp; Science of Foodpairing.pdf | Тезариус вкусов (Ники Сегнит)(1).pdf</x:v>
      </x:c>
      <x:c r="AB429" s="28" t="str">
        <x:v>Тезариус вкусов (Ники Сегнит)(1).pdf: 283, 813, 818; The Art &amp; Science of Foodpairing.pdf: 142</x:v>
      </x:c>
      <x:c r="AC429" s="28" t="str">
        <x:v>развёрнутая пара/статья, стр. 283; развёрнутая пара/статья, стр. 813; развёрнутая пара/статья, стр. 818; связь из pairing grid, стр. 142</x:v>
      </x:c>
      <x:c r="AD429" s="28" t="n">
        <x:v>2</x:v>
      </x:c>
      <x:c r="AE429" s="28" t="n">
        <x:v>4</x:v>
      </x:c>
      <x:c r="AF429" s="28" t="n">
        <x:f>IF(Z429="Высокая",3,IF(Z429="Средняя",2,1))+AD429*2+MIN(AE429,3)</x:f>
        <x:v>10</x:v>
      </x:c>
    </x:row>
    <x:row r="430" ht="64" customHeight="1">
      <x:c r="A430" s="28" t="str">
        <x:v>VEG-0429</x:v>
      </x:c>
      <x:c r="B430" s="28" t="str">
        <x:v>лук</x:v>
      </x:c>
      <x:c r="C430" s="28" t="str">
        <x:v>Еда и соусы</x:v>
      </x:c>
      <x:c r="D430" s="28" t="str">
        <x:v>лук</x:v>
      </x:c>
      <x:c r="E430" s="28" t="str">
        <x:v>Лук | лук</x:v>
      </x:c>
      <x:c r="F430" s="28" t="str">
        <x:v>Луковые овощи</x:v>
      </x:c>
      <x:c r="G430" s="28" t="str">
        <x:v>капуста</x:v>
      </x:c>
      <x:c r="H430" s="28" t="str">
        <x:v>Капуста | капуста</x:v>
      </x:c>
      <x:c r="I430" s="28" t="str">
        <x:v>Крестоцветные</x:v>
      </x:c>
      <x:c r="J430" s="28" t="str">
        <x:v>сернистый, сладкий, зелёный; после жарки — карамельный и мясной</x:v>
      </x:c>
      <x:c r="K430" s="28" t="str">
        <x:v>зелёный, горчичный, сернистый и сладковатый после приготовления</x:v>
      </x:c>
      <x:c r="L430" s="28" t="str">
        <x:v>тиосульфинаты, пропантиаль-S-оксид, диаллилдисульфид, фураны</x:v>
      </x:c>
      <x:c r="M430" s="28" t="str">
        <x:v>глюкозинолаты, диметилсульфид, изотиоцианаты, метантиол</x:v>
      </x:c>
      <x:c r="N430" s="28" t="str">
        <x:v>сернистый</x:v>
      </x:c>
      <x:c r="O430" s="28" t="str">
        <x:v>надёжная общая ключевая молекула не установлена</x:v>
      </x:c>
      <x:c r="P430" s="28" t="str">
        <x:v>пересечение ароматических семейств; сернистая или горчичная комплементарность</x:v>
      </x:c>
      <x:c r="Q43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0" s="28" t="str">
        <x:v>слезоточивое и жгучее воздействие сернистых соединений</x:v>
      </x:c>
      <x:c r="S430" s="28" t="str">
        <x:v>водная клеточная матрица с сахарами и серосодержащими предшественниками</x:v>
      </x:c>
      <x:c r="T43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0" s="28" t="str">
        <x:v>Лук имеет профиль «сернистый, сладкий, зелёный; после жарки — карамельный и мясной».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0" s="28" t="str">
        <x:v>сырой лук легко перекрывает деликатные ароматы; подгорание создаёт устойчивую горечь</x:v>
      </x:c>
      <x:c r="W430" s="28" t="str">
        <x:v>соль, кислота или ароматический жир</x:v>
      </x:c>
      <x:c r="X430" s="28" t="str">
        <x:v>горячее блюдо, бульон, соус, пюре, ферментация или гарнир с капуста</x:v>
      </x:c>
      <x:c r="Y430" s="28" t="str">
        <x:v>еда, соусы/маринады</x:v>
      </x:c>
      <x:c r="Z430" s="28" t="str">
        <x:v>Средняя</x:v>
      </x:c>
      <x:c r="AA430" s="28" t="str">
        <x:v>Тезариус вкусов (Ники Сегнит)(1).pdf</x:v>
      </x:c>
      <x:c r="AB430" s="28" t="str">
        <x:v>Тезариус вкусов (Ники Сегнит)(1).pdf: 284, 311</x:v>
      </x:c>
      <x:c r="AC430" s="28" t="str">
        <x:v>развёрнутая пара/статья, стр. 284; развёрнутая пара/статья, стр. 311</x:v>
      </x:c>
      <x:c r="AD430" s="28" t="n">
        <x:v>1</x:v>
      </x:c>
      <x:c r="AE430" s="28" t="n">
        <x:v>2</x:v>
      </x:c>
      <x:c r="AF430" s="28" t="n">
        <x:f>IF(Z430="Высокая",3,IF(Z430="Средняя",2,1))+AD430*2+MIN(AE430,3)</x:f>
        <x:v>6</x:v>
      </x:c>
    </x:row>
    <x:row r="431" ht="64" customHeight="1">
      <x:c r="A431" s="28" t="str">
        <x:v>VEG-0430</x:v>
      </x:c>
      <x:c r="B431" s="28" t="str">
        <x:v>лук</x:v>
      </x:c>
      <x:c r="C431" s="28" t="str">
        <x:v>Еда и соусы</x:v>
      </x:c>
      <x:c r="D431" s="28" t="str">
        <x:v>лук</x:v>
      </x:c>
      <x:c r="E431" s="28" t="str">
        <x:v>Лук | лук</x:v>
      </x:c>
      <x:c r="F431" s="28" t="str">
        <x:v>Луковые овощи</x:v>
      </x:c>
      <x:c r="G431" s="28" t="str">
        <x:v>копченая рыба</x:v>
      </x:c>
      <x:c r="H431" s="28" t="str">
        <x:v>Копченая рыба | копченая рыба</x:v>
      </x:c>
      <x:c r="I431" s="28" t="str">
        <x:v>Рыба и морепродукты</x:v>
      </x:c>
      <x:c r="J431" s="28" t="str">
        <x:v>сернистый, сладкий, зелёный; после жарки — карамельный и мясной</x:v>
      </x:c>
      <x:c r="K431" s="28" t="str">
        <x:v>жирный, морской, умами</x:v>
      </x:c>
      <x:c r="L431" s="28" t="str">
        <x:v>тиосульфинаты, пропантиаль-S-оксид, диаллилдисульфид, фураны</x:v>
      </x:c>
      <x:c r="M431" s="28" t="str">
        <x:v>альдегиды, амины</x:v>
      </x:c>
      <x:c r="N431" s="28" t="str">
        <x:v>прямое пересечение семейств не подтверждено</x:v>
      </x:c>
      <x:c r="O431" s="28" t="str">
        <x:v>надёжная общая ключевая молекула не установлена</x:v>
      </x:c>
      <x:c r="P431" s="28" t="str">
        <x:v>умами и солёный контраст; сернистая или горчичная комплементарность</x:v>
      </x:c>
      <x:c r="Q43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1" s="28" t="str">
        <x:v>слезоточивое и жгучее воздействие сернистых соединений</x:v>
      </x:c>
      <x:c r="S431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3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1" s="28" t="str">
        <x:v>Лук имеет профиль «сернистый, сладкий, зелёный; после жарки — карамельный и мясной».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1" s="28" t="str">
        <x:v>сырой лук легко перекрывает деликатные ароматы; подгорание создаёт устойчивую горечь</x:v>
      </x:c>
      <x:c r="W431" s="28" t="str">
        <x:v>сливочное масло, соевый соус или тимьян</x:v>
      </x:c>
      <x:c r="X431" s="28" t="str">
        <x:v>горячее блюдо, бульон, соус, пюре, ферментация или гарнир с копченая рыба</x:v>
      </x:c>
      <x:c r="Y431" s="28" t="str">
        <x:v>еда, соусы/маринады</x:v>
      </x:c>
      <x:c r="Z431" s="28" t="str">
        <x:v>Средняя</x:v>
      </x:c>
      <x:c r="AA431" s="28" t="str">
        <x:v>Тезариус вкусов (Ники Сегнит)(1).pdf</x:v>
      </x:c>
      <x:c r="AB431" s="28" t="str">
        <x:v>Тезариус вкусов (Ники Сегнит)(1).pdf: 284, 437</x:v>
      </x:c>
      <x:c r="AC431" s="28" t="str">
        <x:v>развёрнутая пара/статья, стр. 284; развёрнутая пара/статья, стр. 437</x:v>
      </x:c>
      <x:c r="AD431" s="28" t="n">
        <x:v>1</x:v>
      </x:c>
      <x:c r="AE431" s="28" t="n">
        <x:v>2</x:v>
      </x:c>
      <x:c r="AF431" s="28" t="n">
        <x:f>IF(Z431="Высокая",3,IF(Z431="Средняя",2,1))+AD431*2+MIN(AE431,3)</x:f>
        <x:v>6</x:v>
      </x:c>
    </x:row>
    <x:row r="432" ht="64" customHeight="1">
      <x:c r="A432" s="28" t="str">
        <x:v>VEG-0431</x:v>
      </x:c>
      <x:c r="B432" s="28" t="str">
        <x:v>лук</x:v>
      </x:c>
      <x:c r="C432" s="28" t="str">
        <x:v>Универсальные</x:v>
      </x:c>
      <x:c r="D432" s="28" t="str">
        <x:v>лук</x:v>
      </x:c>
      <x:c r="E432" s="28" t="str">
        <x:v>Лук | лук</x:v>
      </x:c>
      <x:c r="F432" s="28" t="str">
        <x:v>Луковые овощи</x:v>
      </x:c>
      <x:c r="G432" s="28" t="str">
        <x:v>морковь</x:v>
      </x:c>
      <x:c r="H432" s="28" t="str">
        <x:v>Морковь | морковь</x:v>
      </x:c>
      <x:c r="I432" s="28" t="str">
        <x:v>Корнеплоды</x:v>
      </x:c>
      <x:c r="J432" s="28" t="str">
        <x:v>сернистый, сладкий, зелёный; после жарки — карамельный и мясной</x:v>
      </x:c>
      <x:c r="K432" s="28" t="str">
        <x:v>сладкий, землистый, древесный и слегка цитрусовый</x:v>
      </x:c>
      <x:c r="L432" s="28" t="str">
        <x:v>тиосульфинаты, пропантиаль-S-оксид, диаллилдисульфид, фураны</x:v>
      </x:c>
      <x:c r="M432" s="28" t="str">
        <x:v>β-ионон, каротол, пинены, терпинолен</x:v>
      </x:c>
      <x:c r="N432" s="28" t="str">
        <x:v>сладкий</x:v>
      </x:c>
      <x:c r="O432" s="28" t="str">
        <x:v>надёжная общая ключевая молекула не установлена</x:v>
      </x:c>
      <x:c r="P432" s="28" t="str">
        <x:v>пересечение ароматических семейств; сернистая или горчичная комплементарность</x:v>
      </x:c>
      <x:c r="Q43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2" s="28" t="str">
        <x:v>слезоточивое и жгучее воздействие сернистых соединений</x:v>
      </x:c>
      <x:c r="S432" s="28" t="str">
        <x:v>водная клеточная матрица с сахарами и серосодержащими предшественниками</x:v>
      </x:c>
      <x:c r="T43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2" s="28" t="str">
        <x:v>Лук имеет профиль «сернистый, сладкий, зелёный; после жарки — карамельный и мясной».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2" s="28" t="str">
        <x:v>сырой лук легко перекрывает деликатные ароматы; подгорание создаёт устойчивую горечь</x:v>
      </x:c>
      <x:c r="W432" s="28" t="str">
        <x:v>соль, кислота или ароматический жир</x:v>
      </x:c>
      <x:c r="X432" s="28" t="str">
        <x:v>горячее блюдо, бульон, соус, пюре, ферментация или гарнир с морковь</x:v>
      </x:c>
      <x:c r="Y432" s="28" t="str">
        <x:v>еда, соусы/маринады</x:v>
      </x:c>
      <x:c r="Z432" s="28" t="str">
        <x:v>Средняя</x:v>
      </x:c>
      <x:c r="AA432" s="28" t="str">
        <x:v>Тезариус вкусов (Ники Сегнит)(1).pdf</x:v>
      </x:c>
      <x:c r="AB432" s="28" t="str">
        <x:v>Тезариус вкусов (Ники Сегнит)(1).pdf: 284, 605</x:v>
      </x:c>
      <x:c r="AC432" s="28" t="str">
        <x:v>развёрнутая пара/статья, стр. 284; развёрнутая пара/статья, стр. 605</x:v>
      </x:c>
      <x:c r="AD432" s="28" t="n">
        <x:v>1</x:v>
      </x:c>
      <x:c r="AE432" s="28" t="n">
        <x:v>2</x:v>
      </x:c>
      <x:c r="AF432" s="28" t="n">
        <x:f>IF(Z432="Высокая",3,IF(Z432="Средняя",2,1))+AD432*2+MIN(AE432,3)</x:f>
        <x:v>6</x:v>
      </x:c>
    </x:row>
    <x:row r="433" ht="64" customHeight="1">
      <x:c r="A433" s="28" t="str">
        <x:v>VEG-0432</x:v>
      </x:c>
      <x:c r="B433" s="28" t="str">
        <x:v>лук</x:v>
      </x:c>
      <x:c r="C433" s="28" t="str">
        <x:v>Еда и соусы</x:v>
      </x:c>
      <x:c r="D433" s="28" t="str">
        <x:v>лук</x:v>
      </x:c>
      <x:c r="E433" s="28" t="str">
        <x:v>Лук | лук</x:v>
      </x:c>
      <x:c r="F433" s="28" t="str">
        <x:v>Луковые овощи</x:v>
      </x:c>
      <x:c r="G433" s="28" t="str">
        <x:v>мускатный орех</x:v>
      </x:c>
      <x:c r="H433" s="28" t="str">
        <x:v>Мускатный орех | мускатный орех</x:v>
      </x:c>
      <x:c r="I433" s="28" t="str">
        <x:v>Рыба и морепродукты</x:v>
      </x:c>
      <x:c r="J433" s="28" t="str">
        <x:v>сернистый, сладкий, зелёный; после жарки — карамельный и мясной</x:v>
      </x:c>
      <x:c r="K433" s="28" t="str">
        <x:v>камфорный, ореховый, пряный</x:v>
      </x:c>
      <x:c r="L433" s="28" t="str">
        <x:v>тиосульфинаты, пропантиаль-S-оксид, диаллилдисульфид, фураны</x:v>
      </x:c>
      <x:c r="M433" s="28" t="str">
        <x:v>пинены, сабинен</x:v>
      </x:c>
      <x:c r="N433" s="28" t="str">
        <x:v>прямое пересечение семейств не подтверждено</x:v>
      </x:c>
      <x:c r="O433" s="28" t="str">
        <x:v>надёжная общая ключевая молекула не установлена</x:v>
      </x:c>
      <x:c r="P433" s="28" t="str">
        <x:v>умами и солёный контраст; сернистая или горчичная комплементарность</x:v>
      </x:c>
      <x:c r="Q43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3" s="28" t="str">
        <x:v>слезоточивое и жгучее воздействие сернистых соединений</x:v>
      </x:c>
      <x:c r="S433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3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3" s="28" t="str">
        <x:v>Лук имеет профиль «сернистый, сладкий, зелёный; после жарки — карамельный и мясной».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3" s="28" t="str">
        <x:v>сырой лук легко перекрывает деликатные ароматы; подгорание создаёт устойчивую горечь</x:v>
      </x:c>
      <x:c r="W433" s="28" t="str">
        <x:v>сливочное масло, соевый соус или тимьян</x:v>
      </x:c>
      <x:c r="X433" s="28" t="str">
        <x:v>горячее блюдо, бульон, соус, пюре, ферментация или гарнир с мускатный орех</x:v>
      </x:c>
      <x:c r="Y433" s="28" t="str">
        <x:v>еда, соусы/маринады</x:v>
      </x:c>
      <x:c r="Z433" s="28" t="str">
        <x:v>Средняя</x:v>
      </x:c>
      <x:c r="AA433" s="28" t="str">
        <x:v>Тезариус вкусов (Ники Сегнит)(1).pdf</x:v>
      </x:c>
      <x:c r="AB433" s="28" t="str">
        <x:v>Тезариус вкусов (Ники Сегнит)(1).pdf: 284, 588</x:v>
      </x:c>
      <x:c r="AC433" s="28" t="str">
        <x:v>развёрнутая пара/статья, стр. 284; развёрнутая пара/статья, стр. 588</x:v>
      </x:c>
      <x:c r="AD433" s="28" t="n">
        <x:v>1</x:v>
      </x:c>
      <x:c r="AE433" s="28" t="n">
        <x:v>2</x:v>
      </x:c>
      <x:c r="AF433" s="28" t="n">
        <x:f>IF(Z433="Высокая",3,IF(Z433="Средняя",2,1))+AD433*2+MIN(AE433,3)</x:f>
        <x:v>6</x:v>
      </x:c>
    </x:row>
    <x:row r="434" ht="64" customHeight="1">
      <x:c r="A434" s="28" t="str">
        <x:v>VEG-0433</x:v>
      </x:c>
      <x:c r="B434" s="28" t="str">
        <x:v>лук</x:v>
      </x:c>
      <x:c r="C434" s="28" t="str">
        <x:v>Универсальные</x:v>
      </x:c>
      <x:c r="D434" s="28" t="str">
        <x:v>лук</x:v>
      </x:c>
      <x:c r="E434" s="28" t="str">
        <x:v>Лук | лук</x:v>
      </x:c>
      <x:c r="F434" s="28" t="str">
        <x:v>Луковые овощи</x:v>
      </x:c>
      <x:c r="G434" s="28" t="str">
        <x:v>мята</x:v>
      </x:c>
      <x:c r="H434" s="28" t="str">
        <x:v>Мята | мята</x:v>
      </x:c>
      <x:c r="I434" s="28" t="str">
        <x:v>Травы, цветы и листья</x:v>
      </x:c>
      <x:c r="J434" s="28" t="str">
        <x:v>сернистый, сладкий, зелёный; после жарки — карамельный и мясной</x:v>
      </x:c>
      <x:c r="K434" s="28" t="str">
        <x:v>зелёный, холодящий</x:v>
      </x:c>
      <x:c r="L434" s="28" t="str">
        <x:v>тиосульфинаты, пропантиаль-S-оксид, диаллилдисульфид, фураны</x:v>
      </x:c>
      <x:c r="M434" s="28" t="str">
        <x:v>ментол</x:v>
      </x:c>
      <x:c r="N434" s="28" t="str">
        <x:v>прямое пересечение семейств не подтверждено</x:v>
      </x:c>
      <x:c r="O434" s="28" t="str">
        <x:v>надёжная общая ключевая молекула не установлена</x:v>
      </x:c>
      <x:c r="P434" s="28" t="str">
        <x:v>сернистая или горчичная комплементарность</x:v>
      </x:c>
      <x:c r="Q43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4" s="28" t="str">
        <x:v>слезоточивое и жгучее воздействие сернистых соединений</x:v>
      </x:c>
      <x:c r="S434" s="28" t="str">
        <x:v>водная клеточная матрица с сахарами и серосодержащими предшественниками</x:v>
      </x:c>
      <x:c r="T43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4" s="28" t="str">
        <x:v>Лук имеет профиль «сернистый, сладкий, зелёный; после жарки — карамельный и мясной».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4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W434" s="28" t="str">
        <x:v>оливковое масло, лимон или сыр</x:v>
      </x:c>
      <x:c r="X434" s="28" t="str">
        <x:v>горячее блюдо, бульон, соус, пюре, ферментация или гарнир с мята</x:v>
      </x:c>
      <x:c r="Y434" s="28" t="str">
        <x:v>еда, соусы/маринады</x:v>
      </x:c>
      <x:c r="Z434" s="28" t="str">
        <x:v>Средняя</x:v>
      </x:c>
      <x:c r="AA434" s="28" t="str">
        <x:v>Тезариус вкусов (Ники Сегнит)(1).pdf</x:v>
      </x:c>
      <x:c r="AB434" s="28" t="str">
        <x:v>Тезариус вкусов (Ники Сегнит)(1).pdf: 285, 869</x:v>
      </x:c>
      <x:c r="AC434" s="28" t="str">
        <x:v>развёрнутая пара/статья, стр. 285; развёрнутая пара/статья, стр. 869</x:v>
      </x:c>
      <x:c r="AD434" s="28" t="n">
        <x:v>1</x:v>
      </x:c>
      <x:c r="AE434" s="28" t="n">
        <x:v>2</x:v>
      </x:c>
      <x:c r="AF434" s="28" t="n">
        <x:f>IF(Z434="Высокая",3,IF(Z434="Средняя",2,1))+AD434*2+MIN(AE434,3)</x:f>
        <x:v>6</x:v>
      </x:c>
    </x:row>
    <x:row r="435" ht="64" customHeight="1">
      <x:c r="A435" s="28" t="str">
        <x:v>VEG-0434</x:v>
      </x:c>
      <x:c r="B435" s="28" t="str">
        <x:v>лук</x:v>
      </x:c>
      <x:c r="C435" s="28" t="str">
        <x:v>Универсальные</x:v>
      </x:c>
      <x:c r="D435" s="28" t="str">
        <x:v>лук</x:v>
      </x:c>
      <x:c r="E435" s="28" t="str">
        <x:v>Лук | лук</x:v>
      </x:c>
      <x:c r="F435" s="28" t="str">
        <x:v>Луковые овощи</x:v>
      </x:c>
      <x:c r="G435" s="28" t="str">
        <x:v>огурец</x:v>
      </x:c>
      <x:c r="H435" s="28" t="str">
        <x:v>Огурцы | огурцы</x:v>
      </x:c>
      <x:c r="I435" s="28" t="str">
        <x:v>Тыквенные</x:v>
      </x:c>
      <x:c r="J435" s="28" t="str">
        <x:v>сернистый, сладкий, зелёный; после жарки — карамельный и мясной</x:v>
      </x:c>
      <x:c r="K435" s="28" t="str">
        <x:v>зелёный, водянистый, свежий и дынный</x:v>
      </x:c>
      <x:c r="L435" s="28" t="str">
        <x:v>тиосульфинаты, пропантиаль-S-оксид, диаллилдисульфид, фураны</x:v>
      </x:c>
      <x:c r="M435" s="28" t="str">
        <x:v>(E)-2-ноненаль, (E,Z)-2,6-нонадиеналь, гексаналь</x:v>
      </x:c>
      <x:c r="N435" s="28" t="str">
        <x:v>прямое пересечение семейств не подтверждено</x:v>
      </x:c>
      <x:c r="O435" s="28" t="str">
        <x:v>надёжная общая ключевая молекула не установлена</x:v>
      </x:c>
      <x:c r="P435" s="28" t="str">
        <x:v>сернистая или горчичная комплементарность</x:v>
      </x:c>
      <x:c r="Q43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5" s="28" t="str">
        <x:v>слезоточивое и жгучее воздействие сернистых соединений</x:v>
      </x:c>
      <x:c r="S435" s="28" t="str">
        <x:v>водная клеточная матрица с сахарами и серосодержащими предшественниками</x:v>
      </x:c>
      <x:c r="T43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5" s="28" t="str">
        <x:v>Лук имеет профиль «сернистый, сладкий, зелёный; после жарки — карамельный и мясной».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5" s="28" t="str">
        <x:v>сырой лук легко перекрывает деликатные ароматы; подгорание создаёт устойчивую горечь</x:v>
      </x:c>
      <x:c r="W435" s="28" t="str">
        <x:v>соль, кислота или ароматический жир</x:v>
      </x:c>
      <x:c r="X435" s="28" t="str">
        <x:v>горячее блюдо, бульон, соус, пюре, ферментация или гарнир с огурец</x:v>
      </x:c>
      <x:c r="Y435" s="28" t="str">
        <x:v>еда, соусы/маринады</x:v>
      </x:c>
      <x:c r="Z435" s="28" t="str">
        <x:v>Средняя</x:v>
      </x:c>
      <x:c r="AA435" s="28" t="str">
        <x:v>Тезариус вкусов (Ники Сегнит)(1).pdf</x:v>
      </x:c>
      <x:c r="AB435" s="28" t="str">
        <x:v>Тезариус вкусов (Ники Сегнит)(1).pdf: 286, 493</x:v>
      </x:c>
      <x:c r="AC435" s="28" t="str">
        <x:v>развёрнутая пара/статья, стр. 286; развёрнутая пара/статья, стр. 493</x:v>
      </x:c>
      <x:c r="AD435" s="28" t="n">
        <x:v>1</x:v>
      </x:c>
      <x:c r="AE435" s="28" t="n">
        <x:v>2</x:v>
      </x:c>
      <x:c r="AF435" s="28" t="n">
        <x:f>IF(Z435="Высокая",3,IF(Z435="Средняя",2,1))+AD435*2+MIN(AE435,3)</x:f>
        <x:v>6</x:v>
      </x:c>
    </x:row>
    <x:row r="436" ht="64" customHeight="1">
      <x:c r="A436" s="28" t="str">
        <x:v>VEG-0435</x:v>
      </x:c>
      <x:c r="B436" s="28" t="str">
        <x:v>лук</x:v>
      </x:c>
      <x:c r="C436" s="28" t="str">
        <x:v>Универсальные</x:v>
      </x:c>
      <x:c r="D436" s="28" t="str">
        <x:v>лук</x:v>
      </x:c>
      <x:c r="E436" s="28" t="str">
        <x:v>cucumbers, red onion, feta cheese, olive oil and oregano</x:v>
      </x:c>
      <x:c r="F436" s="28" t="str">
        <x:v>Луковые овощи</x:v>
      </x:c>
      <x:c r="G436" s="28" t="str">
        <x:v>оливки</x:v>
      </x:c>
      <x:c r="H436" s="28" t="str">
        <x:v>olives</x:v>
      </x:c>
      <x:c r="I436" s="28" t="str">
        <x:v>Прочее</x:v>
      </x:c>
      <x:c r="J436" s="28" t="str">
        <x:v>сернистый, сладкий, зелёный; после жарки — карамельный и мясной</x:v>
      </x:c>
      <x:c r="K436" s="28" t="str">
        <x:v>профиль зависит от конкретного продукта</x:v>
      </x:c>
      <x:c r="L436" s="28" t="str">
        <x:v>тиосульфинаты, пропантиаль-S-оксид, диаллилдисульфид, фураны</x:v>
      </x:c>
      <x:c r="M436" s="28" t="str">
        <x:v>конкретный молекулярный профиль не указан</x:v>
      </x:c>
      <x:c r="N436" s="28" t="str">
        <x:v>прямое пересечение семейств не подтверждено</x:v>
      </x:c>
      <x:c r="O436" s="28" t="str">
        <x:v>надёжная общая ключевая молекула не установлена</x:v>
      </x:c>
      <x:c r="P436" s="28" t="str">
        <x:v>сернистая или горчичная комплементарность</x:v>
      </x:c>
      <x:c r="Q43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6" s="28" t="str">
        <x:v>слезоточивое и жгучее воздействие сернистых соединений</x:v>
      </x:c>
      <x:c r="S436" s="28" t="str">
        <x:v>водная клеточная матрица с сахарами и серосодержащими предшественниками</x:v>
      </x:c>
      <x:c r="T43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6" s="28" t="str">
        <x:v>Лук имеет профиль «сернистый, сладкий, зелёный; после жарки — карамельный и мясной».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6" s="28" t="str">
        <x:v>сырой лук легко перекрывает деликатные ароматы; подгорание создаёт устойчивую горечь</x:v>
      </x:c>
      <x:c r="W436" s="28" t="str">
        <x:v>соль, кислота или ароматический жир</x:v>
      </x:c>
      <x:c r="X436" s="28" t="str">
        <x:v>горячее блюдо, бульон, соус, пюре, ферментация или гарнир с оливки</x:v>
      </x:c>
      <x:c r="Y436" s="28" t="str">
        <x:v>еда, соусы/маринады</x:v>
      </x:c>
      <x:c r="Z436" s="28" t="str">
        <x:v>Средняя</x:v>
      </x:c>
      <x:c r="AA436" s="28" t="str">
        <x:v>The Art &amp; Science of Foodpairing.pdf</x:v>
      </x:c>
      <x:c r="AB436" s="28" t="str">
        <x:v>The Art &amp; Science of Foodpairing.pdf: 216</x:v>
      </x:c>
      <x:c r="AC436" s="28" t="str">
        <x:v>связь из pairing grid, стр. 216</x:v>
      </x:c>
      <x:c r="AD436" s="28" t="n">
        <x:v>1</x:v>
      </x:c>
      <x:c r="AE436" s="28" t="n">
        <x:v>1</x:v>
      </x:c>
      <x:c r="AF436" s="28" t="n">
        <x:f>IF(Z436="Высокая",3,IF(Z436="Средняя",2,1))+AD436*2+MIN(AE436,3)</x:f>
        <x:v>5</x:v>
      </x:c>
    </x:row>
    <x:row r="437" ht="64" customHeight="1">
      <x:c r="A437" s="28" t="str">
        <x:v>VEG-0436</x:v>
      </x:c>
      <x:c r="B437" s="28" t="str">
        <x:v>лук</x:v>
      </x:c>
      <x:c r="C437" s="28" t="str">
        <x:v>Еда и соусы</x:v>
      </x:c>
      <x:c r="D437" s="28" t="str">
        <x:v>лук</x:v>
      </x:c>
      <x:c r="E437" s="28" t="str">
        <x:v>Лук | лук</x:v>
      </x:c>
      <x:c r="F437" s="28" t="str">
        <x:v>Луковые овощи</x:v>
      </x:c>
      <x:c r="G437" s="28" t="str">
        <x:v>печень</x:v>
      </x:c>
      <x:c r="H437" s="28" t="str">
        <x:v>Печень | печень</x:v>
      </x:c>
      <x:c r="I437" s="28" t="str">
        <x:v>Мясо и птица</x:v>
      </x:c>
      <x:c r="J437" s="28" t="str">
        <x:v>сернистый, сладкий, зелёный; после жарки — карамельный и мясной</x:v>
      </x:c>
      <x:c r="K437" s="28" t="str">
        <x:v>жареный, мясной и умами</x:v>
      </x:c>
      <x:c r="L437" s="28" t="str">
        <x:v>тиосульфинаты, пропантиаль-S-оксид, диаллилдисульфид, фураны</x:v>
      </x:c>
      <x:c r="M437" s="28" t="str">
        <x:v>пиразины, сернистые соединения</x:v>
      </x:c>
      <x:c r="N437" s="28" t="str">
        <x:v>жареный</x:v>
      </x:c>
      <x:c r="O437" s="28" t="str">
        <x:v>надёжная общая ключевая молекула не установлена</x:v>
      </x:c>
      <x:c r="P437" s="28" t="str">
        <x:v>пересечение ароматических семейств; умами и солёный контраст; сернистая или горчичная комплементарность</x:v>
      </x:c>
      <x:c r="Q43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7" s="28" t="str">
        <x:v>слезоточивое и жгучее воздействие сернистых соединений</x:v>
      </x:c>
      <x:c r="S437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3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7" s="28" t="str">
        <x:v>Лук имеет профиль «сернистый, сладкий, зелёный; после жарки — карамельный и мясной». Партнёр «печень»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7" s="28" t="str">
        <x:v>сырой лук легко перекрывает деликатные ароматы; подгорание создаёт устойчивую горечь</x:v>
      </x:c>
      <x:c r="W437" s="28" t="str">
        <x:v>сливочное масло, соевый соус или тимьян</x:v>
      </x:c>
      <x:c r="X437" s="28" t="str">
        <x:v>горячее блюдо, бульон, соус, пюре, ферментация или гарнир с печень</x:v>
      </x:c>
      <x:c r="Y437" s="28" t="str">
        <x:v>еда, соусы/маринады</x:v>
      </x:c>
      <x:c r="Z437" s="28" t="str">
        <x:v>Средняя</x:v>
      </x:c>
      <x:c r="AA437" s="28" t="str">
        <x:v>Тезариус вкусов (Ники Сегнит)(1).pdf</x:v>
      </x:c>
      <x:c r="AB437" s="28" t="str">
        <x:v>Тезариус вкусов (Ники Сегнит)(1).pdf: 101, 286</x:v>
      </x:c>
      <x:c r="AC437" s="28" t="str">
        <x:v>развёрнутая пара/статья, стр. 101; развёрнутая пара/статья, стр. 286</x:v>
      </x:c>
      <x:c r="AD437" s="28" t="n">
        <x:v>1</x:v>
      </x:c>
      <x:c r="AE437" s="28" t="n">
        <x:v>2</x:v>
      </x:c>
      <x:c r="AF437" s="28" t="n">
        <x:f>IF(Z437="Высокая",3,IF(Z437="Средняя",2,1))+AD437*2+MIN(AE437,3)</x:f>
        <x:v>6</x:v>
      </x:c>
    </x:row>
    <x:row r="438" ht="64" customHeight="1">
      <x:c r="A438" s="28" t="str">
        <x:v>VEG-0437</x:v>
      </x:c>
      <x:c r="B438" s="28" t="str">
        <x:v>лук</x:v>
      </x:c>
      <x:c r="C438" s="28" t="str">
        <x:v>Универсальные</x:v>
      </x:c>
      <x:c r="D438" s="28" t="str">
        <x:v>лук</x:v>
      </x:c>
      <x:c r="E438" s="28" t="str">
        <x:v>Лук | лук</x:v>
      </x:c>
      <x:c r="F438" s="28" t="str">
        <x:v>Луковые овощи</x:v>
      </x:c>
      <x:c r="G438" s="28" t="str">
        <x:v>розмарин</x:v>
      </x:c>
      <x:c r="H438" s="28" t="str">
        <x:v>Розмарин | розмарин</x:v>
      </x:c>
      <x:c r="I438" s="28" t="str">
        <x:v>Травы, цветы и листья</x:v>
      </x:c>
      <x:c r="J438" s="28" t="str">
        <x:v>сернистый, сладкий, зелёный; после жарки — карамельный и мясной</x:v>
      </x:c>
      <x:c r="K438" s="28" t="str">
        <x:v>древесный, камфорный, хвойный</x:v>
      </x:c>
      <x:c r="L438" s="28" t="str">
        <x:v>тиосульфинаты, пропантиаль-S-оксид, диаллилдисульфид, фураны</x:v>
      </x:c>
      <x:c r="M438" s="28" t="str">
        <x:v>1,8-цинеол, пинены</x:v>
      </x:c>
      <x:c r="N438" s="28" t="str">
        <x:v>прямое пересечение семейств не подтверждено</x:v>
      </x:c>
      <x:c r="O438" s="28" t="str">
        <x:v>надёжная общая ключевая молекула не установлена</x:v>
      </x:c>
      <x:c r="P438" s="28" t="str">
        <x:v>сернистая или горчичная комплементарность</x:v>
      </x:c>
      <x:c r="Q43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8" s="28" t="str">
        <x:v>слезоточивое и жгучее воздействие сернистых соединений</x:v>
      </x:c>
      <x:c r="S438" s="28" t="str">
        <x:v>водная клеточная матрица с сахарами и серосодержащими предшественниками</x:v>
      </x:c>
      <x:c r="T43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8" s="28" t="str">
        <x:v>Лук имеет профиль «сернистый, сладкий, зелёный; после жарки — карамельный и мясной».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8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W438" s="28" t="str">
        <x:v>оливковое масло, лимон или сыр</x:v>
      </x:c>
      <x:c r="X438" s="28" t="str">
        <x:v>горячее блюдо, бульон, соус, пюре, ферментация или гарнир с розмарин</x:v>
      </x:c>
      <x:c r="Y438" s="28" t="str">
        <x:v>еда, соусы/маринады</x:v>
      </x:c>
      <x:c r="Z438" s="28" t="str">
        <x:v>Средняя</x:v>
      </x:c>
      <x:c r="AA438" s="28" t="str">
        <x:v>Тезариус вкусов (Ники Сегнит)(1).pdf</x:v>
      </x:c>
      <x:c r="AB438" s="28" t="str">
        <x:v>Тезариус вкусов (Ники Сегнит)(1).pdf: 286, 837</x:v>
      </x:c>
      <x:c r="AC438" s="28" t="str">
        <x:v>развёрнутая пара/статья, стр. 286; развёрнутая пара/статья, стр. 837</x:v>
      </x:c>
      <x:c r="AD438" s="28" t="n">
        <x:v>1</x:v>
      </x:c>
      <x:c r="AE438" s="28" t="n">
        <x:v>2</x:v>
      </x:c>
      <x:c r="AF438" s="28" t="n">
        <x:f>IF(Z438="Высокая",3,IF(Z438="Средняя",2,1))+AD438*2+MIN(AE438,3)</x:f>
        <x:v>6</x:v>
      </x:c>
    </x:row>
    <x:row r="439" ht="64" customHeight="1">
      <x:c r="A439" s="28" t="str">
        <x:v>VEG-0438</x:v>
      </x:c>
      <x:c r="B439" s="28" t="str">
        <x:v>лук</x:v>
      </x:c>
      <x:c r="C439" s="28" t="str">
        <x:v>Еда и соусы</x:v>
      </x:c>
      <x:c r="D439" s="28" t="str">
        <x:v>лук</x:v>
      </x:c>
      <x:c r="E439" s="28" t="str">
        <x:v>Лук | лук</x:v>
      </x:c>
      <x:c r="F439" s="28" t="str">
        <x:v>Луковые овощи</x:v>
      </x:c>
      <x:c r="G439" s="28" t="str">
        <x:v>свинина</x:v>
      </x:c>
      <x:c r="H439" s="28" t="str">
        <x:v>Свинина | свинина</x:v>
      </x:c>
      <x:c r="I439" s="28" t="str">
        <x:v>Мясо и птица</x:v>
      </x:c>
      <x:c r="J439" s="28" t="str">
        <x:v>сернистый, сладкий, зелёный; после жарки — карамельный и мясной</x:v>
      </x:c>
      <x:c r="K439" s="28" t="str">
        <x:v>жареный, мясной и умами</x:v>
      </x:c>
      <x:c r="L439" s="28" t="str">
        <x:v>тиосульфинаты, пропантиаль-S-оксид, диаллилдисульфид, фураны</x:v>
      </x:c>
      <x:c r="M439" s="28" t="str">
        <x:v>пиразины, сернистые соединения</x:v>
      </x:c>
      <x:c r="N439" s="28" t="str">
        <x:v>жареный</x:v>
      </x:c>
      <x:c r="O439" s="28" t="str">
        <x:v>надёжная общая ключевая молекула не установлена</x:v>
      </x:c>
      <x:c r="P439" s="28" t="str">
        <x:v>пересечение ароматических семейств; умами и солёный контраст; сернистая или горчичная комплементарность</x:v>
      </x:c>
      <x:c r="Q43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39" s="28" t="str">
        <x:v>слезоточивое и жгучее воздействие сернистых соединений</x:v>
      </x:c>
      <x:c r="S439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3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39" s="28" t="str">
        <x:v>Лук имеет профиль «сернистый, сладкий, зелёный; после жарки — карамельный и мясной». Партнёр «свинина»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39" s="28" t="str">
        <x:v>сырой лук легко перекрывает деликатные ароматы; подгорание создаёт устойчивую горечь</x:v>
      </x:c>
      <x:c r="W439" s="28" t="str">
        <x:v>сливочное масло, соевый соус или тимьян</x:v>
      </x:c>
      <x:c r="X439" s="28" t="str">
        <x:v>горячее блюдо, бульон, соус, пюре, ферментация или гарнир с свинина</x:v>
      </x:c>
      <x:c r="Y439" s="28" t="str">
        <x:v>еда, соусы/маринады</x:v>
      </x:c>
      <x:c r="Z439" s="28" t="str">
        <x:v>Средняя</x:v>
      </x:c>
      <x:c r="AA439" s="28" t="str">
        <x:v>Тезариус вкусов (Ники Сегнит)(1).pdf</x:v>
      </x:c>
      <x:c r="AB439" s="28" t="str">
        <x:v>Тезариус вкусов (Ники Сегнит)(1).pdf: 86, 287</x:v>
      </x:c>
      <x:c r="AC439" s="28" t="str">
        <x:v>развёрнутая пара/статья, стр. 86; развёрнутая пара/статья, стр. 287</x:v>
      </x:c>
      <x:c r="AD439" s="28" t="n">
        <x:v>1</x:v>
      </x:c>
      <x:c r="AE439" s="28" t="n">
        <x:v>2</x:v>
      </x:c>
      <x:c r="AF439" s="28" t="n">
        <x:f>IF(Z439="Высокая",3,IF(Z439="Средняя",2,1))+AD439*2+MIN(AE439,3)</x:f>
        <x:v>6</x:v>
      </x:c>
    </x:row>
    <x:row r="440" ht="64" customHeight="1">
      <x:c r="A440" s="28" t="str">
        <x:v>VEG-0439</x:v>
      </x:c>
      <x:c r="B440" s="28" t="str">
        <x:v>лук</x:v>
      </x:c>
      <x:c r="C440" s="28" t="str">
        <x:v>Десерты и выпечка</x:v>
      </x:c>
      <x:c r="D440" s="28" t="str">
        <x:v>лук</x:v>
      </x:c>
      <x:c r="E440" s="28" t="str">
        <x:v>Лук | лук</x:v>
      </x:c>
      <x:c r="F440" s="28" t="str">
        <x:v>Луковые овощи</x:v>
      </x:c>
      <x:c r="G440" s="28" t="str">
        <x:v>твердый сыр</x:v>
      </x:c>
      <x:c r="H440" s="28" t="str">
        <x:v>Твердый сыр | твердый сыр</x:v>
      </x:c>
      <x:c r="I440" s="28" t="str">
        <x:v>Молочные продукты и сыры</x:v>
      </x:c>
      <x:c r="J440" s="28" t="str">
        <x:v>сернистый, сладкий, зелёный; после жарки — карамельный и мясной</x:v>
      </x:c>
      <x:c r="K440" s="28" t="str">
        <x:v>молочный, умами, ферментированный</x:v>
      </x:c>
      <x:c r="L440" s="28" t="str">
        <x:v>тиосульфинаты, пропантиаль-S-оксид, диаллилдисульфид, фураны</x:v>
      </x:c>
      <x:c r="M440" s="28" t="str">
        <x:v>диацетил, жирные кислоты</x:v>
      </x:c>
      <x:c r="N440" s="28" t="str">
        <x:v>прямое пересечение семейств не подтверждено</x:v>
      </x:c>
      <x:c r="O440" s="28" t="str">
        <x:v>надёжная общая ключевая молекула не установлена</x:v>
      </x:c>
      <x:c r="P440" s="28" t="str">
        <x:v>жировая матрица; сернистая или горчичная комплементарность</x:v>
      </x:c>
      <x:c r="Q44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0" s="28" t="str">
        <x:v>слезоточивое и жгучее воздействие сернистых соединений</x:v>
      </x:c>
      <x:c r="S440" s="28" t="str">
        <x:v>водная клеточная матрица с сахарами и серосодержащими предшественниками Жировая фаза удерживает гидрофобные молекулы, но может сделать вкус тяжёлым.</x:v>
      </x:c>
      <x:c r="T44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0" s="28" t="str">
        <x:v>Лук имеет профиль «сернистый, сладкий, зелёный; после жарки — карамельный и мясной».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0" s="28" t="str">
        <x:v>сырой лук легко перекрывает деликатные ароматы; подгорание создаёт устойчивую горечь; жир способен приглушить свежую зелёную ароматику</x:v>
      </x:c>
      <x:c r="W440" s="28" t="str">
        <x:v>кислота, зелень или жареный орех</x:v>
      </x:c>
      <x:c r="X440" s="28" t="str">
        <x:v>горячее блюдо, бульон, соус, пюре, ферментация или гарнир с твердый сыр</x:v>
      </x:c>
      <x:c r="Y440" s="28" t="str">
        <x:v>еда, десерты, соусы/маринады</x:v>
      </x:c>
      <x:c r="Z440" s="28" t="str">
        <x:v>Средняя</x:v>
      </x:c>
      <x:c r="AA440" s="28" t="str">
        <x:v>Тезариус вкусов (Ники Сегнит)(1).pdf</x:v>
      </x:c>
      <x:c r="AB440" s="28" t="str">
        <x:v>Тезариус вкусов (Ники Сегнит)(1).pdf: 173, 288</x:v>
      </x:c>
      <x:c r="AC440" s="28" t="str">
        <x:v>развёрнутая пара/статья, стр. 173; развёрнутая пара/статья, стр. 288</x:v>
      </x:c>
      <x:c r="AD440" s="28" t="n">
        <x:v>1</x:v>
      </x:c>
      <x:c r="AE440" s="28" t="n">
        <x:v>2</x:v>
      </x:c>
      <x:c r="AF440" s="28" t="n">
        <x:f>IF(Z440="Высокая",3,IF(Z440="Средняя",2,1))+AD440*2+MIN(AE440,3)</x:f>
        <x:v>6</x:v>
      </x:c>
    </x:row>
    <x:row r="441" ht="64" customHeight="1">
      <x:c r="A441" s="28" t="str">
        <x:v>VEG-0440</x:v>
      </x:c>
      <x:c r="B441" s="28" t="str">
        <x:v>лук</x:v>
      </x:c>
      <x:c r="C441" s="28" t="str">
        <x:v>Универсальные</x:v>
      </x:c>
      <x:c r="D441" s="28" t="str">
        <x:v>лук</x:v>
      </x:c>
      <x:c r="E441" s="28" t="str">
        <x:v>Лук | лук</x:v>
      </x:c>
      <x:c r="F441" s="28" t="str">
        <x:v>Луковые овощи</x:v>
      </x:c>
      <x:c r="G441" s="28" t="str">
        <x:v>тимьян</x:v>
      </x:c>
      <x:c r="H441" s="28" t="str">
        <x:v>Тимьян | тимьян</x:v>
      </x:c>
      <x:c r="I441" s="28" t="str">
        <x:v>Травы, цветы и листья</x:v>
      </x:c>
      <x:c r="J441" s="28" t="str">
        <x:v>сернистый, сладкий, зелёный; после жарки — карамельный и мясной</x:v>
      </x:c>
      <x:c r="K441" s="28" t="str">
        <x:v>древесный, зелёный, фенольный</x:v>
      </x:c>
      <x:c r="L441" s="28" t="str">
        <x:v>тиосульфинаты, пропантиаль-S-оксид, диаллилдисульфид, фураны</x:v>
      </x:c>
      <x:c r="M441" s="28" t="str">
        <x:v>карвакрол, тимол</x:v>
      </x:c>
      <x:c r="N441" s="28" t="str">
        <x:v>прямое пересечение семейств не подтверждено</x:v>
      </x:c>
      <x:c r="O441" s="28" t="str">
        <x:v>надёжная общая ключевая молекула не установлена</x:v>
      </x:c>
      <x:c r="P441" s="28" t="str">
        <x:v>сернистая или горчичная комплементарность</x:v>
      </x:c>
      <x:c r="Q44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1" s="28" t="str">
        <x:v>слезоточивое и жгучее воздействие сернистых соединений</x:v>
      </x:c>
      <x:c r="S441" s="28" t="str">
        <x:v>водная клеточная матрица с сахарами и серосодержащими предшественниками</x:v>
      </x:c>
      <x:c r="T44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1" s="28" t="str">
        <x:v>Лук имеет профиль «сернистый, сладкий, зелёный; после жарки — карамельный и мясной».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1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W441" s="28" t="str">
        <x:v>оливковое масло, лимон или сыр</x:v>
      </x:c>
      <x:c r="X441" s="28" t="str">
        <x:v>горячее блюдо, бульон, соус, пюре, ферментация или гарнир с тимьян</x:v>
      </x:c>
      <x:c r="Y441" s="28" t="str">
        <x:v>еда, соусы/маринады</x:v>
      </x:c>
      <x:c r="Z441" s="28" t="str">
        <x:v>Средняя</x:v>
      </x:c>
      <x:c r="AA441" s="28" t="str">
        <x:v>Тезариус вкусов (Ники Сегнит)(1).pdf</x:v>
      </x:c>
      <x:c r="AB441" s="28" t="str">
        <x:v>Тезариус вкусов (Ники Сегнит)(1).pdf: 288, 858</x:v>
      </x:c>
      <x:c r="AC441" s="28" t="str">
        <x:v>развёрнутая пара/статья, стр. 288; развёрнутая пара/статья, стр. 858</x:v>
      </x:c>
      <x:c r="AD441" s="28" t="n">
        <x:v>1</x:v>
      </x:c>
      <x:c r="AE441" s="28" t="n">
        <x:v>2</x:v>
      </x:c>
      <x:c r="AF441" s="28" t="n">
        <x:f>IF(Z441="Высокая",3,IF(Z441="Средняя",2,1))+AD441*2+MIN(AE441,3)</x:f>
        <x:v>6</x:v>
      </x:c>
    </x:row>
    <x:row r="442" ht="64" customHeight="1">
      <x:c r="A442" s="28" t="str">
        <x:v>VEG-0441</x:v>
      </x:c>
      <x:c r="B442" s="28" t="str">
        <x:v>лук</x:v>
      </x:c>
      <x:c r="C442" s="28" t="str">
        <x:v>Универсальные</x:v>
      </x:c>
      <x:c r="D442" s="28" t="str">
        <x:v>лук</x:v>
      </x:c>
      <x:c r="E442" s="28" t="str">
        <x:v>Лук | лук</x:v>
      </x:c>
      <x:c r="F442" s="28" t="str">
        <x:v>Луковые овощи</x:v>
      </x:c>
      <x:c r="G442" s="28" t="str">
        <x:v>томат</x:v>
      </x:c>
      <x:c r="H442" s="28" t="str">
        <x:v>Томаты | томаты</x:v>
      </x:c>
      <x:c r="I442" s="28" t="str">
        <x:v>Плодовые овощи</x:v>
      </x:c>
      <x:c r="J442" s="28" t="str">
        <x:v>сернистый, сладкий, зелёный; после жарки — карамельный и мясной</x:v>
      </x:c>
      <x:c r="K442" s="28" t="str">
        <x:v>зелёный, фруктовый, листовой, сернистый и умами</x:v>
      </x:c>
      <x:c r="L442" s="28" t="str">
        <x:v>тиосульфинаты, пропантиаль-S-оксид, диаллилдисульфид, фураны</x:v>
      </x:c>
      <x:c r="M442" s="28" t="str">
        <x:v>β-ионон, гексаналь, глутамат, метиональ, цис-3-гексеналь</x:v>
      </x:c>
      <x:c r="N442" s="28" t="str">
        <x:v>сернистый</x:v>
      </x:c>
      <x:c r="O442" s="28" t="str">
        <x:v>надёжная общая ключевая молекула не установлена</x:v>
      </x:c>
      <x:c r="P442" s="28" t="str">
        <x:v>пересечение ароматических семейств; сернистая или горчичная комплементарность</x:v>
      </x:c>
      <x:c r="Q44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2" s="28" t="str">
        <x:v>слезоточивое и жгучее воздействие сернистых соединений</x:v>
      </x:c>
      <x:c r="S442" s="28" t="str">
        <x:v>водная клеточная матрица с сахарами и серосодержащими предшественниками</x:v>
      </x:c>
      <x:c r="T44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2" s="28" t="str">
        <x:v>Лук имеет профиль «сернистый, сладкий, зелёный; после жарки — карамельный и мясной». Партнёр «томат» относится к группе «Плодовые овощи» и даёт зелёный, фруктовый, листовой, сернистый и умами.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2" s="28" t="str">
        <x:v>сырой лук легко перекрывает деликатные ароматы; подгорание создаёт устойчивую горечь</x:v>
      </x:c>
      <x:c r="W442" s="28" t="str">
        <x:v>соль, кислота или ароматический жир</x:v>
      </x:c>
      <x:c r="X442" s="28" t="str">
        <x:v>горячее блюдо, бульон, соус, пюре, ферментация или гарнир с томат</x:v>
      </x:c>
      <x:c r="Y442" s="28" t="str">
        <x:v>еда, соусы/маринады</x:v>
      </x:c>
      <x:c r="Z442" s="28" t="str">
        <x:v>Средняя</x:v>
      </x:c>
      <x:c r="AA442" s="28" t="str">
        <x:v>Тезариус вкусов (Ники Сегнит)(1).pdf</x:v>
      </x:c>
      <x:c r="AB442" s="28" t="str">
        <x:v>Тезариус вкусов (Ники Сегнит)(1).pdf: 288, 687</x:v>
      </x:c>
      <x:c r="AC442" s="28" t="str">
        <x:v>развёрнутая пара/статья, стр. 288; развёрнутая пара/статья, стр. 687</x:v>
      </x:c>
      <x:c r="AD442" s="28" t="n">
        <x:v>1</x:v>
      </x:c>
      <x:c r="AE442" s="28" t="n">
        <x:v>2</x:v>
      </x:c>
      <x:c r="AF442" s="28" t="n">
        <x:f>IF(Z442="Высокая",3,IF(Z442="Средняя",2,1))+AD442*2+MIN(AE442,3)</x:f>
        <x:v>6</x:v>
      </x:c>
    </x:row>
    <x:row r="443" ht="64" customHeight="1">
      <x:c r="A443" s="28" t="str">
        <x:v>VEG-0442</x:v>
      </x:c>
      <x:c r="B443" s="28" t="str">
        <x:v>лук</x:v>
      </x:c>
      <x:c r="C443" s="28" t="str">
        <x:v>Еда и соусы</x:v>
      </x:c>
      <x:c r="D443" s="28" t="str">
        <x:v>лук</x:v>
      </x:c>
      <x:c r="E443" s="28" t="str">
        <x:v>Лук | лук</x:v>
      </x:c>
      <x:c r="F443" s="28" t="str">
        <x:v>Луковые овощи</x:v>
      </x:c>
      <x:c r="G443" s="28" t="str">
        <x:v>устрицы</x:v>
      </x:c>
      <x:c r="H443" s="28" t="str">
        <x:v>Устрицы | устрицы</x:v>
      </x:c>
      <x:c r="I443" s="28" t="str">
        <x:v>Рыба и морепродукты</x:v>
      </x:c>
      <x:c r="J443" s="28" t="str">
        <x:v>сернистый, сладкий, зелёный; после жарки — карамельный и мясной</x:v>
      </x:c>
      <x:c r="K443" s="28" t="str">
        <x:v>морской, солоноватый и умами</x:v>
      </x:c>
      <x:c r="L443" s="28" t="str">
        <x:v>тиосульфинаты, пропантиаль-S-оксид, диаллилдисульфид, фураны</x:v>
      </x:c>
      <x:c r="M443" s="28" t="str">
        <x:v>альдегиды, амины</x:v>
      </x:c>
      <x:c r="N443" s="28" t="str">
        <x:v>прямое пересечение семейств не подтверждено</x:v>
      </x:c>
      <x:c r="O443" s="28" t="str">
        <x:v>надёжная общая ключевая молекула не установлена</x:v>
      </x:c>
      <x:c r="P443" s="28" t="str">
        <x:v>умами и солёный контраст; сернистая или горчичная комплементарность</x:v>
      </x:c>
      <x:c r="Q44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3" s="28" t="str">
        <x:v>слезоточивое и жгучее воздействие сернистых соединений</x:v>
      </x:c>
      <x:c r="S443" s="28" t="str">
        <x:v>водная клеточная матрица с сахарами и серосодержащими предшественниками Белок и жир требуют контроля воды: для жареной ароматики поверхность должна подсохнуть.</x:v>
      </x:c>
      <x:c r="T44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3" s="28" t="str">
        <x:v>Лук имеет профиль «сернистый, сладкий, зелёный; после жарки — карамельный и мясной».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3" s="28" t="str">
        <x:v>сырой лук легко перекрывает деликатные ароматы; подгорание создаёт устойчивую горечь</x:v>
      </x:c>
      <x:c r="W443" s="28" t="str">
        <x:v>сливочное масло, соевый соус или тимьян</x:v>
      </x:c>
      <x:c r="X443" s="28" t="str">
        <x:v>горячее блюдо, бульон, соус, пюре, ферментация или гарнир с устрицы</x:v>
      </x:c>
      <x:c r="Y443" s="28" t="str">
        <x:v>еда, соусы/маринады</x:v>
      </x:c>
      <x:c r="Z443" s="28" t="str">
        <x:v>Средняя</x:v>
      </x:c>
      <x:c r="AA443" s="28" t="str">
        <x:v>Тезариус вкусов (Ники Сегнит)(1).pdf</x:v>
      </x:c>
      <x:c r="AB443" s="28" t="str">
        <x:v>Тезариус вкусов (Ники Сегнит)(1).pdf: 288, 398</x:v>
      </x:c>
      <x:c r="AC443" s="28" t="str">
        <x:v>развёрнутая пара/статья, стр. 288; развёрнутая пара/статья, стр. 398</x:v>
      </x:c>
      <x:c r="AD443" s="28" t="n">
        <x:v>1</x:v>
      </x:c>
      <x:c r="AE443" s="28" t="n">
        <x:v>2</x:v>
      </x:c>
      <x:c r="AF443" s="28" t="n">
        <x:f>IF(Z443="Высокая",3,IF(Z443="Средняя",2,1))+AD443*2+MIN(AE443,3)</x:f>
        <x:v>6</x:v>
      </x:c>
    </x:row>
    <x:row r="444" ht="64" customHeight="1">
      <x:c r="A444" s="28" t="str">
        <x:v>VEG-0443</x:v>
      </x:c>
      <x:c r="B444" s="28" t="str">
        <x:v>лук</x:v>
      </x:c>
      <x:c r="C444" s="28" t="str">
        <x:v>Еда и соусы</x:v>
      </x:c>
      <x:c r="D444" s="28" t="str">
        <x:v>лук</x:v>
      </x:c>
      <x:c r="E444" s="28" t="str">
        <x:v>лук</x:v>
      </x:c>
      <x:c r="F444" s="28" t="str">
        <x:v>Луковые овощи</x:v>
      </x:c>
      <x:c r="G444" s="28" t="str">
        <x:v>цветная капуста</x:v>
      </x:c>
      <x:c r="H444" s="28" t="str">
        <x:v>цветная капуста</x:v>
      </x:c>
      <x:c r="I444" s="28" t="str">
        <x:v>Крестоцветные</x:v>
      </x:c>
      <x:c r="J444" s="28" t="str">
        <x:v>сернистый, сладкий, зелёный; после жарки — карамельный и мясной</x:v>
      </x:c>
      <x:c r="K444" s="28" t="str">
        <x:v>мягко капустный, ореховый, сернистый и сливочный после запекания</x:v>
      </x:c>
      <x:c r="L444" s="28" t="str">
        <x:v>тиосульфинаты, пропантиаль-S-оксид, диаллилдисульфид, фураны</x:v>
      </x:c>
      <x:c r="M444" s="28" t="str">
        <x:v>диметилсульфид, изотиоцианаты, метантиол, пиразины</x:v>
      </x:c>
      <x:c r="N444" s="28" t="str">
        <x:v>сернистый</x:v>
      </x:c>
      <x:c r="O444" s="28" t="str">
        <x:v>надёжная общая ключевая молекула не установлена</x:v>
      </x:c>
      <x:c r="P444" s="28" t="str">
        <x:v>пересечение ароматических семейств; сернистая или горчичная комплементарность</x:v>
      </x:c>
      <x:c r="Q44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4" s="28" t="str">
        <x:v>слезоточивое и жгучее воздействие сернистых соединений</x:v>
      </x:c>
      <x:c r="S444" s="28" t="str">
        <x:v>водная клеточная матрица с сахарами и серосодержащими предшественниками</x:v>
      </x:c>
      <x:c r="T44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4" s="28" t="str">
        <x:v>Лук имеет профиль «сернистый, сладкий, зелёный; после жарки — карамельный и мясной». Партнёр «цветная капуста» относится к группе «Крестоцветные» и даёт мягко капустный, ореховый, сернистый и сливочный после запекания.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4" s="28" t="str">
        <x:v>сырой лук легко перекрывает деликатные ароматы; подгорание создаёт устойчивую горечь</x:v>
      </x:c>
      <x:c r="W444" s="28" t="str">
        <x:v>соль, кислота или ароматический жир</x:v>
      </x:c>
      <x:c r="X444" s="28" t="str">
        <x:v>горячее блюдо, бульон, соус, пюре, ферментация или гарнир с цветная капуста</x:v>
      </x:c>
      <x:c r="Y444" s="28" t="str">
        <x:v>еда, соусы/маринады</x:v>
      </x:c>
      <x:c r="Z444" s="28" t="str">
        <x:v>Средняя</x:v>
      </x:c>
      <x:c r="AA444" s="28" t="str">
        <x:v>The Art &amp; Science of Foodpairing.pdf</x:v>
      </x:c>
      <x:c r="AB444" s="28" t="str">
        <x:v>The Art &amp; Science of Foodpairing.pdf: 67</x:v>
      </x:c>
      <x:c r="AC444" s="28" t="str">
        <x:v>связь из pairing grid, стр. 67</x:v>
      </x:c>
      <x:c r="AD444" s="28" t="n">
        <x:v>1</x:v>
      </x:c>
      <x:c r="AE444" s="28" t="n">
        <x:v>1</x:v>
      </x:c>
      <x:c r="AF444" s="28" t="n">
        <x:f>IF(Z444="Высокая",3,IF(Z444="Средняя",2,1))+AD444*2+MIN(AE444,3)</x:f>
        <x:v>5</x:v>
      </x:c>
    </x:row>
    <x:row r="445" ht="64" customHeight="1">
      <x:c r="A445" s="28" t="str">
        <x:v>VEG-0444</x:v>
      </x:c>
      <x:c r="B445" s="28" t="str">
        <x:v>лук</x:v>
      </x:c>
      <x:c r="C445" s="28" t="str">
        <x:v>Универсальные</x:v>
      </x:c>
      <x:c r="D445" s="28" t="str">
        <x:v>лук</x:v>
      </x:c>
      <x:c r="E445" s="28" t="str">
        <x:v>Лук | лук</x:v>
      </x:c>
      <x:c r="F445" s="28" t="str">
        <x:v>Луковые овощи</x:v>
      </x:c>
      <x:c r="G445" s="28" t="str">
        <x:v>цыпленок</x:v>
      </x:c>
      <x:c r="H445" s="28" t="str">
        <x:v>Цыпленок | цыпленок</x:v>
      </x:c>
      <x:c r="I445" s="28" t="str">
        <x:v>Прочее</x:v>
      </x:c>
      <x:c r="J445" s="28" t="str">
        <x:v>сернистый, сладкий, зелёный; после жарки — карамельный и мясной</x:v>
      </x:c>
      <x:c r="K445" s="28" t="str">
        <x:v>профиль зависит от конкретного продукта</x:v>
      </x:c>
      <x:c r="L445" s="28" t="str">
        <x:v>тиосульфинаты, пропантиаль-S-оксид, диаллилдисульфид, фураны</x:v>
      </x:c>
      <x:c r="M445" s="28" t="str">
        <x:v>конкретный молекулярный профиль не указан</x:v>
      </x:c>
      <x:c r="N445" s="28" t="str">
        <x:v>прямое пересечение семейств не подтверждено</x:v>
      </x:c>
      <x:c r="O445" s="28" t="str">
        <x:v>надёжная общая ключевая молекула не установлена</x:v>
      </x:c>
      <x:c r="P445" s="28" t="str">
        <x:v>сернистая или горчичная комплементарность</x:v>
      </x:c>
      <x:c r="Q44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5" s="28" t="str">
        <x:v>слезоточивое и жгучее воздействие сернистых соединений</x:v>
      </x:c>
      <x:c r="S445" s="28" t="str">
        <x:v>водная клеточная матрица с сахарами и серосодержащими предшественниками</x:v>
      </x:c>
      <x:c r="T44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5" s="28" t="str">
        <x:v>Лук имеет профиль «сернистый, сладкий, зелёный; после жарки — карамельный и мясной».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5" s="28" t="str">
        <x:v>сырой лук легко перекрывает деликатные ароматы; подгорание создаёт устойчивую горечь</x:v>
      </x:c>
      <x:c r="W445" s="28" t="str">
        <x:v>соль, кислота или ароматический жир</x:v>
      </x:c>
      <x:c r="X445" s="28" t="str">
        <x:v>горячее блюдо, бульон, соус, пюре, ферментация или гарнир с цыпленок</x:v>
      </x:c>
      <x:c r="Y445" s="28" t="str">
        <x:v>еда, соусы/маринады</x:v>
      </x:c>
      <x:c r="Z445" s="28" t="str">
        <x:v>Средняя</x:v>
      </x:c>
      <x:c r="AA445" s="28" t="str">
        <x:v>Тезариус вкусов (Ники Сегнит)(1).pdf</x:v>
      </x:c>
      <x:c r="AB445" s="28" t="str">
        <x:v>Тезариус вкусов (Ники Сегнит)(1).pdf: 69, 288</x:v>
      </x:c>
      <x:c r="AC445" s="28" t="str">
        <x:v>развёрнутая пара/статья, стр. 69; развёрнутая пара/статья, стр. 288</x:v>
      </x:c>
      <x:c r="AD445" s="28" t="n">
        <x:v>1</x:v>
      </x:c>
      <x:c r="AE445" s="28" t="n">
        <x:v>2</x:v>
      </x:c>
      <x:c r="AF445" s="28" t="n">
        <x:f>IF(Z445="Высокая",3,IF(Z445="Средняя",2,1))+AD445*2+MIN(AE445,3)</x:f>
        <x:v>6</x:v>
      </x:c>
    </x:row>
    <x:row r="446" ht="64" customHeight="1">
      <x:c r="A446" s="28" t="str">
        <x:v>VEG-0445</x:v>
      </x:c>
      <x:c r="B446" s="28" t="str">
        <x:v>лук</x:v>
      </x:c>
      <x:c r="C446" s="28" t="str">
        <x:v>Еда и соусы</x:v>
      </x:c>
      <x:c r="D446" s="28" t="str">
        <x:v>лук</x:v>
      </x:c>
      <x:c r="E446" s="28" t="str">
        <x:v>Лук | лук</x:v>
      </x:c>
      <x:c r="F446" s="28" t="str">
        <x:v>Луковые овощи</x:v>
      </x:c>
      <x:c r="G446" s="28" t="str">
        <x:v>чеснок</x:v>
      </x:c>
      <x:c r="H446" s="28" t="str">
        <x:v>Чеснок | чеснок</x:v>
      </x:c>
      <x:c r="I446" s="28" t="str">
        <x:v>Луковые овощи</x:v>
      </x:c>
      <x:c r="J446" s="28" t="str">
        <x:v>сернистый, сладкий, зелёный; после жарки — карамельный и мясной</x:v>
      </x:c>
      <x:c r="K446" s="28" t="str">
        <x:v>резкий сернистый, зелёный и мясной; после запекания — сладкий и ореховый</x:v>
      </x:c>
      <x:c r="L446" s="28" t="str">
        <x:v>тиосульфинаты, пропантиаль-S-оксид, диаллилдисульфид, фураны</x:v>
      </x:c>
      <x:c r="M446" s="28" t="str">
        <x:v>аллицин, диаллилдисульфид, диаллилтрисульфид, метантиол</x:v>
      </x:c>
      <x:c r="N446" s="28" t="str">
        <x:v>жареный, сернистый</x:v>
      </x:c>
      <x:c r="O446" s="28" t="str">
        <x:v>диаллилдисульфид</x:v>
      </x:c>
      <x:c r="P446" s="28" t="str">
        <x:v>общие характерные молекулы; пересечение ароматических семейств; сернистая или горчичная комплементарность</x:v>
      </x:c>
      <x:c r="Q44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6" s="28" t="str">
        <x:v>слезоточивое и жгучее воздействие сернистых соединений</x:v>
      </x:c>
      <x:c r="S446" s="28" t="str">
        <x:v>водная клеточная матрица с сахарами и серосодержащими предшественниками</x:v>
      </x:c>
      <x:c r="T44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6" s="28" t="str">
        <x:v>Лук имеет профиль «сернистый, сладкий, зелёный; после жарки — карамельный и мясной». Партнёр «чеснок» относится к группе «Луковые овощи» и даёт резкий сернистый, зелёный и мясной; после запекания — сладкий и ореховый. Вероятный молекулярный мост: диаллилдисульфид.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6" s="28" t="str">
        <x:v>сырой лук легко перекрывает деликатные ароматы; подгорание создаёт устойчивую горечь</x:v>
      </x:c>
      <x:c r="W446" s="28" t="str">
        <x:v>соль, кислота или ароматический жир</x:v>
      </x:c>
      <x:c r="X446" s="28" t="str">
        <x:v>горячее блюдо, бульон, соус, пюре, ферментация или гарнир с чеснок</x:v>
      </x:c>
      <x:c r="Y446" s="28" t="str">
        <x:v>еда, соусы/маринады</x:v>
      </x:c>
      <x:c r="Z446" s="28" t="str">
        <x:v>Средняя</x:v>
      </x:c>
      <x:c r="AA446" s="28" t="str">
        <x:v>Тезариус вкусов (Ники Сегнит)(1).pdf</x:v>
      </x:c>
      <x:c r="AB446" s="28" t="str">
        <x:v>Тезариус вкусов (Ники Сегнит)(1).pdf: 288, 294</x:v>
      </x:c>
      <x:c r="AC446" s="28" t="str">
        <x:v>развёрнутая пара/статья, стр. 288; развёрнутая пара/статья, стр. 294</x:v>
      </x:c>
      <x:c r="AD446" s="28" t="n">
        <x:v>1</x:v>
      </x:c>
      <x:c r="AE446" s="28" t="n">
        <x:v>2</x:v>
      </x:c>
      <x:c r="AF446" s="28" t="n">
        <x:f>IF(Z446="Высокая",3,IF(Z446="Средняя",2,1))+AD446*2+MIN(AE446,3)</x:f>
        <x:v>6</x:v>
      </x:c>
    </x:row>
    <x:row r="447" ht="64" customHeight="1">
      <x:c r="A447" s="28" t="str">
        <x:v>VEG-0446</x:v>
      </x:c>
      <x:c r="B447" s="28" t="str">
        <x:v>лук</x:v>
      </x:c>
      <x:c r="C447" s="28" t="str">
        <x:v>Универсальные</x:v>
      </x:c>
      <x:c r="D447" s="28" t="str">
        <x:v>лук</x:v>
      </x:c>
      <x:c r="E447" s="28" t="str">
        <x:v>Лук | лук</x:v>
      </x:c>
      <x:c r="F447" s="28" t="str">
        <x:v>Луковые овощи</x:v>
      </x:c>
      <x:c r="G447" s="28" t="str">
        <x:v>шалфей</x:v>
      </x:c>
      <x:c r="H447" s="28" t="str">
        <x:v>Шалфей | шалфей</x:v>
      </x:c>
      <x:c r="I447" s="28" t="str">
        <x:v>Травы, цветы и листья</x:v>
      </x:c>
      <x:c r="J447" s="28" t="str">
        <x:v>сернистый, сладкий, зелёный; после жарки — карамельный и мясной</x:v>
      </x:c>
      <x:c r="K447" s="28" t="str">
        <x:v>древесный, камфорный</x:v>
      </x:c>
      <x:c r="L447" s="28" t="str">
        <x:v>тиосульфинаты, пропантиаль-S-оксид, диаллилдисульфид, фураны</x:v>
      </x:c>
      <x:c r="M447" s="28" t="str">
        <x:v>1,8-цинеол, туйон</x:v>
      </x:c>
      <x:c r="N447" s="28" t="str">
        <x:v>прямое пересечение семейств не подтверждено</x:v>
      </x:c>
      <x:c r="O447" s="28" t="str">
        <x:v>надёжная общая ключевая молекула не установлена</x:v>
      </x:c>
      <x:c r="P447" s="28" t="str">
        <x:v>сернистая или горчичная комплементарность</x:v>
      </x:c>
      <x:c r="Q44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7" s="28" t="str">
        <x:v>слезоточивое и жгучее воздействие сернистых соединений</x:v>
      </x:c>
      <x:c r="S447" s="28" t="str">
        <x:v>водная клеточная матрица с сахарами и серосодержащими предшественниками</x:v>
      </x:c>
      <x:c r="T44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7" s="28" t="str">
        <x:v>Лук имеет профиль «сернистый, сладкий, зелёный; после жарки — карамельный и мясной».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7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W447" s="28" t="str">
        <x:v>оливковое масло, лимон или сыр</x:v>
      </x:c>
      <x:c r="X447" s="28" t="str">
        <x:v>горячее блюдо, бульон, соус, пюре, ферментация или гарнир с шалфей</x:v>
      </x:c>
      <x:c r="Y447" s="28" t="str">
        <x:v>еда, соусы/маринады</x:v>
      </x:c>
      <x:c r="Z447" s="28" t="str">
        <x:v>Средняя</x:v>
      </x:c>
      <x:c r="AA447" s="28" t="str">
        <x:v>Тезариус вкусов (Ники Сегнит)(1).pdf</x:v>
      </x:c>
      <x:c r="AB447" s="28" t="str">
        <x:v>Тезариус вкусов (Ники Сегнит)(1).pdf: 288, 844</x:v>
      </x:c>
      <x:c r="AC447" s="28" t="str">
        <x:v>развёрнутая пара/статья, стр. 288; развёрнутая пара/статья, стр. 844</x:v>
      </x:c>
      <x:c r="AD447" s="28" t="n">
        <x:v>1</x:v>
      </x:c>
      <x:c r="AE447" s="28" t="n">
        <x:v>2</x:v>
      </x:c>
      <x:c r="AF447" s="28" t="n">
        <x:f>IF(Z447="Высокая",3,IF(Z447="Средняя",2,1))+AD447*2+MIN(AE447,3)</x:f>
        <x:v>6</x:v>
      </x:c>
    </x:row>
    <x:row r="448" ht="64" customHeight="1">
      <x:c r="A448" s="28" t="str">
        <x:v>VEG-0447</x:v>
      </x:c>
      <x:c r="B448" s="28" t="str">
        <x:v>лук</x:v>
      </x:c>
      <x:c r="C448" s="28" t="str">
        <x:v>Универсальные</x:v>
      </x:c>
      <x:c r="D448" s="28" t="str">
        <x:v>лук</x:v>
      </x:c>
      <x:c r="E448" s="28" t="str">
        <x:v>Лук | лук</x:v>
      </x:c>
      <x:c r="F448" s="28" t="str">
        <x:v>Луковые овощи</x:v>
      </x:c>
      <x:c r="G448" s="28" t="str">
        <x:v>яйца</x:v>
      </x:c>
      <x:c r="H448" s="28" t="str">
        <x:v>Яйца | яйца</x:v>
      </x:c>
      <x:c r="I448" s="28" t="str">
        <x:v>Прочее</x:v>
      </x:c>
      <x:c r="J448" s="28" t="str">
        <x:v>сернистый, сладкий, зелёный; после жарки — карамельный и мясной</x:v>
      </x:c>
      <x:c r="K448" s="28" t="str">
        <x:v>профиль зависит от конкретного продукта</x:v>
      </x:c>
      <x:c r="L448" s="28" t="str">
        <x:v>тиосульфинаты, пропантиаль-S-оксид, диаллилдисульфид, фураны</x:v>
      </x:c>
      <x:c r="M448" s="28" t="str">
        <x:v>конкретный молекулярный профиль не указан</x:v>
      </x:c>
      <x:c r="N448" s="28" t="str">
        <x:v>прямое пересечение семейств не подтверждено</x:v>
      </x:c>
      <x:c r="O448" s="28" t="str">
        <x:v>надёжная общая ключевая молекула не установлена</x:v>
      </x:c>
      <x:c r="P448" s="28" t="str">
        <x:v>сернистая или горчичная комплементарность</x:v>
      </x:c>
      <x:c r="Q44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448" s="28" t="str">
        <x:v>слезоточивое и жгучее воздействие сернистых соединений</x:v>
      </x:c>
      <x:c r="S448" s="28" t="str">
        <x:v>водная клеточная матрица с сахарами и серосодержащими предшественниками</x:v>
      </x:c>
      <x:c r="T44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U448" s="28" t="str">
        <x:v>Лук имеет профиль «сернистый, сладкий, зелёный; после жарки — карамельный и мясной».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448" s="28" t="str">
        <x:v>сырой лук легко перекрывает деликатные ароматы; подгорание создаёт устойчивую горечь</x:v>
      </x:c>
      <x:c r="W448" s="28" t="str">
        <x:v>соль, кислота или ароматический жир</x:v>
      </x:c>
      <x:c r="X448" s="28" t="str">
        <x:v>горячее блюдо, бульон, соус, пюре, ферментация или гарнир с яйца</x:v>
      </x:c>
      <x:c r="Y448" s="28" t="str">
        <x:v>еда, соусы/маринады</x:v>
      </x:c>
      <x:c r="Z448" s="28" t="str">
        <x:v>Средняя</x:v>
      </x:c>
      <x:c r="AA448" s="28" t="str">
        <x:v>Тезариус вкусов (Ники Сегнит)(1).pdf</x:v>
      </x:c>
      <x:c r="AB448" s="28" t="str">
        <x:v>Тезариус вкусов (Ники Сегнит)(1).pdf: 289, 355</x:v>
      </x:c>
      <x:c r="AC448" s="28" t="str">
        <x:v>развёрнутая пара/статья, стр. 289; развёрнутая пара/статья, стр. 355</x:v>
      </x:c>
      <x:c r="AD448" s="28" t="n">
        <x:v>1</x:v>
      </x:c>
      <x:c r="AE448" s="28" t="n">
        <x:v>2</x:v>
      </x:c>
      <x:c r="AF448" s="28" t="n">
        <x:f>IF(Z448="Высокая",3,IF(Z448="Средняя",2,1))+AD448*2+MIN(AE448,3)</x:f>
        <x:v>6</x:v>
      </x:c>
    </x:row>
    <x:row r="449" ht="64" customHeight="1">
      <x:c r="A449" s="28" t="str">
        <x:v>VEG-0448</x:v>
      </x:c>
      <x:c r="B449" s="28" t="str">
        <x:v>морковь</x:v>
      </x:c>
      <x:c r="C449" s="28" t="str">
        <x:v>Универсальные</x:v>
      </x:c>
      <x:c r="D449" s="28" t="str">
        <x:v>морковь</x:v>
      </x:c>
      <x:c r="E449" s="28" t="str">
        <x:v>Морковь</x:v>
      </x:c>
      <x:c r="F449" s="28" t="str">
        <x:v>Корнеплоды</x:v>
      </x:c>
      <x:c r="G449" s="28" t="str">
        <x:v>агава</x:v>
      </x:c>
      <x:c r="H449" s="28" t="str">
        <x:v>агава</x:v>
      </x:c>
      <x:c r="I449" s="28" t="str">
        <x:v>Прочее</x:v>
      </x:c>
      <x:c r="J449" s="28" t="str">
        <x:v>сладкий, землистый, древесный и слегка цитрусовый</x:v>
      </x:c>
      <x:c r="K449" s="28" t="str">
        <x:v>профиль зависит от конкретного продукта</x:v>
      </x:c>
      <x:c r="L449" s="28" t="str">
        <x:v>каротол, β-ионон, терпинолен, пинены</x:v>
      </x:c>
      <x:c r="M449" s="28" t="str">
        <x:v>конкретный молекулярный профиль не указан</x:v>
      </x:c>
      <x:c r="N449" s="28" t="str">
        <x:v>прямое пересечение семейств не подтверждено</x:v>
      </x:c>
      <x:c r="O449" s="28" t="str">
        <x:v>надёжная общая ключевая молекула не установлена</x:v>
      </x:c>
      <x:c r="P449" s="28" t="str">
        <x:v>сенсорная комплементарность</x:v>
      </x:c>
      <x:c r="Q449" s="28" t="str">
        <x:v>Сладость и землистость балансируются кислотой, солью, горечью и умами; жир усиливает ощущение округлости.</x:v>
      </x:c>
      <x:c r="R449" s="28" t="str">
        <x:v>минимальный</x:v>
      </x:c>
      <x:c r="S449" s="28" t="str">
        <x:v>водно-клетчаточная матрица с сахарами и каротиноидами</x:v>
      </x:c>
      <x:c r="T44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49" s="28" t="str">
        <x:v>Морковь имеет профиль «сладкий, землистый, древесный и слегка цитрусовый». Партнёр «агава»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49" s="28" t="str">
        <x:v>сырая землистость может доминировать; перегрев делает профиль варёно-сладким</x:v>
      </x:c>
      <x:c r="W449" s="28" t="str">
        <x:v>соль, кислота или ароматический жир</x:v>
      </x:c>
      <x:c r="X449" s="28" t="str">
        <x:v>сок, кордиал, гаспачо, салат, соус, маринад или коктейльный компонент с агава</x:v>
      </x:c>
      <x:c r="Y449" s="28" t="str">
        <x:v>универсальное</x:v>
      </x:c>
      <x:c r="Z449" s="28" t="str">
        <x:v>Гипотеза / практическая</x:v>
      </x:c>
      <x:c r="AA449" s="28" t="str">
        <x:v>Таблица сочетания(1).pdf</x:v>
      </x:c>
      <x:c r="AB449" s="28" t="str">
        <x:v>Таблица сочетания(1).pdf: 4</x:v>
      </x:c>
      <x:c r="AC449" s="28" t="str">
        <x:v>рекомендация таблицы, стр. 4</x:v>
      </x:c>
      <x:c r="AD449" s="28" t="n">
        <x:v>1</x:v>
      </x:c>
      <x:c r="AE449" s="28" t="n">
        <x:v>1</x:v>
      </x:c>
      <x:c r="AF449" s="28" t="n">
        <x:f>IF(Z449="Высокая",3,IF(Z449="Средняя",2,1))+AD449*2+MIN(AE449,3)</x:f>
        <x:v>4</x:v>
      </x:c>
    </x:row>
    <x:row r="450" ht="64" customHeight="1">
      <x:c r="A450" s="28" t="str">
        <x:v>VEG-0449</x:v>
      </x:c>
      <x:c r="B450" s="28" t="str">
        <x:v>морковь</x:v>
      </x:c>
      <x:c r="C450" s="28" t="str">
        <x:v>Десерты и выпечка</x:v>
      </x:c>
      <x:c r="D450" s="28" t="str">
        <x:v>морковь</x:v>
      </x:c>
      <x:c r="E450" s="28" t="str">
        <x:v>Морковь</x:v>
      </x:c>
      <x:c r="F450" s="28" t="str">
        <x:v>Корнеплоды</x:v>
      </x:c>
      <x:c r="G450" s="28" t="str">
        <x:v>ананас</x:v>
      </x:c>
      <x:c r="H450" s="28" t="str">
        <x:v>ананас</x:v>
      </x:c>
      <x:c r="I450" s="28" t="str">
        <x:v>Фрукты и ягоды</x:v>
      </x:c>
      <x:c r="J450" s="28" t="str">
        <x:v>сладкий, землистый, древесный и слегка цитрусовый</x:v>
      </x:c>
      <x:c r="K450" s="28" t="str">
        <x:v>карамельный, сернистый, фруктовый</x:v>
      </x:c>
      <x:c r="L450" s="28" t="str">
        <x:v>каротол, β-ионон, терпинолен, пинены</x:v>
      </x:c>
      <x:c r="M450" s="28" t="str">
        <x:v>сернистые эфиры, этилбутират</x:v>
      </x:c>
      <x:c r="N450" s="28" t="str">
        <x:v>прямое пересечение семейств не подтверждено</x:v>
      </x:c>
      <x:c r="O450" s="28" t="str">
        <x:v>надёжная общая ключевая молекула не установлена</x:v>
      </x:c>
      <x:c r="P450" s="28" t="str">
        <x:v>кислотно-сладкий баланс</x:v>
      </x:c>
      <x:c r="Q450" s="28" t="str">
        <x:v>Сладость и землистость балансируются кислотой, солью, горечью и умами; жир усиливает ощущение округлости.</x:v>
      </x:c>
      <x:c r="R450" s="28" t="str">
        <x:v>минимальный</x:v>
      </x:c>
      <x:c r="S450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45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0" s="28" t="str">
        <x:v>Морковь имеет профиль «сладкий, землистый, древесный и слегка цитрусовый». Партнёр «ананас» относится к группе «Фрукты и ягоды» и даёт карамельный, сернистый,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450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450" s="28" t="str">
        <x:v>цитрус, мёд или мягкая трава</x:v>
      </x:c>
      <x:c r="X450" s="28" t="str">
        <x:v>сок, кордиал, гаспачо, салат, соус, маринад или коктейльный компонент с ананас</x:v>
      </x:c>
      <x:c r="Y450" s="28" t="str">
        <x:v>десерты</x:v>
      </x:c>
      <x:c r="Z450" s="28" t="str">
        <x:v>Гипотеза / практическая</x:v>
      </x:c>
      <x:c r="AA450" s="28" t="str">
        <x:v>Таблица сочетания(1).pdf</x:v>
      </x:c>
      <x:c r="AB450" s="28" t="str">
        <x:v>Таблица сочетания(1).pdf: 4</x:v>
      </x:c>
      <x:c r="AC450" s="28" t="str">
        <x:v>рекомендация таблицы, стр. 4</x:v>
      </x:c>
      <x:c r="AD450" s="28" t="n">
        <x:v>1</x:v>
      </x:c>
      <x:c r="AE450" s="28" t="n">
        <x:v>1</x:v>
      </x:c>
      <x:c r="AF450" s="28" t="n">
        <x:f>IF(Z450="Высокая",3,IF(Z450="Средняя",2,1))+AD450*2+MIN(AE450,3)</x:f>
        <x:v>4</x:v>
      </x:c>
    </x:row>
    <x:row r="451" ht="64" customHeight="1">
      <x:c r="A451" s="28" t="str">
        <x:v>VEG-0450</x:v>
      </x:c>
      <x:c r="B451" s="28" t="str">
        <x:v>морковь</x:v>
      </x:c>
      <x:c r="C451" s="28" t="str">
        <x:v>Универсальные</x:v>
      </x:c>
      <x:c r="D451" s="28" t="str">
        <x:v>морковь</x:v>
      </x:c>
      <x:c r="E451" s="28" t="str">
        <x:v>Морковь | морковь</x:v>
      </x:c>
      <x:c r="F451" s="28" t="str">
        <x:v>Корнеплоды</x:v>
      </x:c>
      <x:c r="G451" s="28" t="str">
        <x:v>анис</x:v>
      </x:c>
      <x:c r="H451" s="28" t="str">
        <x:v>Анис | анис</x:v>
      </x:c>
      <x:c r="I451" s="28" t="str">
        <x:v>Прочее</x:v>
      </x:c>
      <x:c r="J451" s="28" t="str">
        <x:v>сладкий, землистый, древесный и слегка цитрусовый</x:v>
      </x:c>
      <x:c r="K451" s="28" t="str">
        <x:v>профиль зависит от конкретного продукта</x:v>
      </x:c>
      <x:c r="L451" s="28" t="str">
        <x:v>каротол, β-ионон, терпинолен, пинены</x:v>
      </x:c>
      <x:c r="M451" s="28" t="str">
        <x:v>конкретный молекулярный профиль не указан</x:v>
      </x:c>
      <x:c r="N451" s="28" t="str">
        <x:v>прямое пересечение семейств не подтверждено</x:v>
      </x:c>
      <x:c r="O451" s="28" t="str">
        <x:v>надёжная общая ключевая молекула не установлена</x:v>
      </x:c>
      <x:c r="P451" s="28" t="str">
        <x:v>сенсорная комплементарность</x:v>
      </x:c>
      <x:c r="Q451" s="28" t="str">
        <x:v>Сладость и землистость балансируются кислотой, солью, горечью и умами; жир усиливает ощущение округлости.</x:v>
      </x:c>
      <x:c r="R451" s="28" t="str">
        <x:v>минимальный</x:v>
      </x:c>
      <x:c r="S451" s="28" t="str">
        <x:v>водно-клетчаточная матрица с сахарами и каротиноидами</x:v>
      </x:c>
      <x:c r="T45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1" s="28" t="str">
        <x:v>Морковь имеет профиль «сладкий, землистый, древесный и слегка цитрусовый».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51" s="28" t="str">
        <x:v>сырая землистость может доминировать; перегрев делает профиль варёно-сладким</x:v>
      </x:c>
      <x:c r="W451" s="28" t="str">
        <x:v>соль, кислота или ароматический жир</x:v>
      </x:c>
      <x:c r="X451" s="28" t="str">
        <x:v>сок, кордиал, гаспачо, салат, соус, маринад или коктейльный компонент с анис</x:v>
      </x:c>
      <x:c r="Y451" s="28" t="str">
        <x:v>универсальное</x:v>
      </x:c>
      <x:c r="Z451" s="28" t="str">
        <x:v>Средняя</x:v>
      </x:c>
      <x:c r="AA451" s="28" t="str">
        <x:v>Тезариус вкусов (Ники Сегнит)(1).pdf</x:v>
      </x:c>
      <x:c r="AB451" s="28" t="str">
        <x:v>Тезариус вкусов (Ники Сегнит)(1).pdf: 486, 601</x:v>
      </x:c>
      <x:c r="AC451" s="28" t="str">
        <x:v>развёрнутая пара/статья, стр. 486; развёрнутая пара/статья, стр. 601</x:v>
      </x:c>
      <x:c r="AD451" s="28" t="n">
        <x:v>1</x:v>
      </x:c>
      <x:c r="AE451" s="28" t="n">
        <x:v>2</x:v>
      </x:c>
      <x:c r="AF451" s="28" t="n">
        <x:f>IF(Z451="Высокая",3,IF(Z451="Средняя",2,1))+AD451*2+MIN(AE451,3)</x:f>
        <x:v>6</x:v>
      </x:c>
    </x:row>
    <x:row r="452" ht="64" customHeight="1">
      <x:c r="A452" s="28" t="str">
        <x:v>VEG-0451</x:v>
      </x:c>
      <x:c r="B452" s="28" t="str">
        <x:v>морковь</x:v>
      </x:c>
      <x:c r="C452" s="28" t="str">
        <x:v>Десерты и выпечка</x:v>
      </x:c>
      <x:c r="D452" s="28" t="str">
        <x:v>морковь</x:v>
      </x:c>
      <x:c r="E452" s="28" t="str">
        <x:v>carrot | Морковь | морковь</x:v>
      </x:c>
      <x:c r="F452" s="28" t="str">
        <x:v>Корнеплоды</x:v>
      </x:c>
      <x:c r="G452" s="28" t="str">
        <x:v>апельсин</x:v>
      </x:c>
      <x:c r="H452" s="28" t="str">
        <x:v>orange | Апельсин | апельсин</x:v>
      </x:c>
      <x:c r="I452" s="28" t="str">
        <x:v>Фрукты и ягоды</x:v>
      </x:c>
      <x:c r="J452" s="28" t="str">
        <x:v>сладкий, землистый, древесный и слегка цитрусовый</x:v>
      </x:c>
      <x:c r="K452" s="28" t="str">
        <x:v>сладкий, цветочный, цитрусовый</x:v>
      </x:c>
      <x:c r="L452" s="28" t="str">
        <x:v>каротол, β-ионон, терпинолен, пинены</x:v>
      </x:c>
      <x:c r="M452" s="28" t="str">
        <x:v>лимонен, линалоол</x:v>
      </x:c>
      <x:c r="N452" s="28" t="str">
        <x:v>сладкий</x:v>
      </x:c>
      <x:c r="O452" s="28" t="str">
        <x:v>надёжная общая ключевая молекула не установлена</x:v>
      </x:c>
      <x:c r="P452" s="28" t="str">
        <x:v>пересечение ароматических семейств; кислотно-сладкий баланс</x:v>
      </x:c>
      <x:c r="Q452" s="28" t="str">
        <x:v>Сладость и землистость балансируются кислотой, солью, горечью и умами; жир усиливает ощущение округлости.</x:v>
      </x:c>
      <x:c r="R452" s="28" t="str">
        <x:v>минимальный</x:v>
      </x:c>
      <x:c r="S452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45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2" s="28" t="str">
        <x:v>Морковь имеет профиль «сладкий, землистый, древесный и слегка цитрусовый».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452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452" s="28" t="str">
        <x:v>цитрус, мёд или мягкая трава</x:v>
      </x:c>
      <x:c r="X452" s="28" t="str">
        <x:v>сок, кордиал, гаспачо, салат, соус, маринад или коктейльный компонент с апельсин</x:v>
      </x:c>
      <x:c r="Y452" s="28" t="str">
        <x:v>десерты</x:v>
      </x:c>
      <x:c r="Z452" s="28" t="str">
        <x:v>Высокая</x:v>
      </x:c>
      <x:c r="AA452" s="28" t="str">
        <x:v>The Art &amp; Science of Foodpairing.pdf | Таблица сочетания(1).pdf | Тезариус вкусов (Ники Сегнит)(1).pdf</x:v>
      </x:c>
      <x:c r="AB452" s="28" t="str">
        <x:v>Таблица сочетания(1).pdf: 4; Тезариус вкусов (Ники Сегнит)(1).pdf: 602, 778; The Art &amp; Science of Foodpairing.pdf: 233</x:v>
      </x:c>
      <x:c r="AC452" s="28" t="str">
        <x:v>прямая Potential pairing, стр. 233; развёрнутая пара/статья, стр. 602; развёрнутая пара/статья, стр. 778; рекомендация таблицы, стр. 4</x:v>
      </x:c>
      <x:c r="AD452" s="28" t="n">
        <x:v>3</x:v>
      </x:c>
      <x:c r="AE452" s="28" t="n">
        <x:v>4</x:v>
      </x:c>
      <x:c r="AF452" s="28" t="n">
        <x:f>IF(Z452="Высокая",3,IF(Z452="Средняя",2,1))+AD452*2+MIN(AE452,3)</x:f>
        <x:v>12</x:v>
      </x:c>
    </x:row>
    <x:row r="453" ht="64" customHeight="1">
      <x:c r="A453" s="28" t="str">
        <x:v>VEG-0452</x:v>
      </x:c>
      <x:c r="B453" s="28" t="str">
        <x:v>морковь</x:v>
      </x:c>
      <x:c r="C453" s="28" t="str">
        <x:v>Десерты и выпечка</x:v>
      </x:c>
      <x:c r="D453" s="28" t="str">
        <x:v>морковь</x:v>
      </x:c>
      <x:c r="E453" s="28" t="str">
        <x:v>carrot</x:v>
      </x:c>
      <x:c r="F453" s="28" t="str">
        <x:v>Корнеплоды</x:v>
      </x:c>
      <x:c r="G453" s="28" t="str">
        <x:v>апельсиновый сок</x:v>
      </x:c>
      <x:c r="H453" s="28" t="str">
        <x:v>orangejuice</x:v>
      </x:c>
      <x:c r="I453" s="28" t="str">
        <x:v>Фрукты и ягоды</x:v>
      </x:c>
      <x:c r="J453" s="28" t="str">
        <x:v>сладкий, землистый, древесный и слегка цитрусовый</x:v>
      </x:c>
      <x:c r="K453" s="28" t="str">
        <x:v>сладкий, цветочный, цитрусовый</x:v>
      </x:c>
      <x:c r="L453" s="28" t="str">
        <x:v>каротол, β-ионон, терпинолен, пинены</x:v>
      </x:c>
      <x:c r="M453" s="28" t="str">
        <x:v>лимонен, линалоол</x:v>
      </x:c>
      <x:c r="N453" s="28" t="str">
        <x:v>сладкий</x:v>
      </x:c>
      <x:c r="O453" s="28" t="str">
        <x:v>надёжная общая ключевая молекула не установлена</x:v>
      </x:c>
      <x:c r="P453" s="28" t="str">
        <x:v>пересечение ароматических семейств; кислотно-сладкий баланс</x:v>
      </x:c>
      <x:c r="Q453" s="28" t="str">
        <x:v>Сладость и землистость балансируются кислотой, солью, горечью и умами; жир усиливает ощущение округлости.</x:v>
      </x:c>
      <x:c r="R453" s="28" t="str">
        <x:v>минимальный</x:v>
      </x:c>
      <x:c r="S453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45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3" s="28" t="str">
        <x:v>Морковь имеет профиль «сладкий, землистый, древесный и слегка цитрусовый». Партнёр «апельсиновый сок»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453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453" s="28" t="str">
        <x:v>цитрус, мёд или мягкая трава</x:v>
      </x:c>
      <x:c r="X453" s="28" t="str">
        <x:v>сок, кордиал, гаспачо, салат, соус, маринад или коктейльный компонент с апельсиновый сок</x:v>
      </x:c>
      <x:c r="Y453" s="28" t="str">
        <x:v>напитки, десерты</x:v>
      </x:c>
      <x:c r="Z453" s="28" t="str">
        <x:v>Средняя</x:v>
      </x:c>
      <x:c r="AA453" s="28" t="str">
        <x:v>The Art &amp; Science of Foodpairing.pdf</x:v>
      </x:c>
      <x:c r="AB453" s="28" t="str">
        <x:v>The Art &amp; Science of Foodpairing.pdf: 232</x:v>
      </x:c>
      <x:c r="AC453" s="28" t="str">
        <x:v>связь из pairing grid, стр. 232; связь из pairing grid, стр. 232</x:v>
      </x:c>
      <x:c r="AD453" s="28" t="n">
        <x:v>1</x:v>
      </x:c>
      <x:c r="AE453" s="28" t="n">
        <x:v>2</x:v>
      </x:c>
      <x:c r="AF453" s="28" t="n">
        <x:f>IF(Z453="Высокая",3,IF(Z453="Средняя",2,1))+AD453*2+MIN(AE453,3)</x:f>
        <x:v>6</x:v>
      </x:c>
    </x:row>
    <x:row r="454" ht="64" customHeight="1">
      <x:c r="A454" s="28" t="str">
        <x:v>VEG-0453</x:v>
      </x:c>
      <x:c r="B454" s="28" t="str">
        <x:v>морковь</x:v>
      </x:c>
      <x:c r="C454" s="28" t="str">
        <x:v>Десерты и выпечка</x:v>
      </x:c>
      <x:c r="D454" s="28" t="str">
        <x:v>морковь</x:v>
      </x:c>
      <x:c r="E454" s="28" t="str">
        <x:v>Морковь | морковь</x:v>
      </x:c>
      <x:c r="F454" s="28" t="str">
        <x:v>Корнеплоды</x:v>
      </x:c>
      <x:c r="G454" s="28" t="str">
        <x:v>арахис</x:v>
      </x:c>
      <x:c r="H454" s="28" t="str">
        <x:v>Арахис | арахис</x:v>
      </x:c>
      <x:c r="I454" s="28" t="str">
        <x:v>Орехи и семена</x:v>
      </x:c>
      <x:c r="J454" s="28" t="str">
        <x:v>сладкий, землистый, древесный и слегка цитрусовый</x:v>
      </x:c>
      <x:c r="K454" s="28" t="str">
        <x:v>ореховый, жареный и жирный</x:v>
      </x:c>
      <x:c r="L454" s="28" t="str">
        <x:v>каротол, β-ионон, терпинолен, пинены</x:v>
      </x:c>
      <x:c r="M454" s="28" t="str">
        <x:v>альдегиды, пиразины, фураны</x:v>
      </x:c>
      <x:c r="N454" s="28" t="str">
        <x:v>прямое пересечение семейств не подтверждено</x:v>
      </x:c>
      <x:c r="O454" s="28" t="str">
        <x:v>надёжная общая ключевая молекула не установлена</x:v>
      </x:c>
      <x:c r="P454" s="28" t="str">
        <x:v>сенсорная комплементарность</x:v>
      </x:c>
      <x:c r="Q454" s="28" t="str">
        <x:v>Сладость и землистость балансируются кислотой, солью, горечью и умами; жир усиливает ощущение округлости.</x:v>
      </x:c>
      <x:c r="R454" s="28" t="str">
        <x:v>минимальный</x:v>
      </x:c>
      <x:c r="S454" s="28" t="str">
        <x:v>водно-клетчаточная матрица с сахарами и каротиноидами</x:v>
      </x:c>
      <x:c r="T45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4" s="28" t="str">
        <x:v>Морковь имеет профиль «сладкий, землистый, древесный и слегка цитрусовый».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454" s="28" t="str">
        <x:v>сырая землистость может доминировать; перегрев делает профиль варёно-сладким</x:v>
      </x:c>
      <x:c r="W454" s="28" t="str">
        <x:v>соль, кислота или ароматический жир</x:v>
      </x:c>
      <x:c r="X454" s="28" t="str">
        <x:v>сок, кордиал, гаспачо, салат, соус, маринад или коктейльный компонент с арахис</x:v>
      </x:c>
      <x:c r="Y454" s="28" t="str">
        <x:v>десерты</x:v>
      </x:c>
      <x:c r="Z454" s="28" t="str">
        <x:v>Средняя</x:v>
      </x:c>
      <x:c r="AA454" s="28" t="str">
        <x:v>Тезариус вкусов (Ники Сегнит)(1).pdf</x:v>
      </x:c>
      <x:c r="AB454" s="28" t="str">
        <x:v>Тезариус вкусов (Ники Сегнит)(1).pdf: 55, 602</x:v>
      </x:c>
      <x:c r="AC454" s="28" t="str">
        <x:v>развёрнутая пара/статья, стр. 55; развёрнутая пара/статья, стр. 602</x:v>
      </x:c>
      <x:c r="AD454" s="28" t="n">
        <x:v>1</x:v>
      </x:c>
      <x:c r="AE454" s="28" t="n">
        <x:v>2</x:v>
      </x:c>
      <x:c r="AF454" s="28" t="n">
        <x:f>IF(Z454="Высокая",3,IF(Z454="Средняя",2,1))+AD454*2+MIN(AE454,3)</x:f>
        <x:v>6</x:v>
      </x:c>
    </x:row>
    <x:row r="455" ht="64" customHeight="1">
      <x:c r="A455" s="28" t="str">
        <x:v>VEG-0454</x:v>
      </x:c>
      <x:c r="B455" s="28" t="str">
        <x:v>морковь</x:v>
      </x:c>
      <x:c r="C455" s="28" t="str">
        <x:v>Универсальные</x:v>
      </x:c>
      <x:c r="D455" s="28" t="str">
        <x:v>морковь</x:v>
      </x:c>
      <x:c r="E455" s="28" t="str">
        <x:v>carrot</x:v>
      </x:c>
      <x:c r="F455" s="28" t="str">
        <x:v>Корнеплоды</x:v>
      </x:c>
      <x:c r="G455" s="28" t="str">
        <x:v>багет</x:v>
      </x:c>
      <x:c r="H455" s="28" t="str">
        <x:v>baguette</x:v>
      </x:c>
      <x:c r="I455" s="28" t="str">
        <x:v>Прочее</x:v>
      </x:c>
      <x:c r="J455" s="28" t="str">
        <x:v>сладкий, землистый, древесный и слегка цитрусовый</x:v>
      </x:c>
      <x:c r="K455" s="28" t="str">
        <x:v>профиль зависит от конкретного продукта</x:v>
      </x:c>
      <x:c r="L455" s="28" t="str">
        <x:v>каротол, β-ионон, терпинолен, пинены</x:v>
      </x:c>
      <x:c r="M455" s="28" t="str">
        <x:v>конкретный молекулярный профиль не указан</x:v>
      </x:c>
      <x:c r="N455" s="28" t="str">
        <x:v>прямое пересечение семейств не подтверждено</x:v>
      </x:c>
      <x:c r="O455" s="28" t="str">
        <x:v>надёжная общая ключевая молекула не установлена</x:v>
      </x:c>
      <x:c r="P455" s="28" t="str">
        <x:v>сенсорная комплементарность</x:v>
      </x:c>
      <x:c r="Q455" s="28" t="str">
        <x:v>Сладость и землистость балансируются кислотой, солью, горечью и умами; жир усиливает ощущение округлости.</x:v>
      </x:c>
      <x:c r="R455" s="28" t="str">
        <x:v>минимальный</x:v>
      </x:c>
      <x:c r="S455" s="28" t="str">
        <x:v>водно-клетчаточная матрица с сахарами и каротиноидами</x:v>
      </x:c>
      <x:c r="T45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5" s="28" t="str">
        <x:v>Морковь имеет профиль «сладкий, землистый, древесный и слегка цитрусовый». Партнёр «багет»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55" s="28" t="str">
        <x:v>сырая землистость может доминировать; перегрев делает профиль варёно-сладким</x:v>
      </x:c>
      <x:c r="W455" s="28" t="str">
        <x:v>соль, кислота или ароматический жир</x:v>
      </x:c>
      <x:c r="X455" s="28" t="str">
        <x:v>сок, кордиал, гаспачо, салат, соус, маринад или коктейльный компонент с багет</x:v>
      </x:c>
      <x:c r="Y455" s="28" t="str">
        <x:v>универсальное</x:v>
      </x:c>
      <x:c r="Z455" s="28" t="str">
        <x:v>Средняя</x:v>
      </x:c>
      <x:c r="AA455" s="28" t="str">
        <x:v>The Art &amp; Science of Foodpairing.pdf</x:v>
      </x:c>
      <x:c r="AB455" s="28" t="str">
        <x:v>The Art &amp; Science of Foodpairing.pdf: 232</x:v>
      </x:c>
      <x:c r="AC455" s="28" t="str">
        <x:v>связь из pairing grid, стр. 232</x:v>
      </x:c>
      <x:c r="AD455" s="28" t="n">
        <x:v>1</x:v>
      </x:c>
      <x:c r="AE455" s="28" t="n">
        <x:v>1</x:v>
      </x:c>
      <x:c r="AF455" s="28" t="n">
        <x:f>IF(Z455="Высокая",3,IF(Z455="Средняя",2,1))+AD455*2+MIN(AE455,3)</x:f>
        <x:v>5</x:v>
      </x:c>
    </x:row>
    <x:row r="456" ht="64" customHeight="1">
      <x:c r="A456" s="28" t="str">
        <x:v>VEG-0455</x:v>
      </x:c>
      <x:c r="B456" s="28" t="str">
        <x:v>морковь</x:v>
      </x:c>
      <x:c r="C456" s="28" t="str">
        <x:v>Универсальные</x:v>
      </x:c>
      <x:c r="D456" s="28" t="str">
        <x:v>морковь</x:v>
      </x:c>
      <x:c r="E456" s="28" t="str">
        <x:v>Морковь</x:v>
      </x:c>
      <x:c r="F456" s="28" t="str">
        <x:v>Корнеплоды</x:v>
      </x:c>
      <x:c r="G456" s="28" t="str">
        <x:v>базилик</x:v>
      </x:c>
      <x:c r="H456" s="28" t="str">
        <x:v>базилик</x:v>
      </x:c>
      <x:c r="I456" s="28" t="str">
        <x:v>Травы, цветы и листья</x:v>
      </x:c>
      <x:c r="J456" s="28" t="str">
        <x:v>сладкий, землистый, древесный и слегка цитрусовый</x:v>
      </x:c>
      <x:c r="K456" s="28" t="str">
        <x:v>зелёный, пряный, цветочный</x:v>
      </x:c>
      <x:c r="L456" s="28" t="str">
        <x:v>каротол, β-ионон, терпинолен, пинены</x:v>
      </x:c>
      <x:c r="M456" s="28" t="str">
        <x:v>линалоол, эвгенол</x:v>
      </x:c>
      <x:c r="N456" s="28" t="str">
        <x:v>прямое пересечение семейств не подтверждено</x:v>
      </x:c>
      <x:c r="O456" s="28" t="str">
        <x:v>надёжная общая ключевая молекула не установлена</x:v>
      </x:c>
      <x:c r="P456" s="28" t="str">
        <x:v>сенсорная комплементарность</x:v>
      </x:c>
      <x:c r="Q456" s="28" t="str">
        <x:v>Сладость и землистость балансируются кислотой, солью, горечью и умами; жир усиливает ощущение округлости.</x:v>
      </x:c>
      <x:c r="R456" s="28" t="str">
        <x:v>минимальный</x:v>
      </x:c>
      <x:c r="S456" s="28" t="str">
        <x:v>водно-клетчаточная матрица с сахарами и каротиноидами</x:v>
      </x:c>
      <x:c r="T45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6" s="28" t="str">
        <x:v>Морковь имеет профиль «сладкий, землистый, древесный и слегка цитрусовый».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456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W456" s="28" t="str">
        <x:v>оливковое масло, лимон или сыр</x:v>
      </x:c>
      <x:c r="X456" s="28" t="str">
        <x:v>сок, кордиал, гаспачо, салат, соус, маринад или коктейльный компонент с базилик</x:v>
      </x:c>
      <x:c r="Y456" s="28" t="str">
        <x:v>универсальное</x:v>
      </x:c>
      <x:c r="Z456" s="28" t="str">
        <x:v>Гипотеза / практическая</x:v>
      </x:c>
      <x:c r="AA456" s="28" t="str">
        <x:v>Таблица сочетания(1).pdf</x:v>
      </x:c>
      <x:c r="AB456" s="28" t="str">
        <x:v>Таблица сочетания(1).pdf: 4</x:v>
      </x:c>
      <x:c r="AC456" s="28" t="str">
        <x:v>рекомендация таблицы, стр. 4</x:v>
      </x:c>
      <x:c r="AD456" s="28" t="n">
        <x:v>1</x:v>
      </x:c>
      <x:c r="AE456" s="28" t="n">
        <x:v>1</x:v>
      </x:c>
      <x:c r="AF456" s="28" t="n">
        <x:f>IF(Z456="Высокая",3,IF(Z456="Средняя",2,1))+AD456*2+MIN(AE456,3)</x:f>
        <x:v>4</x:v>
      </x:c>
    </x:row>
    <x:row r="457" ht="64" customHeight="1">
      <x:c r="A457" s="28" t="str">
        <x:v>VEG-0456</x:v>
      </x:c>
      <x:c r="B457" s="28" t="str">
        <x:v>морковь</x:v>
      </x:c>
      <x:c r="C457" s="28" t="str">
        <x:v>Еда и соусы</x:v>
      </x:c>
      <x:c r="D457" s="28" t="str">
        <x:v>морковь</x:v>
      </x:c>
      <x:c r="E457" s="28" t="str">
        <x:v>carrot</x:v>
      </x:c>
      <x:c r="F457" s="28" t="str">
        <x:v>Корнеплоды</x:v>
      </x:c>
      <x:c r="G457" s="28" t="str">
        <x:v>баранина</x:v>
      </x:c>
      <x:c r="H457" s="28" t="str">
        <x:v>grilled lamb</x:v>
      </x:c>
      <x:c r="I457" s="28" t="str">
        <x:v>Мясо и птица</x:v>
      </x:c>
      <x:c r="J457" s="28" t="str">
        <x:v>сладкий, землистый, древесный и слегка цитрусовый</x:v>
      </x:c>
      <x:c r="K457" s="28" t="str">
        <x:v>жареный, мясной и умами</x:v>
      </x:c>
      <x:c r="L457" s="28" t="str">
        <x:v>каротол, β-ионон, терпинолен, пинены</x:v>
      </x:c>
      <x:c r="M457" s="28" t="str">
        <x:v>пиразины, сернистые соединения</x:v>
      </x:c>
      <x:c r="N457" s="28" t="str">
        <x:v>прямое пересечение семейств не подтверждено</x:v>
      </x:c>
      <x:c r="O457" s="28" t="str">
        <x:v>надёжная общая ключевая молекула не установлена</x:v>
      </x:c>
      <x:c r="P457" s="28" t="str">
        <x:v>умами и солёный контраст</x:v>
      </x:c>
      <x:c r="Q457" s="28" t="str">
        <x:v>Сладость и землистость балансируются кислотой, солью, горечью и умами; жир усиливает ощущение округлости.</x:v>
      </x:c>
      <x:c r="R457" s="28" t="str">
        <x:v>минимальный</x:v>
      </x:c>
      <x:c r="S457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45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7" s="28" t="str">
        <x:v>Морковь имеет профиль «сладкий, землистый, древесный и слегка цитрусовый».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457" s="28" t="str">
        <x:v>сырая землистость может доминировать; перегрев делает профиль варёно-сладким</x:v>
      </x:c>
      <x:c r="W457" s="28" t="str">
        <x:v>сливочное масло, соевый соус или тимьян</x:v>
      </x:c>
      <x:c r="X457" s="28" t="str">
        <x:v>сок, кордиал, гаспачо, салат, соус, маринад или коктейльный компонент с баранина</x:v>
      </x:c>
      <x:c r="Y457" s="28" t="str">
        <x:v>еда, соусы/маринады</x:v>
      </x:c>
      <x:c r="Z457" s="28" t="str">
        <x:v>Средняя</x:v>
      </x:c>
      <x:c r="AA457" s="28" t="str">
        <x:v>The Art &amp; Science of Foodpairing.pdf</x:v>
      </x:c>
      <x:c r="AB457" s="28" t="str">
        <x:v>The Art &amp; Science of Foodpairing.pdf: 232</x:v>
      </x:c>
      <x:c r="AC457" s="28" t="str">
        <x:v>связь из pairing grid, стр. 232</x:v>
      </x:c>
      <x:c r="AD457" s="28" t="n">
        <x:v>1</x:v>
      </x:c>
      <x:c r="AE457" s="28" t="n">
        <x:v>1</x:v>
      </x:c>
      <x:c r="AF457" s="28" t="n">
        <x:f>IF(Z457="Высокая",3,IF(Z457="Средняя",2,1))+AD457*2+MIN(AE457,3)</x:f>
        <x:v>5</x:v>
      </x:c>
    </x:row>
    <x:row r="458" ht="64" customHeight="1">
      <x:c r="A458" s="28" t="str">
        <x:v>VEG-0457</x:v>
      </x:c>
      <x:c r="B458" s="28" t="str">
        <x:v>морковь</x:v>
      </x:c>
      <x:c r="C458" s="28" t="str">
        <x:v>Напитки</x:v>
      </x:c>
      <x:c r="D458" s="28" t="str">
        <x:v>морковь</x:v>
      </x:c>
      <x:c r="E458" s="28" t="str">
        <x:v>carrot</x:v>
      </x:c>
      <x:c r="F458" s="28" t="str">
        <x:v>Корнеплоды</x:v>
      </x:c>
      <x:c r="G458" s="28" t="str">
        <x:v>бурбон</x:v>
      </x:c>
      <x:c r="H458" s="28" t="str">
        <x:v>straight bourbon whiskey</x:v>
      </x:c>
      <x:c r="I458" s="28" t="str">
        <x:v>Алкогольные напитки</x:v>
      </x:c>
      <x:c r="J458" s="28" t="str">
        <x:v>сладкий, землистый, древесный и слегка цитрусовый</x:v>
      </x:c>
      <x:c r="K458" s="28" t="str">
        <x:v>спиртовой, фруктовый или древесный</x:v>
      </x:c>
      <x:c r="L458" s="28" t="str">
        <x:v>каротол, β-ионон, терпинолен, пинены</x:v>
      </x:c>
      <x:c r="M458" s="28" t="str">
        <x:v>альдегиды, эфиры</x:v>
      </x:c>
      <x:c r="N458" s="28" t="str">
        <x:v>древесный</x:v>
      </x:c>
      <x:c r="O458" s="28" t="str">
        <x:v>надёжная общая ключевая молекула не установлена</x:v>
      </x:c>
      <x:c r="P458" s="28" t="str">
        <x:v>пересечение ароматических семейств</x:v>
      </x:c>
      <x:c r="Q458" s="28" t="str">
        <x:v>Сладость и землистость балансируются кислотой, солью, горечью и умами; жир усиливает ощущение округлости.</x:v>
      </x:c>
      <x:c r="R458" s="28" t="str">
        <x:v>минимальный</x:v>
      </x:c>
      <x:c r="S458" s="28" t="str">
        <x:v>водно-клетчаточная матрица с сахарами и каротиноидами Этанол извлекает терпены и сернистые соединения эффективнее воды; время контакта ограничивать.</x:v>
      </x:c>
      <x:c r="T45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8" s="28" t="str">
        <x:v>Морковь имеет профиль «сладкий, землистый, древесный и слегка цитрусовый». Партнёр «бурбон»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58" s="28" t="str">
        <x:v>сырая землистость может доминировать; перегрев делает профиль варёно-сладким</x:v>
      </x:c>
      <x:c r="W458" s="28" t="str">
        <x:v>соль, кислота или ароматический жир</x:v>
      </x:c>
      <x:c r="X458" s="28" t="str">
        <x:v>сок, кордиал, гаспачо, салат, соус, маринад или коктейльный компонент с бурбон</x:v>
      </x:c>
      <x:c r="Y458" s="28" t="str">
        <x:v>напитки</x:v>
      </x:c>
      <x:c r="Z458" s="28" t="str">
        <x:v>Средняя</x:v>
      </x:c>
      <x:c r="AA458" s="28" t="str">
        <x:v>The Art &amp; Science of Foodpairing.pdf</x:v>
      </x:c>
      <x:c r="AB458" s="28" t="str">
        <x:v>The Art &amp; Science of Foodpairing.pdf: 232</x:v>
      </x:c>
      <x:c r="AC458" s="28" t="str">
        <x:v>связь из pairing grid, стр. 232</x:v>
      </x:c>
      <x:c r="AD458" s="28" t="n">
        <x:v>1</x:v>
      </x:c>
      <x:c r="AE458" s="28" t="n">
        <x:v>1</x:v>
      </x:c>
      <x:c r="AF458" s="28" t="n">
        <x:f>IF(Z458="Высокая",3,IF(Z458="Средняя",2,1))+AD458*2+MIN(AE458,3)</x:f>
        <x:v>5</x:v>
      </x:c>
    </x:row>
    <x:row r="459" ht="64" customHeight="1">
      <x:c r="A459" s="28" t="str">
        <x:v>VEG-0458</x:v>
      </x:c>
      <x:c r="B459" s="28" t="str">
        <x:v>морковь</x:v>
      </x:c>
      <x:c r="C459" s="28" t="str">
        <x:v>Еда и соусы</x:v>
      </x:c>
      <x:c r="D459" s="28" t="str">
        <x:v>морковь</x:v>
      </x:c>
      <x:c r="E459" s="28" t="str">
        <x:v>carrot</x:v>
      </x:c>
      <x:c r="F459" s="28" t="str">
        <x:v>Корнеплоды</x:v>
      </x:c>
      <x:c r="G459" s="28" t="str">
        <x:v>ветчина</x:v>
      </x:c>
      <x:c r="H459" s="28" t="str">
        <x:v>boiled ham</x:v>
      </x:c>
      <x:c r="I459" s="28" t="str">
        <x:v>Мясо и птица</x:v>
      </x:c>
      <x:c r="J459" s="28" t="str">
        <x:v>сладкий, землистый, древесный и слегка цитрусовый</x:v>
      </x:c>
      <x:c r="K459" s="28" t="str">
        <x:v>жареный, мясной и умами</x:v>
      </x:c>
      <x:c r="L459" s="28" t="str">
        <x:v>каротол, β-ионон, терпинолен, пинены</x:v>
      </x:c>
      <x:c r="M459" s="28" t="str">
        <x:v>пиразины, сернистые соединения</x:v>
      </x:c>
      <x:c r="N459" s="28" t="str">
        <x:v>прямое пересечение семейств не подтверждено</x:v>
      </x:c>
      <x:c r="O459" s="28" t="str">
        <x:v>надёжная общая ключевая молекула не установлена</x:v>
      </x:c>
      <x:c r="P459" s="28" t="str">
        <x:v>умами и солёный контраст</x:v>
      </x:c>
      <x:c r="Q459" s="28" t="str">
        <x:v>Сладость и землистость балансируются кислотой, солью, горечью и умами; жир усиливает ощущение округлости.</x:v>
      </x:c>
      <x:c r="R459" s="28" t="str">
        <x:v>минимальный</x:v>
      </x:c>
      <x:c r="S459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45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59" s="28" t="str">
        <x:v>Морковь имеет профиль «сладкий, землистый, древесный и слегка цитрусовый». Партнёр «ветчина»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459" s="28" t="str">
        <x:v>сырая землистость может доминировать; перегрев делает профиль варёно-сладким</x:v>
      </x:c>
      <x:c r="W459" s="28" t="str">
        <x:v>сливочное масло, соевый соус или тимьян</x:v>
      </x:c>
      <x:c r="X459" s="28" t="str">
        <x:v>сок, кордиал, гаспачо, салат, соус, маринад или коктейльный компонент с ветчина</x:v>
      </x:c>
      <x:c r="Y459" s="28" t="str">
        <x:v>еда, соусы/маринады</x:v>
      </x:c>
      <x:c r="Z459" s="28" t="str">
        <x:v>Средняя</x:v>
      </x:c>
      <x:c r="AA459" s="28" t="str">
        <x:v>The Art &amp; Science of Foodpairing.pdf</x:v>
      </x:c>
      <x:c r="AB459" s="28" t="str">
        <x:v>The Art &amp; Science of Foodpairing.pdf: 232</x:v>
      </x:c>
      <x:c r="AC459" s="28" t="str">
        <x:v>связь из pairing grid, стр. 232</x:v>
      </x:c>
      <x:c r="AD459" s="28" t="n">
        <x:v>1</x:v>
      </x:c>
      <x:c r="AE459" s="28" t="n">
        <x:v>1</x:v>
      </x:c>
      <x:c r="AF459" s="28" t="n">
        <x:f>IF(Z459="Высокая",3,IF(Z459="Средняя",2,1))+AD459*2+MIN(AE459,3)</x:f>
        <x:v>5</x:v>
      </x:c>
    </x:row>
    <x:row r="460" ht="64" customHeight="1">
      <x:c r="A460" s="28" t="str">
        <x:v>VEG-0459</x:v>
      </x:c>
      <x:c r="B460" s="28" t="str">
        <x:v>морковь</x:v>
      </x:c>
      <x:c r="C460" s="28" t="str">
        <x:v>Десерты и выпечка</x:v>
      </x:c>
      <x:c r="D460" s="28" t="str">
        <x:v>морковь</x:v>
      </x:c>
      <x:c r="E460" s="28" t="str">
        <x:v>carrot</x:v>
      </x:c>
      <x:c r="F460" s="28" t="str">
        <x:v>Корнеплоды</x:v>
      </x:c>
      <x:c r="G460" s="28" t="str">
        <x:v>вишнёвое варенье</x:v>
      </x:c>
      <x:c r="H460" s="28" t="str">
        <x:v>cherryjam</x:v>
      </x:c>
      <x:c r="I460" s="28" t="str">
        <x:v>Фрукты и ягоды</x:v>
      </x:c>
      <x:c r="J460" s="28" t="str">
        <x:v>сладкий, землистый, древесный и слегка цитрусовый</x:v>
      </x:c>
      <x:c r="K460" s="28" t="str">
        <x:v>фруктовый, цветочный и свежий</x:v>
      </x:c>
      <x:c r="L460" s="28" t="str">
        <x:v>каротол, β-ионон, терпинолен, пинены</x:v>
      </x:c>
      <x:c r="M460" s="28" t="str">
        <x:v>альдегиды, эфиры</x:v>
      </x:c>
      <x:c r="N460" s="28" t="str">
        <x:v>прямое пересечение семейств не подтверждено</x:v>
      </x:c>
      <x:c r="O460" s="28" t="str">
        <x:v>надёжная общая ключевая молекула не установлена</x:v>
      </x:c>
      <x:c r="P460" s="28" t="str">
        <x:v>кислотно-сладкий баланс</x:v>
      </x:c>
      <x:c r="Q460" s="28" t="str">
        <x:v>Сладость и землистость балансируются кислотой, солью, горечью и умами; жир усиливает ощущение округлости.</x:v>
      </x:c>
      <x:c r="R460" s="28" t="str">
        <x:v>минимальный</x:v>
      </x:c>
      <x:c r="S460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46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0" s="28" t="str">
        <x:v>Морковь имеет профиль «сладкий, землистый, древесный и слегка цитрусовый». Партнёр «вишнёвое варенье»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460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460" s="28" t="str">
        <x:v>цитрус, мёд или мягкая трава</x:v>
      </x:c>
      <x:c r="X460" s="28" t="str">
        <x:v>сок, кордиал, гаспачо, салат, соус, маринад или коктейльный компонент с вишнёвое варенье</x:v>
      </x:c>
      <x:c r="Y460" s="28" t="str">
        <x:v>десерты</x:v>
      </x:c>
      <x:c r="Z460" s="28" t="str">
        <x:v>Средняя</x:v>
      </x:c>
      <x:c r="AA460" s="28" t="str">
        <x:v>The Art &amp; Science of Foodpairing.pdf</x:v>
      </x:c>
      <x:c r="AB460" s="28" t="str">
        <x:v>The Art &amp; Science of Foodpairing.pdf: 232</x:v>
      </x:c>
      <x:c r="AC460" s="28" t="str">
        <x:v>связь из pairing grid, стр. 232</x:v>
      </x:c>
      <x:c r="AD460" s="28" t="n">
        <x:v>1</x:v>
      </x:c>
      <x:c r="AE460" s="28" t="n">
        <x:v>1</x:v>
      </x:c>
      <x:c r="AF460" s="28" t="n">
        <x:f>IF(Z460="Высокая",3,IF(Z460="Средняя",2,1))+AD460*2+MIN(AE460,3)</x:f>
        <x:v>5</x:v>
      </x:c>
    </x:row>
    <x:row r="461" ht="64" customHeight="1">
      <x:c r="A461" s="28" t="str">
        <x:v>VEG-0460</x:v>
      </x:c>
      <x:c r="B461" s="28" t="str">
        <x:v>морковь</x:v>
      </x:c>
      <x:c r="C461" s="28" t="str">
        <x:v>Напитки</x:v>
      </x:c>
      <x:c r="D461" s="28" t="str">
        <x:v>морковь</x:v>
      </x:c>
      <x:c r="E461" s="28" t="str">
        <x:v>carrot</x:v>
      </x:c>
      <x:c r="F461" s="28" t="str">
        <x:v>Корнеплоды</x:v>
      </x:c>
      <x:c r="G461" s="28" t="str">
        <x:v>водка</x:v>
      </x:c>
      <x:c r="H461" s="28" t="str">
        <x:v>Belvedere vodka</x:v>
      </x:c>
      <x:c r="I461" s="28" t="str">
        <x:v>Алкогольные напитки</x:v>
      </x:c>
      <x:c r="J461" s="28" t="str">
        <x:v>сладкий, землистый, древесный и слегка цитрусовый</x:v>
      </x:c>
      <x:c r="K461" s="28" t="str">
        <x:v>спиртовой, фруктовый или древесный</x:v>
      </x:c>
      <x:c r="L461" s="28" t="str">
        <x:v>каротол, β-ионон, терпинолен, пинены</x:v>
      </x:c>
      <x:c r="M461" s="28" t="str">
        <x:v>альдегиды, эфиры</x:v>
      </x:c>
      <x:c r="N461" s="28" t="str">
        <x:v>древесный</x:v>
      </x:c>
      <x:c r="O461" s="28" t="str">
        <x:v>надёжная общая ключевая молекула не установлена</x:v>
      </x:c>
      <x:c r="P461" s="28" t="str">
        <x:v>пересечение ароматических семейств</x:v>
      </x:c>
      <x:c r="Q461" s="28" t="str">
        <x:v>Сладость и землистость балансируются кислотой, солью, горечью и умами; жир усиливает ощущение округлости.</x:v>
      </x:c>
      <x:c r="R461" s="28" t="str">
        <x:v>минимальный</x:v>
      </x:c>
      <x:c r="S461" s="28" t="str">
        <x:v>водно-клетчаточная матрица с сахарами и каротиноидами Этанол извлекает терпены и сернистые соединения эффективнее воды; время контакта ограничивать.</x:v>
      </x:c>
      <x:c r="T46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1" s="28" t="str">
        <x:v>Морковь имеет профиль «сладкий, землистый, древесный и слегка цитрусовый». Партнёр «водка»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61" s="28" t="str">
        <x:v>сырая землистость может доминировать; перегрев делает профиль варёно-сладким</x:v>
      </x:c>
      <x:c r="W461" s="28" t="str">
        <x:v>соль, кислота или ароматический жир</x:v>
      </x:c>
      <x:c r="X461" s="28" t="str">
        <x:v>сок, кордиал, гаспачо, салат, соус, маринад или коктейльный компонент с водка</x:v>
      </x:c>
      <x:c r="Y461" s="28" t="str">
        <x:v>напитки</x:v>
      </x:c>
      <x:c r="Z461" s="28" t="str">
        <x:v>Средняя</x:v>
      </x:c>
      <x:c r="AA461" s="28" t="str">
        <x:v>The Art &amp; Science of Foodpairing.pdf</x:v>
      </x:c>
      <x:c r="AB461" s="28" t="str">
        <x:v>The Art &amp; Science of Foodpairing.pdf: 232</x:v>
      </x:c>
      <x:c r="AC461" s="28" t="str">
        <x:v>связь из pairing grid, стр. 232</x:v>
      </x:c>
      <x:c r="AD461" s="28" t="n">
        <x:v>1</x:v>
      </x:c>
      <x:c r="AE461" s="28" t="n">
        <x:v>1</x:v>
      </x:c>
      <x:c r="AF461" s="28" t="n">
        <x:f>IF(Z461="Высокая",3,IF(Z461="Средняя",2,1))+AD461*2+MIN(AE461,3)</x:f>
        <x:v>5</x:v>
      </x:c>
    </x:row>
    <x:row r="462" ht="64" customHeight="1">
      <x:c r="A462" s="28" t="str">
        <x:v>VEG-0461</x:v>
      </x:c>
      <x:c r="B462" s="28" t="str">
        <x:v>морковь</x:v>
      </x:c>
      <x:c r="C462" s="28" t="str">
        <x:v>Универсальные</x:v>
      </x:c>
      <x:c r="D462" s="28" t="str">
        <x:v>морковь</x:v>
      </x:c>
      <x:c r="E462" s="28" t="str">
        <x:v>carrot</x:v>
      </x:c>
      <x:c r="F462" s="28" t="str">
        <x:v>Корнеплоды</x:v>
      </x:c>
      <x:c r="G462" s="28" t="str">
        <x:v>водоросль грацилярия</x:v>
      </x:c>
      <x:c r="H462" s="28" t="str">
        <x:v>Graci/aria carnosa algae</x:v>
      </x:c>
      <x:c r="I462" s="28" t="str">
        <x:v>Прочее</x:v>
      </x:c>
      <x:c r="J462" s="28" t="str">
        <x:v>сладкий, землистый, древесный и слегка цитрусовый</x:v>
      </x:c>
      <x:c r="K462" s="28" t="str">
        <x:v>профиль зависит от конкретного продукта</x:v>
      </x:c>
      <x:c r="L462" s="28" t="str">
        <x:v>каротол, β-ионон, терпинолен, пинены</x:v>
      </x:c>
      <x:c r="M462" s="28" t="str">
        <x:v>конкретный молекулярный профиль не указан</x:v>
      </x:c>
      <x:c r="N462" s="28" t="str">
        <x:v>прямое пересечение семейств не подтверждено</x:v>
      </x:c>
      <x:c r="O462" s="28" t="str">
        <x:v>надёжная общая ключевая молекула не установлена</x:v>
      </x:c>
      <x:c r="P462" s="28" t="str">
        <x:v>сенсорная комплементарность</x:v>
      </x:c>
      <x:c r="Q462" s="28" t="str">
        <x:v>Сладость и землистость балансируются кислотой, солью, горечью и умами; жир усиливает ощущение округлости.</x:v>
      </x:c>
      <x:c r="R462" s="28" t="str">
        <x:v>минимальный</x:v>
      </x:c>
      <x:c r="S462" s="28" t="str">
        <x:v>водно-клетчаточная матрица с сахарами и каротиноидами</x:v>
      </x:c>
      <x:c r="T46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2" s="28" t="str">
        <x:v>Морковь имеет профиль «сладкий, землистый, древесный и слегка цитрусовый». Партнёр «водоросль грацилярия»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62" s="28" t="str">
        <x:v>сырая землистость может доминировать; перегрев делает профиль варёно-сладким</x:v>
      </x:c>
      <x:c r="W462" s="28" t="str">
        <x:v>соль, кислота или ароматический жир</x:v>
      </x:c>
      <x:c r="X462" s="28" t="str">
        <x:v>сок, кордиал, гаспачо, салат, соус, маринад или коктейльный компонент с водоросль грацилярия</x:v>
      </x:c>
      <x:c r="Y462" s="28" t="str">
        <x:v>универсальное</x:v>
      </x:c>
      <x:c r="Z462" s="28" t="str">
        <x:v>Средняя</x:v>
      </x:c>
      <x:c r="AA462" s="28" t="str">
        <x:v>The Art &amp; Science of Foodpairing.pdf</x:v>
      </x:c>
      <x:c r="AB462" s="28" t="str">
        <x:v>The Art &amp; Science of Foodpairing.pdf: 232</x:v>
      </x:c>
      <x:c r="AC462" s="28" t="str">
        <x:v>связь из pairing grid, стр. 232</x:v>
      </x:c>
      <x:c r="AD462" s="28" t="n">
        <x:v>1</x:v>
      </x:c>
      <x:c r="AE462" s="28" t="n">
        <x:v>1</x:v>
      </x:c>
      <x:c r="AF462" s="28" t="n">
        <x:f>IF(Z462="Высокая",3,IF(Z462="Средняя",2,1))+AD462*2+MIN(AE462,3)</x:f>
        <x:v>5</x:v>
      </x:c>
    </x:row>
    <x:row r="463" ht="64" customHeight="1">
      <x:c r="A463" s="28" t="str">
        <x:v>VEG-0462</x:v>
      </x:c>
      <x:c r="B463" s="28" t="str">
        <x:v>морковь</x:v>
      </x:c>
      <x:c r="C463" s="28" t="str">
        <x:v>Еда и соусы</x:v>
      </x:c>
      <x:c r="D463" s="28" t="str">
        <x:v>морковь</x:v>
      </x:c>
      <x:c r="E463" s="28" t="str">
        <x:v>Морковь | морковь</x:v>
      </x:c>
      <x:c r="F463" s="28" t="str">
        <x:v>Корнеплоды</x:v>
      </x:c>
      <x:c r="G463" s="28" t="str">
        <x:v>говядина</x:v>
      </x:c>
      <x:c r="H463" s="28" t="str">
        <x:v>Говядина | говядина</x:v>
      </x:c>
      <x:c r="I463" s="28" t="str">
        <x:v>Мясо и птица</x:v>
      </x:c>
      <x:c r="J463" s="28" t="str">
        <x:v>сладкий, землистый, древесный и слегка цитрусовый</x:v>
      </x:c>
      <x:c r="K463" s="28" t="str">
        <x:v>жареный, мясной и умами</x:v>
      </x:c>
      <x:c r="L463" s="28" t="str">
        <x:v>каротол, β-ионон, терпинолен, пинены</x:v>
      </x:c>
      <x:c r="M463" s="28" t="str">
        <x:v>пиразины, сернистые соединения</x:v>
      </x:c>
      <x:c r="N463" s="28" t="str">
        <x:v>прямое пересечение семейств не подтверждено</x:v>
      </x:c>
      <x:c r="O463" s="28" t="str">
        <x:v>надёжная общая ключевая молекула не установлена</x:v>
      </x:c>
      <x:c r="P463" s="28" t="str">
        <x:v>умами и солёный контраст</x:v>
      </x:c>
      <x:c r="Q463" s="28" t="str">
        <x:v>Сладость и землистость балансируются кислотой, солью, горечью и умами; жир усиливает ощущение округлости.</x:v>
      </x:c>
      <x:c r="R463" s="28" t="str">
        <x:v>минимальный</x:v>
      </x:c>
      <x:c r="S463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46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3" s="28" t="str">
        <x:v>Морковь имеет профиль «сладкий, землистый, древесный и слегка цитрусовый».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463" s="28" t="str">
        <x:v>сырая землистость может доминировать; перегрев делает профиль варёно-сладким</x:v>
      </x:c>
      <x:c r="W463" s="28" t="str">
        <x:v>сливочное масло, соевый соус или тимьян</x:v>
      </x:c>
      <x:c r="X463" s="28" t="str">
        <x:v>сок, кордиал, гаспачо, салат, соус, маринад или коктейльный компонент с говядина</x:v>
      </x:c>
      <x:c r="Y463" s="28" t="str">
        <x:v>еда, соусы/маринады</x:v>
      </x:c>
      <x:c r="Z463" s="28" t="str">
        <x:v>Средняя</x:v>
      </x:c>
      <x:c r="AA463" s="28" t="str">
        <x:v>Тезариус вкусов (Ники Сегнит)(1).pdf</x:v>
      </x:c>
      <x:c r="AB463" s="28" t="str">
        <x:v>Тезариус вкусов (Ники Сегнит)(1).pdf: 114, 602</x:v>
      </x:c>
      <x:c r="AC463" s="28" t="str">
        <x:v>развёрнутая пара/статья, стр. 114; развёрнутая пара/статья, стр. 602</x:v>
      </x:c>
      <x:c r="AD463" s="28" t="n">
        <x:v>1</x:v>
      </x:c>
      <x:c r="AE463" s="28" t="n">
        <x:v>2</x:v>
      </x:c>
      <x:c r="AF463" s="28" t="n">
        <x:f>IF(Z463="Высокая",3,IF(Z463="Средняя",2,1))+AD463*2+MIN(AE463,3)</x:f>
        <x:v>6</x:v>
      </x:c>
    </x:row>
    <x:row r="464" ht="64" customHeight="1">
      <x:c r="A464" s="28" t="str">
        <x:v>VEG-0463</x:v>
      </x:c>
      <x:c r="B464" s="28" t="str">
        <x:v>морковь</x:v>
      </x:c>
      <x:c r="C464" s="28" t="str">
        <x:v>Еда и соусы</x:v>
      </x:c>
      <x:c r="D464" s="28" t="str">
        <x:v>морковь</x:v>
      </x:c>
      <x:c r="E464" s="28" t="str">
        <x:v>carrot</x:v>
      </x:c>
      <x:c r="F464" s="28" t="str">
        <x:v>Корнеплоды</x:v>
      </x:c>
      <x:c r="G464" s="28" t="str">
        <x:v>говядина сухой выдержки</x:v>
      </x:c>
      <x:c r="H464" s="28" t="str">
        <x:v>dry-aged beef</x:v>
      </x:c>
      <x:c r="I464" s="28" t="str">
        <x:v>Мясо и птица</x:v>
      </x:c>
      <x:c r="J464" s="28" t="str">
        <x:v>сладкий, землистый, древесный и слегка цитрусовый</x:v>
      </x:c>
      <x:c r="K464" s="28" t="str">
        <x:v>жареный, мясной и умами</x:v>
      </x:c>
      <x:c r="L464" s="28" t="str">
        <x:v>каротол, β-ионон, терпинолен, пинены</x:v>
      </x:c>
      <x:c r="M464" s="28" t="str">
        <x:v>пиразины, сернистые соединения</x:v>
      </x:c>
      <x:c r="N464" s="28" t="str">
        <x:v>прямое пересечение семейств не подтверждено</x:v>
      </x:c>
      <x:c r="O464" s="28" t="str">
        <x:v>надёжная общая ключевая молекула не установлена</x:v>
      </x:c>
      <x:c r="P464" s="28" t="str">
        <x:v>умами и солёный контраст</x:v>
      </x:c>
      <x:c r="Q464" s="28" t="str">
        <x:v>Сладость и землистость балансируются кислотой, солью, горечью и умами; жир усиливает ощущение округлости.</x:v>
      </x:c>
      <x:c r="R464" s="28" t="str">
        <x:v>минимальный</x:v>
      </x:c>
      <x:c r="S464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46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4" s="28" t="str">
        <x:v>Морковь имеет профиль «сладкий, землистый, древесный и слегка цитрусовый». Партнёр «говядина сухой выдержки»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464" s="28" t="str">
        <x:v>сырая землистость может доминировать; перегрев делает профиль варёно-сладким</x:v>
      </x:c>
      <x:c r="W464" s="28" t="str">
        <x:v>сливочное масло, соевый соус или тимьян</x:v>
      </x:c>
      <x:c r="X464" s="28" t="str">
        <x:v>сок, кордиал, гаспачо, салат, соус, маринад или коктейльный компонент с говядина сухой выдержки</x:v>
      </x:c>
      <x:c r="Y464" s="28" t="str">
        <x:v>еда, соусы/маринады</x:v>
      </x:c>
      <x:c r="Z464" s="28" t="str">
        <x:v>Средняя</x:v>
      </x:c>
      <x:c r="AA464" s="28" t="str">
        <x:v>The Art &amp; Science of Foodpairing.pdf</x:v>
      </x:c>
      <x:c r="AB464" s="28" t="str">
        <x:v>The Art &amp; Science of Foodpairing.pdf: 232</x:v>
      </x:c>
      <x:c r="AC464" s="28" t="str">
        <x:v>связь из pairing grid, стр. 232</x:v>
      </x:c>
      <x:c r="AD464" s="28" t="n">
        <x:v>1</x:v>
      </x:c>
      <x:c r="AE464" s="28" t="n">
        <x:v>1</x:v>
      </x:c>
      <x:c r="AF464" s="28" t="n">
        <x:f>IF(Z464="Высокая",3,IF(Z464="Средняя",2,1))+AD464*2+MIN(AE464,3)</x:f>
        <x:v>5</x:v>
      </x:c>
    </x:row>
    <x:row r="465" ht="64" customHeight="1">
      <x:c r="A465" s="28" t="str">
        <x:v>VEG-0464</x:v>
      </x:c>
      <x:c r="B465" s="28" t="str">
        <x:v>морковь</x:v>
      </x:c>
      <x:c r="C465" s="28" t="str">
        <x:v>Десерты и выпечка</x:v>
      </x:c>
      <x:c r="D465" s="28" t="str">
        <x:v>морковь</x:v>
      </x:c>
      <x:c r="E465" s="28" t="str">
        <x:v>carrot</x:v>
      </x:c>
      <x:c r="F465" s="28" t="str">
        <x:v>Корнеплоды</x:v>
      </x:c>
      <x:c r="G465" s="28" t="str">
        <x:v>голубой сыр</x:v>
      </x:c>
      <x:c r="H465" s="28" t="str">
        <x:v>blue cheese</x:v>
      </x:c>
      <x:c r="I465" s="28" t="str">
        <x:v>Молочные продукты и сыры</x:v>
      </x:c>
      <x:c r="J465" s="28" t="str">
        <x:v>сладкий, землистый, древесный и слегка цитрусовый</x:v>
      </x:c>
      <x:c r="K465" s="28" t="str">
        <x:v>молочный, умами, ферментированный</x:v>
      </x:c>
      <x:c r="L465" s="28" t="str">
        <x:v>каротол, β-ионон, терпинолен, пинены</x:v>
      </x:c>
      <x:c r="M465" s="28" t="str">
        <x:v>диацетил, жирные кислоты</x:v>
      </x:c>
      <x:c r="N465" s="28" t="str">
        <x:v>прямое пересечение семейств не подтверждено</x:v>
      </x:c>
      <x:c r="O465" s="28" t="str">
        <x:v>надёжная общая ключевая молекула не установлена</x:v>
      </x:c>
      <x:c r="P465" s="28" t="str">
        <x:v>жировая матрица</x:v>
      </x:c>
      <x:c r="Q465" s="28" t="str">
        <x:v>Сладость и землистость балансируются кислотой, солью, горечью и умами; жир усиливает ощущение округлости.</x:v>
      </x:c>
      <x:c r="R465" s="28" t="str">
        <x:v>минимальный</x:v>
      </x:c>
      <x:c r="S465" s="28" t="str">
        <x:v>водно-клетчаточная матрица с сахарами и каротиноидами Жировая фаза удерживает гидрофобные молекулы, но может сделать вкус тяжёлым.</x:v>
      </x:c>
      <x:c r="T46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5" s="28" t="str">
        <x:v>Морковь имеет профиль «сладкий, землистый, древесный и слегка цитрусовый».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465" s="28" t="str">
        <x:v>сырая землистость может доминировать; перегрев делает профиль варёно-сладким; жир способен приглушить свежую зелёную ароматику</x:v>
      </x:c>
      <x:c r="W465" s="28" t="str">
        <x:v>кислота, зелень или жареный орех</x:v>
      </x:c>
      <x:c r="X465" s="28" t="str">
        <x:v>сок, кордиал, гаспачо, салат, соус, маринад или коктейльный компонент с голубой сыр</x:v>
      </x:c>
      <x:c r="Y465" s="28" t="str">
        <x:v>десерты</x:v>
      </x:c>
      <x:c r="Z465" s="28" t="str">
        <x:v>Средняя</x:v>
      </x:c>
      <x:c r="AA465" s="28" t="str">
        <x:v>The Art &amp; Science of Foodpairing.pdf</x:v>
      </x:c>
      <x:c r="AB465" s="28" t="str">
        <x:v>The Art &amp; Science of Foodpairing.pdf: 164</x:v>
      </x:c>
      <x:c r="AC465" s="28" t="str">
        <x:v>связь из pairing grid, стр. 164</x:v>
      </x:c>
      <x:c r="AD465" s="28" t="n">
        <x:v>1</x:v>
      </x:c>
      <x:c r="AE465" s="28" t="n">
        <x:v>1</x:v>
      </x:c>
      <x:c r="AF465" s="28" t="n">
        <x:f>IF(Z465="Высокая",3,IF(Z465="Средняя",2,1))+AD465*2+MIN(AE465,3)</x:f>
        <x:v>5</x:v>
      </x:c>
    </x:row>
    <x:row r="466" ht="64" customHeight="1">
      <x:c r="A466" s="28" t="str">
        <x:v>VEG-0465</x:v>
      </x:c>
      <x:c r="B466" s="28" t="str">
        <x:v>морковь</x:v>
      </x:c>
      <x:c r="C466" s="28" t="str">
        <x:v>Десерты и выпечка</x:v>
      </x:c>
      <x:c r="D466" s="28" t="str">
        <x:v>морковь</x:v>
      </x:c>
      <x:c r="E466" s="28" t="str">
        <x:v>carrot</x:v>
      </x:c>
      <x:c r="F466" s="28" t="str">
        <x:v>Корнеплоды</x:v>
      </x:c>
      <x:c r="G466" s="28" t="str">
        <x:v>грейпфрутовый сок</x:v>
      </x:c>
      <x:c r="H466" s="28" t="str">
        <x:v>grapefruit juice</x:v>
      </x:c>
      <x:c r="I466" s="28" t="str">
        <x:v>Фрукты и ягоды</x:v>
      </x:c>
      <x:c r="J466" s="28" t="str">
        <x:v>сладкий, землистый, древесный и слегка цитрусовый</x:v>
      </x:c>
      <x:c r="K466" s="28" t="str">
        <x:v>горький, сернистый, цитрусовый</x:v>
      </x:c>
      <x:c r="L466" s="28" t="str">
        <x:v>каротол, β-ионон, терпинолен, пинены</x:v>
      </x:c>
      <x:c r="M466" s="28" t="str">
        <x:v>лимонен, нооткатон</x:v>
      </x:c>
      <x:c r="N466" s="28" t="str">
        <x:v>прямое пересечение семейств не подтверждено</x:v>
      </x:c>
      <x:c r="O466" s="28" t="str">
        <x:v>надёжная общая ключевая молекула не установлена</x:v>
      </x:c>
      <x:c r="P466" s="28" t="str">
        <x:v>кислотно-сладкий баланс</x:v>
      </x:c>
      <x:c r="Q466" s="28" t="str">
        <x:v>Сладость и землистость балансируются кислотой, солью, горечью и умами; жир усиливает ощущение округлости.</x:v>
      </x:c>
      <x:c r="R466" s="28" t="str">
        <x:v>минимальный</x:v>
      </x:c>
      <x:c r="S466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46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6" s="28" t="str">
        <x:v>Морковь имеет профиль «сладкий, землистый, древесный и слегка цитрусовый». Партнёр «грейпфрутовый сок» относится к группе «Фрукты и ягоды» и даёт горький, сернистый,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466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466" s="28" t="str">
        <x:v>цитрус, мёд или мягкая трава</x:v>
      </x:c>
      <x:c r="X466" s="28" t="str">
        <x:v>сок, кордиал, гаспачо, салат, соус, маринад или коктейльный компонент с грейпфрутовый сок</x:v>
      </x:c>
      <x:c r="Y466" s="28" t="str">
        <x:v>напитки, десерты</x:v>
      </x:c>
      <x:c r="Z466" s="28" t="str">
        <x:v>Средняя</x:v>
      </x:c>
      <x:c r="AA466" s="28" t="str">
        <x:v>The Art &amp; Science of Foodpairing.pdf</x:v>
      </x:c>
      <x:c r="AB466" s="28" t="str">
        <x:v>The Art &amp; Science of Foodpairing.pdf: 232</x:v>
      </x:c>
      <x:c r="AC466" s="28" t="str">
        <x:v>связь из pairing grid, стр. 232</x:v>
      </x:c>
      <x:c r="AD466" s="28" t="n">
        <x:v>1</x:v>
      </x:c>
      <x:c r="AE466" s="28" t="n">
        <x:v>1</x:v>
      </x:c>
      <x:c r="AF466" s="28" t="n">
        <x:f>IF(Z466="Высокая",3,IF(Z466="Средняя",2,1))+AD466*2+MIN(AE466,3)</x:f>
        <x:v>5</x:v>
      </x:c>
    </x:row>
    <x:row r="467" ht="64" customHeight="1">
      <x:c r="A467" s="28" t="str">
        <x:v>VEG-0466</x:v>
      </x:c>
      <x:c r="B467" s="28" t="str">
        <x:v>морковь</x:v>
      </x:c>
      <x:c r="C467" s="28" t="str">
        <x:v>Десерты и выпечка</x:v>
      </x:c>
      <x:c r="D467" s="28" t="str">
        <x:v>морковь</x:v>
      </x:c>
      <x:c r="E467" s="28" t="str">
        <x:v>Морковь | морковь</x:v>
      </x:c>
      <x:c r="F467" s="28" t="str">
        <x:v>Корнеплоды</x:v>
      </x:c>
      <x:c r="G467" s="28" t="str">
        <x:v>грецкий орех</x:v>
      </x:c>
      <x:c r="H467" s="28" t="str">
        <x:v>Грецкий орех | грецкий орех</x:v>
      </x:c>
      <x:c r="I467" s="28" t="str">
        <x:v>Орехи и семена</x:v>
      </x:c>
      <x:c r="J467" s="28" t="str">
        <x:v>сладкий, землистый, древесный и слегка цитрусовый</x:v>
      </x:c>
      <x:c r="K467" s="28" t="str">
        <x:v>древесный, землистый, ореховый</x:v>
      </x:c>
      <x:c r="L467" s="28" t="str">
        <x:v>каротол, β-ионон, терпинолен, пинены</x:v>
      </x:c>
      <x:c r="M467" s="28" t="str">
        <x:v>альдегиды, пиразины</x:v>
      </x:c>
      <x:c r="N467" s="28" t="str">
        <x:v>древесный, землистый</x:v>
      </x:c>
      <x:c r="O467" s="28" t="str">
        <x:v>надёжная общая ключевая молекула не установлена</x:v>
      </x:c>
      <x:c r="P467" s="28" t="str">
        <x:v>пересечение ароматических семейств</x:v>
      </x:c>
      <x:c r="Q467" s="28" t="str">
        <x:v>Сладость и землистость балансируются кислотой, солью, горечью и умами; жир усиливает ощущение округлости.</x:v>
      </x:c>
      <x:c r="R467" s="28" t="str">
        <x:v>минимальный</x:v>
      </x:c>
      <x:c r="S467" s="28" t="str">
        <x:v>водно-клетчаточная матрица с сахарами и каротиноидами</x:v>
      </x:c>
      <x:c r="T46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7" s="28" t="str">
        <x:v>Морковь имеет профиль «сладкий, землистый, древесный и слегка цитрусовый». Партнёр «грецкий орех» относится к группе «Орехи и семена» и даёт древесный, землистый, ореховый. Профили пересекаются в семействах: древесный, землистый.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467" s="28" t="str">
        <x:v>сырая землистость может доминировать; перегрев делает профиль варёно-сладким</x:v>
      </x:c>
      <x:c r="W467" s="28" t="str">
        <x:v>соль, кислота или ароматический жир</x:v>
      </x:c>
      <x:c r="X467" s="28" t="str">
        <x:v>сок, кордиал, гаспачо, салат, соус, маринад или коктейльный компонент с грецкий орех</x:v>
      </x:c>
      <x:c r="Y467" s="28" t="str">
        <x:v>десерты</x:v>
      </x:c>
      <x:c r="Z467" s="28" t="str">
        <x:v>Средняя</x:v>
      </x:c>
      <x:c r="AA467" s="28" t="str">
        <x:v>Тезариус вкусов (Ники Сегнит)(1).pdf</x:v>
      </x:c>
      <x:c r="AB467" s="28" t="str">
        <x:v>Тезариус вкусов (Ники Сегнит)(1).pdf: 602, 627</x:v>
      </x:c>
      <x:c r="AC467" s="28" t="str">
        <x:v>развёрнутая пара/статья, стр. 602; развёрнутая пара/статья, стр. 627</x:v>
      </x:c>
      <x:c r="AD467" s="28" t="n">
        <x:v>1</x:v>
      </x:c>
      <x:c r="AE467" s="28" t="n">
        <x:v>2</x:v>
      </x:c>
      <x:c r="AF467" s="28" t="n">
        <x:f>IF(Z467="Высокая",3,IF(Z467="Средняя",2,1))+AD467*2+MIN(AE467,3)</x:f>
        <x:v>6</x:v>
      </x:c>
    </x:row>
    <x:row r="468" ht="64" customHeight="1">
      <x:c r="A468" s="28" t="str">
        <x:v>VEG-0467</x:v>
      </x:c>
      <x:c r="B468" s="28" t="str">
        <x:v>морковь</x:v>
      </x:c>
      <x:c r="C468" s="28" t="str">
        <x:v>Десерты и выпечка</x:v>
      </x:c>
      <x:c r="D468" s="28" t="str">
        <x:v>морковь</x:v>
      </x:c>
      <x:c r="E468" s="28" t="str">
        <x:v>carrot</x:v>
      </x:c>
      <x:c r="F468" s="28" t="str">
        <x:v>Корнеплоды</x:v>
      </x:c>
      <x:c r="G468" s="28" t="str">
        <x:v>груша</x:v>
      </x:c>
      <x:c r="H468" s="28" t="str">
        <x:v>pear</x:v>
      </x:c>
      <x:c r="I468" s="28" t="str">
        <x:v>Фрукты и ягоды</x:v>
      </x:c>
      <x:c r="J468" s="28" t="str">
        <x:v>сладкий, землистый, древесный и слегка цитрусовый</x:v>
      </x:c>
      <x:c r="K468" s="28" t="str">
        <x:v>сладкий, фруктовый, цветочный</x:v>
      </x:c>
      <x:c r="L468" s="28" t="str">
        <x:v>каротол, β-ионон, терпинолен, пинены</x:v>
      </x:c>
      <x:c r="M468" s="28" t="str">
        <x:v>линалоол, эфиры</x:v>
      </x:c>
      <x:c r="N468" s="28" t="str">
        <x:v>сладкий</x:v>
      </x:c>
      <x:c r="O468" s="28" t="str">
        <x:v>надёжная общая ключевая молекула не установлена</x:v>
      </x:c>
      <x:c r="P468" s="28" t="str">
        <x:v>пересечение ароматических семейств; кислотно-сладкий баланс</x:v>
      </x:c>
      <x:c r="Q468" s="28" t="str">
        <x:v>Сладость и землистость балансируются кислотой, солью, горечью и умами; жир усиливает ощущение округлости.</x:v>
      </x:c>
      <x:c r="R468" s="28" t="str">
        <x:v>минимальный</x:v>
      </x:c>
      <x:c r="S468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46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8" s="28" t="str">
        <x:v>Морковь имеет профиль «сладкий, землистый, древесный и слегка цитрусовый».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468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468" s="28" t="str">
        <x:v>цитрус, мёд или мягкая трава</x:v>
      </x:c>
      <x:c r="X468" s="28" t="str">
        <x:v>сок, кордиал, гаспачо, салат, соус, маринад или коктейльный компонент с груша</x:v>
      </x:c>
      <x:c r="Y468" s="28" t="str">
        <x:v>десерты</x:v>
      </x:c>
      <x:c r="Z468" s="28" t="str">
        <x:v>Средняя</x:v>
      </x:c>
      <x:c r="AA468" s="28" t="str">
        <x:v>The Art &amp; Science of Foodpairing.pdf</x:v>
      </x:c>
      <x:c r="AB468" s="28" t="str">
        <x:v>The Art &amp; Science of Foodpairing.pdf: 350</x:v>
      </x:c>
      <x:c r="AC468" s="28" t="str">
        <x:v>связь из pairing grid, стр. 350</x:v>
      </x:c>
      <x:c r="AD468" s="28" t="n">
        <x:v>1</x:v>
      </x:c>
      <x:c r="AE468" s="28" t="n">
        <x:v>1</x:v>
      </x:c>
      <x:c r="AF468" s="28" t="n">
        <x:f>IF(Z468="Высокая",3,IF(Z468="Средняя",2,1))+AD468*2+MIN(AE468,3)</x:f>
        <x:v>5</x:v>
      </x:c>
    </x:row>
    <x:row r="469" ht="64" customHeight="1">
      <x:c r="A469" s="28" t="str">
        <x:v>VEG-0468</x:v>
      </x:c>
      <x:c r="B469" s="28" t="str">
        <x:v>морковь</x:v>
      </x:c>
      <x:c r="C469" s="28" t="str">
        <x:v>Универсальные</x:v>
      </x:c>
      <x:c r="D469" s="28" t="str">
        <x:v>морковь</x:v>
      </x:c>
      <x:c r="E469" s="28" t="str">
        <x:v>carrot</x:v>
      </x:c>
      <x:c r="F469" s="28" t="str">
        <x:v>Корнеплоды</x:v>
      </x:c>
      <x:c r="G469" s="28" t="str">
        <x:v>грюйер</x:v>
      </x:c>
      <x:c r="H469" s="28" t="str">
        <x:v>Gruyere</x:v>
      </x:c>
      <x:c r="I469" s="28" t="str">
        <x:v>Прочее</x:v>
      </x:c>
      <x:c r="J469" s="28" t="str">
        <x:v>сладкий, землистый, древесный и слегка цитрусовый</x:v>
      </x:c>
      <x:c r="K469" s="28" t="str">
        <x:v>профиль зависит от конкретного продукта</x:v>
      </x:c>
      <x:c r="L469" s="28" t="str">
        <x:v>каротол, β-ионон, терпинолен, пинены</x:v>
      </x:c>
      <x:c r="M469" s="28" t="str">
        <x:v>конкретный молекулярный профиль не указан</x:v>
      </x:c>
      <x:c r="N469" s="28" t="str">
        <x:v>прямое пересечение семейств не подтверждено</x:v>
      </x:c>
      <x:c r="O469" s="28" t="str">
        <x:v>надёжная общая ключевая молекула не установлена</x:v>
      </x:c>
      <x:c r="P469" s="28" t="str">
        <x:v>сенсорная комплементарность</x:v>
      </x:c>
      <x:c r="Q469" s="28" t="str">
        <x:v>Сладость и землистость балансируются кислотой, солью, горечью и умами; жир усиливает ощущение округлости.</x:v>
      </x:c>
      <x:c r="R469" s="28" t="str">
        <x:v>минимальный</x:v>
      </x:c>
      <x:c r="S469" s="28" t="str">
        <x:v>водно-клетчаточная матрица с сахарами и каротиноидами</x:v>
      </x:c>
      <x:c r="T46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69" s="28" t="str">
        <x:v>Морковь имеет профиль «сладкий, землистый, древесный и слегка цитрусовый».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69" s="28" t="str">
        <x:v>сырая землистость может доминировать; перегрев делает профиль варёно-сладким</x:v>
      </x:c>
      <x:c r="W469" s="28" t="str">
        <x:v>соль, кислота или ароматический жир</x:v>
      </x:c>
      <x:c r="X469" s="28" t="str">
        <x:v>сок, кордиал, гаспачо, салат, соус, маринад или коктейльный компонент с грюйер</x:v>
      </x:c>
      <x:c r="Y469" s="28" t="str">
        <x:v>универсальное</x:v>
      </x:c>
      <x:c r="Z469" s="28" t="str">
        <x:v>Средняя</x:v>
      </x:c>
      <x:c r="AA469" s="28" t="str">
        <x:v>The Art &amp; Science of Foodpairing.pdf</x:v>
      </x:c>
      <x:c r="AB469" s="28" t="str">
        <x:v>The Art &amp; Science of Foodpairing.pdf: 232</x:v>
      </x:c>
      <x:c r="AC469" s="28" t="str">
        <x:v>связь из pairing grid, стр. 232</x:v>
      </x:c>
      <x:c r="AD469" s="28" t="n">
        <x:v>1</x:v>
      </x:c>
      <x:c r="AE469" s="28" t="n">
        <x:v>1</x:v>
      </x:c>
      <x:c r="AF469" s="28" t="n">
        <x:f>IF(Z469="Высокая",3,IF(Z469="Средняя",2,1))+AD469*2+MIN(AE469,3)</x:f>
        <x:v>5</x:v>
      </x:c>
    </x:row>
    <x:row r="470" ht="64" customHeight="1">
      <x:c r="A470" s="28" t="str">
        <x:v>VEG-0469</x:v>
      </x:c>
      <x:c r="B470" s="28" t="str">
        <x:v>морковь</x:v>
      </x:c>
      <x:c r="C470" s="28" t="str">
        <x:v>Десерты и выпечка</x:v>
      </x:c>
      <x:c r="D470" s="28" t="str">
        <x:v>морковь</x:v>
      </x:c>
      <x:c r="E470" s="28" t="str">
        <x:v>carrot</x:v>
      </x:c>
      <x:c r="F470" s="28" t="str">
        <x:v>Корнеплоды</x:v>
      </x:c>
      <x:c r="G470" s="28" t="str">
        <x:v>дикий рис</x:v>
      </x:c>
      <x:c r="H470" s="28" t="str">
        <x:v>cooked wild rice</x:v>
      </x:c>
      <x:c r="I470" s="28" t="str">
        <x:v>Выпечка, крупы, сахара и десерты</x:v>
      </x:c>
      <x:c r="J470" s="28" t="str">
        <x:v>сладкий, землистый, древесный и слегка цитрусовый</x:v>
      </x:c>
      <x:c r="K470" s="28" t="str">
        <x:v>сладкий, карамельный и жареный</x:v>
      </x:c>
      <x:c r="L470" s="28" t="str">
        <x:v>каротол, β-ионон, терпинолен, пинены</x:v>
      </x:c>
      <x:c r="M470" s="28" t="str">
        <x:v>мальтол, пиразины, фураны</x:v>
      </x:c>
      <x:c r="N470" s="28" t="str">
        <x:v>сладкий</x:v>
      </x:c>
      <x:c r="O470" s="28" t="str">
        <x:v>надёжная общая ключевая молекула не установлена</x:v>
      </x:c>
      <x:c r="P470" s="28" t="str">
        <x:v>пересечение ароматических семейств</x:v>
      </x:c>
      <x:c r="Q470" s="28" t="str">
        <x:v>Сладость и землистость балансируются кислотой, солью, горечью и умами; жир усиливает ощущение округлости.</x:v>
      </x:c>
      <x:c r="R470" s="28" t="str">
        <x:v>минимальный</x:v>
      </x:c>
      <x:c r="S470" s="28" t="str">
        <x:v>водно-клетчаточная матрица с сахарами и каротиноидами</x:v>
      </x:c>
      <x:c r="T47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0" s="28" t="str">
        <x:v>Морковь имеет профиль «сладкий, землистый, древесный и слегка цитрусовый».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470" s="28" t="str">
        <x:v>сырая землистость может доминировать; перегрев делает профиль варёно-сладким</x:v>
      </x:c>
      <x:c r="W470" s="28" t="str">
        <x:v>соль, кислота или ароматический жир</x:v>
      </x:c>
      <x:c r="X470" s="28" t="str">
        <x:v>сок, кордиал, гаспачо, салат, соус, маринад или коктейльный компонент с дикий рис</x:v>
      </x:c>
      <x:c r="Y470" s="28" t="str">
        <x:v>десерты</x:v>
      </x:c>
      <x:c r="Z470" s="28" t="str">
        <x:v>Средняя</x:v>
      </x:c>
      <x:c r="AA470" s="28" t="str">
        <x:v>The Art &amp; Science of Foodpairing.pdf</x:v>
      </x:c>
      <x:c r="AB470" s="28" t="str">
        <x:v>The Art &amp; Science of Foodpairing.pdf: 232</x:v>
      </x:c>
      <x:c r="AC470" s="28" t="str">
        <x:v>связь из pairing grid, стр. 232</x:v>
      </x:c>
      <x:c r="AD470" s="28" t="n">
        <x:v>1</x:v>
      </x:c>
      <x:c r="AE470" s="28" t="n">
        <x:v>1</x:v>
      </x:c>
      <x:c r="AF470" s="28" t="n">
        <x:f>IF(Z470="Высокая",3,IF(Z470="Средняя",2,1))+AD470*2+MIN(AE470,3)</x:f>
        <x:v>5</x:v>
      </x:c>
    </x:row>
    <x:row r="471" ht="64" customHeight="1">
      <x:c r="A471" s="28" t="str">
        <x:v>VEG-0470</x:v>
      </x:c>
      <x:c r="B471" s="28" t="str">
        <x:v>морковь</x:v>
      </x:c>
      <x:c r="C471" s="28" t="str">
        <x:v>Универсальные</x:v>
      </x:c>
      <x:c r="D471" s="28" t="str">
        <x:v>морковь</x:v>
      </x:c>
      <x:c r="E471" s="28" t="str">
        <x:v>carrot</x:v>
      </x:c>
      <x:c r="F471" s="28" t="str">
        <x:v>Корнеплоды</x:v>
      </x:c>
      <x:c r="G471" s="28" t="str">
        <x:v>душистый перец</x:v>
      </x:c>
      <x:c r="H471" s="28" t="str">
        <x:v>allspice</x:v>
      </x:c>
      <x:c r="I471" s="28" t="str">
        <x:v>Специи</x:v>
      </x:c>
      <x:c r="J471" s="28" t="str">
        <x:v>сладкий, землистый, древесный и слегка цитрусовый</x:v>
      </x:c>
      <x:c r="K471" s="28" t="str">
        <x:v>пряный и древесный</x:v>
      </x:c>
      <x:c r="L471" s="28" t="str">
        <x:v>каротол, β-ионон, терпинолен, пинены</x:v>
      </x:c>
      <x:c r="M471" s="28" t="str">
        <x:v>терпены, фенилпропаноиды</x:v>
      </x:c>
      <x:c r="N471" s="28" t="str">
        <x:v>древесный</x:v>
      </x:c>
      <x:c r="O471" s="28" t="str">
        <x:v>надёжная общая ключевая молекула не установлена</x:v>
      </x:c>
      <x:c r="P471" s="28" t="str">
        <x:v>пересечение ароматических семейств</x:v>
      </x:c>
      <x:c r="Q471" s="28" t="str">
        <x:v>Сладость и землистость балансируются кислотой, солью, горечью и умами; жир усиливает ощущение округлости.</x:v>
      </x:c>
      <x:c r="R471" s="28" t="str">
        <x:v>минимальный</x:v>
      </x:c>
      <x:c r="S471" s="28" t="str">
        <x:v>водно-клетчаточная матрица с сахарами и каротиноидами</x:v>
      </x:c>
      <x:c r="T47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1" s="28" t="str">
        <x:v>Морковь имеет профиль «сладкий, землистый, древесный и слегка цитрусовый». Партнёр «душистый перец»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471" s="28" t="str">
        <x:v>сырая землистость может доминировать; перегрев делает профиль варёно-сладким</x:v>
      </x:c>
      <x:c r="W471" s="28" t="str">
        <x:v>цитрус, йогурт или мёд</x:v>
      </x:c>
      <x:c r="X471" s="28" t="str">
        <x:v>сок, кордиал, гаспачо, салат, соус, маринад или коктейльный компонент с душистый перец</x:v>
      </x:c>
      <x:c r="Y471" s="28" t="str">
        <x:v>универсальное</x:v>
      </x:c>
      <x:c r="Z471" s="28" t="str">
        <x:v>Средняя</x:v>
      </x:c>
      <x:c r="AA471" s="28" t="str">
        <x:v>The Art &amp; Science of Foodpairing.pdf</x:v>
      </x:c>
      <x:c r="AB471" s="28" t="str">
        <x:v>The Art &amp; Science of Foodpairing.pdf: 232</x:v>
      </x:c>
      <x:c r="AC471" s="28" t="str">
        <x:v>связь из pairing grid, стр. 232</x:v>
      </x:c>
      <x:c r="AD471" s="28" t="n">
        <x:v>1</x:v>
      </x:c>
      <x:c r="AE471" s="28" t="n">
        <x:v>1</x:v>
      </x:c>
      <x:c r="AF471" s="28" t="n">
        <x:f>IF(Z471="Высокая",3,IF(Z471="Средняя",2,1))+AD471*2+MIN(AE471,3)</x:f>
        <x:v>5</x:v>
      </x:c>
    </x:row>
    <x:row r="472" ht="64" customHeight="1">
      <x:c r="A472" s="28" t="str">
        <x:v>VEG-0471</x:v>
      </x:c>
      <x:c r="B472" s="28" t="str">
        <x:v>морковь</x:v>
      </x:c>
      <x:c r="C472" s="28" t="str">
        <x:v>Универсальные</x:v>
      </x:c>
      <x:c r="D472" s="28" t="str">
        <x:v>морковь</x:v>
      </x:c>
      <x:c r="E472" s="28" t="str">
        <x:v>carrot</x:v>
      </x:c>
      <x:c r="F472" s="28" t="str">
        <x:v>Корнеплоды</x:v>
      </x:c>
      <x:c r="G472" s="28" t="str">
        <x:v>ежевика</x:v>
      </x:c>
      <x:c r="H472" s="28" t="str">
        <x:v>blackberry</x:v>
      </x:c>
      <x:c r="I472" s="28" t="str">
        <x:v>Прочее</x:v>
      </x:c>
      <x:c r="J472" s="28" t="str">
        <x:v>сладкий, землистый, древесный и слегка цитрусовый</x:v>
      </x:c>
      <x:c r="K472" s="28" t="str">
        <x:v>профиль зависит от конкретного продукта</x:v>
      </x:c>
      <x:c r="L472" s="28" t="str">
        <x:v>каротол, β-ионон, терпинолен, пинены</x:v>
      </x:c>
      <x:c r="M472" s="28" t="str">
        <x:v>конкретный молекулярный профиль не указан</x:v>
      </x:c>
      <x:c r="N472" s="28" t="str">
        <x:v>прямое пересечение семейств не подтверждено</x:v>
      </x:c>
      <x:c r="O472" s="28" t="str">
        <x:v>надёжная общая ключевая молекула не установлена</x:v>
      </x:c>
      <x:c r="P472" s="28" t="str">
        <x:v>сенсорная комплементарность</x:v>
      </x:c>
      <x:c r="Q472" s="28" t="str">
        <x:v>Сладость и землистость балансируются кислотой, солью, горечью и умами; жир усиливает ощущение округлости.</x:v>
      </x:c>
      <x:c r="R472" s="28" t="str">
        <x:v>минимальный</x:v>
      </x:c>
      <x:c r="S472" s="28" t="str">
        <x:v>водно-клетчаточная матрица с сахарами и каротиноидами</x:v>
      </x:c>
      <x:c r="T47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2" s="28" t="str">
        <x:v>Морковь имеет профиль «сладкий, землистый, древесный и слегка цитрусовый». Партнёр «ежевика»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72" s="28" t="str">
        <x:v>сырая землистость может доминировать; перегрев делает профиль варёно-сладким</x:v>
      </x:c>
      <x:c r="W472" s="28" t="str">
        <x:v>соль, кислота или ароматический жир</x:v>
      </x:c>
      <x:c r="X472" s="28" t="str">
        <x:v>сок, кордиал, гаспачо, салат, соус, маринад или коктейльный компонент с ежевика</x:v>
      </x:c>
      <x:c r="Y472" s="28" t="str">
        <x:v>универсальное</x:v>
      </x:c>
      <x:c r="Z472" s="28" t="str">
        <x:v>Средняя</x:v>
      </x:c>
      <x:c r="AA472" s="28" t="str">
        <x:v>The Art &amp; Science of Foodpairing.pdf</x:v>
      </x:c>
      <x:c r="AB472" s="28" t="str">
        <x:v>The Art &amp; Science of Foodpairing.pdf: 232</x:v>
      </x:c>
      <x:c r="AC472" s="28" t="str">
        <x:v>связь из pairing grid, стр. 232; связь из pairing grid, стр. 232</x:v>
      </x:c>
      <x:c r="AD472" s="28" t="n">
        <x:v>1</x:v>
      </x:c>
      <x:c r="AE472" s="28" t="n">
        <x:v>2</x:v>
      </x:c>
      <x:c r="AF472" s="28" t="n">
        <x:f>IF(Z472="Высокая",3,IF(Z472="Средняя",2,1))+AD472*2+MIN(AE472,3)</x:f>
        <x:v>6</x:v>
      </x:c>
    </x:row>
    <x:row r="473" ht="64" customHeight="1">
      <x:c r="A473" s="28" t="str">
        <x:v>VEG-0472</x:v>
      </x:c>
      <x:c r="B473" s="28" t="str">
        <x:v>морковь</x:v>
      </x:c>
      <x:c r="C473" s="28" t="str">
        <x:v>Универсальные</x:v>
      </x:c>
      <x:c r="D473" s="28" t="str">
        <x:v>морковь</x:v>
      </x:c>
      <x:c r="E473" s="28" t="str">
        <x:v>carrot</x:v>
      </x:c>
      <x:c r="F473" s="28" t="str">
        <x:v>Корнеплоды</x:v>
      </x:c>
      <x:c r="G473" s="28" t="str">
        <x:v>зелёные оливки</x:v>
      </x:c>
      <x:c r="H473" s="28" t="str">
        <x:v>green olive</x:v>
      </x:c>
      <x:c r="I473" s="28" t="str">
        <x:v>Прочее</x:v>
      </x:c>
      <x:c r="J473" s="28" t="str">
        <x:v>сладкий, землистый, древесный и слегка цитрусовый</x:v>
      </x:c>
      <x:c r="K473" s="28" t="str">
        <x:v>профиль зависит от конкретного продукта</x:v>
      </x:c>
      <x:c r="L473" s="28" t="str">
        <x:v>каротол, β-ионон, терпинолен, пинены</x:v>
      </x:c>
      <x:c r="M473" s="28" t="str">
        <x:v>конкретный молекулярный профиль не указан</x:v>
      </x:c>
      <x:c r="N473" s="28" t="str">
        <x:v>прямое пересечение семейств не подтверждено</x:v>
      </x:c>
      <x:c r="O473" s="28" t="str">
        <x:v>надёжная общая ключевая молекула не установлена</x:v>
      </x:c>
      <x:c r="P473" s="28" t="str">
        <x:v>сенсорная комплементарность</x:v>
      </x:c>
      <x:c r="Q473" s="28" t="str">
        <x:v>Сладость и землистость балансируются кислотой, солью, горечью и умами; жир усиливает ощущение округлости.</x:v>
      </x:c>
      <x:c r="R473" s="28" t="str">
        <x:v>минимальный</x:v>
      </x:c>
      <x:c r="S473" s="28" t="str">
        <x:v>водно-клетчаточная матрица с сахарами и каротиноидами</x:v>
      </x:c>
      <x:c r="T47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3" s="28" t="str">
        <x:v>Морковь имеет профиль «сладкий, землистый, древесный и слегка цитрусовый». Партнёр «зелёные 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73" s="28" t="str">
        <x:v>сырая землистость может доминировать; перегрев делает профиль варёно-сладким</x:v>
      </x:c>
      <x:c r="W473" s="28" t="str">
        <x:v>соль, кислота или ароматический жир</x:v>
      </x:c>
      <x:c r="X473" s="28" t="str">
        <x:v>сок, кордиал, гаспачо, салат, соус, маринад или коктейльный компонент с зелёные оливки</x:v>
      </x:c>
      <x:c r="Y473" s="28" t="str">
        <x:v>универсальное</x:v>
      </x:c>
      <x:c r="Z473" s="28" t="str">
        <x:v>Средняя</x:v>
      </x:c>
      <x:c r="AA473" s="28" t="str">
        <x:v>The Art &amp; Science of Foodpairing.pdf</x:v>
      </x:c>
      <x:c r="AB473" s="28" t="str">
        <x:v>The Art &amp; Science of Foodpairing.pdf: 232</x:v>
      </x:c>
      <x:c r="AC473" s="28" t="str">
        <x:v>связь из pairing grid, стр. 232</x:v>
      </x:c>
      <x:c r="AD473" s="28" t="n">
        <x:v>1</x:v>
      </x:c>
      <x:c r="AE473" s="28" t="n">
        <x:v>1</x:v>
      </x:c>
      <x:c r="AF473" s="28" t="n">
        <x:f>IF(Z473="Высокая",3,IF(Z473="Средняя",2,1))+AD473*2+MIN(AE473,3)</x:f>
        <x:v>5</x:v>
      </x:c>
    </x:row>
    <x:row r="474" ht="64" customHeight="1">
      <x:c r="A474" s="28" t="str">
        <x:v>VEG-0473</x:v>
      </x:c>
      <x:c r="B474" s="28" t="str">
        <x:v>морковь</x:v>
      </x:c>
      <x:c r="C474" s="28" t="str">
        <x:v>Универсальные</x:v>
      </x:c>
      <x:c r="D474" s="28" t="str">
        <x:v>морковь</x:v>
      </x:c>
      <x:c r="E474" s="28" t="str">
        <x:v>Морковь | морковь</x:v>
      </x:c>
      <x:c r="F474" s="28" t="str">
        <x:v>Корнеплоды</x:v>
      </x:c>
      <x:c r="G474" s="28" t="str">
        <x:v>зира</x:v>
      </x:c>
      <x:c r="H474" s="28" t="str">
        <x:v>Зира | зира</x:v>
      </x:c>
      <x:c r="I474" s="28" t="str">
        <x:v>Специи</x:v>
      </x:c>
      <x:c r="J474" s="28" t="str">
        <x:v>сладкий, землистый, древесный и слегка цитрусовый</x:v>
      </x:c>
      <x:c r="K474" s="28" t="str">
        <x:v>жареный, землистый, пряный</x:v>
      </x:c>
      <x:c r="L474" s="28" t="str">
        <x:v>каротол, β-ионон, терпинолен, пинены</x:v>
      </x:c>
      <x:c r="M474" s="28" t="str">
        <x:v>куминовый альдегид, терпены</x:v>
      </x:c>
      <x:c r="N474" s="28" t="str">
        <x:v>землистый</x:v>
      </x:c>
      <x:c r="O474" s="28" t="str">
        <x:v>надёжная общая ключевая молекула не установлена</x:v>
      </x:c>
      <x:c r="P474" s="28" t="str">
        <x:v>пересечение ароматических семейств</x:v>
      </x:c>
      <x:c r="Q474" s="28" t="str">
        <x:v>Сладость и землистость балансируются кислотой, солью, горечью и умами; жир усиливает ощущение округлости.</x:v>
      </x:c>
      <x:c r="R474" s="28" t="str">
        <x:v>минимальный</x:v>
      </x:c>
      <x:c r="S474" s="28" t="str">
        <x:v>водно-клетчаточная матрица с сахарами и каротиноидами</x:v>
      </x:c>
      <x:c r="T47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4" s="28" t="str">
        <x:v>Морковь имеет профиль «сладкий, землистый, древесный и слегка цитрусовый». Партнёр «зира» относится к группе «Специи» и даёт жареный, землистый, пряный. Профили пересекаются в семействах: землистый.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474" s="28" t="str">
        <x:v>сырая землистость может доминировать; перегрев делает профиль варёно-сладким</x:v>
      </x:c>
      <x:c r="W474" s="28" t="str">
        <x:v>цитрус, йогурт или мёд</x:v>
      </x:c>
      <x:c r="X474" s="28" t="str">
        <x:v>сок, кордиал, гаспачо, салат, соус, маринад или коктейльный компонент с зира</x:v>
      </x:c>
      <x:c r="Y474" s="28" t="str">
        <x:v>универсальное</x:v>
      </x:c>
      <x:c r="Z474" s="28" t="str">
        <x:v>Средняя</x:v>
      </x:c>
      <x:c r="AA474" s="28" t="str">
        <x:v>Тезариус вкусов (Ники Сегнит)(1).pdf</x:v>
      </x:c>
      <x:c r="AB474" s="28" t="str">
        <x:v>Тезариус вкусов (Ники Сегнит)(1).pdf: 217, 603</x:v>
      </x:c>
      <x:c r="AC474" s="28" t="str">
        <x:v>развёрнутая пара/статья, стр. 217; развёрнутая пара/статья, стр. 603</x:v>
      </x:c>
      <x:c r="AD474" s="28" t="n">
        <x:v>1</x:v>
      </x:c>
      <x:c r="AE474" s="28" t="n">
        <x:v>2</x:v>
      </x:c>
      <x:c r="AF474" s="28" t="n">
        <x:f>IF(Z474="Высокая",3,IF(Z474="Средняя",2,1))+AD474*2+MIN(AE474,3)</x:f>
        <x:v>6</x:v>
      </x:c>
    </x:row>
    <x:row r="475" ht="64" customHeight="1">
      <x:c r="A475" s="28" t="str">
        <x:v>VEG-0474</x:v>
      </x:c>
      <x:c r="B475" s="28" t="str">
        <x:v>морковь</x:v>
      </x:c>
      <x:c r="C475" s="28" t="str">
        <x:v>Универсальные</x:v>
      </x:c>
      <x:c r="D475" s="28" t="str">
        <x:v>морковь</x:v>
      </x:c>
      <x:c r="E475" s="28" t="str">
        <x:v>carrot</x:v>
      </x:c>
      <x:c r="F475" s="28" t="str">
        <x:v>Корнеплоды</x:v>
      </x:c>
      <x:c r="G475" s="28" t="str">
        <x:v>изюм</x:v>
      </x:c>
      <x:c r="H475" s="28" t="str">
        <x:v>raisin</x:v>
      </x:c>
      <x:c r="I475" s="28" t="str">
        <x:v>Прочее</x:v>
      </x:c>
      <x:c r="J475" s="28" t="str">
        <x:v>сладкий, землистый, древесный и слегка цитрусовый</x:v>
      </x:c>
      <x:c r="K475" s="28" t="str">
        <x:v>профиль зависит от конкретного продукта</x:v>
      </x:c>
      <x:c r="L475" s="28" t="str">
        <x:v>каротол, β-ионон, терпинолен, пинены</x:v>
      </x:c>
      <x:c r="M475" s="28" t="str">
        <x:v>конкретный молекулярный профиль не указан</x:v>
      </x:c>
      <x:c r="N475" s="28" t="str">
        <x:v>прямое пересечение семейств не подтверждено</x:v>
      </x:c>
      <x:c r="O475" s="28" t="str">
        <x:v>надёжная общая ключевая молекула не установлена</x:v>
      </x:c>
      <x:c r="P475" s="28" t="str">
        <x:v>сенсорная комплементарность</x:v>
      </x:c>
      <x:c r="Q475" s="28" t="str">
        <x:v>Сладость и землистость балансируются кислотой, солью, горечью и умами; жир усиливает ощущение округлости.</x:v>
      </x:c>
      <x:c r="R475" s="28" t="str">
        <x:v>минимальный</x:v>
      </x:c>
      <x:c r="S475" s="28" t="str">
        <x:v>водно-клетчаточная матрица с сахарами и каротиноидами</x:v>
      </x:c>
      <x:c r="T47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5" s="28" t="str">
        <x:v>Морковь имеет профиль «сладкий, землистый, древесный и слегка цитрусовый». Партнёр «изюм»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75" s="28" t="str">
        <x:v>сырая землистость может доминировать; перегрев делает профиль варёно-сладким</x:v>
      </x:c>
      <x:c r="W475" s="28" t="str">
        <x:v>соль, кислота или ароматический жир</x:v>
      </x:c>
      <x:c r="X475" s="28" t="str">
        <x:v>сок, кордиал, гаспачо, салат, соус, маринад или коктейльный компонент с изюм</x:v>
      </x:c>
      <x:c r="Y475" s="28" t="str">
        <x:v>универсальное</x:v>
      </x:c>
      <x:c r="Z475" s="28" t="str">
        <x:v>Средняя</x:v>
      </x:c>
      <x:c r="AA475" s="28" t="str">
        <x:v>The Art &amp; Science of Foodpairing.pdf</x:v>
      </x:c>
      <x:c r="AB475" s="28" t="str">
        <x:v>The Art &amp; Science of Foodpairing.pdf: 232</x:v>
      </x:c>
      <x:c r="AC475" s="28" t="str">
        <x:v>связь из pairing grid, стр. 232</x:v>
      </x:c>
      <x:c r="AD475" s="28" t="n">
        <x:v>1</x:v>
      </x:c>
      <x:c r="AE475" s="28" t="n">
        <x:v>1</x:v>
      </x:c>
      <x:c r="AF475" s="28" t="n">
        <x:f>IF(Z475="Высокая",3,IF(Z475="Средняя",2,1))+AD475*2+MIN(AE475,3)</x:f>
        <x:v>5</x:v>
      </x:c>
    </x:row>
    <x:row r="476" ht="64" customHeight="1">
      <x:c r="A476" s="28" t="str">
        <x:v>VEG-0475</x:v>
      </x:c>
      <x:c r="B476" s="28" t="str">
        <x:v>морковь</x:v>
      </x:c>
      <x:c r="C476" s="28" t="str">
        <x:v>Универсальные</x:v>
      </x:c>
      <x:c r="D476" s="28" t="str">
        <x:v>морковь</x:v>
      </x:c>
      <x:c r="E476" s="28" t="str">
        <x:v>Морковь</x:v>
      </x:c>
      <x:c r="F476" s="28" t="str">
        <x:v>Корнеплоды</x:v>
      </x:c>
      <x:c r="G476" s="28" t="str">
        <x:v>имбирь</x:v>
      </x:c>
      <x:c r="H476" s="28" t="str">
        <x:v>имбирь</x:v>
      </x:c>
      <x:c r="I476" s="28" t="str">
        <x:v>Специи</x:v>
      </x:c>
      <x:c r="J476" s="28" t="str">
        <x:v>сладкий, землистый, древесный и слегка цитрусовый</x:v>
      </x:c>
      <x:c r="K476" s="28" t="str">
        <x:v>пряный, тёплый, цитрусовый</x:v>
      </x:c>
      <x:c r="L476" s="28" t="str">
        <x:v>каротол, β-ионон, терпинолен, пинены</x:v>
      </x:c>
      <x:c r="M476" s="28" t="str">
        <x:v>гингеролы, цитраль</x:v>
      </x:c>
      <x:c r="N476" s="28" t="str">
        <x:v>прямое пересечение семейств не подтверждено</x:v>
      </x:c>
      <x:c r="O476" s="28" t="str">
        <x:v>надёжная общая ключевая молекула не установлена</x:v>
      </x:c>
      <x:c r="P476" s="28" t="str">
        <x:v>сенсорная комплементарность</x:v>
      </x:c>
      <x:c r="Q476" s="28" t="str">
        <x:v>Сладость и землистость балансируются кислотой, солью, горечью и умами; жир усиливает ощущение округлости.</x:v>
      </x:c>
      <x:c r="R476" s="28" t="str">
        <x:v>минимальный</x:v>
      </x:c>
      <x:c r="S476" s="28" t="str">
        <x:v>водно-клетчаточная матрица с сахарами и каротиноидами</x:v>
      </x:c>
      <x:c r="T47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6" s="28" t="str">
        <x:v>Морковь имеет профиль «сладкий, землистый, древесный и слегка цитрусовый».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476" s="28" t="str">
        <x:v>сырая землистость может доминировать; перегрев делает профиль варёно-сладким</x:v>
      </x:c>
      <x:c r="W476" s="28" t="str">
        <x:v>цитрус, йогурт или мёд</x:v>
      </x:c>
      <x:c r="X476" s="28" t="str">
        <x:v>сок, кордиал, гаспачо, салат, соус, маринад или коктейльный компонент с имбирь</x:v>
      </x:c>
      <x:c r="Y476" s="28" t="str">
        <x:v>универсальное</x:v>
      </x:c>
      <x:c r="Z476" s="28" t="str">
        <x:v>Гипотеза / практическая</x:v>
      </x:c>
      <x:c r="AA476" s="28" t="str">
        <x:v>Таблица сочетания(1).pdf</x:v>
      </x:c>
      <x:c r="AB476" s="28" t="str">
        <x:v>Таблица сочетания(1).pdf: 4</x:v>
      </x:c>
      <x:c r="AC476" s="28" t="str">
        <x:v>рекомендация таблицы, стр. 4</x:v>
      </x:c>
      <x:c r="AD476" s="28" t="n">
        <x:v>1</x:v>
      </x:c>
      <x:c r="AE476" s="28" t="n">
        <x:v>1</x:v>
      </x:c>
      <x:c r="AF476" s="28" t="n">
        <x:f>IF(Z476="Высокая",3,IF(Z476="Средняя",2,1))+AD476*2+MIN(AE476,3)</x:f>
        <x:v>4</x:v>
      </x:c>
    </x:row>
    <x:row r="477" ht="64" customHeight="1">
      <x:c r="A477" s="28" t="str">
        <x:v>VEG-0476</x:v>
      </x:c>
      <x:c r="B477" s="28" t="str">
        <x:v>морковь</x:v>
      </x:c>
      <x:c r="C477" s="28" t="str">
        <x:v>Универсальные</x:v>
      </x:c>
      <x:c r="D477" s="28" t="str">
        <x:v>морковь</x:v>
      </x:c>
      <x:c r="E477" s="28" t="str">
        <x:v>carrot</x:v>
      </x:c>
      <x:c r="F477" s="28" t="str">
        <x:v>Корнеплоды</x:v>
      </x:c>
      <x:c r="G477" s="28" t="str">
        <x:v>испанский чоризо</x:v>
      </x:c>
      <x:c r="H477" s="28" t="str">
        <x:v>Spanish chorizo</x:v>
      </x:c>
      <x:c r="I477" s="28" t="str">
        <x:v>Прочее</x:v>
      </x:c>
      <x:c r="J477" s="28" t="str">
        <x:v>сладкий, землистый, древесный и слегка цитрусовый</x:v>
      </x:c>
      <x:c r="K477" s="28" t="str">
        <x:v>профиль зависит от конкретного продукта</x:v>
      </x:c>
      <x:c r="L477" s="28" t="str">
        <x:v>каротол, β-ионон, терпинолен, пинены</x:v>
      </x:c>
      <x:c r="M477" s="28" t="str">
        <x:v>конкретный молекулярный профиль не указан</x:v>
      </x:c>
      <x:c r="N477" s="28" t="str">
        <x:v>прямое пересечение семейств не подтверждено</x:v>
      </x:c>
      <x:c r="O477" s="28" t="str">
        <x:v>надёжная общая ключевая молекула не установлена</x:v>
      </x:c>
      <x:c r="P477" s="28" t="str">
        <x:v>сенсорная комплементарность</x:v>
      </x:c>
      <x:c r="Q477" s="28" t="str">
        <x:v>Сладость и землистость балансируются кислотой, солью, горечью и умами; жир усиливает ощущение округлости.</x:v>
      </x:c>
      <x:c r="R477" s="28" t="str">
        <x:v>минимальный</x:v>
      </x:c>
      <x:c r="S477" s="28" t="str">
        <x:v>водно-клетчаточная матрица с сахарами и каротиноидами</x:v>
      </x:c>
      <x:c r="T47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7" s="28" t="str">
        <x:v>Морковь имеет профиль «сладкий, землистый, древесный и слегка цитрусовый».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77" s="28" t="str">
        <x:v>сырая землистость может доминировать; перегрев делает профиль варёно-сладким</x:v>
      </x:c>
      <x:c r="W477" s="28" t="str">
        <x:v>соль, кислота или ароматический жир</x:v>
      </x:c>
      <x:c r="X477" s="28" t="str">
        <x:v>сок, кордиал, гаспачо, салат, соус, маринад или коктейльный компонент с испанский чоризо</x:v>
      </x:c>
      <x:c r="Y477" s="28" t="str">
        <x:v>универсальное</x:v>
      </x:c>
      <x:c r="Z477" s="28" t="str">
        <x:v>Средняя</x:v>
      </x:c>
      <x:c r="AA477" s="28" t="str">
        <x:v>The Art &amp; Science of Foodpairing.pdf</x:v>
      </x:c>
      <x:c r="AB477" s="28" t="str">
        <x:v>The Art &amp; Science of Foodpairing.pdf: 232</x:v>
      </x:c>
      <x:c r="AC477" s="28" t="str">
        <x:v>связь из pairing grid, стр. 232</x:v>
      </x:c>
      <x:c r="AD477" s="28" t="n">
        <x:v>1</x:v>
      </x:c>
      <x:c r="AE477" s="28" t="n">
        <x:v>1</x:v>
      </x:c>
      <x:c r="AF477" s="28" t="n">
        <x:f>IF(Z477="Высокая",3,IF(Z477="Средняя",2,1))+AD477*2+MIN(AE477,3)</x:f>
        <x:v>5</x:v>
      </x:c>
    </x:row>
    <x:row r="478" ht="64" customHeight="1">
      <x:c r="A478" s="28" t="str">
        <x:v>VEG-0477</x:v>
      </x:c>
      <x:c r="B478" s="28" t="str">
        <x:v>морковь</x:v>
      </x:c>
      <x:c r="C478" s="28" t="str">
        <x:v>Десерты и выпечка</x:v>
      </x:c>
      <x:c r="D478" s="28" t="str">
        <x:v>морковь</x:v>
      </x:c>
      <x:c r="E478" s="28" t="str">
        <x:v>carrot</x:v>
      </x:c>
      <x:c r="F478" s="28" t="str">
        <x:v>Корнеплоды</x:v>
      </x:c>
      <x:c r="G478" s="28" t="str">
        <x:v>какао-порошок</x:v>
      </x:c>
      <x:c r="H478" s="28" t="str">
        <x:v>cocoa powder</x:v>
      </x:c>
      <x:c r="I478" s="28" t="str">
        <x:v>Какао и шоколад</x:v>
      </x:c>
      <x:c r="J478" s="28" t="str">
        <x:v>сладкий, землистый, древесный и слегка цитрусовый</x:v>
      </x:c>
      <x:c r="K478" s="28" t="str">
        <x:v>какаовый, жареный и горько-сладкий</x:v>
      </x:c>
      <x:c r="L478" s="28" t="str">
        <x:v>каротол, β-ионон, терпинолен, пинены</x:v>
      </x:c>
      <x:c r="M478" s="28" t="str">
        <x:v>альдегиды, пиразины, фураны</x:v>
      </x:c>
      <x:c r="N478" s="28" t="str">
        <x:v>прямое пересечение семейств не подтверждено</x:v>
      </x:c>
      <x:c r="O478" s="28" t="str">
        <x:v>надёжная общая ключевая молекула не установлена</x:v>
      </x:c>
      <x:c r="P478" s="28" t="str">
        <x:v>сенсорная комплементарность</x:v>
      </x:c>
      <x:c r="Q478" s="28" t="str">
        <x:v>Сладость и землистость балансируются кислотой, солью, горечью и умами; жир усиливает ощущение округлости.</x:v>
      </x:c>
      <x:c r="R478" s="28" t="str">
        <x:v>минимальный</x:v>
      </x:c>
      <x:c r="S478" s="28" t="str">
        <x:v>водно-клетчаточная матрица с сахарами и каротиноидами</x:v>
      </x:c>
      <x:c r="T47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8" s="28" t="str">
        <x:v>Морковь имеет профиль «сладкий, землистый, древесный и слегка цитрусовый». Партнёр «какао-порошок» относится к группе «Какао и шоколад» и даёт какаовый, жареный и горько-сладкий.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478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W478" s="28" t="str">
        <x:v>сливки, орех или карамель</x:v>
      </x:c>
      <x:c r="X478" s="28" t="str">
        <x:v>сок, кордиал, гаспачо, салат, соус, маринад или коктейльный компонент с какао-порошок</x:v>
      </x:c>
      <x:c r="Y478" s="28" t="str">
        <x:v>десерты</x:v>
      </x:c>
      <x:c r="Z478" s="28" t="str">
        <x:v>Средняя</x:v>
      </x:c>
      <x:c r="AA478" s="28" t="str">
        <x:v>The Art &amp; Science of Foodpairing.pdf</x:v>
      </x:c>
      <x:c r="AB478" s="28" t="str">
        <x:v>The Art &amp; Science of Foodpairing.pdf: 232</x:v>
      </x:c>
      <x:c r="AC478" s="28" t="str">
        <x:v>связь из pairing grid, стр. 232</x:v>
      </x:c>
      <x:c r="AD478" s="28" t="n">
        <x:v>1</x:v>
      </x:c>
      <x:c r="AE478" s="28" t="n">
        <x:v>1</x:v>
      </x:c>
      <x:c r="AF478" s="28" t="n">
        <x:f>IF(Z478="Высокая",3,IF(Z478="Средняя",2,1))+AD478*2+MIN(AE478,3)</x:f>
        <x:v>5</x:v>
      </x:c>
    </x:row>
    <x:row r="479" ht="64" customHeight="1">
      <x:c r="A479" s="28" t="str">
        <x:v>VEG-0478</x:v>
      </x:c>
      <x:c r="B479" s="28" t="str">
        <x:v>морковь</x:v>
      </x:c>
      <x:c r="C479" s="28" t="str">
        <x:v>Универсальные</x:v>
      </x:c>
      <x:c r="D479" s="28" t="str">
        <x:v>морковь</x:v>
      </x:c>
      <x:c r="E479" s="28" t="str">
        <x:v>carrot | Морковь | морковь</x:v>
      </x:c>
      <x:c r="F479" s="28" t="str">
        <x:v>Корнеплоды</x:v>
      </x:c>
      <x:c r="G479" s="28" t="str">
        <x:v>кардамон</x:v>
      </x:c>
      <x:c r="H479" s="28" t="str">
        <x:v>cardamomseeds | Кардамон | кардамон</x:v>
      </x:c>
      <x:c r="I479" s="28" t="str">
        <x:v>Специи</x:v>
      </x:c>
      <x:c r="J479" s="28" t="str">
        <x:v>сладкий, землистый, древесный и слегка цитрусовый</x:v>
      </x:c>
      <x:c r="K479" s="28" t="str">
        <x:v>камфорный, цветочный, цитрусовый</x:v>
      </x:c>
      <x:c r="L479" s="28" t="str">
        <x:v>каротол, β-ионон, терпинолен, пинены</x:v>
      </x:c>
      <x:c r="M479" s="28" t="str">
        <x:v>1,8-цинеол, линалоол</x:v>
      </x:c>
      <x:c r="N479" s="28" t="str">
        <x:v>прямое пересечение семейств не подтверждено</x:v>
      </x:c>
      <x:c r="O479" s="28" t="str">
        <x:v>надёжная общая ключевая молекула не установлена</x:v>
      </x:c>
      <x:c r="P479" s="28" t="str">
        <x:v>сенсорная комплементарность</x:v>
      </x:c>
      <x:c r="Q479" s="28" t="str">
        <x:v>Сладость и землистость балансируются кислотой, солью, горечью и умами; жир усиливает ощущение округлости.</x:v>
      </x:c>
      <x:c r="R479" s="28" t="str">
        <x:v>минимальный</x:v>
      </x:c>
      <x:c r="S479" s="28" t="str">
        <x:v>водно-клетчаточная матрица с сахарами и каротиноидами</x:v>
      </x:c>
      <x:c r="T47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79" s="28" t="str">
        <x:v>Морковь имеет профиль «сладкий, землистый, древесный и слегка цитрусовый».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479" s="28" t="str">
        <x:v>сырая землистость может доминировать; перегрев делает профиль варёно-сладким</x:v>
      </x:c>
      <x:c r="W479" s="28" t="str">
        <x:v>цитрус, йогурт или мёд</x:v>
      </x:c>
      <x:c r="X479" s="28" t="str">
        <x:v>сок, кордиал, гаспачо, салат, соус, маринад или коктейльный компонент с кардамон</x:v>
      </x:c>
      <x:c r="Y479" s="28" t="str">
        <x:v>универсальное</x:v>
      </x:c>
      <x:c r="Z479" s="28" t="str">
        <x:v>Высокая</x:v>
      </x:c>
      <x:c r="AA479" s="28" t="str">
        <x:v>The Art &amp; Science of Foodpairing.pdf | Таблица сочетания(1).pdf | Тезариус вкусов (Ники Сегнит)(1).pdf</x:v>
      </x:c>
      <x:c r="AB479" s="28" t="str">
        <x:v>Таблица сочетания(1).pdf: 4; Тезариус вкусов (Ники Сегнит)(1).pdf: 604, 830; The Art &amp; Science of Foodpairing.pdf: 232</x:v>
      </x:c>
      <x:c r="AC479" s="28" t="str">
        <x:v>развёрнутая пара/статья, стр. 604; развёрнутая пара/статья, стр. 830; связь из pairing grid, стр. 232; рекомендация таблицы, стр. 4</x:v>
      </x:c>
      <x:c r="AD479" s="28" t="n">
        <x:v>3</x:v>
      </x:c>
      <x:c r="AE479" s="28" t="n">
        <x:v>4</x:v>
      </x:c>
      <x:c r="AF479" s="28" t="n">
        <x:f>IF(Z479="Высокая",3,IF(Z479="Средняя",2,1))+AD479*2+MIN(AE479,3)</x:f>
        <x:v>12</x:v>
      </x:c>
    </x:row>
    <x:row r="480" ht="64" customHeight="1">
      <x:c r="A480" s="28" t="str">
        <x:v>VEG-0479</x:v>
      </x:c>
      <x:c r="B480" s="28" t="str">
        <x:v>морковь</x:v>
      </x:c>
      <x:c r="C480" s="28" t="str">
        <x:v>Еда и соусы</x:v>
      </x:c>
      <x:c r="D480" s="28" t="str">
        <x:v>морковь</x:v>
      </x:c>
      <x:c r="E480" s="28" t="str">
        <x:v>carrot</x:v>
      </x:c>
      <x:c r="F480" s="28" t="str">
        <x:v>Корнеплоды</x:v>
      </x:c>
      <x:c r="G480" s="28" t="str">
        <x:v>кефаль</x:v>
      </x:c>
      <x:c r="H480" s="28" t="str">
        <x:v>poached grey mullet</x:v>
      </x:c>
      <x:c r="I480" s="28" t="str">
        <x:v>Рыба и морепродукты</x:v>
      </x:c>
      <x:c r="J480" s="28" t="str">
        <x:v>сладкий, землистый, древесный и слегка цитрусовый</x:v>
      </x:c>
      <x:c r="K480" s="28" t="str">
        <x:v>морской, солоноватый и умами</x:v>
      </x:c>
      <x:c r="L480" s="28" t="str">
        <x:v>каротол, β-ионон, терпинолен, пинены</x:v>
      </x:c>
      <x:c r="M480" s="28" t="str">
        <x:v>альдегиды, амины</x:v>
      </x:c>
      <x:c r="N480" s="28" t="str">
        <x:v>прямое пересечение семейств не подтверждено</x:v>
      </x:c>
      <x:c r="O480" s="28" t="str">
        <x:v>надёжная общая ключевая молекула не установлена</x:v>
      </x:c>
      <x:c r="P480" s="28" t="str">
        <x:v>умами и солёный контраст</x:v>
      </x:c>
      <x:c r="Q480" s="28" t="str">
        <x:v>Сладость и землистость балансируются кислотой, солью, горечью и умами; жир усиливает ощущение округлости.</x:v>
      </x:c>
      <x:c r="R480" s="28" t="str">
        <x:v>минимальный</x:v>
      </x:c>
      <x:c r="S480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48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0" s="28" t="str">
        <x:v>Морковь имеет профиль «сладкий, землистый, древесный и слегка цитрусовый». Партнёр «кефаль»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480" s="28" t="str">
        <x:v>сырая землистость может доминировать; перегрев делает профиль варёно-сладким</x:v>
      </x:c>
      <x:c r="W480" s="28" t="str">
        <x:v>сливочное масло, соевый соус или тимьян</x:v>
      </x:c>
      <x:c r="X480" s="28" t="str">
        <x:v>сок, кордиал, гаспачо, салат, соус, маринад или коктейльный компонент с кефаль</x:v>
      </x:c>
      <x:c r="Y480" s="28" t="str">
        <x:v>еда, соусы/маринады</x:v>
      </x:c>
      <x:c r="Z480" s="28" t="str">
        <x:v>Средняя</x:v>
      </x:c>
      <x:c r="AA480" s="28" t="str">
        <x:v>The Art &amp; Science of Foodpairing.pdf</x:v>
      </x:c>
      <x:c r="AB480" s="28" t="str">
        <x:v>The Art &amp; Science of Foodpairing.pdf: 232</x:v>
      </x:c>
      <x:c r="AC480" s="28" t="str">
        <x:v>связь из pairing grid, стр. 232</x:v>
      </x:c>
      <x:c r="AD480" s="28" t="n">
        <x:v>1</x:v>
      </x:c>
      <x:c r="AE480" s="28" t="n">
        <x:v>1</x:v>
      </x:c>
      <x:c r="AF480" s="28" t="n">
        <x:f>IF(Z480="Высокая",3,IF(Z480="Средняя",2,1))+AD480*2+MIN(AE480,3)</x:f>
        <x:v>5</x:v>
      </x:c>
    </x:row>
    <x:row r="481" ht="64" customHeight="1">
      <x:c r="A481" s="28" t="str">
        <x:v>VEG-0480</x:v>
      </x:c>
      <x:c r="B481" s="28" t="str">
        <x:v>морковь</x:v>
      </x:c>
      <x:c r="C481" s="28" t="str">
        <x:v>Универсальные</x:v>
      </x:c>
      <x:c r="D481" s="28" t="str">
        <x:v>морковь</x:v>
      </x:c>
      <x:c r="E481" s="28" t="str">
        <x:v>carrot</x:v>
      </x:c>
      <x:c r="F481" s="28" t="str">
        <x:v>Корнеплоды</x:v>
      </x:c>
      <x:c r="G481" s="28" t="str">
        <x:v>кефир</x:v>
      </x:c>
      <x:c r="H481" s="28" t="str">
        <x:v>kefir</x:v>
      </x:c>
      <x:c r="I481" s="28" t="str">
        <x:v>Прочее</x:v>
      </x:c>
      <x:c r="J481" s="28" t="str">
        <x:v>сладкий, землистый, древесный и слегка цитрусовый</x:v>
      </x:c>
      <x:c r="K481" s="28" t="str">
        <x:v>профиль зависит от конкретного продукта</x:v>
      </x:c>
      <x:c r="L481" s="28" t="str">
        <x:v>каротол, β-ионон, терпинолен, пинены</x:v>
      </x:c>
      <x:c r="M481" s="28" t="str">
        <x:v>конкретный молекулярный профиль не указан</x:v>
      </x:c>
      <x:c r="N481" s="28" t="str">
        <x:v>прямое пересечение семейств не подтверждено</x:v>
      </x:c>
      <x:c r="O481" s="28" t="str">
        <x:v>надёжная общая ключевая молекула не установлена</x:v>
      </x:c>
      <x:c r="P481" s="28" t="str">
        <x:v>сенсорная комплементарность</x:v>
      </x:c>
      <x:c r="Q481" s="28" t="str">
        <x:v>Сладость и землистость балансируются кислотой, солью, горечью и умами; жир усиливает ощущение округлости.</x:v>
      </x:c>
      <x:c r="R481" s="28" t="str">
        <x:v>минимальный</x:v>
      </x:c>
      <x:c r="S481" s="28" t="str">
        <x:v>водно-клетчаточная матрица с сахарами и каротиноидами</x:v>
      </x:c>
      <x:c r="T48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1" s="28" t="str">
        <x:v>Морковь имеет профиль «сладкий, землистый, древесный и слегка цитрусовый». Партнёр «кефир»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81" s="28" t="str">
        <x:v>сырая землистость может доминировать; перегрев делает профиль варёно-сладким</x:v>
      </x:c>
      <x:c r="W481" s="28" t="str">
        <x:v>соль, кислота или ароматический жир</x:v>
      </x:c>
      <x:c r="X481" s="28" t="str">
        <x:v>сок, кордиал, гаспачо, салат, соус, маринад или коктейльный компонент с кефир</x:v>
      </x:c>
      <x:c r="Y481" s="28" t="str">
        <x:v>универсальное</x:v>
      </x:c>
      <x:c r="Z481" s="28" t="str">
        <x:v>Средняя</x:v>
      </x:c>
      <x:c r="AA481" s="28" t="str">
        <x:v>The Art &amp; Science of Foodpairing.pdf</x:v>
      </x:c>
      <x:c r="AB481" s="28" t="str">
        <x:v>The Art &amp; Science of Foodpairing.pdf: 232</x:v>
      </x:c>
      <x:c r="AC481" s="28" t="str">
        <x:v>связь из pairing grid, стр. 232</x:v>
      </x:c>
      <x:c r="AD481" s="28" t="n">
        <x:v>1</x:v>
      </x:c>
      <x:c r="AE481" s="28" t="n">
        <x:v>1</x:v>
      </x:c>
      <x:c r="AF481" s="28" t="n">
        <x:f>IF(Z481="Высокая",3,IF(Z481="Средняя",2,1))+AD481*2+MIN(AE481,3)</x:f>
        <x:v>5</x:v>
      </x:c>
    </x:row>
    <x:row r="482" ht="64" customHeight="1">
      <x:c r="A482" s="28" t="str">
        <x:v>VEG-0481</x:v>
      </x:c>
      <x:c r="B482" s="28" t="str">
        <x:v>морковь</x:v>
      </x:c>
      <x:c r="C482" s="28" t="str">
        <x:v>Десерты и выпечка</x:v>
      </x:c>
      <x:c r="D482" s="28" t="str">
        <x:v>морковь</x:v>
      </x:c>
      <x:c r="E482" s="28" t="str">
        <x:v>carrot</x:v>
      </x:c>
      <x:c r="F482" s="28" t="str">
        <x:v>Корнеплоды</x:v>
      </x:c>
      <x:c r="G482" s="28" t="str">
        <x:v>клубника</x:v>
      </x:c>
      <x:c r="H482" s="28" t="str">
        <x:v>Mara des Bois strawberry</x:v>
      </x:c>
      <x:c r="I482" s="28" t="str">
        <x:v>Фрукты и ягоды</x:v>
      </x:c>
      <x:c r="J482" s="28" t="str">
        <x:v>сладкий, землистый, древесный и слегка цитрусовый</x:v>
      </x:c>
      <x:c r="K482" s="28" t="str">
        <x:v>зелёный, карамельный, фруктовый</x:v>
      </x:c>
      <x:c r="L482" s="28" t="str">
        <x:v>каротол, β-ионон, терпинолен, пинены</x:v>
      </x:c>
      <x:c r="M482" s="28" t="str">
        <x:v>фуранеол, эфиры</x:v>
      </x:c>
      <x:c r="N482" s="28" t="str">
        <x:v>прямое пересечение семейств не подтверждено</x:v>
      </x:c>
      <x:c r="O482" s="28" t="str">
        <x:v>надёжная общая ключевая молекула не установлена</x:v>
      </x:c>
      <x:c r="P482" s="28" t="str">
        <x:v>кислотно-сладкий баланс</x:v>
      </x:c>
      <x:c r="Q482" s="28" t="str">
        <x:v>Сладость и землистость балансируются кислотой, солью, горечью и умами; жир усиливает ощущение округлости.</x:v>
      </x:c>
      <x:c r="R482" s="28" t="str">
        <x:v>минимальный</x:v>
      </x:c>
      <x:c r="S482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48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2" s="28" t="str">
        <x:v>Морковь имеет профиль «сладкий, землистый, древесный и слегка цитрусовый».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482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482" s="28" t="str">
        <x:v>цитрус, мёд или мягкая трава</x:v>
      </x:c>
      <x:c r="X482" s="28" t="str">
        <x:v>сок, кордиал, гаспачо, салат, соус, маринад или коктейльный компонент с клубника</x:v>
      </x:c>
      <x:c r="Y482" s="28" t="str">
        <x:v>десерты</x:v>
      </x:c>
      <x:c r="Z482" s="28" t="str">
        <x:v>Средняя</x:v>
      </x:c>
      <x:c r="AA482" s="28" t="str">
        <x:v>The Art &amp; Science of Foodpairing.pdf</x:v>
      </x:c>
      <x:c r="AB482" s="28" t="str">
        <x:v>The Art &amp; Science of Foodpairing.pdf: 232</x:v>
      </x:c>
      <x:c r="AC482" s="28" t="str">
        <x:v>связь из pairing grid, стр. 232</x:v>
      </x:c>
      <x:c r="AD482" s="28" t="n">
        <x:v>1</x:v>
      </x:c>
      <x:c r="AE482" s="28" t="n">
        <x:v>1</x:v>
      </x:c>
      <x:c r="AF482" s="28" t="n">
        <x:f>IF(Z482="Высокая",3,IF(Z482="Средняя",2,1))+AD482*2+MIN(AE482,3)</x:f>
        <x:v>5</x:v>
      </x:c>
    </x:row>
    <x:row r="483" ht="64" customHeight="1">
      <x:c r="A483" s="28" t="str">
        <x:v>VEG-0482</x:v>
      </x:c>
      <x:c r="B483" s="28" t="str">
        <x:v>морковь</x:v>
      </x:c>
      <x:c r="C483" s="28" t="str">
        <x:v>Универсальные</x:v>
      </x:c>
      <x:c r="D483" s="28" t="str">
        <x:v>морковь</x:v>
      </x:c>
      <x:c r="E483" s="28" t="str">
        <x:v>carrot</x:v>
      </x:c>
      <x:c r="F483" s="28" t="str">
        <x:v>Корнеплоды</x:v>
      </x:c>
      <x:c r="G483" s="28" t="str">
        <x:v>клюква</x:v>
      </x:c>
      <x:c r="H483" s="28" t="str">
        <x:v>cranberry</x:v>
      </x:c>
      <x:c r="I483" s="28" t="str">
        <x:v>Прочее</x:v>
      </x:c>
      <x:c r="J483" s="28" t="str">
        <x:v>сладкий, землистый, древесный и слегка цитрусовый</x:v>
      </x:c>
      <x:c r="K483" s="28" t="str">
        <x:v>профиль зависит от конкретного продукта</x:v>
      </x:c>
      <x:c r="L483" s="28" t="str">
        <x:v>каротол, β-ионон, терпинолен, пинены</x:v>
      </x:c>
      <x:c r="M483" s="28" t="str">
        <x:v>конкретный молекулярный профиль не указан</x:v>
      </x:c>
      <x:c r="N483" s="28" t="str">
        <x:v>прямое пересечение семейств не подтверждено</x:v>
      </x:c>
      <x:c r="O483" s="28" t="str">
        <x:v>надёжная общая ключевая молекула не установлена</x:v>
      </x:c>
      <x:c r="P483" s="28" t="str">
        <x:v>сенсорная комплементарность</x:v>
      </x:c>
      <x:c r="Q483" s="28" t="str">
        <x:v>Сладость и землистость балансируются кислотой, солью, горечью и умами; жир усиливает ощущение округлости.</x:v>
      </x:c>
      <x:c r="R483" s="28" t="str">
        <x:v>минимальный</x:v>
      </x:c>
      <x:c r="S483" s="28" t="str">
        <x:v>водно-клетчаточная матрица с сахарами и каротиноидами</x:v>
      </x:c>
      <x:c r="T48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3" s="28" t="str">
        <x:v>Морковь имеет профиль «сладкий, землистый, древесный и слегка цитрусовый». Партнёр «клюква»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83" s="28" t="str">
        <x:v>сырая землистость может доминировать; перегрев делает профиль варёно-сладким</x:v>
      </x:c>
      <x:c r="W483" s="28" t="str">
        <x:v>соль, кислота или ароматический жир</x:v>
      </x:c>
      <x:c r="X483" s="28" t="str">
        <x:v>сок, кордиал, гаспачо, салат, соус, маринад или коктейльный компонент с клюква</x:v>
      </x:c>
      <x:c r="Y483" s="28" t="str">
        <x:v>универсальное</x:v>
      </x:c>
      <x:c r="Z483" s="28" t="str">
        <x:v>Средняя</x:v>
      </x:c>
      <x:c r="AA483" s="28" t="str">
        <x:v>The Art &amp; Science of Foodpairing.pdf</x:v>
      </x:c>
      <x:c r="AB483" s="28" t="str">
        <x:v>The Art &amp; Science of Foodpairing.pdf: 232</x:v>
      </x:c>
      <x:c r="AC483" s="28" t="str">
        <x:v>связь из pairing grid, стр. 232</x:v>
      </x:c>
      <x:c r="AD483" s="28" t="n">
        <x:v>1</x:v>
      </x:c>
      <x:c r="AE483" s="28" t="n">
        <x:v>1</x:v>
      </x:c>
      <x:c r="AF483" s="28" t="n">
        <x:f>IF(Z483="Высокая",3,IF(Z483="Средняя",2,1))+AD483*2+MIN(AE483,3)</x:f>
        <x:v>5</x:v>
      </x:c>
    </x:row>
    <x:row r="484" ht="64" customHeight="1">
      <x:c r="A484" s="28" t="str">
        <x:v>VEG-0483</x:v>
      </x:c>
      <x:c r="B484" s="28" t="str">
        <x:v>морковь</x:v>
      </x:c>
      <x:c r="C484" s="28" t="str">
        <x:v>Универсальные</x:v>
      </x:c>
      <x:c r="D484" s="28" t="str">
        <x:v>морковь</x:v>
      </x:c>
      <x:c r="E484" s="28" t="str">
        <x:v>Морковь | морковь</x:v>
      </x:c>
      <x:c r="F484" s="28" t="str">
        <x:v>Корнеплоды</x:v>
      </x:c>
      <x:c r="G484" s="28" t="str">
        <x:v>кокос</x:v>
      </x:c>
      <x:c r="H484" s="28" t="str">
        <x:v>Кокос | кокос</x:v>
      </x:c>
      <x:c r="I484" s="28" t="str">
        <x:v>Прочее</x:v>
      </x:c>
      <x:c r="J484" s="28" t="str">
        <x:v>сладкий, землистый, древесный и слегка цитрусовый</x:v>
      </x:c>
      <x:c r="K484" s="28" t="str">
        <x:v>лактонный, сливочный</x:v>
      </x:c>
      <x:c r="L484" s="28" t="str">
        <x:v>каротол, β-ионон, терпинолен, пинены</x:v>
      </x:c>
      <x:c r="M484" s="28" t="str">
        <x:v>лактоны</x:v>
      </x:c>
      <x:c r="N484" s="28" t="str">
        <x:v>прямое пересечение семейств не подтверждено</x:v>
      </x:c>
      <x:c r="O484" s="28" t="str">
        <x:v>надёжная общая ключевая молекула не установлена</x:v>
      </x:c>
      <x:c r="P484" s="28" t="str">
        <x:v>сенсорная комплементарность</x:v>
      </x:c>
      <x:c r="Q484" s="28" t="str">
        <x:v>Сладость и землистость балансируются кислотой, солью, горечью и умами; жир усиливает ощущение округлости.</x:v>
      </x:c>
      <x:c r="R484" s="28" t="str">
        <x:v>минимальный</x:v>
      </x:c>
      <x:c r="S484" s="28" t="str">
        <x:v>водно-клетчаточная матрица с сахарами и каротиноидами</x:v>
      </x:c>
      <x:c r="T48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4" s="28" t="str">
        <x:v>Морковь имеет профиль «сладкий, землистый, древесный и слегка цитрусовый».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84" s="28" t="str">
        <x:v>сырая землистость может доминировать; перегрев делает профиль варёно-сладким</x:v>
      </x:c>
      <x:c r="W484" s="28" t="str">
        <x:v>соль, кислота или ароматический жир</x:v>
      </x:c>
      <x:c r="X484" s="28" t="str">
        <x:v>сок, кордиал, гаспачо, салат, соус, маринад или коктейльный компонент с кокос</x:v>
      </x:c>
      <x:c r="Y484" s="28" t="str">
        <x:v>универсальное</x:v>
      </x:c>
      <x:c r="Z484" s="28" t="str">
        <x:v>Средняя</x:v>
      </x:c>
      <x:c r="AA484" s="28" t="str">
        <x:v>Тезариус вкусов (Ники Сегнит)(1).pdf</x:v>
      </x:c>
      <x:c r="AB484" s="28" t="str">
        <x:v>Тезариус вкусов (Ники Сегнит)(1).pdf: 604, 759</x:v>
      </x:c>
      <x:c r="AC484" s="28" t="str">
        <x:v>развёрнутая пара/статья, стр. 604; развёрнутая пара/статья, стр. 759</x:v>
      </x:c>
      <x:c r="AD484" s="28" t="n">
        <x:v>1</x:v>
      </x:c>
      <x:c r="AE484" s="28" t="n">
        <x:v>2</x:v>
      </x:c>
      <x:c r="AF484" s="28" t="n">
        <x:f>IF(Z484="Высокая",3,IF(Z484="Средняя",2,1))+AD484*2+MIN(AE484,3)</x:f>
        <x:v>6</x:v>
      </x:c>
    </x:row>
    <x:row r="485" ht="64" customHeight="1">
      <x:c r="A485" s="28" t="str">
        <x:v>VEG-0484</x:v>
      </x:c>
      <x:c r="B485" s="28" t="str">
        <x:v>морковь</x:v>
      </x:c>
      <x:c r="C485" s="28" t="str">
        <x:v>Напитки</x:v>
      </x:c>
      <x:c r="D485" s="28" t="str">
        <x:v>морковь</x:v>
      </x:c>
      <x:c r="E485" s="28" t="str">
        <x:v>carrot</x:v>
      </x:c>
      <x:c r="F485" s="28" t="str">
        <x:v>Корнеплоды</x:v>
      </x:c>
      <x:c r="G485" s="28" t="str">
        <x:v>коньяк</x:v>
      </x:c>
      <x:c r="H485" s="28" t="str">
        <x:v>cognac</x:v>
      </x:c>
      <x:c r="I485" s="28" t="str">
        <x:v>Алкогольные напитки</x:v>
      </x:c>
      <x:c r="J485" s="28" t="str">
        <x:v>сладкий, землистый, древесный и слегка цитрусовый</x:v>
      </x:c>
      <x:c r="K485" s="28" t="str">
        <x:v>спиртовой, фруктовый или древесный</x:v>
      </x:c>
      <x:c r="L485" s="28" t="str">
        <x:v>каротол, β-ионон, терпинолен, пинены</x:v>
      </x:c>
      <x:c r="M485" s="28" t="str">
        <x:v>альдегиды, эфиры</x:v>
      </x:c>
      <x:c r="N485" s="28" t="str">
        <x:v>древесный</x:v>
      </x:c>
      <x:c r="O485" s="28" t="str">
        <x:v>надёжная общая ключевая молекула не установлена</x:v>
      </x:c>
      <x:c r="P485" s="28" t="str">
        <x:v>пересечение ароматических семейств</x:v>
      </x:c>
      <x:c r="Q485" s="28" t="str">
        <x:v>Сладость и землистость балансируются кислотой, солью, горечью и умами; жир усиливает ощущение округлости.</x:v>
      </x:c>
      <x:c r="R485" s="28" t="str">
        <x:v>минимальный</x:v>
      </x:c>
      <x:c r="S485" s="28" t="str">
        <x:v>водно-клетчаточная матрица с сахарами и каротиноидами Этанол извлекает терпены и сернистые соединения эффективнее воды; время контакта ограничивать.</x:v>
      </x:c>
      <x:c r="T48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5" s="28" t="str">
        <x:v>Морковь имеет профиль «сладкий, землистый, древесный и слегка цитрусовый». Партнёр «коньяк»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85" s="28" t="str">
        <x:v>сырая землистость может доминировать; перегрев делает профиль варёно-сладким</x:v>
      </x:c>
      <x:c r="W485" s="28" t="str">
        <x:v>соль, кислота или ароматический жир</x:v>
      </x:c>
      <x:c r="X485" s="28" t="str">
        <x:v>сок, кордиал, гаспачо, салат, соус, маринад или коктейльный компонент с коньяк</x:v>
      </x:c>
      <x:c r="Y485" s="28" t="str">
        <x:v>напитки</x:v>
      </x:c>
      <x:c r="Z485" s="28" t="str">
        <x:v>Средняя</x:v>
      </x:c>
      <x:c r="AA485" s="28" t="str">
        <x:v>The Art &amp; Science of Foodpairing.pdf</x:v>
      </x:c>
      <x:c r="AB485" s="28" t="str">
        <x:v>The Art &amp; Science of Foodpairing.pdf: 123</x:v>
      </x:c>
      <x:c r="AC485" s="28" t="str">
        <x:v>связь из pairing grid, стр. 123</x:v>
      </x:c>
      <x:c r="AD485" s="28" t="n">
        <x:v>1</x:v>
      </x:c>
      <x:c r="AE485" s="28" t="n">
        <x:v>1</x:v>
      </x:c>
      <x:c r="AF485" s="28" t="n">
        <x:f>IF(Z485="Высокая",3,IF(Z485="Средняя",2,1))+AD485*2+MIN(AE485,3)</x:f>
        <x:v>5</x:v>
      </x:c>
    </x:row>
    <x:row r="486" ht="64" customHeight="1">
      <x:c r="A486" s="28" t="str">
        <x:v>VEG-0485</x:v>
      </x:c>
      <x:c r="B486" s="28" t="str">
        <x:v>морковь</x:v>
      </x:c>
      <x:c r="C486" s="28" t="str">
        <x:v>Универсальные</x:v>
      </x:c>
      <x:c r="D486" s="28" t="str">
        <x:v>морковь</x:v>
      </x:c>
      <x:c r="E486" s="28" t="str">
        <x:v>Морковь | морковь</x:v>
      </x:c>
      <x:c r="F486" s="28" t="str">
        <x:v>Корнеплоды</x:v>
      </x:c>
      <x:c r="G486" s="28" t="str">
        <x:v>корица</x:v>
      </x:c>
      <x:c r="H486" s="28" t="str">
        <x:v>Корица | корица</x:v>
      </x:c>
      <x:c r="I486" s="28" t="str">
        <x:v>Специи</x:v>
      </x:c>
      <x:c r="J486" s="28" t="str">
        <x:v>сладкий, землистый, древесный и слегка цитрусовый</x:v>
      </x:c>
      <x:c r="K486" s="28" t="str">
        <x:v>древесный, пряный, сладкий</x:v>
      </x:c>
      <x:c r="L486" s="28" t="str">
        <x:v>каротол, β-ионон, терпинолен, пинены</x:v>
      </x:c>
      <x:c r="M486" s="28" t="str">
        <x:v>циннамальдегид, эвгенол</x:v>
      </x:c>
      <x:c r="N486" s="28" t="str">
        <x:v>древесный, сладкий</x:v>
      </x:c>
      <x:c r="O486" s="28" t="str">
        <x:v>надёжная общая ключевая молекула не установлена</x:v>
      </x:c>
      <x:c r="P486" s="28" t="str">
        <x:v>пересечение ароматических семейств</x:v>
      </x:c>
      <x:c r="Q486" s="28" t="str">
        <x:v>Сладость и землистость балансируются кислотой, солью, горечью и умами; жир усиливает ощущение округлости.</x:v>
      </x:c>
      <x:c r="R486" s="28" t="str">
        <x:v>минимальный</x:v>
      </x:c>
      <x:c r="S486" s="28" t="str">
        <x:v>водно-клетчаточная матрица с сахарами и каротиноидами</x:v>
      </x:c>
      <x:c r="T48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6" s="28" t="str">
        <x:v>Морковь имеет профиль «сладкий, землистый, древесный и слегка цитрусовый». Партнёр «корица» относится к группе «Специи» и даёт древесный, пряный, сладкий. Профили пересекаются в семействах: древесный,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486" s="28" t="str">
        <x:v>сырая землистость может доминировать; перегрев делает профиль варёно-сладким</x:v>
      </x:c>
      <x:c r="W486" s="28" t="str">
        <x:v>цитрус, йогурт или мёд</x:v>
      </x:c>
      <x:c r="X486" s="28" t="str">
        <x:v>сок, кордиал, гаспачо, салат, соус, маринад или коктейльный компонент с корица</x:v>
      </x:c>
      <x:c r="Y486" s="28" t="str">
        <x:v>универсальное</x:v>
      </x:c>
      <x:c r="Z486" s="28" t="str">
        <x:v>Высокая</x:v>
      </x:c>
      <x:c r="AA486" s="28" t="str">
        <x:v>Таблица сочетания(1).pdf | Тезариус вкусов (Ники Сегнит)(1).pdf</x:v>
      </x:c>
      <x:c r="AB486" s="28" t="str">
        <x:v>Таблица сочетания(1).pdf: 4; Тезариус вкусов (Ники Сегнит)(1).pdf: 577, 605</x:v>
      </x:c>
      <x:c r="AC486" s="28" t="str">
        <x:v>развёрнутая пара/статья, стр. 577; развёрнутая пара/статья, стр. 605; рекомендация таблицы, стр. 4</x:v>
      </x:c>
      <x:c r="AD486" s="28" t="n">
        <x:v>2</x:v>
      </x:c>
      <x:c r="AE486" s="28" t="n">
        <x:v>3</x:v>
      </x:c>
      <x:c r="AF486" s="28" t="n">
        <x:f>IF(Z486="Высокая",3,IF(Z486="Средняя",2,1))+AD486*2+MIN(AE486,3)</x:f>
        <x:v>10</x:v>
      </x:c>
    </x:row>
    <x:row r="487" ht="64" customHeight="1">
      <x:c r="A487" s="28" t="str">
        <x:v>VEG-0486</x:v>
      </x:c>
      <x:c r="B487" s="28" t="str">
        <x:v>морковь</x:v>
      </x:c>
      <x:c r="C487" s="28" t="str">
        <x:v>Напитки</x:v>
      </x:c>
      <x:c r="D487" s="28" t="str">
        <x:v>морковь</x:v>
      </x:c>
      <x:c r="E487" s="28" t="str">
        <x:v>boiled carrot</x:v>
      </x:c>
      <x:c r="F487" s="28" t="str">
        <x:v>Корнеплоды</x:v>
      </x:c>
      <x:c r="G487" s="28" t="str">
        <x:v>кофе</x:v>
      </x:c>
      <x:c r="H487" s="28" t="str">
        <x:v>coffee</x:v>
      </x:c>
      <x:c r="I487" s="28" t="str">
        <x:v>Кофе</x:v>
      </x:c>
      <x:c r="J487" s="28" t="str">
        <x:v>сладкий, землистый, древесный и слегка цитрусовый</x:v>
      </x:c>
      <x:c r="K487" s="28" t="str">
        <x:v>жареный, карамельный, ореховый</x:v>
      </x:c>
      <x:c r="L487" s="28" t="str">
        <x:v>каротол, β-ионон, терпинолен, пинены</x:v>
      </x:c>
      <x:c r="M487" s="28" t="str">
        <x:v>гваякол, пиразины, фураны</x:v>
      </x:c>
      <x:c r="N487" s="28" t="str">
        <x:v>прямое пересечение семейств не подтверждено</x:v>
      </x:c>
      <x:c r="O487" s="28" t="str">
        <x:v>надёжная общая ключевая молекула не установлена</x:v>
      </x:c>
      <x:c r="P487" s="28" t="str">
        <x:v>сенсорная комплементарность</x:v>
      </x:c>
      <x:c r="Q487" s="28" t="str">
        <x:v>Сладость и землистость балансируются кислотой, солью, горечью и умами; жир усиливает ощущение округлости.</x:v>
      </x:c>
      <x:c r="R487" s="28" t="str">
        <x:v>минимальный</x:v>
      </x:c>
      <x:c r="S487" s="28" t="str">
        <x:v>водно-клетчаточная матрица с сахарами и каротиноидами</x:v>
      </x:c>
      <x:c r="T48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7" s="28" t="str">
        <x:v>Морковь имеет профиль «сладкий, землистый, древесный и слегка цитрусовый».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487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W487" s="28" t="str">
        <x:v>сливки, орех или карамель</x:v>
      </x:c>
      <x:c r="X487" s="28" t="str">
        <x:v>сок, кордиал, гаспачо, салат, соус, маринад или коктейльный компонент с кофе</x:v>
      </x:c>
      <x:c r="Y487" s="28" t="str">
        <x:v>напитки</x:v>
      </x:c>
      <x:c r="Z487" s="28" t="str">
        <x:v>Средняя</x:v>
      </x:c>
      <x:c r="AA487" s="28" t="str">
        <x:v>The Art &amp; Science of Foodpairing.pdf</x:v>
      </x:c>
      <x:c r="AB487" s="28" t="str">
        <x:v>The Art &amp; Science of Foodpairing.pdf: 297</x:v>
      </x:c>
      <x:c r="AC487" s="28" t="str">
        <x:v>связь из pairing grid, стр. 297</x:v>
      </x:c>
      <x:c r="AD487" s="28" t="n">
        <x:v>1</x:v>
      </x:c>
      <x:c r="AE487" s="28" t="n">
        <x:v>1</x:v>
      </x:c>
      <x:c r="AF487" s="28" t="n">
        <x:f>IF(Z487="Высокая",3,IF(Z487="Средняя",2,1))+AD487*2+MIN(AE487,3)</x:f>
        <x:v>5</x:v>
      </x:c>
    </x:row>
    <x:row r="488" ht="64" customHeight="1">
      <x:c r="A488" s="28" t="str">
        <x:v>VEG-0487</x:v>
      </x:c>
      <x:c r="B488" s="28" t="str">
        <x:v>морковь</x:v>
      </x:c>
      <x:c r="C488" s="28" t="str">
        <x:v>Еда и соусы</x:v>
      </x:c>
      <x:c r="D488" s="28" t="str">
        <x:v>морковь</x:v>
      </x:c>
      <x:c r="E488" s="28" t="str">
        <x:v>carrot</x:v>
      </x:c>
      <x:c r="F488" s="28" t="str">
        <x:v>Корнеплоды</x:v>
      </x:c>
      <x:c r="G488" s="28" t="str">
        <x:v>красный луциан</x:v>
      </x:c>
      <x:c r="H488" s="28" t="str">
        <x:v>poached red snapper</x:v>
      </x:c>
      <x:c r="I488" s="28" t="str">
        <x:v>Рыба и морепродукты</x:v>
      </x:c>
      <x:c r="J488" s="28" t="str">
        <x:v>сладкий, землистый, древесный и слегка цитрусовый</x:v>
      </x:c>
      <x:c r="K488" s="28" t="str">
        <x:v>морской, солоноватый и умами</x:v>
      </x:c>
      <x:c r="L488" s="28" t="str">
        <x:v>каротол, β-ионон, терпинолен, пинены</x:v>
      </x:c>
      <x:c r="M488" s="28" t="str">
        <x:v>альдегиды, амины</x:v>
      </x:c>
      <x:c r="N488" s="28" t="str">
        <x:v>прямое пересечение семейств не подтверждено</x:v>
      </x:c>
      <x:c r="O488" s="28" t="str">
        <x:v>надёжная общая ключевая молекула не установлена</x:v>
      </x:c>
      <x:c r="P488" s="28" t="str">
        <x:v>умами и солёный контраст</x:v>
      </x:c>
      <x:c r="Q488" s="28" t="str">
        <x:v>Сладость и землистость балансируются кислотой, солью, горечью и умами; жир усиливает ощущение округлости.</x:v>
      </x:c>
      <x:c r="R488" s="28" t="str">
        <x:v>минимальный</x:v>
      </x:c>
      <x:c r="S488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48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8" s="28" t="str">
        <x:v>Морковь имеет профиль «сладкий, землистый, древесный и слегка цитрусовый». Партнёр «красный луциан»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488" s="28" t="str">
        <x:v>сырая землистость может доминировать; перегрев делает профиль варёно-сладким</x:v>
      </x:c>
      <x:c r="W488" s="28" t="str">
        <x:v>сливочное масло, соевый соус или тимьян</x:v>
      </x:c>
      <x:c r="X488" s="28" t="str">
        <x:v>сок, кордиал, гаспачо, салат, соус, маринад или коктейльный компонент с красный луциан</x:v>
      </x:c>
      <x:c r="Y488" s="28" t="str">
        <x:v>еда, соусы/маринады</x:v>
      </x:c>
      <x:c r="Z488" s="28" t="str">
        <x:v>Средняя</x:v>
      </x:c>
      <x:c r="AA488" s="28" t="str">
        <x:v>The Art &amp; Science of Foodpairing.pdf</x:v>
      </x:c>
      <x:c r="AB488" s="28" t="str">
        <x:v>The Art &amp; Science of Foodpairing.pdf: 232</x:v>
      </x:c>
      <x:c r="AC488" s="28" t="str">
        <x:v>связь из pairing grid, стр. 232</x:v>
      </x:c>
      <x:c r="AD488" s="28" t="n">
        <x:v>1</x:v>
      </x:c>
      <x:c r="AE488" s="28" t="n">
        <x:v>1</x:v>
      </x:c>
      <x:c r="AF488" s="28" t="n">
        <x:f>IF(Z488="Высокая",3,IF(Z488="Средняя",2,1))+AD488*2+MIN(AE488,3)</x:f>
        <x:v>5</x:v>
      </x:c>
    </x:row>
    <x:row r="489" ht="64" customHeight="1">
      <x:c r="A489" s="28" t="str">
        <x:v>VEG-0488</x:v>
      </x:c>
      <x:c r="B489" s="28" t="str">
        <x:v>морковь</x:v>
      </x:c>
      <x:c r="C489" s="28" t="str">
        <x:v>Десерты и выпечка</x:v>
      </x:c>
      <x:c r="D489" s="28" t="str">
        <x:v>морковь</x:v>
      </x:c>
      <x:c r="E489" s="28" t="str">
        <x:v>carrot</x:v>
      </x:c>
      <x:c r="F489" s="28" t="str">
        <x:v>Корнеплоды</x:v>
      </x:c>
      <x:c r="G489" s="28" t="str">
        <x:v>кунжут</x:v>
      </x:c>
      <x:c r="H489" s="28" t="str">
        <x:v>sesame seeds</x:v>
      </x:c>
      <x:c r="I489" s="28" t="str">
        <x:v>Орехи и семена</x:v>
      </x:c>
      <x:c r="J489" s="28" t="str">
        <x:v>сладкий, землистый, древесный и слегка цитрусовый</x:v>
      </x:c>
      <x:c r="K489" s="28" t="str">
        <x:v>ореховый, жареный и жирный</x:v>
      </x:c>
      <x:c r="L489" s="28" t="str">
        <x:v>каротол, β-ионон, терпинолен, пинены</x:v>
      </x:c>
      <x:c r="M489" s="28" t="str">
        <x:v>альдегиды, пиразины, фураны</x:v>
      </x:c>
      <x:c r="N489" s="28" t="str">
        <x:v>прямое пересечение семейств не подтверждено</x:v>
      </x:c>
      <x:c r="O489" s="28" t="str">
        <x:v>надёжная общая ключевая молекула не установлена</x:v>
      </x:c>
      <x:c r="P489" s="28" t="str">
        <x:v>сенсорная комплементарность</x:v>
      </x:c>
      <x:c r="Q489" s="28" t="str">
        <x:v>Сладость и землистость балансируются кислотой, солью, горечью и умами; жир усиливает ощущение округлости.</x:v>
      </x:c>
      <x:c r="R489" s="28" t="str">
        <x:v>минимальный</x:v>
      </x:c>
      <x:c r="S489" s="28" t="str">
        <x:v>водно-клетчаточная матрица с сахарами и каротиноидами</x:v>
      </x:c>
      <x:c r="T48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89" s="28" t="str">
        <x:v>Морковь имеет профиль «сладкий, землистый, древесный и слегка цитрусовый». Партнёр «кунжут»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489" s="28" t="str">
        <x:v>сырая землистость может доминировать; перегрев делает профиль варёно-сладким</x:v>
      </x:c>
      <x:c r="W489" s="28" t="str">
        <x:v>соль, кислота или ароматический жир</x:v>
      </x:c>
      <x:c r="X489" s="28" t="str">
        <x:v>сок, кордиал, гаспачо, салат, соус, маринад или коктейльный компонент с кунжут</x:v>
      </x:c>
      <x:c r="Y489" s="28" t="str">
        <x:v>десерты</x:v>
      </x:c>
      <x:c r="Z489" s="28" t="str">
        <x:v>Высокая</x:v>
      </x:c>
      <x:c r="AA489" s="28" t="str">
        <x:v>The Art &amp; Science of Foodpairing.pdf</x:v>
      </x:c>
      <x:c r="AB489" s="28" t="str">
        <x:v>The Art &amp; Science of Foodpairing.pdf: 233</x:v>
      </x:c>
      <x:c r="AC489" s="28" t="str">
        <x:v>прямая Potential pairing, стр. 233</x:v>
      </x:c>
      <x:c r="AD489" s="28" t="n">
        <x:v>1</x:v>
      </x:c>
      <x:c r="AE489" s="28" t="n">
        <x:v>1</x:v>
      </x:c>
      <x:c r="AF489" s="28" t="n">
        <x:f>IF(Z489="Высокая",3,IF(Z489="Средняя",2,1))+AD489*2+MIN(AE489,3)</x:f>
        <x:v>6</x:v>
      </x:c>
    </x:row>
    <x:row r="490" ht="64" customHeight="1">
      <x:c r="A490" s="28" t="str">
        <x:v>VEG-0489</x:v>
      </x:c>
      <x:c r="B490" s="28" t="str">
        <x:v>морковь</x:v>
      </x:c>
      <x:c r="C490" s="28" t="str">
        <x:v>Десерты и выпечка</x:v>
      </x:c>
      <x:c r="D490" s="28" t="str">
        <x:v>морковь</x:v>
      </x:c>
      <x:c r="E490" s="28" t="str">
        <x:v>Морковь</x:v>
      </x:c>
      <x:c r="F490" s="28" t="str">
        <x:v>Корнеплоды</x:v>
      </x:c>
      <x:c r="G490" s="28" t="str">
        <x:v>лайм</x:v>
      </x:c>
      <x:c r="H490" s="28" t="str">
        <x:v>лайм</x:v>
      </x:c>
      <x:c r="I490" s="28" t="str">
        <x:v>Фрукты и ягоды</x:v>
      </x:c>
      <x:c r="J490" s="28" t="str">
        <x:v>сладкий, землистый, древесный и слегка цитрусовый</x:v>
      </x:c>
      <x:c r="K490" s="28" t="str">
        <x:v>зелёный, кислый, цитрусовый</x:v>
      </x:c>
      <x:c r="L490" s="28" t="str">
        <x:v>каротол, β-ионон, терпинолен, пинены</x:v>
      </x:c>
      <x:c r="M490" s="28" t="str">
        <x:v>лимонен, цитраль</x:v>
      </x:c>
      <x:c r="N490" s="28" t="str">
        <x:v>прямое пересечение семейств не подтверждено</x:v>
      </x:c>
      <x:c r="O490" s="28" t="str">
        <x:v>надёжная общая ключевая молекула не установлена</x:v>
      </x:c>
      <x:c r="P490" s="28" t="str">
        <x:v>кислотно-сладкий баланс</x:v>
      </x:c>
      <x:c r="Q490" s="28" t="str">
        <x:v>Сладость и землистость балансируются кислотой, солью, горечью и умами; жир усиливает ощущение округлости.</x:v>
      </x:c>
      <x:c r="R490" s="28" t="str">
        <x:v>минимальный</x:v>
      </x:c>
      <x:c r="S490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49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0" s="28" t="str">
        <x:v>Морковь имеет профиль «сладкий, землистый, древесный и слегка цитрусовый». Партнёр «лайм» относится к группе «Фрукты и ягоды» и даёт зелёный, кислый,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490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490" s="28" t="str">
        <x:v>цитрус, мёд или мягкая трава</x:v>
      </x:c>
      <x:c r="X490" s="28" t="str">
        <x:v>сок, кордиал, гаспачо, салат, соус, маринад или коктейльный компонент с лайм</x:v>
      </x:c>
      <x:c r="Y490" s="28" t="str">
        <x:v>десерты</x:v>
      </x:c>
      <x:c r="Z490" s="28" t="str">
        <x:v>Гипотеза / практическая</x:v>
      </x:c>
      <x:c r="AA490" s="28" t="str">
        <x:v>Таблица сочетания(1).pdf</x:v>
      </x:c>
      <x:c r="AB490" s="28" t="str">
        <x:v>Таблица сочетания(1).pdf: 4</x:v>
      </x:c>
      <x:c r="AC490" s="28" t="str">
        <x:v>рекомендация таблицы, стр. 4</x:v>
      </x:c>
      <x:c r="AD490" s="28" t="n">
        <x:v>1</x:v>
      </x:c>
      <x:c r="AE490" s="28" t="n">
        <x:v>1</x:v>
      </x:c>
      <x:c r="AF490" s="28" t="n">
        <x:f>IF(Z490="Высокая",3,IF(Z490="Средняя",2,1))+AD490*2+MIN(AE490,3)</x:f>
        <x:v>4</x:v>
      </x:c>
    </x:row>
    <x:row r="491" ht="64" customHeight="1">
      <x:c r="A491" s="28" t="str">
        <x:v>VEG-0490</x:v>
      </x:c>
      <x:c r="B491" s="28" t="str">
        <x:v>морковь</x:v>
      </x:c>
      <x:c r="C491" s="28" t="str">
        <x:v>Универсальные</x:v>
      </x:c>
      <x:c r="D491" s="28" t="str">
        <x:v>морковь</x:v>
      </x:c>
      <x:c r="E491" s="28" t="str">
        <x:v>carrot</x:v>
      </x:c>
      <x:c r="F491" s="28" t="str">
        <x:v>Корнеплоды</x:v>
      </x:c>
      <x:c r="G491" s="28" t="str">
        <x:v>лемонграсс</x:v>
      </x:c>
      <x:c r="H491" s="28" t="str">
        <x:v>lemongrass</x:v>
      </x:c>
      <x:c r="I491" s="28" t="str">
        <x:v>Травы, цветы и листья</x:v>
      </x:c>
      <x:c r="J491" s="28" t="str">
        <x:v>сладкий, землистый, древесный и слегка цитрусовый</x:v>
      </x:c>
      <x:c r="K491" s="28" t="str">
        <x:v>зелёный, цветочный и терпеновый</x:v>
      </x:c>
      <x:c r="L491" s="28" t="str">
        <x:v>каротол, β-ионон, терпинолен, пинены</x:v>
      </x:c>
      <x:c r="M491" s="28" t="str">
        <x:v>линалоол, терпены</x:v>
      </x:c>
      <x:c r="N491" s="28" t="str">
        <x:v>прямое пересечение семейств не подтверждено</x:v>
      </x:c>
      <x:c r="O491" s="28" t="str">
        <x:v>надёжная общая ключевая молекула не установлена</x:v>
      </x:c>
      <x:c r="P491" s="28" t="str">
        <x:v>сенсорная комплементарность</x:v>
      </x:c>
      <x:c r="Q491" s="28" t="str">
        <x:v>Сладость и землистость балансируются кислотой, солью, горечью и умами; жир усиливает ощущение округлости.</x:v>
      </x:c>
      <x:c r="R491" s="28" t="str">
        <x:v>минимальный</x:v>
      </x:c>
      <x:c r="S491" s="28" t="str">
        <x:v>водно-клетчаточная матрица с сахарами и каротиноидами</x:v>
      </x:c>
      <x:c r="T49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1" s="28" t="str">
        <x:v>Морковь имеет профиль «сладкий, землистый, древесный и слегка цитрусовый». Партнёр «лемонграсс»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491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W491" s="28" t="str">
        <x:v>оливковое масло, лимон или сыр</x:v>
      </x:c>
      <x:c r="X491" s="28" t="str">
        <x:v>сок, кордиал, гаспачо, салат, соус, маринад или коктейльный компонент с лемонграсс</x:v>
      </x:c>
      <x:c r="Y491" s="28" t="str">
        <x:v>универсальное</x:v>
      </x:c>
      <x:c r="Z491" s="28" t="str">
        <x:v>Средняя</x:v>
      </x:c>
      <x:c r="AA491" s="28" t="str">
        <x:v>The Art &amp; Science of Foodpairing.pdf</x:v>
      </x:c>
      <x:c r="AB491" s="28" t="str">
        <x:v>The Art &amp; Science of Foodpairing.pdf: 232</x:v>
      </x:c>
      <x:c r="AC491" s="28" t="str">
        <x:v>связь из pairing grid, стр. 232</x:v>
      </x:c>
      <x:c r="AD491" s="28" t="n">
        <x:v>1</x:v>
      </x:c>
      <x:c r="AE491" s="28" t="n">
        <x:v>1</x:v>
      </x:c>
      <x:c r="AF491" s="28" t="n">
        <x:f>IF(Z491="Высокая",3,IF(Z491="Средняя",2,1))+AD491*2+MIN(AE491,3)</x:f>
        <x:v>5</x:v>
      </x:c>
    </x:row>
    <x:row r="492" ht="64" customHeight="1">
      <x:c r="A492" s="28" t="str">
        <x:v>VEG-0491</x:v>
      </x:c>
      <x:c r="B492" s="28" t="str">
        <x:v>морковь</x:v>
      </x:c>
      <x:c r="C492" s="28" t="str">
        <x:v>Универсальные</x:v>
      </x:c>
      <x:c r="D492" s="28" t="str">
        <x:v>морковь</x:v>
      </x:c>
      <x:c r="E492" s="28" t="str">
        <x:v>carrot</x:v>
      </x:c>
      <x:c r="F492" s="28" t="str">
        <x:v>Корнеплоды</x:v>
      </x:c>
      <x:c r="G492" s="28" t="str">
        <x:v>лист муиньи</x:v>
      </x:c>
      <x:c r="H492" s="28" t="str">
        <x:v>muiialeaf</x:v>
      </x:c>
      <x:c r="I492" s="28" t="str">
        <x:v>Прочее</x:v>
      </x:c>
      <x:c r="J492" s="28" t="str">
        <x:v>сладкий, землистый, древесный и слегка цитрусовый</x:v>
      </x:c>
      <x:c r="K492" s="28" t="str">
        <x:v>профиль зависит от конкретного продукта</x:v>
      </x:c>
      <x:c r="L492" s="28" t="str">
        <x:v>каротол, β-ионон, терпинолен, пинены</x:v>
      </x:c>
      <x:c r="M492" s="28" t="str">
        <x:v>конкретный молекулярный профиль не указан</x:v>
      </x:c>
      <x:c r="N492" s="28" t="str">
        <x:v>прямое пересечение семейств не подтверждено</x:v>
      </x:c>
      <x:c r="O492" s="28" t="str">
        <x:v>надёжная общая ключевая молекула не установлена</x:v>
      </x:c>
      <x:c r="P492" s="28" t="str">
        <x:v>сенсорная комплементарность</x:v>
      </x:c>
      <x:c r="Q492" s="28" t="str">
        <x:v>Сладость и землистость балансируются кислотой, солью, горечью и умами; жир усиливает ощущение округлости.</x:v>
      </x:c>
      <x:c r="R492" s="28" t="str">
        <x:v>минимальный</x:v>
      </x:c>
      <x:c r="S492" s="28" t="str">
        <x:v>водно-клетчаточная матрица с сахарами и каротиноидами</x:v>
      </x:c>
      <x:c r="T49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2" s="28" t="str">
        <x:v>Морковь имеет профиль «сладкий, землистый, древесный и слегка цитрусовый». Партнёр «лист муиньи»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92" s="28" t="str">
        <x:v>сырая землистость может доминировать; перегрев делает профиль варёно-сладким</x:v>
      </x:c>
      <x:c r="W492" s="28" t="str">
        <x:v>соль, кислота или ароматический жир</x:v>
      </x:c>
      <x:c r="X492" s="28" t="str">
        <x:v>сок, кордиал, гаспачо, салат, соус, маринад или коктейльный компонент с лист муиньи</x:v>
      </x:c>
      <x:c r="Y492" s="28" t="str">
        <x:v>универсальное</x:v>
      </x:c>
      <x:c r="Z492" s="28" t="str">
        <x:v>Средняя</x:v>
      </x:c>
      <x:c r="AA492" s="28" t="str">
        <x:v>The Art &amp; Science of Foodpairing.pdf</x:v>
      </x:c>
      <x:c r="AB492" s="28" t="str">
        <x:v>The Art &amp; Science of Foodpairing.pdf: 232</x:v>
      </x:c>
      <x:c r="AC492" s="28" t="str">
        <x:v>связь из pairing grid, стр. 232</x:v>
      </x:c>
      <x:c r="AD492" s="28" t="n">
        <x:v>1</x:v>
      </x:c>
      <x:c r="AE492" s="28" t="n">
        <x:v>1</x:v>
      </x:c>
      <x:c r="AF492" s="28" t="n">
        <x:f>IF(Z492="Высокая",3,IF(Z492="Средняя",2,1))+AD492*2+MIN(AE492,3)</x:f>
        <x:v>5</x:v>
      </x:c>
    </x:row>
    <x:row r="493" ht="64" customHeight="1">
      <x:c r="A493" s="28" t="str">
        <x:v>VEG-0492</x:v>
      </x:c>
      <x:c r="B493" s="28" t="str">
        <x:v>морковь</x:v>
      </x:c>
      <x:c r="C493" s="28" t="str">
        <x:v>Универсальные</x:v>
      </x:c>
      <x:c r="D493" s="28" t="str">
        <x:v>морковь</x:v>
      </x:c>
      <x:c r="E493" s="28" t="str">
        <x:v>carrot</x:v>
      </x:c>
      <x:c r="F493" s="28" t="str">
        <x:v>Корнеплоды</x:v>
      </x:c>
      <x:c r="G493" s="28" t="str">
        <x:v>листья кориандра</x:v>
      </x:c>
      <x:c r="H493" s="28" t="str">
        <x:v>coriander leaves</x:v>
      </x:c>
      <x:c r="I493" s="28" t="str">
        <x:v>Травы, цветы и листья</x:v>
      </x:c>
      <x:c r="J493" s="28" t="str">
        <x:v>сладкий, землистый, древесный и слегка цитрусовый</x:v>
      </x:c>
      <x:c r="K493" s="28" t="str">
        <x:v>зелёный, цветочный и терпеновый</x:v>
      </x:c>
      <x:c r="L493" s="28" t="str">
        <x:v>каротол, β-ионон, терпинолен, пинены</x:v>
      </x:c>
      <x:c r="M493" s="28" t="str">
        <x:v>линалоол, терпены</x:v>
      </x:c>
      <x:c r="N493" s="28" t="str">
        <x:v>прямое пересечение семейств не подтверждено</x:v>
      </x:c>
      <x:c r="O493" s="28" t="str">
        <x:v>надёжная общая ключевая молекула не установлена</x:v>
      </x:c>
      <x:c r="P493" s="28" t="str">
        <x:v>сенсорная комплементарность</x:v>
      </x:c>
      <x:c r="Q493" s="28" t="str">
        <x:v>Сладость и землистость балансируются кислотой, солью, горечью и умами; жир усиливает ощущение округлости.</x:v>
      </x:c>
      <x:c r="R493" s="28" t="str">
        <x:v>минимальный</x:v>
      </x:c>
      <x:c r="S493" s="28" t="str">
        <x:v>водно-клетчаточная матрица с сахарами и каротиноидами</x:v>
      </x:c>
      <x:c r="T49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3" s="28" t="str">
        <x:v>Морковь имеет профиль «сладкий, землистый, древесный и слегка цитрусовый».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493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W493" s="28" t="str">
        <x:v>оливковое масло, лимон или сыр</x:v>
      </x:c>
      <x:c r="X493" s="28" t="str">
        <x:v>сок, кордиал, гаспачо, салат, соус, маринад или коктейльный компонент с листья кориандра</x:v>
      </x:c>
      <x:c r="Y493" s="28" t="str">
        <x:v>универсальное</x:v>
      </x:c>
      <x:c r="Z493" s="28" t="str">
        <x:v>Средняя</x:v>
      </x:c>
      <x:c r="AA493" s="28" t="str">
        <x:v>The Art &amp; Science of Foodpairing.pdf</x:v>
      </x:c>
      <x:c r="AB493" s="28" t="str">
        <x:v>The Art &amp; Science of Foodpairing.pdf: 232</x:v>
      </x:c>
      <x:c r="AC493" s="28" t="str">
        <x:v>связь из pairing grid, стр. 232</x:v>
      </x:c>
      <x:c r="AD493" s="28" t="n">
        <x:v>1</x:v>
      </x:c>
      <x:c r="AE493" s="28" t="n">
        <x:v>1</x:v>
      </x:c>
      <x:c r="AF493" s="28" t="n">
        <x:f>IF(Z493="Высокая",3,IF(Z493="Средняя",2,1))+AD493*2+MIN(AE493,3)</x:f>
        <x:v>5</x:v>
      </x:c>
    </x:row>
    <x:row r="494" ht="64" customHeight="1">
      <x:c r="A494" s="28" t="str">
        <x:v>VEG-0493</x:v>
      </x:c>
      <x:c r="B494" s="28" t="str">
        <x:v>морковь</x:v>
      </x:c>
      <x:c r="C494" s="28" t="str">
        <x:v>Еда и соусы</x:v>
      </x:c>
      <x:c r="D494" s="28" t="str">
        <x:v>морковь</x:v>
      </x:c>
      <x:c r="E494" s="28" t="str">
        <x:v>carrot</x:v>
      </x:c>
      <x:c r="F494" s="28" t="str">
        <x:v>Корнеплоды</x:v>
      </x:c>
      <x:c r="G494" s="28" t="str">
        <x:v>лосось</x:v>
      </x:c>
      <x:c r="H494" s="28" t="str">
        <x:v>poachedAtlantic salmon fillet</x:v>
      </x:c>
      <x:c r="I494" s="28" t="str">
        <x:v>Рыба и морепродукты</x:v>
      </x:c>
      <x:c r="J494" s="28" t="str">
        <x:v>сладкий, землистый, древесный и слегка цитрусовый</x:v>
      </x:c>
      <x:c r="K494" s="28" t="str">
        <x:v>морской, солоноватый и умами</x:v>
      </x:c>
      <x:c r="L494" s="28" t="str">
        <x:v>каротол, β-ионон, терпинолен, пинены</x:v>
      </x:c>
      <x:c r="M494" s="28" t="str">
        <x:v>альдегиды, амины</x:v>
      </x:c>
      <x:c r="N494" s="28" t="str">
        <x:v>прямое пересечение семейств не подтверждено</x:v>
      </x:c>
      <x:c r="O494" s="28" t="str">
        <x:v>надёжная общая ключевая молекула не установлена</x:v>
      </x:c>
      <x:c r="P494" s="28" t="str">
        <x:v>умами и солёный контраст</x:v>
      </x:c>
      <x:c r="Q494" s="28" t="str">
        <x:v>Сладость и землистость балансируются кислотой, солью, горечью и умами; жир усиливает ощущение округлости.</x:v>
      </x:c>
      <x:c r="R494" s="28" t="str">
        <x:v>минимальный</x:v>
      </x:c>
      <x:c r="S494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49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4" s="28" t="str">
        <x:v>Морковь имеет профиль «сладкий, землистый, древесный и слегка цитрусовый».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494" s="28" t="str">
        <x:v>сырая землистость может доминировать; перегрев делает профиль варёно-сладким</x:v>
      </x:c>
      <x:c r="W494" s="28" t="str">
        <x:v>сливочное масло, соевый соус или тимьян</x:v>
      </x:c>
      <x:c r="X494" s="28" t="str">
        <x:v>сок, кордиал, гаспачо, салат, соус, маринад или коктейльный компонент с лосось</x:v>
      </x:c>
      <x:c r="Y494" s="28" t="str">
        <x:v>еда, соусы/маринады</x:v>
      </x:c>
      <x:c r="Z494" s="28" t="str">
        <x:v>Средняя</x:v>
      </x:c>
      <x:c r="AA494" s="28" t="str">
        <x:v>The Art &amp; Science of Foodpairing.pdf</x:v>
      </x:c>
      <x:c r="AB494" s="28" t="str">
        <x:v>The Art &amp; Science of Foodpairing.pdf: 232</x:v>
      </x:c>
      <x:c r="AC494" s="28" t="str">
        <x:v>связь из pairing grid, стр. 232</x:v>
      </x:c>
      <x:c r="AD494" s="28" t="n">
        <x:v>1</x:v>
      </x:c>
      <x:c r="AE494" s="28" t="n">
        <x:v>1</x:v>
      </x:c>
      <x:c r="AF494" s="28" t="n">
        <x:f>IF(Z494="Высокая",3,IF(Z494="Средняя",2,1))+AD494*2+MIN(AE494,3)</x:f>
        <x:v>5</x:v>
      </x:c>
    </x:row>
    <x:row r="495" ht="64" customHeight="1">
      <x:c r="A495" s="28" t="str">
        <x:v>VEG-0494</x:v>
      </x:c>
      <x:c r="B495" s="28" t="str">
        <x:v>морковь</x:v>
      </x:c>
      <x:c r="C495" s="28" t="str">
        <x:v>Универсальные</x:v>
      </x:c>
      <x:c r="D495" s="28" t="str">
        <x:v>морковь</x:v>
      </x:c>
      <x:c r="E495" s="28" t="str">
        <x:v>carrot</x:v>
      </x:c>
      <x:c r="F495" s="28" t="str">
        <x:v>Корнеплоды</x:v>
      </x:c>
      <x:c r="G495" s="28" t="str">
        <x:v>майоран</x:v>
      </x:c>
      <x:c r="H495" s="28" t="str">
        <x:v>marjoram</x:v>
      </x:c>
      <x:c r="I495" s="28" t="str">
        <x:v>Прочее</x:v>
      </x:c>
      <x:c r="J495" s="28" t="str">
        <x:v>сладкий, землистый, древесный и слегка цитрусовый</x:v>
      </x:c>
      <x:c r="K495" s="28" t="str">
        <x:v>профиль зависит от конкретного продукта</x:v>
      </x:c>
      <x:c r="L495" s="28" t="str">
        <x:v>каротол, β-ионон, терпинолен, пинены</x:v>
      </x:c>
      <x:c r="M495" s="28" t="str">
        <x:v>конкретный молекулярный профиль не указан</x:v>
      </x:c>
      <x:c r="N495" s="28" t="str">
        <x:v>прямое пересечение семейств не подтверждено</x:v>
      </x:c>
      <x:c r="O495" s="28" t="str">
        <x:v>надёжная общая ключевая молекула не установлена</x:v>
      </x:c>
      <x:c r="P495" s="28" t="str">
        <x:v>сенсорная комплементарность</x:v>
      </x:c>
      <x:c r="Q495" s="28" t="str">
        <x:v>Сладость и землистость балансируются кислотой, солью, горечью и умами; жир усиливает ощущение округлости.</x:v>
      </x:c>
      <x:c r="R495" s="28" t="str">
        <x:v>минимальный</x:v>
      </x:c>
      <x:c r="S495" s="28" t="str">
        <x:v>водно-клетчаточная матрица с сахарами и каротиноидами</x:v>
      </x:c>
      <x:c r="T49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5" s="28" t="str">
        <x:v>Морковь имеет профиль «сладкий, землистый, древесный и слегка цитрусовый». Партнёр «майоран»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95" s="28" t="str">
        <x:v>сырая землистость может доминировать; перегрев делает профиль варёно-сладким</x:v>
      </x:c>
      <x:c r="W495" s="28" t="str">
        <x:v>соль, кислота или ароматический жир</x:v>
      </x:c>
      <x:c r="X495" s="28" t="str">
        <x:v>сок, кордиал, гаспачо, салат, соус, маринад или коктейльный компонент с майоран</x:v>
      </x:c>
      <x:c r="Y495" s="28" t="str">
        <x:v>универсальное</x:v>
      </x:c>
      <x:c r="Z495" s="28" t="str">
        <x:v>Средняя</x:v>
      </x:c>
      <x:c r="AA495" s="28" t="str">
        <x:v>The Art &amp; Science of Foodpairing.pdf</x:v>
      </x:c>
      <x:c r="AB495" s="28" t="str">
        <x:v>The Art &amp; Science of Foodpairing.pdf: 232</x:v>
      </x:c>
      <x:c r="AC495" s="28" t="str">
        <x:v>связь из pairing grid, стр. 232</x:v>
      </x:c>
      <x:c r="AD495" s="28" t="n">
        <x:v>1</x:v>
      </x:c>
      <x:c r="AE495" s="28" t="n">
        <x:v>1</x:v>
      </x:c>
      <x:c r="AF495" s="28" t="n">
        <x:f>IF(Z495="Высокая",3,IF(Z495="Средняя",2,1))+AD495*2+MIN(AE495,3)</x:f>
        <x:v>5</x:v>
      </x:c>
    </x:row>
    <x:row r="496" ht="64" customHeight="1">
      <x:c r="A496" s="28" t="str">
        <x:v>VEG-0495</x:v>
      </x:c>
      <x:c r="B496" s="28" t="str">
        <x:v>морковь</x:v>
      </x:c>
      <x:c r="C496" s="28" t="str">
        <x:v>Универсальные</x:v>
      </x:c>
      <x:c r="D496" s="28" t="str">
        <x:v>морковь</x:v>
      </x:c>
      <x:c r="E496" s="28" t="str">
        <x:v>carrot</x:v>
      </x:c>
      <x:c r="F496" s="28" t="str">
        <x:v>Корнеплоды</x:v>
      </x:c>
      <x:c r="G496" s="28" t="str">
        <x:v>маниок</x:v>
      </x:c>
      <x:c r="H496" s="28" t="str">
        <x:v>cassava</x:v>
      </x:c>
      <x:c r="I496" s="28" t="str">
        <x:v>Прочее</x:v>
      </x:c>
      <x:c r="J496" s="28" t="str">
        <x:v>сладкий, землистый, древесный и слегка цитрусовый</x:v>
      </x:c>
      <x:c r="K496" s="28" t="str">
        <x:v>профиль зависит от конкретного продукта</x:v>
      </x:c>
      <x:c r="L496" s="28" t="str">
        <x:v>каротол, β-ионон, терпинолен, пинены</x:v>
      </x:c>
      <x:c r="M496" s="28" t="str">
        <x:v>конкретный молекулярный профиль не указан</x:v>
      </x:c>
      <x:c r="N496" s="28" t="str">
        <x:v>прямое пересечение семейств не подтверждено</x:v>
      </x:c>
      <x:c r="O496" s="28" t="str">
        <x:v>надёжная общая ключевая молекула не установлена</x:v>
      </x:c>
      <x:c r="P496" s="28" t="str">
        <x:v>сенсорная комплементарность</x:v>
      </x:c>
      <x:c r="Q496" s="28" t="str">
        <x:v>Сладость и землистость балансируются кислотой, солью, горечью и умами; жир усиливает ощущение округлости.</x:v>
      </x:c>
      <x:c r="R496" s="28" t="str">
        <x:v>минимальный</x:v>
      </x:c>
      <x:c r="S496" s="28" t="str">
        <x:v>водно-клетчаточная матрица с сахарами и каротиноидами</x:v>
      </x:c>
      <x:c r="T49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6" s="28" t="str">
        <x:v>Морковь имеет профиль «сладкий, землистый, древесный и слегка цитрусовый».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96" s="28" t="str">
        <x:v>сырая землистость может доминировать; перегрев делает профиль варёно-сладким</x:v>
      </x:c>
      <x:c r="W496" s="28" t="str">
        <x:v>соль, кислота или ароматический жир</x:v>
      </x:c>
      <x:c r="X496" s="28" t="str">
        <x:v>сок, кордиал, гаспачо, салат, соус, маринад или коктейльный компонент с маниок</x:v>
      </x:c>
      <x:c r="Y496" s="28" t="str">
        <x:v>универсальное</x:v>
      </x:c>
      <x:c r="Z496" s="28" t="str">
        <x:v>Средняя</x:v>
      </x:c>
      <x:c r="AA496" s="28" t="str">
        <x:v>The Art &amp; Science of Foodpairing.pdf</x:v>
      </x:c>
      <x:c r="AB496" s="28" t="str">
        <x:v>The Art &amp; Science of Foodpairing.pdf: 251</x:v>
      </x:c>
      <x:c r="AC496" s="28" t="str">
        <x:v>связь из pairing grid, стр. 251</x:v>
      </x:c>
      <x:c r="AD496" s="28" t="n">
        <x:v>1</x:v>
      </x:c>
      <x:c r="AE496" s="28" t="n">
        <x:v>1</x:v>
      </x:c>
      <x:c r="AF496" s="28" t="n">
        <x:f>IF(Z496="Высокая",3,IF(Z496="Средняя",2,1))+AD496*2+MIN(AE496,3)</x:f>
        <x:v>5</x:v>
      </x:c>
    </x:row>
    <x:row r="497" ht="64" customHeight="1">
      <x:c r="A497" s="28" t="str">
        <x:v>VEG-0496</x:v>
      </x:c>
      <x:c r="B497" s="28" t="str">
        <x:v>морковь</x:v>
      </x:c>
      <x:c r="C497" s="28" t="str">
        <x:v>Десерты и выпечка</x:v>
      </x:c>
      <x:c r="D497" s="28" t="str">
        <x:v>морковь</x:v>
      </x:c>
      <x:c r="E497" s="28" t="str">
        <x:v>carrot</x:v>
      </x:c>
      <x:c r="F497" s="28" t="str">
        <x:v>Корнеплоды</x:v>
      </x:c>
      <x:c r="G497" s="28" t="str">
        <x:v>миндаль</x:v>
      </x:c>
      <x:c r="H497" s="28" t="str">
        <x:v>roasted almond</x:v>
      </x:c>
      <x:c r="I497" s="28" t="str">
        <x:v>Орехи и семена</x:v>
      </x:c>
      <x:c r="J497" s="28" t="str">
        <x:v>сладкий, землистый, древесный и слегка цитрусовый</x:v>
      </x:c>
      <x:c r="K497" s="28" t="str">
        <x:v>жареный, миндальный, ореховый</x:v>
      </x:c>
      <x:c r="L497" s="28" t="str">
        <x:v>каротол, β-ионон, терпинолен, пинены</x:v>
      </x:c>
      <x:c r="M497" s="28" t="str">
        <x:v>бензальдегид, пиразины</x:v>
      </x:c>
      <x:c r="N497" s="28" t="str">
        <x:v>прямое пересечение семейств не подтверждено</x:v>
      </x:c>
      <x:c r="O497" s="28" t="str">
        <x:v>надёжная общая ключевая молекула не установлена</x:v>
      </x:c>
      <x:c r="P497" s="28" t="str">
        <x:v>сенсорная комплементарность</x:v>
      </x:c>
      <x:c r="Q497" s="28" t="str">
        <x:v>Сладость и землистость балансируются кислотой, солью, горечью и умами; жир усиливает ощущение округлости.</x:v>
      </x:c>
      <x:c r="R497" s="28" t="str">
        <x:v>минимальный</x:v>
      </x:c>
      <x:c r="S497" s="28" t="str">
        <x:v>водно-клетчаточная матрица с сахарами и каротиноидами</x:v>
      </x:c>
      <x:c r="T49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7" s="28" t="str">
        <x:v>Морковь имеет профиль «сладкий, землистый, древесный и слегка цитрусовый». Партнёр «миндаль» относится к группе «Орехи и семена» и даёт жареный, миндальный,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497" s="28" t="str">
        <x:v>сырая землистость может доминировать; перегрев делает профиль варёно-сладким</x:v>
      </x:c>
      <x:c r="W497" s="28" t="str">
        <x:v>соль, кислота или ароматический жир</x:v>
      </x:c>
      <x:c r="X497" s="28" t="str">
        <x:v>сок, кордиал, гаспачо, салат, соус, маринад или коктейльный компонент с миндаль</x:v>
      </x:c>
      <x:c r="Y497" s="28" t="str">
        <x:v>десерты</x:v>
      </x:c>
      <x:c r="Z497" s="28" t="str">
        <x:v>Средняя</x:v>
      </x:c>
      <x:c r="AA497" s="28" t="str">
        <x:v>The Art &amp; Science of Foodpairing.pdf</x:v>
      </x:c>
      <x:c r="AB497" s="28" t="str">
        <x:v>The Art &amp; Science of Foodpairing.pdf: 232</x:v>
      </x:c>
      <x:c r="AC497" s="28" t="str">
        <x:v>связь из pairing grid, стр. 232</x:v>
      </x:c>
      <x:c r="AD497" s="28" t="n">
        <x:v>1</x:v>
      </x:c>
      <x:c r="AE497" s="28" t="n">
        <x:v>1</x:v>
      </x:c>
      <x:c r="AF497" s="28" t="n">
        <x:f>IF(Z497="Высокая",3,IF(Z497="Средняя",2,1))+AD497*2+MIN(AE497,3)</x:f>
        <x:v>5</x:v>
      </x:c>
    </x:row>
    <x:row r="498" ht="64" customHeight="1">
      <x:c r="A498" s="28" t="str">
        <x:v>VEG-0497</x:v>
      </x:c>
      <x:c r="B498" s="28" t="str">
        <x:v>морковь</x:v>
      </x:c>
      <x:c r="C498" s="28" t="str">
        <x:v>Универсальные</x:v>
      </x:c>
      <x:c r="D498" s="28" t="str">
        <x:v>морковь</x:v>
      </x:c>
      <x:c r="E498" s="28" t="str">
        <x:v>Морковь</x:v>
      </x:c>
      <x:c r="F498" s="28" t="str">
        <x:v>Корнеплоды</x:v>
      </x:c>
      <x:c r="G498" s="28" t="str">
        <x:v>можжевельник</x:v>
      </x:c>
      <x:c r="H498" s="28" t="str">
        <x:v>можжевельник</x:v>
      </x:c>
      <x:c r="I498" s="28" t="str">
        <x:v>Прочее</x:v>
      </x:c>
      <x:c r="J498" s="28" t="str">
        <x:v>сладкий, землистый, древесный и слегка цитрусовый</x:v>
      </x:c>
      <x:c r="K498" s="28" t="str">
        <x:v>профиль зависит от конкретного продукта</x:v>
      </x:c>
      <x:c r="L498" s="28" t="str">
        <x:v>каротол, β-ионон, терпинолен, пинены</x:v>
      </x:c>
      <x:c r="M498" s="28" t="str">
        <x:v>конкретный молекулярный профиль не указан</x:v>
      </x:c>
      <x:c r="N498" s="28" t="str">
        <x:v>прямое пересечение семейств не подтверждено</x:v>
      </x:c>
      <x:c r="O498" s="28" t="str">
        <x:v>надёжная общая ключевая молекула не установлена</x:v>
      </x:c>
      <x:c r="P498" s="28" t="str">
        <x:v>сенсорная комплементарность</x:v>
      </x:c>
      <x:c r="Q498" s="28" t="str">
        <x:v>Сладость и землистость балансируются кислотой, солью, горечью и умами; жир усиливает ощущение округлости.</x:v>
      </x:c>
      <x:c r="R498" s="28" t="str">
        <x:v>минимальный</x:v>
      </x:c>
      <x:c r="S498" s="28" t="str">
        <x:v>водно-клетчаточная матрица с сахарами и каротиноидами</x:v>
      </x:c>
      <x:c r="T49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8" s="28" t="str">
        <x:v>Морковь имеет профиль «сладкий, землистый, древесный и слегка цитрусовый». Партнёр «можжевельник»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498" s="28" t="str">
        <x:v>сырая землистость может доминировать; перегрев делает профиль варёно-сладким</x:v>
      </x:c>
      <x:c r="W498" s="28" t="str">
        <x:v>соль, кислота или ароматический жир</x:v>
      </x:c>
      <x:c r="X498" s="28" t="str">
        <x:v>сок, кордиал, гаспачо, салат, соус, маринад или коктейльный компонент с можжевельник</x:v>
      </x:c>
      <x:c r="Y498" s="28" t="str">
        <x:v>универсальное</x:v>
      </x:c>
      <x:c r="Z498" s="28" t="str">
        <x:v>Гипотеза / практическая</x:v>
      </x:c>
      <x:c r="AA498" s="28" t="str">
        <x:v>Таблица сочетания(1).pdf</x:v>
      </x:c>
      <x:c r="AB498" s="28" t="str">
        <x:v>Таблица сочетания(1).pdf: 4</x:v>
      </x:c>
      <x:c r="AC498" s="28" t="str">
        <x:v>рекомендация таблицы, стр. 4</x:v>
      </x:c>
      <x:c r="AD498" s="28" t="n">
        <x:v>1</x:v>
      </x:c>
      <x:c r="AE498" s="28" t="n">
        <x:v>1</x:v>
      </x:c>
      <x:c r="AF498" s="28" t="n">
        <x:f>IF(Z498="Высокая",3,IF(Z498="Средняя",2,1))+AD498*2+MIN(AE498,3)</x:f>
        <x:v>4</x:v>
      </x:c>
    </x:row>
    <x:row r="499" ht="64" customHeight="1">
      <x:c r="A499" s="28" t="str">
        <x:v>VEG-0498</x:v>
      </x:c>
      <x:c r="B499" s="28" t="str">
        <x:v>морковь</x:v>
      </x:c>
      <x:c r="C499" s="28" t="str">
        <x:v>Универсальные</x:v>
      </x:c>
      <x:c r="D499" s="28" t="str">
        <x:v>морковь</x:v>
      </x:c>
      <x:c r="E499" s="28" t="str">
        <x:v>Морковь</x:v>
      </x:c>
      <x:c r="F499" s="28" t="str">
        <x:v>Корнеплоды</x:v>
      </x:c>
      <x:c r="G499" s="28" t="str">
        <x:v>мята</x:v>
      </x:c>
      <x:c r="H499" s="28" t="str">
        <x:v>мята</x:v>
      </x:c>
      <x:c r="I499" s="28" t="str">
        <x:v>Травы, цветы и листья</x:v>
      </x:c>
      <x:c r="J499" s="28" t="str">
        <x:v>сладкий, землистый, древесный и слегка цитрусовый</x:v>
      </x:c>
      <x:c r="K499" s="28" t="str">
        <x:v>зелёный, холодящий</x:v>
      </x:c>
      <x:c r="L499" s="28" t="str">
        <x:v>каротол, β-ионон, терпинолен, пинены</x:v>
      </x:c>
      <x:c r="M499" s="28" t="str">
        <x:v>ментол</x:v>
      </x:c>
      <x:c r="N499" s="28" t="str">
        <x:v>прямое пересечение семейств не подтверждено</x:v>
      </x:c>
      <x:c r="O499" s="28" t="str">
        <x:v>надёжная общая ключевая молекула не установлена</x:v>
      </x:c>
      <x:c r="P499" s="28" t="str">
        <x:v>сенсорная комплементарность</x:v>
      </x:c>
      <x:c r="Q499" s="28" t="str">
        <x:v>Сладость и землистость балансируются кислотой, солью, горечью и умами; жир усиливает ощущение округлости.</x:v>
      </x:c>
      <x:c r="R499" s="28" t="str">
        <x:v>минимальный</x:v>
      </x:c>
      <x:c r="S499" s="28" t="str">
        <x:v>водно-клетчаточная матрица с сахарами и каротиноидами</x:v>
      </x:c>
      <x:c r="T49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499" s="28" t="str">
        <x:v>Морковь имеет профиль «сладкий, землистый, древесный и слегка цитрусовый».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499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W499" s="28" t="str">
        <x:v>оливковое масло, лимон или сыр</x:v>
      </x:c>
      <x:c r="X499" s="28" t="str">
        <x:v>сок, кордиал, гаспачо, салат, соус, маринад или коктейльный компонент с мята</x:v>
      </x:c>
      <x:c r="Y499" s="28" t="str">
        <x:v>универсальное</x:v>
      </x:c>
      <x:c r="Z499" s="28" t="str">
        <x:v>Гипотеза / практическая</x:v>
      </x:c>
      <x:c r="AA499" s="28" t="str">
        <x:v>Таблица сочетания(1).pdf</x:v>
      </x:c>
      <x:c r="AB499" s="28" t="str">
        <x:v>Таблица сочетания(1).pdf: 4</x:v>
      </x:c>
      <x:c r="AC499" s="28" t="str">
        <x:v>рекомендация таблицы, стр. 4</x:v>
      </x:c>
      <x:c r="AD499" s="28" t="n">
        <x:v>1</x:v>
      </x:c>
      <x:c r="AE499" s="28" t="n">
        <x:v>1</x:v>
      </x:c>
      <x:c r="AF499" s="28" t="n">
        <x:f>IF(Z499="Высокая",3,IF(Z499="Средняя",2,1))+AD499*2+MIN(AE499,3)</x:f>
        <x:v>4</x:v>
      </x:c>
    </x:row>
    <x:row r="500" ht="64" customHeight="1">
      <x:c r="A500" s="28" t="str">
        <x:v>VEG-0499</x:v>
      </x:c>
      <x:c r="B500" s="28" t="str">
        <x:v>морковь</x:v>
      </x:c>
      <x:c r="C500" s="28" t="str">
        <x:v>Универсальные</x:v>
      </x:c>
      <x:c r="D500" s="28" t="str">
        <x:v>морковь</x:v>
      </x:c>
      <x:c r="E500" s="28" t="str">
        <x:v>carrot</x:v>
      </x:c>
      <x:c r="F500" s="28" t="str">
        <x:v>Корнеплоды</x:v>
      </x:c>
      <x:c r="G500" s="28" t="str">
        <x:v>овощной бульон</x:v>
      </x:c>
      <x:c r="H500" s="28" t="str">
        <x:v>vegetable broth</x:v>
      </x:c>
      <x:c r="I500" s="28" t="str">
        <x:v>Прочее</x:v>
      </x:c>
      <x:c r="J500" s="28" t="str">
        <x:v>сладкий, землистый, древесный и слегка цитрусовый</x:v>
      </x:c>
      <x:c r="K500" s="28" t="str">
        <x:v>профиль зависит от конкретного продукта</x:v>
      </x:c>
      <x:c r="L500" s="28" t="str">
        <x:v>каротол, β-ионон, терпинолен, пинены</x:v>
      </x:c>
      <x:c r="M500" s="28" t="str">
        <x:v>конкретный молекулярный профиль не указан</x:v>
      </x:c>
      <x:c r="N500" s="28" t="str">
        <x:v>прямое пересечение семейств не подтверждено</x:v>
      </x:c>
      <x:c r="O500" s="28" t="str">
        <x:v>надёжная общая ключевая молекула не установлена</x:v>
      </x:c>
      <x:c r="P500" s="28" t="str">
        <x:v>сенсорная комплементарность</x:v>
      </x:c>
      <x:c r="Q500" s="28" t="str">
        <x:v>Сладость и землистость балансируются кислотой, солью, горечью и умами; жир усиливает ощущение округлости.</x:v>
      </x:c>
      <x:c r="R500" s="28" t="str">
        <x:v>минимальный</x:v>
      </x:c>
      <x:c r="S500" s="28" t="str">
        <x:v>водно-клетчаточная матрица с сахарами и каротиноидами</x:v>
      </x:c>
      <x:c r="T50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0" s="28" t="str">
        <x:v>Морковь имеет профиль «сладкий, землистый, древесный и слегка цитрусовый». Партнёр «овощной бульон»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00" s="28" t="str">
        <x:v>сырая землистость может доминировать; перегрев делает профиль варёно-сладким</x:v>
      </x:c>
      <x:c r="W500" s="28" t="str">
        <x:v>соль, кислота или ароматический жир</x:v>
      </x:c>
      <x:c r="X500" s="28" t="str">
        <x:v>сок, кордиал, гаспачо, салат, соус, маринад или коктейльный компонент с овощной бульон</x:v>
      </x:c>
      <x:c r="Y500" s="28" t="str">
        <x:v>универсальное</x:v>
      </x:c>
      <x:c r="Z500" s="28" t="str">
        <x:v>Средняя</x:v>
      </x:c>
      <x:c r="AA500" s="28" t="str">
        <x:v>The Art &amp; Science of Foodpairing.pdf</x:v>
      </x:c>
      <x:c r="AB500" s="28" t="str">
        <x:v>The Art &amp; Science of Foodpairing.pdf: 232</x:v>
      </x:c>
      <x:c r="AC500" s="28" t="str">
        <x:v>связь из pairing grid, стр. 232</x:v>
      </x:c>
      <x:c r="AD500" s="28" t="n">
        <x:v>1</x:v>
      </x:c>
      <x:c r="AE500" s="28" t="n">
        <x:v>1</x:v>
      </x:c>
      <x:c r="AF500" s="28" t="n">
        <x:f>IF(Z500="Высокая",3,IF(Z500="Средняя",2,1))+AD500*2+MIN(AE500,3)</x:f>
        <x:v>5</x:v>
      </x:c>
    </x:row>
    <x:row r="501" ht="64" customHeight="1">
      <x:c r="A501" s="28" t="str">
        <x:v>VEG-0500</x:v>
      </x:c>
      <x:c r="B501" s="28" t="str">
        <x:v>морковь</x:v>
      </x:c>
      <x:c r="C501" s="28" t="str">
        <x:v>Универсальные</x:v>
      </x:c>
      <x:c r="D501" s="28" t="str">
        <x:v>морковь</x:v>
      </x:c>
      <x:c r="E501" s="28" t="str">
        <x:v>Морковь | морковь</x:v>
      </x:c>
      <x:c r="F501" s="28" t="str">
        <x:v>Корнеплоды</x:v>
      </x:c>
      <x:c r="G501" s="28" t="str">
        <x:v>огурец</x:v>
      </x:c>
      <x:c r="H501" s="28" t="str">
        <x:v>Огурцы | огурец | огурцы</x:v>
      </x:c>
      <x:c r="I501" s="28" t="str">
        <x:v>Тыквенные</x:v>
      </x:c>
      <x:c r="J501" s="28" t="str">
        <x:v>сладкий, землистый, древесный и слегка цитрусовый</x:v>
      </x:c>
      <x:c r="K501" s="28" t="str">
        <x:v>зелёный, водянистый, свежий и дынный</x:v>
      </x:c>
      <x:c r="L501" s="28" t="str">
        <x:v>каротол, β-ионон, терпинолен, пинены</x:v>
      </x:c>
      <x:c r="M501" s="28" t="str">
        <x:v>(E)-2-ноненаль, (E,Z)-2,6-нонадиеналь, гексаналь</x:v>
      </x:c>
      <x:c r="N501" s="28" t="str">
        <x:v>прямое пересечение семейств не подтверждено</x:v>
      </x:c>
      <x:c r="O501" s="28" t="str">
        <x:v>надёжная общая ключевая молекула не установлена</x:v>
      </x:c>
      <x:c r="P501" s="28" t="str">
        <x:v>сенсорная комплементарность</x:v>
      </x:c>
      <x:c r="Q501" s="28" t="str">
        <x:v>Сладость и землистость балансируются кислотой, солью, горечью и умами; жир усиливает ощущение округлости.</x:v>
      </x:c>
      <x:c r="R501" s="28" t="str">
        <x:v>минимальный</x:v>
      </x:c>
      <x:c r="S501" s="28" t="str">
        <x:v>водно-клетчаточная матрица с сахарами и каротиноидами</x:v>
      </x:c>
      <x:c r="T50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1" s="28" t="str">
        <x:v>Морковь имеет профиль «сладкий, землистый, древесный и слегка цитрусовый».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01" s="28" t="str">
        <x:v>сырая землистость может доминировать; перегрев делает профиль варёно-сладким</x:v>
      </x:c>
      <x:c r="W501" s="28" t="str">
        <x:v>соль, кислота или ароматический жир</x:v>
      </x:c>
      <x:c r="X501" s="28" t="str">
        <x:v>сок, кордиал, гаспачо, салат, соус, маринад или коктейльный компонент с огурец</x:v>
      </x:c>
      <x:c r="Y501" s="28" t="str">
        <x:v>универсальное</x:v>
      </x:c>
      <x:c r="Z501" s="28" t="str">
        <x:v>Высокая</x:v>
      </x:c>
      <x:c r="AA501" s="28" t="str">
        <x:v>Таблица сочетания(1).pdf | Тезариус вкусов (Ники Сегнит)(1).pdf</x:v>
      </x:c>
      <x:c r="AB501" s="28" t="str">
        <x:v>Таблица сочетания(1).pdf: 4; Тезариус вкусов (Ники Сегнит)(1).pdf: 494, 606</x:v>
      </x:c>
      <x:c r="AC501" s="28" t="str">
        <x:v>развёрнутая пара/статья, стр. 494; развёрнутая пара/статья, стр. 606; рекомендация таблицы, стр. 4</x:v>
      </x:c>
      <x:c r="AD501" s="28" t="n">
        <x:v>2</x:v>
      </x:c>
      <x:c r="AE501" s="28" t="n">
        <x:v>3</x:v>
      </x:c>
      <x:c r="AF501" s="28" t="n">
        <x:f>IF(Z501="Высокая",3,IF(Z501="Средняя",2,1))+AD501*2+MIN(AE501,3)</x:f>
        <x:v>10</x:v>
      </x:c>
    </x:row>
    <x:row r="502" ht="64" customHeight="1">
      <x:c r="A502" s="28" t="str">
        <x:v>VEG-0501</x:v>
      </x:c>
      <x:c r="B502" s="28" t="str">
        <x:v>морковь</x:v>
      </x:c>
      <x:c r="C502" s="28" t="str">
        <x:v>Универсальные</x:v>
      </x:c>
      <x:c r="D502" s="28" t="str">
        <x:v>морковь</x:v>
      </x:c>
      <x:c r="E502" s="28" t="str">
        <x:v>Морковь | морковь</x:v>
      </x:c>
      <x:c r="F502" s="28" t="str">
        <x:v>Корнеплоды</x:v>
      </x:c>
      <x:c r="G502" s="28" t="str">
        <x:v>оливки</x:v>
      </x:c>
      <x:c r="H502" s="28" t="str">
        <x:v>Оливки | оливки</x:v>
      </x:c>
      <x:c r="I502" s="28" t="str">
        <x:v>Прочее</x:v>
      </x:c>
      <x:c r="J502" s="28" t="str">
        <x:v>сладкий, землистый, древесный и слегка цитрусовый</x:v>
      </x:c>
      <x:c r="K502" s="28" t="str">
        <x:v>профиль зависит от конкретного продукта</x:v>
      </x:c>
      <x:c r="L502" s="28" t="str">
        <x:v>каротол, β-ионон, терпинолен, пинены</x:v>
      </x:c>
      <x:c r="M502" s="28" t="str">
        <x:v>конкретный молекулярный профиль не указан</x:v>
      </x:c>
      <x:c r="N502" s="28" t="str">
        <x:v>прямое пересечение семейств не подтверждено</x:v>
      </x:c>
      <x:c r="O502" s="28" t="str">
        <x:v>надёжная общая ключевая молекула не установлена</x:v>
      </x:c>
      <x:c r="P502" s="28" t="str">
        <x:v>сенсорная комплементарность</x:v>
      </x:c>
      <x:c r="Q502" s="28" t="str">
        <x:v>Сладость и землистость балансируются кислотой, солью, горечью и умами; жир усиливает ощущение округлости.</x:v>
      </x:c>
      <x:c r="R502" s="28" t="str">
        <x:v>минимальный</x:v>
      </x:c>
      <x:c r="S502" s="28" t="str">
        <x:v>водно-клетчаточная матрица с сахарами и каротиноидами</x:v>
      </x:c>
      <x:c r="T50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2" s="28" t="str">
        <x:v>Морковь имеет профиль «сладкий, землистый, древесный и слегка цитрусовый».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02" s="28" t="str">
        <x:v>сырая землистость может доминировать; перегрев делает профиль варёно-сладким</x:v>
      </x:c>
      <x:c r="W502" s="28" t="str">
        <x:v>соль, кислота или ароматический жир</x:v>
      </x:c>
      <x:c r="X502" s="28" t="str">
        <x:v>сок, кордиал, гаспачо, салат, соус, маринад или коктейльный компонент с оливки</x:v>
      </x:c>
      <x:c r="Y502" s="28" t="str">
        <x:v>универсальное</x:v>
      </x:c>
      <x:c r="Z502" s="28" t="str">
        <x:v>Средняя</x:v>
      </x:c>
      <x:c r="AA502" s="28" t="str">
        <x:v>Тезариус вкусов (Ники Сегнит)(1).pdf</x:v>
      </x:c>
      <x:c r="AB502" s="28" t="str">
        <x:v>Тезариус вкусов (Ники Сегнит)(1).pdf: 469, 606</x:v>
      </x:c>
      <x:c r="AC502" s="28" t="str">
        <x:v>развёрнутая пара/статья, стр. 469; развёрнутая пара/статья, стр. 606</x:v>
      </x:c>
      <x:c r="AD502" s="28" t="n">
        <x:v>1</x:v>
      </x:c>
      <x:c r="AE502" s="28" t="n">
        <x:v>2</x:v>
      </x:c>
      <x:c r="AF502" s="28" t="n">
        <x:f>IF(Z502="Высокая",3,IF(Z502="Средняя",2,1))+AD502*2+MIN(AE502,3)</x:f>
        <x:v>6</x:v>
      </x:c>
    </x:row>
    <x:row r="503" ht="64" customHeight="1">
      <x:c r="A503" s="28" t="str">
        <x:v>VEG-0502</x:v>
      </x:c>
      <x:c r="B503" s="28" t="str">
        <x:v>морковь</x:v>
      </x:c>
      <x:c r="C503" s="28" t="str">
        <x:v>Еда и соусы</x:v>
      </x:c>
      <x:c r="D503" s="28" t="str">
        <x:v>морковь</x:v>
      </x:c>
      <x:c r="E503" s="28" t="str">
        <x:v>carrot</x:v>
      </x:c>
      <x:c r="F503" s="28" t="str">
        <x:v>Корнеплоды</x:v>
      </x:c>
      <x:c r="G503" s="28" t="str">
        <x:v>пекинская утка</x:v>
      </x:c>
      <x:c r="H503" s="28" t="str">
        <x:v>roast Pekingduck</x:v>
      </x:c>
      <x:c r="I503" s="28" t="str">
        <x:v>Мясо и птица</x:v>
      </x:c>
      <x:c r="J503" s="28" t="str">
        <x:v>сладкий, землистый, древесный и слегка цитрусовый</x:v>
      </x:c>
      <x:c r="K503" s="28" t="str">
        <x:v>жареный, мясной и умами</x:v>
      </x:c>
      <x:c r="L503" s="28" t="str">
        <x:v>каротол, β-ионон, терпинолен, пинены</x:v>
      </x:c>
      <x:c r="M503" s="28" t="str">
        <x:v>пиразины, сернистые соединения</x:v>
      </x:c>
      <x:c r="N503" s="28" t="str">
        <x:v>прямое пересечение семейств не подтверждено</x:v>
      </x:c>
      <x:c r="O503" s="28" t="str">
        <x:v>надёжная общая ключевая молекула не установлена</x:v>
      </x:c>
      <x:c r="P503" s="28" t="str">
        <x:v>умами и солёный контраст</x:v>
      </x:c>
      <x:c r="Q503" s="28" t="str">
        <x:v>Сладость и землистость балансируются кислотой, солью, горечью и умами; жир усиливает ощущение округлости.</x:v>
      </x:c>
      <x:c r="R503" s="28" t="str">
        <x:v>минимальный</x:v>
      </x:c>
      <x:c r="S503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50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3" s="28" t="str">
        <x:v>Морковь имеет профиль «сладкий, землистый, древесный и слегка цитрусовый». Партнёр «пекинская утка»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503" s="28" t="str">
        <x:v>сырая землистость может доминировать; перегрев делает профиль варёно-сладким</x:v>
      </x:c>
      <x:c r="W503" s="28" t="str">
        <x:v>сливочное масло, соевый соус или тимьян</x:v>
      </x:c>
      <x:c r="X503" s="28" t="str">
        <x:v>сок, кордиал, гаспачо, салат, соус, маринад или коктейльный компонент с пекинская утка</x:v>
      </x:c>
      <x:c r="Y503" s="28" t="str">
        <x:v>еда, соусы/маринады</x:v>
      </x:c>
      <x:c r="Z503" s="28" t="str">
        <x:v>Средняя</x:v>
      </x:c>
      <x:c r="AA503" s="28" t="str">
        <x:v>The Art &amp; Science of Foodpairing.pdf</x:v>
      </x:c>
      <x:c r="AB503" s="28" t="str">
        <x:v>The Art &amp; Science of Foodpairing.pdf: 232</x:v>
      </x:c>
      <x:c r="AC503" s="28" t="str">
        <x:v>связь из pairing grid, стр. 232</x:v>
      </x:c>
      <x:c r="AD503" s="28" t="n">
        <x:v>1</x:v>
      </x:c>
      <x:c r="AE503" s="28" t="n">
        <x:v>1</x:v>
      </x:c>
      <x:c r="AF503" s="28" t="n">
        <x:f>IF(Z503="Высокая",3,IF(Z503="Средняя",2,1))+AD503*2+MIN(AE503,3)</x:f>
        <x:v>5</x:v>
      </x:c>
    </x:row>
    <x:row r="504" ht="64" customHeight="1">
      <x:c r="A504" s="28" t="str">
        <x:v>VEG-0503</x:v>
      </x:c>
      <x:c r="B504" s="28" t="str">
        <x:v>морковь</x:v>
      </x:c>
      <x:c r="C504" s="28" t="str">
        <x:v>Десерты и выпечка</x:v>
      </x:c>
      <x:c r="D504" s="28" t="str">
        <x:v>морковь</x:v>
      </x:c>
      <x:c r="E504" s="28" t="str">
        <x:v>carrot</x:v>
      </x:c>
      <x:c r="F504" s="28" t="str">
        <x:v>Корнеплоды</x:v>
      </x:c>
      <x:c r="G504" s="28" t="str">
        <x:v>персик</x:v>
      </x:c>
      <x:c r="H504" s="28" t="str">
        <x:v>peach</x:v>
      </x:c>
      <x:c r="I504" s="28" t="str">
        <x:v>Фрукты и ягоды</x:v>
      </x:c>
      <x:c r="J504" s="28" t="str">
        <x:v>сладкий, землистый, древесный и слегка цитрусовый</x:v>
      </x:c>
      <x:c r="K504" s="28" t="str">
        <x:v>фруктовый, цветочный и свежий</x:v>
      </x:c>
      <x:c r="L504" s="28" t="str">
        <x:v>каротол, β-ионон, терпинолен, пинены</x:v>
      </x:c>
      <x:c r="M504" s="28" t="str">
        <x:v>альдегиды, эфиры</x:v>
      </x:c>
      <x:c r="N504" s="28" t="str">
        <x:v>прямое пересечение семейств не подтверждено</x:v>
      </x:c>
      <x:c r="O504" s="28" t="str">
        <x:v>надёжная общая ключевая молекула не установлена</x:v>
      </x:c>
      <x:c r="P504" s="28" t="str">
        <x:v>кислотно-сладкий баланс</x:v>
      </x:c>
      <x:c r="Q504" s="28" t="str">
        <x:v>Сладость и землистость балансируются кислотой, солью, горечью и умами; жир усиливает ощущение округлости.</x:v>
      </x:c>
      <x:c r="R504" s="28" t="str">
        <x:v>минимальный</x:v>
      </x:c>
      <x:c r="S504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50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4" s="28" t="str">
        <x:v>Морковь имеет профиль «сладкий, землистый, древесный и слегка цитрусовый». Партнёр «персик»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504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504" s="28" t="str">
        <x:v>цитрус, мёд или мягкая трава</x:v>
      </x:c>
      <x:c r="X504" s="28" t="str">
        <x:v>сок, кордиал, гаспачо, салат, соус, маринад или коктейльный компонент с персик</x:v>
      </x:c>
      <x:c r="Y504" s="28" t="str">
        <x:v>десерты</x:v>
      </x:c>
      <x:c r="Z504" s="28" t="str">
        <x:v>Средняя</x:v>
      </x:c>
      <x:c r="AA504" s="28" t="str">
        <x:v>The Art &amp; Science of Foodpairing.pdf</x:v>
      </x:c>
      <x:c r="AB504" s="28" t="str">
        <x:v>The Art &amp; Science of Foodpairing.pdf: 232</x:v>
      </x:c>
      <x:c r="AC504" s="28" t="str">
        <x:v>связь из pairing grid, стр. 232</x:v>
      </x:c>
      <x:c r="AD504" s="28" t="n">
        <x:v>1</x:v>
      </x:c>
      <x:c r="AE504" s="28" t="n">
        <x:v>1</x:v>
      </x:c>
      <x:c r="AF504" s="28" t="n">
        <x:f>IF(Z504="Высокая",3,IF(Z504="Средняя",2,1))+AD504*2+MIN(AE504,3)</x:f>
        <x:v>5</x:v>
      </x:c>
    </x:row>
    <x:row r="505" ht="64" customHeight="1">
      <x:c r="A505" s="28" t="str">
        <x:v>VEG-0504</x:v>
      </x:c>
      <x:c r="B505" s="28" t="str">
        <x:v>морковь</x:v>
      </x:c>
      <x:c r="C505" s="28" t="str">
        <x:v>Универсальные</x:v>
      </x:c>
      <x:c r="D505" s="28" t="str">
        <x:v>морковь</x:v>
      </x:c>
      <x:c r="E505" s="28" t="str">
        <x:v>Морковь | морковь</x:v>
      </x:c>
      <x:c r="F505" s="28" t="str">
        <x:v>Корнеплоды</x:v>
      </x:c>
      <x:c r="G505" s="28" t="str">
        <x:v>петрушка</x:v>
      </x:c>
      <x:c r="H505" s="28" t="str">
        <x:v>Петрушка | петрушка</x:v>
      </x:c>
      <x:c r="I505" s="28" t="str">
        <x:v>Травы, цветы и листья</x:v>
      </x:c>
      <x:c r="J505" s="28" t="str">
        <x:v>сладкий, землистый, древесный и слегка цитрусовый</x:v>
      </x:c>
      <x:c r="K505" s="28" t="str">
        <x:v>зелёный, травянистый</x:v>
      </x:c>
      <x:c r="L505" s="28" t="str">
        <x:v>каротол, β-ионон, терпинолен, пинены</x:v>
      </x:c>
      <x:c r="M505" s="28" t="str">
        <x:v>апиол, п-ментатриен</x:v>
      </x:c>
      <x:c r="N505" s="28" t="str">
        <x:v>прямое пересечение семейств не подтверждено</x:v>
      </x:c>
      <x:c r="O505" s="28" t="str">
        <x:v>надёжная общая ключевая молекула не установлена</x:v>
      </x:c>
      <x:c r="P505" s="28" t="str">
        <x:v>сенсорная комплементарность</x:v>
      </x:c>
      <x:c r="Q505" s="28" t="str">
        <x:v>Сладость и землистость балансируются кислотой, солью, горечью и умами; жир усиливает ощущение округлости.</x:v>
      </x:c>
      <x:c r="R505" s="28" t="str">
        <x:v>минимальный</x:v>
      </x:c>
      <x:c r="S505" s="28" t="str">
        <x:v>водно-клетчаточная матрица с сахарами и каротиноидами</x:v>
      </x:c>
      <x:c r="T50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5" s="28" t="str">
        <x:v>Морковь имеет профиль «сладкий, землистый, древесный и слегка цитрусовый».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505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W505" s="28" t="str">
        <x:v>оливковое масло, лимон или сыр</x:v>
      </x:c>
      <x:c r="X505" s="28" t="str">
        <x:v>сок, кордиал, гаспачо, салат, соус, маринад или коктейльный компонент с петрушка</x:v>
      </x:c>
      <x:c r="Y505" s="28" t="str">
        <x:v>универсальное</x:v>
      </x:c>
      <x:c r="Z505" s="28" t="str">
        <x:v>Средняя</x:v>
      </x:c>
      <x:c r="AA505" s="28" t="str">
        <x:v>Тезариус вкусов (Ники Сегнит)(1).pdf</x:v>
      </x:c>
      <x:c r="AB505" s="28" t="str">
        <x:v>Тезариус вкусов (Ники Сегнит)(1).pdf: 511, 606</x:v>
      </x:c>
      <x:c r="AC505" s="28" t="str">
        <x:v>развёрнутая пара/статья, стр. 511; развёрнутая пара/статья, стр. 606</x:v>
      </x:c>
      <x:c r="AD505" s="28" t="n">
        <x:v>1</x:v>
      </x:c>
      <x:c r="AE505" s="28" t="n">
        <x:v>2</x:v>
      </x:c>
      <x:c r="AF505" s="28" t="n">
        <x:f>IF(Z505="Высокая",3,IF(Z505="Средняя",2,1))+AD505*2+MIN(AE505,3)</x:f>
        <x:v>6</x:v>
      </x:c>
    </x:row>
    <x:row r="506" ht="64" customHeight="1">
      <x:c r="A506" s="28" t="str">
        <x:v>VEG-0505</x:v>
      </x:c>
      <x:c r="B506" s="28" t="str">
        <x:v>морковь</x:v>
      </x:c>
      <x:c r="C506" s="28" t="str">
        <x:v>Десерты и выпечка</x:v>
      </x:c>
      <x:c r="D506" s="28" t="str">
        <x:v>морковь</x:v>
      </x:c>
      <x:c r="E506" s="28" t="str">
        <x:v>carrot</x:v>
      </x:c>
      <x:c r="F506" s="28" t="str">
        <x:v>Корнеплоды</x:v>
      </x:c>
      <x:c r="G506" s="28" t="str">
        <x:v>попкорн</x:v>
      </x:c>
      <x:c r="H506" s="28" t="str">
        <x:v>popcorn</x:v>
      </x:c>
      <x:c r="I506" s="28" t="str">
        <x:v>Выпечка, крупы, сахара и десерты</x:v>
      </x:c>
      <x:c r="J506" s="28" t="str">
        <x:v>сладкий, землистый, древесный и слегка цитрусовый</x:v>
      </x:c>
      <x:c r="K506" s="28" t="str">
        <x:v>сладкий, карамельный и жареный</x:v>
      </x:c>
      <x:c r="L506" s="28" t="str">
        <x:v>каротол, β-ионон, терпинолен, пинены</x:v>
      </x:c>
      <x:c r="M506" s="28" t="str">
        <x:v>мальтол, пиразины, фураны</x:v>
      </x:c>
      <x:c r="N506" s="28" t="str">
        <x:v>сладкий</x:v>
      </x:c>
      <x:c r="O506" s="28" t="str">
        <x:v>надёжная общая ключевая молекула не установлена</x:v>
      </x:c>
      <x:c r="P506" s="28" t="str">
        <x:v>пересечение ароматических семейств</x:v>
      </x:c>
      <x:c r="Q506" s="28" t="str">
        <x:v>Сладость и землистость балансируются кислотой, солью, горечью и умами; жир усиливает ощущение округлости.</x:v>
      </x:c>
      <x:c r="R506" s="28" t="str">
        <x:v>минимальный</x:v>
      </x:c>
      <x:c r="S506" s="28" t="str">
        <x:v>водно-клетчаточная матрица с сахарами и каротиноидами</x:v>
      </x:c>
      <x:c r="T50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6" s="28" t="str">
        <x:v>Морковь имеет профиль «сладкий, землистый, древесный и слегка цитрусовый». Партнёр «попкорн»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506" s="28" t="str">
        <x:v>сырая землистость может доминировать; перегрев делает профиль варёно-сладким</x:v>
      </x:c>
      <x:c r="W506" s="28" t="str">
        <x:v>соль, кислота или ароматический жир</x:v>
      </x:c>
      <x:c r="X506" s="28" t="str">
        <x:v>сок, кордиал, гаспачо, салат, соус, маринад или коктейльный компонент с попкорн</x:v>
      </x:c>
      <x:c r="Y506" s="28" t="str">
        <x:v>десерты</x:v>
      </x:c>
      <x:c r="Z506" s="28" t="str">
        <x:v>Средняя</x:v>
      </x:c>
      <x:c r="AA506" s="28" t="str">
        <x:v>The Art &amp; Science of Foodpairing.pdf</x:v>
      </x:c>
      <x:c r="AB506" s="28" t="str">
        <x:v>The Art &amp; Science of Foodpairing.pdf: 232</x:v>
      </x:c>
      <x:c r="AC506" s="28" t="str">
        <x:v>связь из pairing grid, стр. 232</x:v>
      </x:c>
      <x:c r="AD506" s="28" t="n">
        <x:v>1</x:v>
      </x:c>
      <x:c r="AE506" s="28" t="n">
        <x:v>1</x:v>
      </x:c>
      <x:c r="AF506" s="28" t="n">
        <x:f>IF(Z506="Высокая",3,IF(Z506="Средняя",2,1))+AD506*2+MIN(AE506,3)</x:f>
        <x:v>5</x:v>
      </x:c>
    </x:row>
    <x:row r="507" ht="64" customHeight="1">
      <x:c r="A507" s="28" t="str">
        <x:v>VEG-0506</x:v>
      </x:c>
      <x:c r="B507" s="28" t="str">
        <x:v>морковь</x:v>
      </x:c>
      <x:c r="C507" s="28" t="str">
        <x:v>Универсальные</x:v>
      </x:c>
      <x:c r="D507" s="28" t="str">
        <x:v>морковь</x:v>
      </x:c>
      <x:c r="E507" s="28" t="str">
        <x:v>Морковь</x:v>
      </x:c>
      <x:c r="F507" s="28" t="str">
        <x:v>Корнеплоды</x:v>
      </x:c>
      <x:c r="G507" s="28" t="str">
        <x:v>розмарин</x:v>
      </x:c>
      <x:c r="H507" s="28" t="str">
        <x:v>розмарин</x:v>
      </x:c>
      <x:c r="I507" s="28" t="str">
        <x:v>Травы, цветы и листья</x:v>
      </x:c>
      <x:c r="J507" s="28" t="str">
        <x:v>сладкий, землистый, древесный и слегка цитрусовый</x:v>
      </x:c>
      <x:c r="K507" s="28" t="str">
        <x:v>древесный, камфорный, хвойный</x:v>
      </x:c>
      <x:c r="L507" s="28" t="str">
        <x:v>каротол, β-ионон, терпинолен, пинены</x:v>
      </x:c>
      <x:c r="M507" s="28" t="str">
        <x:v>1,8-цинеол, пинены</x:v>
      </x:c>
      <x:c r="N507" s="28" t="str">
        <x:v>древесный</x:v>
      </x:c>
      <x:c r="O507" s="28" t="str">
        <x:v>пинены</x:v>
      </x:c>
      <x:c r="P507" s="28" t="str">
        <x:v>общие характерные молекулы; пересечение ароматических семейств</x:v>
      </x:c>
      <x:c r="Q507" s="28" t="str">
        <x:v>Сладость и землистость балансируются кислотой, солью, горечью и умами; жир усиливает ощущение округлости.</x:v>
      </x:c>
      <x:c r="R507" s="28" t="str">
        <x:v>минимальный</x:v>
      </x:c>
      <x:c r="S507" s="28" t="str">
        <x:v>водно-клетчаточная матрица с сахарами и каротиноидами</x:v>
      </x:c>
      <x:c r="T50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7" s="28" t="str">
        <x:v>Морковь имеет профиль «сладкий, землистый, древесный и слегка цитрусовый». Партнёр «розмарин» относится к группе «Травы, цветы и листья» и даёт древесный, камфорный, хвойный. Вероятный молекулярный мост: пинены.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507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W507" s="28" t="str">
        <x:v>оливковое масло, лимон или сыр</x:v>
      </x:c>
      <x:c r="X507" s="28" t="str">
        <x:v>сок, кордиал, гаспачо, салат, соус, маринад или коктейльный компонент с розмарин</x:v>
      </x:c>
      <x:c r="Y507" s="28" t="str">
        <x:v>универсальное</x:v>
      </x:c>
      <x:c r="Z507" s="28" t="str">
        <x:v>Гипотеза / практическая</x:v>
      </x:c>
      <x:c r="AA507" s="28" t="str">
        <x:v>Таблица сочетания(1).pdf</x:v>
      </x:c>
      <x:c r="AB507" s="28" t="str">
        <x:v>Таблица сочетания(1).pdf: 4</x:v>
      </x:c>
      <x:c r="AC507" s="28" t="str">
        <x:v>рекомендация таблицы, стр. 4</x:v>
      </x:c>
      <x:c r="AD507" s="28" t="n">
        <x:v>1</x:v>
      </x:c>
      <x:c r="AE507" s="28" t="n">
        <x:v>1</x:v>
      </x:c>
      <x:c r="AF507" s="28" t="n">
        <x:f>IF(Z507="Высокая",3,IF(Z507="Средняя",2,1))+AD507*2+MIN(AE507,3)</x:f>
        <x:v>4</x:v>
      </x:c>
    </x:row>
    <x:row r="508" ht="64" customHeight="1">
      <x:c r="A508" s="28" t="str">
        <x:v>VEG-0507</x:v>
      </x:c>
      <x:c r="B508" s="28" t="str">
        <x:v>морковь</x:v>
      </x:c>
      <x:c r="C508" s="28" t="str">
        <x:v>Десерты и выпечка</x:v>
      </x:c>
      <x:c r="D508" s="28" t="str">
        <x:v>морковь</x:v>
      </x:c>
      <x:c r="E508" s="28" t="str">
        <x:v>carrot</x:v>
      </x:c>
      <x:c r="F508" s="28" t="str">
        <x:v>Корнеплоды</x:v>
      </x:c>
      <x:c r="G508" s="28" t="str">
        <x:v>семена нигеллы</x:v>
      </x:c>
      <x:c r="H508" s="28" t="str">
        <x:v>nigella seeds</x:v>
      </x:c>
      <x:c r="I508" s="28" t="str">
        <x:v>Орехи и семена</x:v>
      </x:c>
      <x:c r="J508" s="28" t="str">
        <x:v>сладкий, землистый, древесный и слегка цитрусовый</x:v>
      </x:c>
      <x:c r="K508" s="28" t="str">
        <x:v>ореховый, жареный и жирный</x:v>
      </x:c>
      <x:c r="L508" s="28" t="str">
        <x:v>каротол, β-ионон, терпинолен, пинены</x:v>
      </x:c>
      <x:c r="M508" s="28" t="str">
        <x:v>альдегиды, пиразины, фураны</x:v>
      </x:c>
      <x:c r="N508" s="28" t="str">
        <x:v>прямое пересечение семейств не подтверждено</x:v>
      </x:c>
      <x:c r="O508" s="28" t="str">
        <x:v>надёжная общая ключевая молекула не установлена</x:v>
      </x:c>
      <x:c r="P508" s="28" t="str">
        <x:v>сенсорная комплементарность</x:v>
      </x:c>
      <x:c r="Q508" s="28" t="str">
        <x:v>Сладость и землистость балансируются кислотой, солью, горечью и умами; жир усиливает ощущение округлости.</x:v>
      </x:c>
      <x:c r="R508" s="28" t="str">
        <x:v>минимальный</x:v>
      </x:c>
      <x:c r="S508" s="28" t="str">
        <x:v>водно-клетчаточная матрица с сахарами и каротиноидами</x:v>
      </x:c>
      <x:c r="T50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8" s="28" t="str">
        <x:v>Морковь имеет профиль «сладкий, землистый, древесный и слегка цитрусовый». Партнёр «семена нигеллы»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508" s="28" t="str">
        <x:v>сырая землистость может доминировать; перегрев делает профиль варёно-сладким</x:v>
      </x:c>
      <x:c r="W508" s="28" t="str">
        <x:v>соль, кислота или ароматический жир</x:v>
      </x:c>
      <x:c r="X508" s="28" t="str">
        <x:v>сок, кордиал, гаспачо, салат, соус, маринад или коктейльный компонент с семена нигеллы</x:v>
      </x:c>
      <x:c r="Y508" s="28" t="str">
        <x:v>десерты</x:v>
      </x:c>
      <x:c r="Z508" s="28" t="str">
        <x:v>Средняя</x:v>
      </x:c>
      <x:c r="AA508" s="28" t="str">
        <x:v>The Art &amp; Science of Foodpairing.pdf</x:v>
      </x:c>
      <x:c r="AB508" s="28" t="str">
        <x:v>The Art &amp; Science of Foodpairing.pdf: 232</x:v>
      </x:c>
      <x:c r="AC508" s="28" t="str">
        <x:v>связь из pairing grid, стр. 232</x:v>
      </x:c>
      <x:c r="AD508" s="28" t="n">
        <x:v>1</x:v>
      </x:c>
      <x:c r="AE508" s="28" t="n">
        <x:v>1</x:v>
      </x:c>
      <x:c r="AF508" s="28" t="n">
        <x:f>IF(Z508="Высокая",3,IF(Z508="Средняя",2,1))+AD508*2+MIN(AE508,3)</x:f>
        <x:v>5</x:v>
      </x:c>
    </x:row>
    <x:row r="509" ht="64" customHeight="1">
      <x:c r="A509" s="28" t="str">
        <x:v>VEG-0508</x:v>
      </x:c>
      <x:c r="B509" s="28" t="str">
        <x:v>морковь</x:v>
      </x:c>
      <x:c r="C509" s="28" t="str">
        <x:v>Универсальные</x:v>
      </x:c>
      <x:c r="D509" s="28" t="str">
        <x:v>морковь</x:v>
      </x:c>
      <x:c r="E509" s="28" t="str">
        <x:v>carrot</x:v>
      </x:c>
      <x:c r="F509" s="28" t="str">
        <x:v>Корнеплоды</x:v>
      </x:c>
      <x:c r="G509" s="28" t="str">
        <x:v>сладкая паприка</x:v>
      </x:c>
      <x:c r="H509" s="28" t="str">
        <x:v>sweet paprika powder</x:v>
      </x:c>
      <x:c r="I509" s="28" t="str">
        <x:v>Прочее</x:v>
      </x:c>
      <x:c r="J509" s="28" t="str">
        <x:v>сладкий, землистый, древесный и слегка цитрусовый</x:v>
      </x:c>
      <x:c r="K509" s="28" t="str">
        <x:v>профиль зависит от конкретного продукта</x:v>
      </x:c>
      <x:c r="L509" s="28" t="str">
        <x:v>каротол, β-ионон, терпинолен, пинены</x:v>
      </x:c>
      <x:c r="M509" s="28" t="str">
        <x:v>конкретный молекулярный профиль не указан</x:v>
      </x:c>
      <x:c r="N509" s="28" t="str">
        <x:v>прямое пересечение семейств не подтверждено</x:v>
      </x:c>
      <x:c r="O509" s="28" t="str">
        <x:v>надёжная общая ключевая молекула не установлена</x:v>
      </x:c>
      <x:c r="P509" s="28" t="str">
        <x:v>сенсорная комплементарность</x:v>
      </x:c>
      <x:c r="Q509" s="28" t="str">
        <x:v>Сладость и землистость балансируются кислотой, солью, горечью и умами; жир усиливает ощущение округлости.</x:v>
      </x:c>
      <x:c r="R509" s="28" t="str">
        <x:v>минимальный</x:v>
      </x:c>
      <x:c r="S509" s="28" t="str">
        <x:v>водно-клетчаточная матрица с сахарами и каротиноидами</x:v>
      </x:c>
      <x:c r="T50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09" s="28" t="str">
        <x:v>Морковь имеет профиль «сладкий, землистый, древесный и слегка цитрусовый». Партнёр «сладкая паприка»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09" s="28" t="str">
        <x:v>сырая землистость может доминировать; перегрев делает профиль варёно-сладким</x:v>
      </x:c>
      <x:c r="W509" s="28" t="str">
        <x:v>соль, кислота или ароматический жир</x:v>
      </x:c>
      <x:c r="X509" s="28" t="str">
        <x:v>сок, кордиал, гаспачо, салат, соус, маринад или коктейльный компонент с сладкая паприка</x:v>
      </x:c>
      <x:c r="Y509" s="28" t="str">
        <x:v>универсальное</x:v>
      </x:c>
      <x:c r="Z509" s="28" t="str">
        <x:v>Средняя</x:v>
      </x:c>
      <x:c r="AA509" s="28" t="str">
        <x:v>The Art &amp; Science of Foodpairing.pdf</x:v>
      </x:c>
      <x:c r="AB509" s="28" t="str">
        <x:v>The Art &amp; Science of Foodpairing.pdf: 232</x:v>
      </x:c>
      <x:c r="AC509" s="28" t="str">
        <x:v>связь из pairing grid, стр. 232</x:v>
      </x:c>
      <x:c r="AD509" s="28" t="n">
        <x:v>1</x:v>
      </x:c>
      <x:c r="AE509" s="28" t="n">
        <x:v>1</x:v>
      </x:c>
      <x:c r="AF509" s="28" t="n">
        <x:f>IF(Z509="Высокая",3,IF(Z509="Средняя",2,1))+AD509*2+MIN(AE509,3)</x:f>
        <x:v>5</x:v>
      </x:c>
    </x:row>
    <x:row r="510" ht="64" customHeight="1">
      <x:c r="A510" s="28" t="str">
        <x:v>VEG-0509</x:v>
      </x:c>
      <x:c r="B510" s="28" t="str">
        <x:v>морковь</x:v>
      </x:c>
      <x:c r="C510" s="28" t="str">
        <x:v>Универсальные</x:v>
      </x:c>
      <x:c r="D510" s="28" t="str">
        <x:v>морковь</x:v>
      </x:c>
      <x:c r="E510" s="28" t="str">
        <x:v>carrot</x:v>
      </x:c>
      <x:c r="F510" s="28" t="str">
        <x:v>Корнеплоды</x:v>
      </x:c>
      <x:c r="G510" s="28" t="str">
        <x:v>сок бузины</x:v>
      </x:c>
      <x:c r="H510" s="28" t="str">
        <x:v>elderberry juice</x:v>
      </x:c>
      <x:c r="I510" s="28" t="str">
        <x:v>Травы, цветы и листья</x:v>
      </x:c>
      <x:c r="J510" s="28" t="str">
        <x:v>сладкий, землистый, древесный и слегка цитрусовый</x:v>
      </x:c>
      <x:c r="K510" s="28" t="str">
        <x:v>зелёный, цветочный и терпеновый</x:v>
      </x:c>
      <x:c r="L510" s="28" t="str">
        <x:v>каротол, β-ионон, терпинолен, пинены</x:v>
      </x:c>
      <x:c r="M510" s="28" t="str">
        <x:v>линалоол, терпены</x:v>
      </x:c>
      <x:c r="N510" s="28" t="str">
        <x:v>прямое пересечение семейств не подтверждено</x:v>
      </x:c>
      <x:c r="O510" s="28" t="str">
        <x:v>надёжная общая ключевая молекула не установлена</x:v>
      </x:c>
      <x:c r="P510" s="28" t="str">
        <x:v>сенсорная комплементарность</x:v>
      </x:c>
      <x:c r="Q510" s="28" t="str">
        <x:v>Сладость и землистость балансируются кислотой, солью, горечью и умами; жир усиливает ощущение округлости.</x:v>
      </x:c>
      <x:c r="R510" s="28" t="str">
        <x:v>минимальный</x:v>
      </x:c>
      <x:c r="S510" s="28" t="str">
        <x:v>водно-клетчаточная матрица с сахарами и каротиноидами</x:v>
      </x:c>
      <x:c r="T51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0" s="28" t="str">
        <x:v>Морковь имеет профиль «сладкий, землистый, древесный и слегка цитрусовый». Партнёр «сок бузины»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510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W510" s="28" t="str">
        <x:v>оливковое масло, лимон или сыр</x:v>
      </x:c>
      <x:c r="X510" s="28" t="str">
        <x:v>сок, кордиал, гаспачо, салат, соус, маринад или коктейльный компонент с сок бузины</x:v>
      </x:c>
      <x:c r="Y510" s="28" t="str">
        <x:v>напитки</x:v>
      </x:c>
      <x:c r="Z510" s="28" t="str">
        <x:v>Средняя</x:v>
      </x:c>
      <x:c r="AA510" s="28" t="str">
        <x:v>The Art &amp; Science of Foodpairing.pdf</x:v>
      </x:c>
      <x:c r="AB510" s="28" t="str">
        <x:v>The Art &amp; Science of Foodpairing.pdf: 232</x:v>
      </x:c>
      <x:c r="AC510" s="28" t="str">
        <x:v>связь из pairing grid, стр. 232</x:v>
      </x:c>
      <x:c r="AD510" s="28" t="n">
        <x:v>1</x:v>
      </x:c>
      <x:c r="AE510" s="28" t="n">
        <x:v>1</x:v>
      </x:c>
      <x:c r="AF510" s="28" t="n">
        <x:f>IF(Z510="Высокая",3,IF(Z510="Средняя",2,1))+AD510*2+MIN(AE510,3)</x:f>
        <x:v>5</x:v>
      </x:c>
    </x:row>
    <x:row r="511" ht="64" customHeight="1">
      <x:c r="A511" s="28" t="str">
        <x:v>VEG-0510</x:v>
      </x:c>
      <x:c r="B511" s="28" t="str">
        <x:v>морковь</x:v>
      </x:c>
      <x:c r="C511" s="28" t="str">
        <x:v>Десерты и выпечка</x:v>
      </x:c>
      <x:c r="D511" s="28" t="str">
        <x:v>морковь</x:v>
      </x:c>
      <x:c r="E511" s="28" t="str">
        <x:v>carrot</x:v>
      </x:c>
      <x:c r="F511" s="28" t="str">
        <x:v>Корнеплоды</x:v>
      </x:c>
      <x:c r="G511" s="28" t="str">
        <x:v>сыр</x:v>
      </x:c>
      <x:c r="H511" s="28" t="str">
        <x:v>Manchego cheese</x:v>
      </x:c>
      <x:c r="I511" s="28" t="str">
        <x:v>Молочные продукты и сыры</x:v>
      </x:c>
      <x:c r="J511" s="28" t="str">
        <x:v>сладкий, землистый, древесный и слегка цитрусовый</x:v>
      </x:c>
      <x:c r="K511" s="28" t="str">
        <x:v>молочный, умами, ферментированный</x:v>
      </x:c>
      <x:c r="L511" s="28" t="str">
        <x:v>каротол, β-ионон, терпинолен, пинены</x:v>
      </x:c>
      <x:c r="M511" s="28" t="str">
        <x:v>диацетил, жирные кислоты</x:v>
      </x:c>
      <x:c r="N511" s="28" t="str">
        <x:v>прямое пересечение семейств не подтверждено</x:v>
      </x:c>
      <x:c r="O511" s="28" t="str">
        <x:v>надёжная общая ключевая молекула не установлена</x:v>
      </x:c>
      <x:c r="P511" s="28" t="str">
        <x:v>жировая матрица</x:v>
      </x:c>
      <x:c r="Q511" s="28" t="str">
        <x:v>Сладость и землистость балансируются кислотой, солью, горечью и умами; жир усиливает ощущение округлости.</x:v>
      </x:c>
      <x:c r="R511" s="28" t="str">
        <x:v>минимальный</x:v>
      </x:c>
      <x:c r="S511" s="28" t="str">
        <x:v>водно-клетчаточная матрица с сахарами и каротиноидами Жировая фаза удерживает гидрофобные молекулы, но может сделать вкус тяжёлым.</x:v>
      </x:c>
      <x:c r="T51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1" s="28" t="str">
        <x:v>Морковь имеет профиль «сладкий, землистый, древесный и слегка цитрусовый».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511" s="28" t="str">
        <x:v>сырая землистость может доминировать; перегрев делает профиль варёно-сладким; жир способен приглушить свежую зелёную ароматику</x:v>
      </x:c>
      <x:c r="W511" s="28" t="str">
        <x:v>кислота, зелень или жареный орех</x:v>
      </x:c>
      <x:c r="X511" s="28" t="str">
        <x:v>сок, кордиал, гаспачо, салат, соус, маринад или коктейльный компонент с сыр</x:v>
      </x:c>
      <x:c r="Y511" s="28" t="str">
        <x:v>десерты</x:v>
      </x:c>
      <x:c r="Z511" s="28" t="str">
        <x:v>Средняя</x:v>
      </x:c>
      <x:c r="AA511" s="28" t="str">
        <x:v>The Art &amp; Science of Foodpairing.pdf</x:v>
      </x:c>
      <x:c r="AB511" s="28" t="str">
        <x:v>The Art &amp; Science of Foodpairing.pdf: 232</x:v>
      </x:c>
      <x:c r="AC511" s="28" t="str">
        <x:v>связь из pairing grid, стр. 232</x:v>
      </x:c>
      <x:c r="AD511" s="28" t="n">
        <x:v>1</x:v>
      </x:c>
      <x:c r="AE511" s="28" t="n">
        <x:v>1</x:v>
      </x:c>
      <x:c r="AF511" s="28" t="n">
        <x:f>IF(Z511="Высокая",3,IF(Z511="Средняя",2,1))+AD511*2+MIN(AE511,3)</x:f>
        <x:v>5</x:v>
      </x:c>
    </x:row>
    <x:row r="512" ht="64" customHeight="1">
      <x:c r="A512" s="28" t="str">
        <x:v>VEG-0511</x:v>
      </x:c>
      <x:c r="B512" s="28" t="str">
        <x:v>морковь</x:v>
      </x:c>
      <x:c r="C512" s="28" t="str">
        <x:v>Универсальные</x:v>
      </x:c>
      <x:c r="D512" s="28" t="str">
        <x:v>морковь</x:v>
      </x:c>
      <x:c r="E512" s="28" t="str">
        <x:v>carrot</x:v>
      </x:c>
      <x:c r="F512" s="28" t="str">
        <x:v>Корнеплоды</x:v>
      </x:c>
      <x:c r="G512" s="28" t="str">
        <x:v>сычуаньский перец</x:v>
      </x:c>
      <x:c r="H512" s="28" t="str">
        <x:v>Sichuan pepper</x:v>
      </x:c>
      <x:c r="I512" s="28" t="str">
        <x:v>Специи</x:v>
      </x:c>
      <x:c r="J512" s="28" t="str">
        <x:v>сладкий, землистый, древесный и слегка цитрусовый</x:v>
      </x:c>
      <x:c r="K512" s="28" t="str">
        <x:v>пряный и древесный</x:v>
      </x:c>
      <x:c r="L512" s="28" t="str">
        <x:v>каротол, β-ионон, терпинолен, пинены</x:v>
      </x:c>
      <x:c r="M512" s="28" t="str">
        <x:v>терпены, фенилпропаноиды</x:v>
      </x:c>
      <x:c r="N512" s="28" t="str">
        <x:v>древесный</x:v>
      </x:c>
      <x:c r="O512" s="28" t="str">
        <x:v>надёжная общая ключевая молекула не установлена</x:v>
      </x:c>
      <x:c r="P512" s="28" t="str">
        <x:v>пересечение ароматических семейств</x:v>
      </x:c>
      <x:c r="Q512" s="28" t="str">
        <x:v>Сладость и землистость балансируются кислотой, солью, горечью и умами; жир усиливает ощущение округлости.</x:v>
      </x:c>
      <x:c r="R512" s="28" t="str">
        <x:v>минимальный</x:v>
      </x:c>
      <x:c r="S512" s="28" t="str">
        <x:v>водно-клетчаточная матрица с сахарами и каротиноидами</x:v>
      </x:c>
      <x:c r="T51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2" s="28" t="str">
        <x:v>Морковь имеет профиль «сладкий, землистый, древесный и слегка цитрусовый». Партнёр «сычуаньский перец»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512" s="28" t="str">
        <x:v>сырая землистость может доминировать; перегрев делает профиль варёно-сладким</x:v>
      </x:c>
      <x:c r="W512" s="28" t="str">
        <x:v>цитрус, йогурт или мёд</x:v>
      </x:c>
      <x:c r="X512" s="28" t="str">
        <x:v>сок, кордиал, гаспачо, салат, соус, маринад или коктейльный компонент с сычуаньский перец</x:v>
      </x:c>
      <x:c r="Y512" s="28" t="str">
        <x:v>универсальное</x:v>
      </x:c>
      <x:c r="Z512" s="28" t="str">
        <x:v>Средняя</x:v>
      </x:c>
      <x:c r="AA512" s="28" t="str">
        <x:v>The Art &amp; Science of Foodpairing.pdf</x:v>
      </x:c>
      <x:c r="AB512" s="28" t="str">
        <x:v>The Art &amp; Science of Foodpairing.pdf: 232</x:v>
      </x:c>
      <x:c r="AC512" s="28" t="str">
        <x:v>связь из pairing grid, стр. 232</x:v>
      </x:c>
      <x:c r="AD512" s="28" t="n">
        <x:v>1</x:v>
      </x:c>
      <x:c r="AE512" s="28" t="n">
        <x:v>1</x:v>
      </x:c>
      <x:c r="AF512" s="28" t="n">
        <x:f>IF(Z512="Высокая",3,IF(Z512="Средняя",2,1))+AD512*2+MIN(AE512,3)</x:f>
        <x:v>5</x:v>
      </x:c>
    </x:row>
    <x:row r="513" ht="64" customHeight="1">
      <x:c r="A513" s="28" t="str">
        <x:v>VEG-0512</x:v>
      </x:c>
      <x:c r="B513" s="28" t="str">
        <x:v>морковь</x:v>
      </x:c>
      <x:c r="C513" s="28" t="str">
        <x:v>Универсальные</x:v>
      </x:c>
      <x:c r="D513" s="28" t="str">
        <x:v>морковь</x:v>
      </x:c>
      <x:c r="E513" s="28" t="str">
        <x:v>Морковь</x:v>
      </x:c>
      <x:c r="F513" s="28" t="str">
        <x:v>Корнеплоды</x:v>
      </x:c>
      <x:c r="G513" s="28" t="str">
        <x:v>тимьян</x:v>
      </x:c>
      <x:c r="H513" s="28" t="str">
        <x:v>тимьян</x:v>
      </x:c>
      <x:c r="I513" s="28" t="str">
        <x:v>Травы, цветы и листья</x:v>
      </x:c>
      <x:c r="J513" s="28" t="str">
        <x:v>сладкий, землистый, древесный и слегка цитрусовый</x:v>
      </x:c>
      <x:c r="K513" s="28" t="str">
        <x:v>древесный, зелёный, фенольный</x:v>
      </x:c>
      <x:c r="L513" s="28" t="str">
        <x:v>каротол, β-ионон, терпинолен, пинены</x:v>
      </x:c>
      <x:c r="M513" s="28" t="str">
        <x:v>карвакрол, тимол</x:v>
      </x:c>
      <x:c r="N513" s="28" t="str">
        <x:v>древесный</x:v>
      </x:c>
      <x:c r="O513" s="28" t="str">
        <x:v>надёжная общая ключевая молекула не установлена</x:v>
      </x:c>
      <x:c r="P513" s="28" t="str">
        <x:v>пересечение ароматических семейств</x:v>
      </x:c>
      <x:c r="Q513" s="28" t="str">
        <x:v>Сладость и землистость балансируются кислотой, солью, горечью и умами; жир усиливает ощущение округлости.</x:v>
      </x:c>
      <x:c r="R513" s="28" t="str">
        <x:v>минимальный</x:v>
      </x:c>
      <x:c r="S513" s="28" t="str">
        <x:v>водно-клетчаточная матрица с сахарами и каротиноидами</x:v>
      </x:c>
      <x:c r="T51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3" s="28" t="str">
        <x:v>Морковь имеет профиль «сладкий, землистый, древесный и слегка цитрусовый». Партнёр «тимьян» относится к группе «Травы, цветы и листья» и даёт древесный, зелёный, фенольный. Профили пересекаются в семействах: древесный.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513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W513" s="28" t="str">
        <x:v>оливковое масло, лимон или сыр</x:v>
      </x:c>
      <x:c r="X513" s="28" t="str">
        <x:v>сок, кордиал, гаспачо, салат, соус, маринад или коктейльный компонент с тимьян</x:v>
      </x:c>
      <x:c r="Y513" s="28" t="str">
        <x:v>универсальное</x:v>
      </x:c>
      <x:c r="Z513" s="28" t="str">
        <x:v>Гипотеза / практическая</x:v>
      </x:c>
      <x:c r="AA513" s="28" t="str">
        <x:v>Таблица сочетания(1).pdf</x:v>
      </x:c>
      <x:c r="AB513" s="28" t="str">
        <x:v>Таблица сочетания(1).pdf: 4</x:v>
      </x:c>
      <x:c r="AC513" s="28" t="str">
        <x:v>рекомендация таблицы, стр. 4</x:v>
      </x:c>
      <x:c r="AD513" s="28" t="n">
        <x:v>1</x:v>
      </x:c>
      <x:c r="AE513" s="28" t="n">
        <x:v>1</x:v>
      </x:c>
      <x:c r="AF513" s="28" t="n">
        <x:f>IF(Z513="Высокая",3,IF(Z513="Средняя",2,1))+AD513*2+MIN(AE513,3)</x:f>
        <x:v>4</x:v>
      </x:c>
    </x:row>
    <x:row r="514" ht="64" customHeight="1">
      <x:c r="A514" s="28" t="str">
        <x:v>VEG-0513</x:v>
      </x:c>
      <x:c r="B514" s="28" t="str">
        <x:v>морковь</x:v>
      </x:c>
      <x:c r="C514" s="28" t="str">
        <x:v>Еда и соусы</x:v>
      </x:c>
      <x:c r="D514" s="28" t="str">
        <x:v>морковь</x:v>
      </x:c>
      <x:c r="E514" s="28" t="str">
        <x:v>carrot</x:v>
      </x:c>
      <x:c r="F514" s="28" t="str">
        <x:v>Корнеплоды</x:v>
      </x:c>
      <x:c r="G514" s="28" t="str">
        <x:v>томатный сок</x:v>
      </x:c>
      <x:c r="H514" s="28" t="str">
        <x:v>pasteurizedtomatojuice</x:v>
      </x:c>
      <x:c r="I514" s="28" t="str">
        <x:v>Плодовые и тыквенные овощи</x:v>
      </x:c>
      <x:c r="J514" s="28" t="str">
        <x:v>сладкий, землистый, древесный и слегка цитрусовый</x:v>
      </x:c>
      <x:c r="K514" s="28" t="str">
        <x:v>зелёный, фруктовый или водянистый</x:v>
      </x:c>
      <x:c r="L514" s="28" t="str">
        <x:v>каротол, β-ионон, терпинолен, пинены</x:v>
      </x:c>
      <x:c r="M514" s="28" t="str">
        <x:v>альдегиды, эфиры</x:v>
      </x:c>
      <x:c r="N514" s="28" t="str">
        <x:v>прямое пересечение семейств не подтверждено</x:v>
      </x:c>
      <x:c r="O514" s="28" t="str">
        <x:v>надёжная общая ключевая молекула не установлена</x:v>
      </x:c>
      <x:c r="P514" s="28" t="str">
        <x:v>сенсорная комплементарность</x:v>
      </x:c>
      <x:c r="Q514" s="28" t="str">
        <x:v>Сладость и землистость балансируются кислотой, солью, горечью и умами; жир усиливает ощущение округлости.</x:v>
      </x:c>
      <x:c r="R514" s="28" t="str">
        <x:v>минимальный</x:v>
      </x:c>
      <x:c r="S514" s="28" t="str">
        <x:v>водно-клетчаточная матрица с сахарами и каротиноидами</x:v>
      </x:c>
      <x:c r="T51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4" s="28" t="str">
        <x:v>Морковь имеет профиль «сладкий, землистый, древесный и слегка цитрусовый». Партнёр «томатный сок»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14" s="28" t="str">
        <x:v>сырая землистость может доминировать; перегрев делает профиль варёно-сладким</x:v>
      </x:c>
      <x:c r="W514" s="28" t="str">
        <x:v>соль, кислота или ароматический жир</x:v>
      </x:c>
      <x:c r="X514" s="28" t="str">
        <x:v>сок, кордиал, гаспачо, салат, соус, маринад или коктейльный компонент с томатный сок</x:v>
      </x:c>
      <x:c r="Y514" s="28" t="str">
        <x:v>напитки, еда, соусы/маринады</x:v>
      </x:c>
      <x:c r="Z514" s="28" t="str">
        <x:v>Средняя</x:v>
      </x:c>
      <x:c r="AA514" s="28" t="str">
        <x:v>The Art &amp; Science of Foodpairing.pdf</x:v>
      </x:c>
      <x:c r="AB514" s="28" t="str">
        <x:v>The Art &amp; Science of Foodpairing.pdf: 232</x:v>
      </x:c>
      <x:c r="AC514" s="28" t="str">
        <x:v>связь из pairing grid, стр. 232</x:v>
      </x:c>
      <x:c r="AD514" s="28" t="n">
        <x:v>1</x:v>
      </x:c>
      <x:c r="AE514" s="28" t="n">
        <x:v>1</x:v>
      </x:c>
      <x:c r="AF514" s="28" t="n">
        <x:f>IF(Z514="Высокая",3,IF(Z514="Средняя",2,1))+AD514*2+MIN(AE514,3)</x:f>
        <x:v>5</x:v>
      </x:c>
    </x:row>
    <x:row r="515" ht="64" customHeight="1">
      <x:c r="A515" s="28" t="str">
        <x:v>VEG-0514</x:v>
      </x:c>
      <x:c r="B515" s="28" t="str">
        <x:v>морковь</x:v>
      </x:c>
      <x:c r="C515" s="28" t="str">
        <x:v>Еда и соусы</x:v>
      </x:c>
      <x:c r="D515" s="28" t="str">
        <x:v>морковь</x:v>
      </x:c>
      <x:c r="E515" s="28" t="str">
        <x:v>carrot</x:v>
      </x:c>
      <x:c r="F515" s="28" t="str">
        <x:v>Корнеплоды</x:v>
      </x:c>
      <x:c r="G515" s="28" t="str">
        <x:v>треска</x:v>
      </x:c>
      <x:c r="H515" s="28" t="str">
        <x:v>cod fillet</x:v>
      </x:c>
      <x:c r="I515" s="28" t="str">
        <x:v>Рыба и морепродукты</x:v>
      </x:c>
      <x:c r="J515" s="28" t="str">
        <x:v>сладкий, землистый, древесный и слегка цитрусовый</x:v>
      </x:c>
      <x:c r="K515" s="28" t="str">
        <x:v>морской, солоноватый и умами</x:v>
      </x:c>
      <x:c r="L515" s="28" t="str">
        <x:v>каротол, β-ионон, терпинолен, пинены</x:v>
      </x:c>
      <x:c r="M515" s="28" t="str">
        <x:v>альдегиды, амины</x:v>
      </x:c>
      <x:c r="N515" s="28" t="str">
        <x:v>прямое пересечение семейств не подтверждено</x:v>
      </x:c>
      <x:c r="O515" s="28" t="str">
        <x:v>надёжная общая ключевая молекула не установлена</x:v>
      </x:c>
      <x:c r="P515" s="28" t="str">
        <x:v>умами и солёный контраст</x:v>
      </x:c>
      <x:c r="Q515" s="28" t="str">
        <x:v>Сладость и землистость балансируются кислотой, солью, горечью и умами; жир усиливает ощущение округлости.</x:v>
      </x:c>
      <x:c r="R515" s="28" t="str">
        <x:v>минимальный</x:v>
      </x:c>
      <x:c r="S515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51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5" s="28" t="str">
        <x:v>Морковь имеет профиль «сладкий, землистый, древесный и слегка цитрусовый».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515" s="28" t="str">
        <x:v>сырая землистость может доминировать; перегрев делает профиль варёно-сладким</x:v>
      </x:c>
      <x:c r="W515" s="28" t="str">
        <x:v>сливочное масло, соевый соус или тимьян</x:v>
      </x:c>
      <x:c r="X515" s="28" t="str">
        <x:v>сок, кордиал, гаспачо, салат, соус, маринад или коктейльный компонент с треска</x:v>
      </x:c>
      <x:c r="Y515" s="28" t="str">
        <x:v>еда, соусы/маринады</x:v>
      </x:c>
      <x:c r="Z515" s="28" t="str">
        <x:v>Средняя</x:v>
      </x:c>
      <x:c r="AA515" s="28" t="str">
        <x:v>The Art &amp; Science of Foodpairing.pdf</x:v>
      </x:c>
      <x:c r="AB515" s="28" t="str">
        <x:v>The Art &amp; Science of Foodpairing.pdf: 232</x:v>
      </x:c>
      <x:c r="AC515" s="28" t="str">
        <x:v>связь из pairing grid, стр. 232</x:v>
      </x:c>
      <x:c r="AD515" s="28" t="n">
        <x:v>1</x:v>
      </x:c>
      <x:c r="AE515" s="28" t="n">
        <x:v>1</x:v>
      </x:c>
      <x:c r="AF515" s="28" t="n">
        <x:f>IF(Z515="Высокая",3,IF(Z515="Средняя",2,1))+AD515*2+MIN(AE515,3)</x:f>
        <x:v>5</x:v>
      </x:c>
    </x:row>
    <x:row r="516" ht="64" customHeight="1">
      <x:c r="A516" s="28" t="str">
        <x:v>VEG-0515</x:v>
      </x:c>
      <x:c r="B516" s="28" t="str">
        <x:v>морковь</x:v>
      </x:c>
      <x:c r="C516" s="28" t="str">
        <x:v>Универсальные</x:v>
      </x:c>
      <x:c r="D516" s="28" t="str">
        <x:v>морковь</x:v>
      </x:c>
      <x:c r="E516" s="28" t="str">
        <x:v>carrot</x:v>
      </x:c>
      <x:c r="F516" s="28" t="str">
        <x:v>Корнеплоды</x:v>
      </x:c>
      <x:c r="G516" s="28" t="str">
        <x:v>тыква баттернат</x:v>
      </x:c>
      <x:c r="H516" s="28" t="str">
        <x:v>boiled butternut squash</x:v>
      </x:c>
      <x:c r="I516" s="28" t="str">
        <x:v>Тыквенные</x:v>
      </x:c>
      <x:c r="J516" s="28" t="str">
        <x:v>сладкий, землистый, древесный и слегка цитрусовый</x:v>
      </x:c>
      <x:c r="K516" s="28" t="str">
        <x:v>сладкий, сливочный, ореховый и карамельный</x:v>
      </x:c>
      <x:c r="L516" s="28" t="str">
        <x:v>каротол, β-ионон, терпинолен, пинены</x:v>
      </x:c>
      <x:c r="M516" s="28" t="str">
        <x:v>лактоны, мальтол, норизопреноиды, фураны</x:v>
      </x:c>
      <x:c r="N516" s="28" t="str">
        <x:v>сладкий</x:v>
      </x:c>
      <x:c r="O516" s="28" t="str">
        <x:v>надёжная общая ключевая молекула не установлена</x:v>
      </x:c>
      <x:c r="P516" s="28" t="str">
        <x:v>пересечение ароматических семейств</x:v>
      </x:c>
      <x:c r="Q516" s="28" t="str">
        <x:v>Сладость и землистость балансируются кислотой, солью, горечью и умами; жир усиливает ощущение округлости.</x:v>
      </x:c>
      <x:c r="R516" s="28" t="str">
        <x:v>минимальный</x:v>
      </x:c>
      <x:c r="S516" s="28" t="str">
        <x:v>водно-клетчаточная матрица с сахарами и каротиноидами</x:v>
      </x:c>
      <x:c r="T51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6" s="28" t="str">
        <x:v>Морковь имеет профиль «сладкий, землистый, древесный и слегка цитрусовый». Партнёр «тыква баттернат» относится к группе «Тыквенные» и даёт сладкий, сливочный, ореховый и карамельный.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16" s="28" t="str">
        <x:v>сырая землистость может доминировать; перегрев делает профиль варёно-сладким</x:v>
      </x:c>
      <x:c r="W516" s="28" t="str">
        <x:v>соль, кислота или ароматический жир</x:v>
      </x:c>
      <x:c r="X516" s="28" t="str">
        <x:v>сок, кордиал, гаспачо, салат, соус, маринад или коктейльный компонент с тыква баттернат</x:v>
      </x:c>
      <x:c r="Y516" s="28" t="str">
        <x:v>универсальное</x:v>
      </x:c>
      <x:c r="Z516" s="28" t="str">
        <x:v>Средняя</x:v>
      </x:c>
      <x:c r="AA516" s="28" t="str">
        <x:v>The Art &amp; Science of Foodpairing.pdf</x:v>
      </x:c>
      <x:c r="AB516" s="28" t="str">
        <x:v>The Art &amp; Science of Foodpairing.pdf: 232</x:v>
      </x:c>
      <x:c r="AC516" s="28" t="str">
        <x:v>связь из pairing grid, стр. 232</x:v>
      </x:c>
      <x:c r="AD516" s="28" t="n">
        <x:v>1</x:v>
      </x:c>
      <x:c r="AE516" s="28" t="n">
        <x:v>1</x:v>
      </x:c>
      <x:c r="AF516" s="28" t="n">
        <x:f>IF(Z516="Высокая",3,IF(Z516="Средняя",2,1))+AD516*2+MIN(AE516,3)</x:f>
        <x:v>5</x:v>
      </x:c>
    </x:row>
    <x:row r="517" ht="64" customHeight="1">
      <x:c r="A517" s="28" t="str">
        <x:v>VEG-0516</x:v>
      </x:c>
      <x:c r="B517" s="28" t="str">
        <x:v>морковь</x:v>
      </x:c>
      <x:c r="C517" s="28" t="str">
        <x:v>Десерты и выпечка</x:v>
      </x:c>
      <x:c r="D517" s="28" t="str">
        <x:v>морковь</x:v>
      </x:c>
      <x:c r="E517" s="28" t="str">
        <x:v>carrot | Морковь | морковь</x:v>
      </x:c>
      <x:c r="F517" s="28" t="str">
        <x:v>Корнеплоды</x:v>
      </x:c>
      <x:c r="G517" s="28" t="str">
        <x:v>фундук</x:v>
      </x:c>
      <x:c r="H517" s="28" t="str">
        <x:v>roasted hazelnut | Фундук | фундук</x:v>
      </x:c>
      <x:c r="I517" s="28" t="str">
        <x:v>Орехи и семена</x:v>
      </x:c>
      <x:c r="J517" s="28" t="str">
        <x:v>сладкий, землистый, древесный и слегка цитрусовый</x:v>
      </x:c>
      <x:c r="K517" s="28" t="str">
        <x:v>жареный, какаовый, ореховый</x:v>
      </x:c>
      <x:c r="L517" s="28" t="str">
        <x:v>каротол, β-ионон, терпинолен, пинены</x:v>
      </x:c>
      <x:c r="M517" s="28" t="str">
        <x:v>пиразины, фильбертон</x:v>
      </x:c>
      <x:c r="N517" s="28" t="str">
        <x:v>прямое пересечение семейств не подтверждено</x:v>
      </x:c>
      <x:c r="O517" s="28" t="str">
        <x:v>надёжная общая ключевая молекула не установлена</x:v>
      </x:c>
      <x:c r="P517" s="28" t="str">
        <x:v>сенсорная комплементарность</x:v>
      </x:c>
      <x:c r="Q517" s="28" t="str">
        <x:v>Сладость и землистость балансируются кислотой, солью, горечью и умами; жир усиливает ощущение округлости.</x:v>
      </x:c>
      <x:c r="R517" s="28" t="str">
        <x:v>минимальный</x:v>
      </x:c>
      <x:c r="S517" s="28" t="str">
        <x:v>водно-клетчаточная матрица с сахарами и каротиноидами</x:v>
      </x:c>
      <x:c r="T51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7" s="28" t="str">
        <x:v>Морковь имеет профиль «сладкий, землистый, древесный и слегка цитрусовый».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517" s="28" t="str">
        <x:v>сырая землистость может доминировать; перегрев делает профиль варёно-сладким</x:v>
      </x:c>
      <x:c r="W517" s="28" t="str">
        <x:v>соль, кислота или ароматический жир</x:v>
      </x:c>
      <x:c r="X517" s="28" t="str">
        <x:v>сок, кордиал, гаспачо, салат, соус, маринад или коктейльный компонент с фундук</x:v>
      </x:c>
      <x:c r="Y517" s="28" t="str">
        <x:v>десерты</x:v>
      </x:c>
      <x:c r="Z517" s="28" t="str">
        <x:v>Высокая</x:v>
      </x:c>
      <x:c r="AA517" s="28" t="str">
        <x:v>The Art &amp; Science of Foodpairing.pdf | Тезариус вкусов (Ники Сегнит)(1).pdf</x:v>
      </x:c>
      <x:c r="AB517" s="28" t="str">
        <x:v>Тезариус вкусов (Ники Сегнит)(1).pdf: 607, 636; The Art &amp; Science of Foodpairing.pdf: 232</x:v>
      </x:c>
      <x:c r="AC517" s="28" t="str">
        <x:v>развёрнутая пара/статья, стр. 607; развёрнутая пара/статья, стр. 636; связь из pairing grid, стр. 232</x:v>
      </x:c>
      <x:c r="AD517" s="28" t="n">
        <x:v>2</x:v>
      </x:c>
      <x:c r="AE517" s="28" t="n">
        <x:v>3</x:v>
      </x:c>
      <x:c r="AF517" s="28" t="n">
        <x:f>IF(Z517="Высокая",3,IF(Z517="Средняя",2,1))+AD517*2+MIN(AE517,3)</x:f>
        <x:v>10</x:v>
      </x:c>
    </x:row>
    <x:row r="518" ht="64" customHeight="1">
      <x:c r="A518" s="28" t="str">
        <x:v>VEG-0517</x:v>
      </x:c>
      <x:c r="B518" s="28" t="str">
        <x:v>морковь</x:v>
      </x:c>
      <x:c r="C518" s="28" t="str">
        <x:v>Еда и соусы</x:v>
      </x:c>
      <x:c r="D518" s="28" t="str">
        <x:v>морковь</x:v>
      </x:c>
      <x:c r="E518" s="28" t="str">
        <x:v>boiled carrot</x:v>
      </x:c>
      <x:c r="F518" s="28" t="str">
        <x:v>Корнеплоды</x:v>
      </x:c>
      <x:c r="G518" s="28" t="str">
        <x:v>хамон иберико</x:v>
      </x:c>
      <x:c r="H518" s="28" t="str">
        <x:v>lberico ham</x:v>
      </x:c>
      <x:c r="I518" s="28" t="str">
        <x:v>Мясо и птица</x:v>
      </x:c>
      <x:c r="J518" s="28" t="str">
        <x:v>сладкий, землистый, древесный и слегка цитрусовый</x:v>
      </x:c>
      <x:c r="K518" s="28" t="str">
        <x:v>жареный, мясной и умами</x:v>
      </x:c>
      <x:c r="L518" s="28" t="str">
        <x:v>каротол, β-ионон, терпинолен, пинены</x:v>
      </x:c>
      <x:c r="M518" s="28" t="str">
        <x:v>пиразины, сернистые соединения</x:v>
      </x:c>
      <x:c r="N518" s="28" t="str">
        <x:v>прямое пересечение семейств не подтверждено</x:v>
      </x:c>
      <x:c r="O518" s="28" t="str">
        <x:v>надёжная общая ключевая молекула не установлена</x:v>
      </x:c>
      <x:c r="P518" s="28" t="str">
        <x:v>умами и солёный контраст</x:v>
      </x:c>
      <x:c r="Q518" s="28" t="str">
        <x:v>Сладость и землистость балансируются кислотой, солью, горечью и умами; жир усиливает ощущение округлости.</x:v>
      </x:c>
      <x:c r="R518" s="28" t="str">
        <x:v>минимальный</x:v>
      </x:c>
      <x:c r="S518" s="28" t="str">
        <x:v>водно-клетчаточная матрица с сахарами и каротиноидами Белок и жир требуют контроля воды: для жареной ароматики поверхность должна подсохнуть.</x:v>
      </x:c>
      <x:c r="T51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8" s="28" t="str">
        <x:v>Морковь имеет профиль «сладкий, землистый, древесный и слегка цитрусовый».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518" s="28" t="str">
        <x:v>сырая землистость может доминировать; перегрев делает профиль варёно-сладким</x:v>
      </x:c>
      <x:c r="W518" s="28" t="str">
        <x:v>сливочное масло, соевый соус или тимьян</x:v>
      </x:c>
      <x:c r="X518" s="28" t="str">
        <x:v>сок, кордиал, гаспачо, салат, соус, маринад или коктейльный компонент с хамон иберико</x:v>
      </x:c>
      <x:c r="Y518" s="28" t="str">
        <x:v>еда, соусы/маринады</x:v>
      </x:c>
      <x:c r="Z518" s="28" t="str">
        <x:v>Средняя</x:v>
      </x:c>
      <x:c r="AA518" s="28" t="str">
        <x:v>The Art &amp; Science of Foodpairing.pdf</x:v>
      </x:c>
      <x:c r="AB518" s="28" t="str">
        <x:v>The Art &amp; Science of Foodpairing.pdf: 278</x:v>
      </x:c>
      <x:c r="AC518" s="28" t="str">
        <x:v>связь из pairing grid, стр. 278</x:v>
      </x:c>
      <x:c r="AD518" s="28" t="n">
        <x:v>1</x:v>
      </x:c>
      <x:c r="AE518" s="28" t="n">
        <x:v>1</x:v>
      </x:c>
      <x:c r="AF518" s="28" t="n">
        <x:f>IF(Z518="Высокая",3,IF(Z518="Средняя",2,1))+AD518*2+MIN(AE518,3)</x:f>
        <x:v>5</x:v>
      </x:c>
    </x:row>
    <x:row r="519" ht="64" customHeight="1">
      <x:c r="A519" s="28" t="str">
        <x:v>VEG-0518</x:v>
      </x:c>
      <x:c r="B519" s="28" t="str">
        <x:v>морковь</x:v>
      </x:c>
      <x:c r="C519" s="28" t="str">
        <x:v>Десерты и выпечка</x:v>
      </x:c>
      <x:c r="D519" s="28" t="str">
        <x:v>морковь</x:v>
      </x:c>
      <x:c r="E519" s="28" t="str">
        <x:v>carrot</x:v>
      </x:c>
      <x:c r="F519" s="28" t="str">
        <x:v>Корнеплоды</x:v>
      </x:c>
      <x:c r="G519" s="28" t="str">
        <x:v>хлеб</x:v>
      </x:c>
      <x:c r="H519" s="28" t="str">
        <x:v>multigrain bread</x:v>
      </x:c>
      <x:c r="I519" s="28" t="str">
        <x:v>Выпечка, крупы, сахара и десерты</x:v>
      </x:c>
      <x:c r="J519" s="28" t="str">
        <x:v>сладкий, землистый, древесный и слегка цитрусовый</x:v>
      </x:c>
      <x:c r="K519" s="28" t="str">
        <x:v>жареный, зерновой</x:v>
      </x:c>
      <x:c r="L519" s="28" t="str">
        <x:v>каротол, β-ионон, терпинолен, пинены</x:v>
      </x:c>
      <x:c r="M519" s="28" t="str">
        <x:v>3-метилбутаналь, пиразины, фураны</x:v>
      </x:c>
      <x:c r="N519" s="28" t="str">
        <x:v>прямое пересечение семейств не подтверждено</x:v>
      </x:c>
      <x:c r="O519" s="28" t="str">
        <x:v>надёжная общая ключевая молекула не установлена</x:v>
      </x:c>
      <x:c r="P519" s="28" t="str">
        <x:v>сенсорная комплементарность</x:v>
      </x:c>
      <x:c r="Q519" s="28" t="str">
        <x:v>Сладость и землистость балансируются кислотой, солью, горечью и умами; жир усиливает ощущение округлости.</x:v>
      </x:c>
      <x:c r="R519" s="28" t="str">
        <x:v>минимальный</x:v>
      </x:c>
      <x:c r="S519" s="28" t="str">
        <x:v>водно-клетчаточная матрица с сахарами и каротиноидами</x:v>
      </x:c>
      <x:c r="T51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19" s="28" t="str">
        <x:v>Морковь имеет профиль «сладкий, землистый, древесный и слегка цитрусовый».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519" s="28" t="str">
        <x:v>сырая землистость может доминировать; перегрев делает профиль варёно-сладким</x:v>
      </x:c>
      <x:c r="W519" s="28" t="str">
        <x:v>соль, кислота или ароматический жир</x:v>
      </x:c>
      <x:c r="X519" s="28" t="str">
        <x:v>сок, кордиал, гаспачо, салат, соус, маринад или коктейльный компонент с хлеб</x:v>
      </x:c>
      <x:c r="Y519" s="28" t="str">
        <x:v>десерты</x:v>
      </x:c>
      <x:c r="Z519" s="28" t="str">
        <x:v>Средняя</x:v>
      </x:c>
      <x:c r="AA519" s="28" t="str">
        <x:v>The Art &amp; Science of Foodpairing.pdf</x:v>
      </x:c>
      <x:c r="AB519" s="28" t="str">
        <x:v>The Art &amp; Science of Foodpairing.pdf: 232</x:v>
      </x:c>
      <x:c r="AC519" s="28" t="str">
        <x:v>связь из pairing grid, стр. 232</x:v>
      </x:c>
      <x:c r="AD519" s="28" t="n">
        <x:v>1</x:v>
      </x:c>
      <x:c r="AE519" s="28" t="n">
        <x:v>1</x:v>
      </x:c>
      <x:c r="AF519" s="28" t="n">
        <x:f>IF(Z519="Высокая",3,IF(Z519="Средняя",2,1))+AD519*2+MIN(AE519,3)</x:f>
        <x:v>5</x:v>
      </x:c>
    </x:row>
    <x:row r="520" ht="64" customHeight="1">
      <x:c r="A520" s="28" t="str">
        <x:v>VEG-0519</x:v>
      </x:c>
      <x:c r="B520" s="28" t="str">
        <x:v>морковь</x:v>
      </x:c>
      <x:c r="C520" s="28" t="str">
        <x:v>Универсальные</x:v>
      </x:c>
      <x:c r="D520" s="28" t="str">
        <x:v>морковь</x:v>
      </x:c>
      <x:c r="E520" s="28" t="str">
        <x:v>carrot</x:v>
      </x:c>
      <x:c r="F520" s="28" t="str">
        <x:v>Корнеплоды</x:v>
      </x:c>
      <x:c r="G520" s="28" t="str">
        <x:v>цветы агастахе</x:v>
      </x:c>
      <x:c r="H520" s="28" t="str">
        <x:v>agastache flower</x:v>
      </x:c>
      <x:c r="I520" s="28" t="str">
        <x:v>Прочее</x:v>
      </x:c>
      <x:c r="J520" s="28" t="str">
        <x:v>сладкий, землистый, древесный и слегка цитрусовый</x:v>
      </x:c>
      <x:c r="K520" s="28" t="str">
        <x:v>профиль зависит от конкретного продукта</x:v>
      </x:c>
      <x:c r="L520" s="28" t="str">
        <x:v>каротол, β-ионон, терпинолен, пинены</x:v>
      </x:c>
      <x:c r="M520" s="28" t="str">
        <x:v>конкретный молекулярный профиль не указан</x:v>
      </x:c>
      <x:c r="N520" s="28" t="str">
        <x:v>прямое пересечение семейств не подтверждено</x:v>
      </x:c>
      <x:c r="O520" s="28" t="str">
        <x:v>надёжная общая ключевая молекула не установлена</x:v>
      </x:c>
      <x:c r="P520" s="28" t="str">
        <x:v>сенсорная комплементарность</x:v>
      </x:c>
      <x:c r="Q520" s="28" t="str">
        <x:v>Сладость и землистость балансируются кислотой, солью, горечью и умами; жир усиливает ощущение округлости.</x:v>
      </x:c>
      <x:c r="R520" s="28" t="str">
        <x:v>минимальный</x:v>
      </x:c>
      <x:c r="S520" s="28" t="str">
        <x:v>водно-клетчаточная матрица с сахарами и каротиноидами</x:v>
      </x:c>
      <x:c r="T52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0" s="28" t="str">
        <x:v>Морковь имеет профиль «сладкий, землистый, древесный и слегка цитрусовый». Партнёр «цветы агастахе»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20" s="28" t="str">
        <x:v>сырая землистость может доминировать; перегрев делает профиль варёно-сладким</x:v>
      </x:c>
      <x:c r="W520" s="28" t="str">
        <x:v>соль, кислота или ароматический жир</x:v>
      </x:c>
      <x:c r="X520" s="28" t="str">
        <x:v>сок, кордиал, гаспачо, салат, соус, маринад или коктейльный компонент с цветы агастахе</x:v>
      </x:c>
      <x:c r="Y520" s="28" t="str">
        <x:v>универсальное</x:v>
      </x:c>
      <x:c r="Z520" s="28" t="str">
        <x:v>Средняя</x:v>
      </x:c>
      <x:c r="AA520" s="28" t="str">
        <x:v>The Art &amp; Science of Foodpairing.pdf</x:v>
      </x:c>
      <x:c r="AB520" s="28" t="str">
        <x:v>The Art &amp; Science of Foodpairing.pdf: 232</x:v>
      </x:c>
      <x:c r="AC520" s="28" t="str">
        <x:v>связь из pairing grid, стр. 232</x:v>
      </x:c>
      <x:c r="AD520" s="28" t="n">
        <x:v>1</x:v>
      </x:c>
      <x:c r="AE520" s="28" t="n">
        <x:v>1</x:v>
      </x:c>
      <x:c r="AF520" s="28" t="n">
        <x:f>IF(Z520="Высокая",3,IF(Z520="Средняя",2,1))+AD520*2+MIN(AE520,3)</x:f>
        <x:v>5</x:v>
      </x:c>
    </x:row>
    <x:row r="521" ht="64" customHeight="1">
      <x:c r="A521" s="28" t="str">
        <x:v>VEG-0520</x:v>
      </x:c>
      <x:c r="B521" s="28" t="str">
        <x:v>морковь</x:v>
      </x:c>
      <x:c r="C521" s="28" t="str">
        <x:v>Универсальные</x:v>
      </x:c>
      <x:c r="D521" s="28" t="str">
        <x:v>морковь</x:v>
      </x:c>
      <x:c r="E521" s="28" t="str">
        <x:v>carrot</x:v>
      </x:c>
      <x:c r="F521" s="28" t="str">
        <x:v>Корнеплоды</x:v>
      </x:c>
      <x:c r="G521" s="28" t="str">
        <x:v>цитрон рука Будды</x:v>
      </x:c>
      <x:c r="H521" s="28" t="str">
        <x:v>Buddha's hand fruit</x:v>
      </x:c>
      <x:c r="I521" s="28" t="str">
        <x:v>Прочее</x:v>
      </x:c>
      <x:c r="J521" s="28" t="str">
        <x:v>сладкий, землистый, древесный и слегка цитрусовый</x:v>
      </x:c>
      <x:c r="K521" s="28" t="str">
        <x:v>профиль зависит от конкретного продукта</x:v>
      </x:c>
      <x:c r="L521" s="28" t="str">
        <x:v>каротол, β-ионон, терпинолен, пинены</x:v>
      </x:c>
      <x:c r="M521" s="28" t="str">
        <x:v>конкретный молекулярный профиль не указан</x:v>
      </x:c>
      <x:c r="N521" s="28" t="str">
        <x:v>прямое пересечение семейств не подтверждено</x:v>
      </x:c>
      <x:c r="O521" s="28" t="str">
        <x:v>надёжная общая ключевая молекула не установлена</x:v>
      </x:c>
      <x:c r="P521" s="28" t="str">
        <x:v>сенсорная комплементарность</x:v>
      </x:c>
      <x:c r="Q521" s="28" t="str">
        <x:v>Сладость и землистость балансируются кислотой, солью, горечью и умами; жир усиливает ощущение округлости.</x:v>
      </x:c>
      <x:c r="R521" s="28" t="str">
        <x:v>минимальный</x:v>
      </x:c>
      <x:c r="S521" s="28" t="str">
        <x:v>водно-клетчаточная матрица с сахарами и каротиноидами</x:v>
      </x:c>
      <x:c r="T52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1" s="28" t="str">
        <x:v>Морковь имеет профиль «сладкий, землистый, древесный и слегка цитрусовый». Партнёр «цитрон рука Будды»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21" s="28" t="str">
        <x:v>сырая землистость может доминировать; перегрев делает профиль варёно-сладким</x:v>
      </x:c>
      <x:c r="W521" s="28" t="str">
        <x:v>соль, кислота или ароматический жир</x:v>
      </x:c>
      <x:c r="X521" s="28" t="str">
        <x:v>сок, кордиал, гаспачо, салат, соус, маринад или коктейльный компонент с цитрон рука Будды</x:v>
      </x:c>
      <x:c r="Y521" s="28" t="str">
        <x:v>универсальное</x:v>
      </x:c>
      <x:c r="Z521" s="28" t="str">
        <x:v>Высокая</x:v>
      </x:c>
      <x:c r="AA521" s="28" t="str">
        <x:v>The Art &amp; Science of Foodpairing.pdf</x:v>
      </x:c>
      <x:c r="AB521" s="28" t="str">
        <x:v>The Art &amp; Science of Foodpairing.pdf: 232</x:v>
      </x:c>
      <x:c r="AC521" s="28" t="str">
        <x:v>прямая Potential pairing, стр. 232; связь из pairing grid, стр. 232</x:v>
      </x:c>
      <x:c r="AD521" s="28" t="n">
        <x:v>1</x:v>
      </x:c>
      <x:c r="AE521" s="28" t="n">
        <x:v>2</x:v>
      </x:c>
      <x:c r="AF521" s="28" t="n">
        <x:f>IF(Z521="Высокая",3,IF(Z521="Средняя",2,1))+AD521*2+MIN(AE521,3)</x:f>
        <x:v>7</x:v>
      </x:c>
    </x:row>
    <x:row r="522" ht="64" customHeight="1">
      <x:c r="A522" s="28" t="str">
        <x:v>VEG-0521</x:v>
      </x:c>
      <x:c r="B522" s="28" t="str">
        <x:v>морковь</x:v>
      </x:c>
      <x:c r="C522" s="28" t="str">
        <x:v>Универсальные</x:v>
      </x:c>
      <x:c r="D522" s="28" t="str">
        <x:v>морковь</x:v>
      </x:c>
      <x:c r="E522" s="28" t="str">
        <x:v>carrot</x:v>
      </x:c>
      <x:c r="F522" s="28" t="str">
        <x:v>Корнеплоды</x:v>
      </x:c>
      <x:c r="G522" s="28" t="str">
        <x:v>черимойя</x:v>
      </x:c>
      <x:c r="H522" s="28" t="str">
        <x:v>cherimoya</x:v>
      </x:c>
      <x:c r="I522" s="28" t="str">
        <x:v>Прочее</x:v>
      </x:c>
      <x:c r="J522" s="28" t="str">
        <x:v>сладкий, землистый, древесный и слегка цитрусовый</x:v>
      </x:c>
      <x:c r="K522" s="28" t="str">
        <x:v>профиль зависит от конкретного продукта</x:v>
      </x:c>
      <x:c r="L522" s="28" t="str">
        <x:v>каротол, β-ионон, терпинолен, пинены</x:v>
      </x:c>
      <x:c r="M522" s="28" t="str">
        <x:v>конкретный молекулярный профиль не указан</x:v>
      </x:c>
      <x:c r="N522" s="28" t="str">
        <x:v>прямое пересечение семейств не подтверждено</x:v>
      </x:c>
      <x:c r="O522" s="28" t="str">
        <x:v>надёжная общая ключевая молекула не установлена</x:v>
      </x:c>
      <x:c r="P522" s="28" t="str">
        <x:v>сенсорная комплементарность</x:v>
      </x:c>
      <x:c r="Q522" s="28" t="str">
        <x:v>Сладость и землистость балансируются кислотой, солью, горечью и умами; жир усиливает ощущение округлости.</x:v>
      </x:c>
      <x:c r="R522" s="28" t="str">
        <x:v>минимальный</x:v>
      </x:c>
      <x:c r="S522" s="28" t="str">
        <x:v>водно-клетчаточная матрица с сахарами и каротиноидами</x:v>
      </x:c>
      <x:c r="T52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2" s="28" t="str">
        <x:v>Морковь имеет профиль «сладкий, землистый, древесный и слегка цитрусовый». Партнёр «черимойя»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22" s="28" t="str">
        <x:v>сырая землистость может доминировать; перегрев делает профиль варёно-сладким</x:v>
      </x:c>
      <x:c r="W522" s="28" t="str">
        <x:v>соль, кислота или ароматический жир</x:v>
      </x:c>
      <x:c r="X522" s="28" t="str">
        <x:v>сок, кордиал, гаспачо, салат, соус, маринад или коктейльный компонент с черимойя</x:v>
      </x:c>
      <x:c r="Y522" s="28" t="str">
        <x:v>универсальное</x:v>
      </x:c>
      <x:c r="Z522" s="28" t="str">
        <x:v>Средняя</x:v>
      </x:c>
      <x:c r="AA522" s="28" t="str">
        <x:v>The Art &amp; Science of Foodpairing.pdf</x:v>
      </x:c>
      <x:c r="AB522" s="28" t="str">
        <x:v>The Art &amp; Science of Foodpairing.pdf: 232</x:v>
      </x:c>
      <x:c r="AC522" s="28" t="str">
        <x:v>связь из pairing grid, стр. 232</x:v>
      </x:c>
      <x:c r="AD522" s="28" t="n">
        <x:v>1</x:v>
      </x:c>
      <x:c r="AE522" s="28" t="n">
        <x:v>1</x:v>
      </x:c>
      <x:c r="AF522" s="28" t="n">
        <x:f>IF(Z522="Высокая",3,IF(Z522="Средняя",2,1))+AD522*2+MIN(AE522,3)</x:f>
        <x:v>5</x:v>
      </x:c>
    </x:row>
    <x:row r="523" ht="64" customHeight="1">
      <x:c r="A523" s="28" t="str">
        <x:v>VEG-0522</x:v>
      </x:c>
      <x:c r="B523" s="28" t="str">
        <x:v>морковь</x:v>
      </x:c>
      <x:c r="C523" s="28" t="str">
        <x:v>Универсальные</x:v>
      </x:c>
      <x:c r="D523" s="28" t="str">
        <x:v>морковь</x:v>
      </x:c>
      <x:c r="E523" s="28" t="str">
        <x:v>Морковь</x:v>
      </x:c>
      <x:c r="F523" s="28" t="str">
        <x:v>Корнеплоды</x:v>
      </x:c>
      <x:c r="G523" s="28" t="str">
        <x:v>чили</x:v>
      </x:c>
      <x:c r="H523" s="28" t="str">
        <x:v>чили</x:v>
      </x:c>
      <x:c r="I523" s="28" t="str">
        <x:v>Специи</x:v>
      </x:c>
      <x:c r="J523" s="28" t="str">
        <x:v>сладкий, землистый, древесный и слегка цитрусовый</x:v>
      </x:c>
      <x:c r="K523" s="28" t="str">
        <x:v>пряный и древесный</x:v>
      </x:c>
      <x:c r="L523" s="28" t="str">
        <x:v>каротол, β-ионон, терпинолен, пинены</x:v>
      </x:c>
      <x:c r="M523" s="28" t="str">
        <x:v>терпены, фенилпропаноиды</x:v>
      </x:c>
      <x:c r="N523" s="28" t="str">
        <x:v>древесный</x:v>
      </x:c>
      <x:c r="O523" s="28" t="str">
        <x:v>надёжная общая ключевая молекула не установлена</x:v>
      </x:c>
      <x:c r="P523" s="28" t="str">
        <x:v>пересечение ароматических семейств</x:v>
      </x:c>
      <x:c r="Q523" s="28" t="str">
        <x:v>Сладость и землистость балансируются кислотой, солью, горечью и умами; жир усиливает ощущение округлости.</x:v>
      </x:c>
      <x:c r="R523" s="28" t="str">
        <x:v>минимальный</x:v>
      </x:c>
      <x:c r="S523" s="28" t="str">
        <x:v>водно-клетчаточная матрица с сахарами и каротиноидами</x:v>
      </x:c>
      <x:c r="T52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3" s="28" t="str">
        <x:v>Морковь имеет профиль «сладкий, землистый, древесный и слегка цитрусовый». Партнёр «чили»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523" s="28" t="str">
        <x:v>сырая землистость может доминировать; перегрев делает профиль варёно-сладким</x:v>
      </x:c>
      <x:c r="W523" s="28" t="str">
        <x:v>цитрус, йогурт или мёд</x:v>
      </x:c>
      <x:c r="X523" s="28" t="str">
        <x:v>сок, кордиал, гаспачо, салат, соус, маринад или коктейльный компонент с чили</x:v>
      </x:c>
      <x:c r="Y523" s="28" t="str">
        <x:v>универсальное</x:v>
      </x:c>
      <x:c r="Z523" s="28" t="str">
        <x:v>Гипотеза / практическая</x:v>
      </x:c>
      <x:c r="AA523" s="28" t="str">
        <x:v>Таблица сочетания(1).pdf</x:v>
      </x:c>
      <x:c r="AB523" s="28" t="str">
        <x:v>Таблица сочетания(1).pdf: 4</x:v>
      </x:c>
      <x:c r="AC523" s="28" t="str">
        <x:v>рекомендация таблицы, стр. 4</x:v>
      </x:c>
      <x:c r="AD523" s="28" t="n">
        <x:v>1</x:v>
      </x:c>
      <x:c r="AE523" s="28" t="n">
        <x:v>1</x:v>
      </x:c>
      <x:c r="AF523" s="28" t="n">
        <x:f>IF(Z523="Высокая",3,IF(Z523="Средняя",2,1))+AD523*2+MIN(AE523,3)</x:f>
        <x:v>4</x:v>
      </x:c>
    </x:row>
    <x:row r="524" ht="64" customHeight="1">
      <x:c r="A524" s="28" t="str">
        <x:v>VEG-0523</x:v>
      </x:c>
      <x:c r="B524" s="28" t="str">
        <x:v>морковь</x:v>
      </x:c>
      <x:c r="C524" s="28" t="str">
        <x:v>Универсальные</x:v>
      </x:c>
      <x:c r="D524" s="28" t="str">
        <x:v>морковь</x:v>
      </x:c>
      <x:c r="E524" s="28" t="str">
        <x:v>carrot</x:v>
      </x:c>
      <x:c r="F524" s="28" t="str">
        <x:v>Корнеплоды</x:v>
      </x:c>
      <x:c r="G524" s="28" t="str">
        <x:v>чили ахи панка</x:v>
      </x:c>
      <x:c r="H524" s="28" t="str">
        <x:v>aji panca chilli</x:v>
      </x:c>
      <x:c r="I524" s="28" t="str">
        <x:v>Специи</x:v>
      </x:c>
      <x:c r="J524" s="28" t="str">
        <x:v>сладкий, землистый, древесный и слегка цитрусовый</x:v>
      </x:c>
      <x:c r="K524" s="28" t="str">
        <x:v>пряный и древесный</x:v>
      </x:c>
      <x:c r="L524" s="28" t="str">
        <x:v>каротол, β-ионон, терпинолен, пинены</x:v>
      </x:c>
      <x:c r="M524" s="28" t="str">
        <x:v>терпены, фенилпропаноиды</x:v>
      </x:c>
      <x:c r="N524" s="28" t="str">
        <x:v>древесный</x:v>
      </x:c>
      <x:c r="O524" s="28" t="str">
        <x:v>надёжная общая ключевая молекула не установлена</x:v>
      </x:c>
      <x:c r="P524" s="28" t="str">
        <x:v>пересечение ароматических семейств</x:v>
      </x:c>
      <x:c r="Q524" s="28" t="str">
        <x:v>Сладость и землистость балансируются кислотой, солью, горечью и умами; жир усиливает ощущение округлости.</x:v>
      </x:c>
      <x:c r="R524" s="28" t="str">
        <x:v>минимальный</x:v>
      </x:c>
      <x:c r="S524" s="28" t="str">
        <x:v>водно-клетчаточная матрица с сахарами и каротиноидами</x:v>
      </x:c>
      <x:c r="T52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4" s="28" t="str">
        <x:v>Морковь имеет профиль «сладкий, землистый, древесный и слегка цитрусовый». Партнёр «чили ахи панка»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524" s="28" t="str">
        <x:v>сырая землистость может доминировать; перегрев делает профиль варёно-сладким</x:v>
      </x:c>
      <x:c r="W524" s="28" t="str">
        <x:v>цитрус, йогурт или мёд</x:v>
      </x:c>
      <x:c r="X524" s="28" t="str">
        <x:v>сок, кордиал, гаспачо, салат, соус, маринад или коктейльный компонент с чили ахи панка</x:v>
      </x:c>
      <x:c r="Y524" s="28" t="str">
        <x:v>универсальное</x:v>
      </x:c>
      <x:c r="Z524" s="28" t="str">
        <x:v>Средняя</x:v>
      </x:c>
      <x:c r="AA524" s="28" t="str">
        <x:v>The Art &amp; Science of Foodpairing.pdf</x:v>
      </x:c>
      <x:c r="AB524" s="28" t="str">
        <x:v>The Art &amp; Science of Foodpairing.pdf: 232</x:v>
      </x:c>
      <x:c r="AC524" s="28" t="str">
        <x:v>связь из pairing grid, стр. 232</x:v>
      </x:c>
      <x:c r="AD524" s="28" t="n">
        <x:v>1</x:v>
      </x:c>
      <x:c r="AE524" s="28" t="n">
        <x:v>1</x:v>
      </x:c>
      <x:c r="AF524" s="28" t="n">
        <x:f>IF(Z524="Высокая",3,IF(Z524="Средняя",2,1))+AD524*2+MIN(AE524,3)</x:f>
        <x:v>5</x:v>
      </x:c>
    </x:row>
    <x:row r="525" ht="64" customHeight="1">
      <x:c r="A525" s="28" t="str">
        <x:v>VEG-0524</x:v>
      </x:c>
      <x:c r="B525" s="28" t="str">
        <x:v>морковь</x:v>
      </x:c>
      <x:c r="C525" s="28" t="str">
        <x:v>Универсальные</x:v>
      </x:c>
      <x:c r="D525" s="28" t="str">
        <x:v>морковь</x:v>
      </x:c>
      <x:c r="E525" s="28" t="str">
        <x:v>carrot</x:v>
      </x:c>
      <x:c r="F525" s="28" t="str">
        <x:v>Корнеплоды</x:v>
      </x:c>
      <x:c r="G525" s="28" t="str">
        <x:v>чили хабанеро</x:v>
      </x:c>
      <x:c r="H525" s="28" t="str">
        <x:v>red habanero chilli</x:v>
      </x:c>
      <x:c r="I525" s="28" t="str">
        <x:v>Специи</x:v>
      </x:c>
      <x:c r="J525" s="28" t="str">
        <x:v>сладкий, землистый, древесный и слегка цитрусовый</x:v>
      </x:c>
      <x:c r="K525" s="28" t="str">
        <x:v>пряный и древесный</x:v>
      </x:c>
      <x:c r="L525" s="28" t="str">
        <x:v>каротол, β-ионон, терпинолен, пинены</x:v>
      </x:c>
      <x:c r="M525" s="28" t="str">
        <x:v>терпены, фенилпропаноиды</x:v>
      </x:c>
      <x:c r="N525" s="28" t="str">
        <x:v>древесный</x:v>
      </x:c>
      <x:c r="O525" s="28" t="str">
        <x:v>надёжная общая ключевая молекула не установлена</x:v>
      </x:c>
      <x:c r="P525" s="28" t="str">
        <x:v>пересечение ароматических семейств</x:v>
      </x:c>
      <x:c r="Q525" s="28" t="str">
        <x:v>Сладость и землистость балансируются кислотой, солью, горечью и умами; жир усиливает ощущение округлости.</x:v>
      </x:c>
      <x:c r="R525" s="28" t="str">
        <x:v>минимальный</x:v>
      </x:c>
      <x:c r="S525" s="28" t="str">
        <x:v>водно-клетчаточная матрица с сахарами и каротиноидами</x:v>
      </x:c>
      <x:c r="T52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5" s="28" t="str">
        <x:v>Морковь имеет профиль «сладкий, землистый, древесный и слегка цитрусовый». Партнёр «чили хабанеро»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525" s="28" t="str">
        <x:v>сырая землистость может доминировать; перегрев делает профиль варёно-сладким</x:v>
      </x:c>
      <x:c r="W525" s="28" t="str">
        <x:v>цитрус, йогурт или мёд</x:v>
      </x:c>
      <x:c r="X525" s="28" t="str">
        <x:v>сок, кордиал, гаспачо, салат, соус, маринад или коктейльный компонент с чили хабанеро</x:v>
      </x:c>
      <x:c r="Y525" s="28" t="str">
        <x:v>универсальное</x:v>
      </x:c>
      <x:c r="Z525" s="28" t="str">
        <x:v>Средняя</x:v>
      </x:c>
      <x:c r="AA525" s="28" t="str">
        <x:v>The Art &amp; Science of Foodpairing.pdf</x:v>
      </x:c>
      <x:c r="AB525" s="28" t="str">
        <x:v>The Art &amp; Science of Foodpairing.pdf: 232</x:v>
      </x:c>
      <x:c r="AC525" s="28" t="str">
        <x:v>связь из pairing grid, стр. 232</x:v>
      </x:c>
      <x:c r="AD525" s="28" t="n">
        <x:v>1</x:v>
      </x:c>
      <x:c r="AE525" s="28" t="n">
        <x:v>1</x:v>
      </x:c>
      <x:c r="AF525" s="28" t="n">
        <x:f>IF(Z525="Высокая",3,IF(Z525="Средняя",2,1))+AD525*2+MIN(AE525,3)</x:f>
        <x:v>5</x:v>
      </x:c>
    </x:row>
    <x:row r="526" ht="64" customHeight="1">
      <x:c r="A526" s="28" t="str">
        <x:v>VEG-0525</x:v>
      </x:c>
      <x:c r="B526" s="28" t="str">
        <x:v>морковь</x:v>
      </x:c>
      <x:c r="C526" s="28" t="str">
        <x:v>Десерты и выпечка</x:v>
      </x:c>
      <x:c r="D526" s="28" t="str">
        <x:v>морковь</x:v>
      </x:c>
      <x:c r="E526" s="28" t="str">
        <x:v>морковь</x:v>
      </x:c>
      <x:c r="F526" s="28" t="str">
        <x:v>Корнеплоды</x:v>
      </x:c>
      <x:c r="G526" s="28" t="str">
        <x:v>чёрная смородина</x:v>
      </x:c>
      <x:c r="H526" s="28" t="str">
        <x:v>Чёрная смородина</x:v>
      </x:c>
      <x:c r="I526" s="28" t="str">
        <x:v>Фрукты и ягоды</x:v>
      </x:c>
      <x:c r="J526" s="28" t="str">
        <x:v>сладкий, землистый, древесный и слегка цитрусовый</x:v>
      </x:c>
      <x:c r="K526" s="28" t="str">
        <x:v>фруктовый, цветочный и свежий</x:v>
      </x:c>
      <x:c r="L526" s="28" t="str">
        <x:v>каротол, β-ионон, терпинолен, пинены</x:v>
      </x:c>
      <x:c r="M526" s="28" t="str">
        <x:v>альдегиды, эфиры</x:v>
      </x:c>
      <x:c r="N526" s="28" t="str">
        <x:v>прямое пересечение семейств не подтверждено</x:v>
      </x:c>
      <x:c r="O526" s="28" t="str">
        <x:v>надёжная общая ключевая молекула не установлена</x:v>
      </x:c>
      <x:c r="P526" s="28" t="str">
        <x:v>кислотно-сладкий баланс</x:v>
      </x:c>
      <x:c r="Q526" s="28" t="str">
        <x:v>Сладость и землистость балансируются кислотой, солью, горечью и умами; жир усиливает ощущение округлости.</x:v>
      </x:c>
      <x:c r="R526" s="28" t="str">
        <x:v>минимальный</x:v>
      </x:c>
      <x:c r="S526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52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6" s="28" t="str">
        <x:v>Морковь имеет профиль «сладкий, землистый, древесный и слегка цитрусовый».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526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526" s="28" t="str">
        <x:v>цитрус, мёд или мягкая трава</x:v>
      </x:c>
      <x:c r="X526" s="28" t="str">
        <x:v>сок, кордиал, гаспачо, салат, соус, маринад или коктейльный компонент с чёрная смородина</x:v>
      </x:c>
      <x:c r="Y526" s="28" t="str">
        <x:v>десерты</x:v>
      </x:c>
      <x:c r="Z526" s="28" t="str">
        <x:v>Гипотеза / практическая</x:v>
      </x:c>
      <x:c r="AA526" s="28" t="str">
        <x:v>Таблица сочетания(1).pdf</x:v>
      </x:c>
      <x:c r="AB526" s="28" t="str">
        <x:v>Таблица сочетания(1).pdf: 2</x:v>
      </x:c>
      <x:c r="AC526" s="28" t="str">
        <x:v>рекомендация таблицы, стр. 2</x:v>
      </x:c>
      <x:c r="AD526" s="28" t="n">
        <x:v>1</x:v>
      </x:c>
      <x:c r="AE526" s="28" t="n">
        <x:v>1</x:v>
      </x:c>
      <x:c r="AF526" s="28" t="n">
        <x:f>IF(Z526="Высокая",3,IF(Z526="Средняя",2,1))+AD526*2+MIN(AE526,3)</x:f>
        <x:v>4</x:v>
      </x:c>
    </x:row>
    <x:row r="527" ht="64" customHeight="1">
      <x:c r="A527" s="28" t="str">
        <x:v>VEG-0526</x:v>
      </x:c>
      <x:c r="B527" s="28" t="str">
        <x:v>морковь</x:v>
      </x:c>
      <x:c r="C527" s="28" t="str">
        <x:v>Универсальные</x:v>
      </x:c>
      <x:c r="D527" s="28" t="str">
        <x:v>морковь</x:v>
      </x:c>
      <x:c r="E527" s="28" t="str">
        <x:v>carrot</x:v>
      </x:c>
      <x:c r="F527" s="28" t="str">
        <x:v>Корнеплоды</x:v>
      </x:c>
      <x:c r="G527" s="28" t="str">
        <x:v>чёрные оливки</x:v>
      </x:c>
      <x:c r="H527" s="28" t="str">
        <x:v>black olive</x:v>
      </x:c>
      <x:c r="I527" s="28" t="str">
        <x:v>Прочее</x:v>
      </x:c>
      <x:c r="J527" s="28" t="str">
        <x:v>сладкий, землистый, древесный и слегка цитрусовый</x:v>
      </x:c>
      <x:c r="K527" s="28" t="str">
        <x:v>профиль зависит от конкретного продукта</x:v>
      </x:c>
      <x:c r="L527" s="28" t="str">
        <x:v>каротол, β-ионон, терпинолен, пинены</x:v>
      </x:c>
      <x:c r="M527" s="28" t="str">
        <x:v>конкретный молекулярный профиль не указан</x:v>
      </x:c>
      <x:c r="N527" s="28" t="str">
        <x:v>прямое пересечение семейств не подтверждено</x:v>
      </x:c>
      <x:c r="O527" s="28" t="str">
        <x:v>надёжная общая ключевая молекула не установлена</x:v>
      </x:c>
      <x:c r="P527" s="28" t="str">
        <x:v>сенсорная комплементарность</x:v>
      </x:c>
      <x:c r="Q527" s="28" t="str">
        <x:v>Сладость и землистость балансируются кислотой, солью, горечью и умами; жир усиливает ощущение округлости.</x:v>
      </x:c>
      <x:c r="R527" s="28" t="str">
        <x:v>минимальный</x:v>
      </x:c>
      <x:c r="S527" s="28" t="str">
        <x:v>водно-клетчаточная матрица с сахарами и каротиноидами</x:v>
      </x:c>
      <x:c r="T52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7" s="28" t="str">
        <x:v>Морковь имеет профиль «сладкий, землистый, древесный и слегка цитрусовый». Партнёр «чёрные 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27" s="28" t="str">
        <x:v>сырая землистость может доминировать; перегрев делает профиль варёно-сладким</x:v>
      </x:c>
      <x:c r="W527" s="28" t="str">
        <x:v>соль, кислота или ароматический жир</x:v>
      </x:c>
      <x:c r="X527" s="28" t="str">
        <x:v>сок, кордиал, гаспачо, салат, соус, маринад или коктейльный компонент с чёрные оливки</x:v>
      </x:c>
      <x:c r="Y527" s="28" t="str">
        <x:v>универсальное</x:v>
      </x:c>
      <x:c r="Z527" s="28" t="str">
        <x:v>Средняя</x:v>
      </x:c>
      <x:c r="AA527" s="28" t="str">
        <x:v>The Art &amp; Science of Foodpairing.pdf</x:v>
      </x:c>
      <x:c r="AB527" s="28" t="str">
        <x:v>The Art &amp; Science of Foodpairing.pdf: 232</x:v>
      </x:c>
      <x:c r="AC527" s="28" t="str">
        <x:v>связь из pairing grid, стр. 232</x:v>
      </x:c>
      <x:c r="AD527" s="28" t="n">
        <x:v>1</x:v>
      </x:c>
      <x:c r="AE527" s="28" t="n">
        <x:v>1</x:v>
      </x:c>
      <x:c r="AF527" s="28" t="n">
        <x:f>IF(Z527="Высокая",3,IF(Z527="Средняя",2,1))+AD527*2+MIN(AE527,3)</x:f>
        <x:v>5</x:v>
      </x:c>
    </x:row>
    <x:row r="528" ht="64" customHeight="1">
      <x:c r="A528" s="28" t="str">
        <x:v>VEG-0527</x:v>
      </x:c>
      <x:c r="B528" s="28" t="str">
        <x:v>морковь</x:v>
      </x:c>
      <x:c r="C528" s="28" t="str">
        <x:v>Универсальные</x:v>
      </x:c>
      <x:c r="D528" s="28" t="str">
        <x:v>морковь</x:v>
      </x:c>
      <x:c r="E528" s="28" t="str">
        <x:v>carrot | Морковь</x:v>
      </x:c>
      <x:c r="F528" s="28" t="str">
        <x:v>Корнеплоды</x:v>
      </x:c>
      <x:c r="G528" s="28" t="str">
        <x:v>чёрный перец</x:v>
      </x:c>
      <x:c r="H528" s="28" t="str">
        <x:v>black pepper powder | peppercorns | чёрный перец</x:v>
      </x:c>
      <x:c r="I528" s="28" t="str">
        <x:v>Специи</x:v>
      </x:c>
      <x:c r="J528" s="28" t="str">
        <x:v>сладкий, землистый, древесный и слегка цитрусовый</x:v>
      </x:c>
      <x:c r="K528" s="28" t="str">
        <x:v>древесный, пряный, цитрусовый</x:v>
      </x:c>
      <x:c r="L528" s="28" t="str">
        <x:v>каротол, β-ионон, терпинолен, пинены</x:v>
      </x:c>
      <x:c r="M528" s="28" t="str">
        <x:v>лимонен, пинен, пиперин</x:v>
      </x:c>
      <x:c r="N528" s="28" t="str">
        <x:v>древесный</x:v>
      </x:c>
      <x:c r="O528" s="28" t="str">
        <x:v>надёжная общая ключевая молекула не установлена</x:v>
      </x:c>
      <x:c r="P528" s="28" t="str">
        <x:v>пересечение ароматических семейств</x:v>
      </x:c>
      <x:c r="Q528" s="28" t="str">
        <x:v>Сладость и землистость балансируются кислотой, солью, горечью и умами; жир усиливает ощущение округлости.</x:v>
      </x:c>
      <x:c r="R528" s="28" t="str">
        <x:v>минимальный</x:v>
      </x:c>
      <x:c r="S528" s="28" t="str">
        <x:v>водно-клетчаточная матрица с сахарами и каротиноидами</x:v>
      </x:c>
      <x:c r="T52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8" s="28" t="str">
        <x:v>Морковь имеет профиль «сладкий, землистый, древесный и слегка цитрусовый». Партнёр «чёрный перец» относится к группе «Специи» и даёт древесный, пряный, цитрусовый.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528" s="28" t="str">
        <x:v>сырая землистость может доминировать; перегрев делает профиль варёно-сладким</x:v>
      </x:c>
      <x:c r="W528" s="28" t="str">
        <x:v>цитрус, йогурт или мёд</x:v>
      </x:c>
      <x:c r="X528" s="28" t="str">
        <x:v>сок, кордиал, гаспачо, салат, соус, маринад или коктейльный компонент с чёрный перец</x:v>
      </x:c>
      <x:c r="Y528" s="28" t="str">
        <x:v>универсальное</x:v>
      </x:c>
      <x:c r="Z528" s="28" t="str">
        <x:v>Высокая</x:v>
      </x:c>
      <x:c r="AA528" s="28" t="str">
        <x:v>The Art &amp; Science of Foodpairing.pdf | Таблица сочетания(1).pdf</x:v>
      </x:c>
      <x:c r="AB528" s="28" t="str">
        <x:v>Таблица сочетания(1).pdf: 4; The Art &amp; Science of Foodpairing.pdf: 232, 273, 274</x:v>
      </x:c>
      <x:c r="AC528" s="28" t="str">
        <x:v>связь из pairing grid, стр. 232; связь из pairing grid, стр. 273; связь из pairing grid, стр. 274; связь из pairing grid, стр. 274</x:v>
      </x:c>
      <x:c r="AD528" s="28" t="n">
        <x:v>2</x:v>
      </x:c>
      <x:c r="AE528" s="28" t="n">
        <x:v>5</x:v>
      </x:c>
      <x:c r="AF528" s="28" t="n">
        <x:f>IF(Z528="Высокая",3,IF(Z528="Средняя",2,1))+AD528*2+MIN(AE528,3)</x:f>
        <x:v>10</x:v>
      </x:c>
    </x:row>
    <x:row r="529" ht="64" customHeight="1">
      <x:c r="A529" s="28" t="str">
        <x:v>VEG-0528</x:v>
      </x:c>
      <x:c r="B529" s="28" t="str">
        <x:v>морковь</x:v>
      </x:c>
      <x:c r="C529" s="28" t="str">
        <x:v>Десерты и выпечка</x:v>
      </x:c>
      <x:c r="D529" s="28" t="str">
        <x:v>морковь</x:v>
      </x:c>
      <x:c r="E529" s="28" t="str">
        <x:v>carrot</x:v>
      </x:c>
      <x:c r="F529" s="28" t="str">
        <x:v>Корнеплоды</x:v>
      </x:c>
      <x:c r="G529" s="28" t="str">
        <x:v>шоколадная паста</x:v>
      </x:c>
      <x:c r="H529" s="28" t="str">
        <x:v>chocolate spread</x:v>
      </x:c>
      <x:c r="I529" s="28" t="str">
        <x:v>Какао и шоколад</x:v>
      </x:c>
      <x:c r="J529" s="28" t="str">
        <x:v>сладкий, землистый, древесный и слегка цитрусовый</x:v>
      </x:c>
      <x:c r="K529" s="28" t="str">
        <x:v>жареный, какаовый, карамельный</x:v>
      </x:c>
      <x:c r="L529" s="28" t="str">
        <x:v>каротол, β-ионон, терпинолен, пинены</x:v>
      </x:c>
      <x:c r="M529" s="28" t="str">
        <x:v>пиразины, фураны</x:v>
      </x:c>
      <x:c r="N529" s="28" t="str">
        <x:v>прямое пересечение семейств не подтверждено</x:v>
      </x:c>
      <x:c r="O529" s="28" t="str">
        <x:v>надёжная общая ключевая молекула не установлена</x:v>
      </x:c>
      <x:c r="P529" s="28" t="str">
        <x:v>сенсорная комплементарность</x:v>
      </x:c>
      <x:c r="Q529" s="28" t="str">
        <x:v>Сладость и землистость балансируются кислотой, солью, горечью и умами; жир усиливает ощущение округлости.</x:v>
      </x:c>
      <x:c r="R529" s="28" t="str">
        <x:v>минимальный</x:v>
      </x:c>
      <x:c r="S529" s="28" t="str">
        <x:v>водно-клетчаточная матрица с сахарами и каротиноидами</x:v>
      </x:c>
      <x:c r="T52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29" s="28" t="str">
        <x:v>Морковь имеет профиль «сладкий, землистый, древесный и слегка цитрусовый». Партнёр «шоколадная паста»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529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W529" s="28" t="str">
        <x:v>сливки, орех или карамель</x:v>
      </x:c>
      <x:c r="X529" s="28" t="str">
        <x:v>сок, кордиал, гаспачо, салат, соус, маринад или коктейльный компонент с шоколадная паста</x:v>
      </x:c>
      <x:c r="Y529" s="28" t="str">
        <x:v>десерты</x:v>
      </x:c>
      <x:c r="Z529" s="28" t="str">
        <x:v>Средняя</x:v>
      </x:c>
      <x:c r="AA529" s="28" t="str">
        <x:v>The Art &amp; Science of Foodpairing.pdf</x:v>
      </x:c>
      <x:c r="AB529" s="28" t="str">
        <x:v>The Art &amp; Science of Foodpairing.pdf: 232</x:v>
      </x:c>
      <x:c r="AC529" s="28" t="str">
        <x:v>связь из pairing grid, стр. 232; связь из pairing grid, стр. 232</x:v>
      </x:c>
      <x:c r="AD529" s="28" t="n">
        <x:v>1</x:v>
      </x:c>
      <x:c r="AE529" s="28" t="n">
        <x:v>2</x:v>
      </x:c>
      <x:c r="AF529" s="28" t="n">
        <x:f>IF(Z529="Высокая",3,IF(Z529="Средняя",2,1))+AD529*2+MIN(AE529,3)</x:f>
        <x:v>6</x:v>
      </x:c>
    </x:row>
    <x:row r="530" ht="64" customHeight="1">
      <x:c r="A530" s="28" t="str">
        <x:v>VEG-0529</x:v>
      </x:c>
      <x:c r="B530" s="28" t="str">
        <x:v>морковь</x:v>
      </x:c>
      <x:c r="C530" s="28" t="str">
        <x:v>Десерты и выпечка</x:v>
      </x:c>
      <x:c r="D530" s="28" t="str">
        <x:v>морковь</x:v>
      </x:c>
      <x:c r="E530" s="28" t="str">
        <x:v>carrot | Морковь | морковь</x:v>
      </x:c>
      <x:c r="F530" s="28" t="str">
        <x:v>Корнеплоды</x:v>
      </x:c>
      <x:c r="G530" s="28" t="str">
        <x:v>яблоко</x:v>
      </x:c>
      <x:c r="H530" s="28" t="str">
        <x:v>Fuji apple | Яблоко | яблоко</x:v>
      </x:c>
      <x:c r="I530" s="28" t="str">
        <x:v>Фрукты и ягоды</x:v>
      </x:c>
      <x:c r="J530" s="28" t="str">
        <x:v>сладкий, землистый, древесный и слегка цитрусовый</x:v>
      </x:c>
      <x:c r="K530" s="28" t="str">
        <x:v>зелёный, свежий, фруктовый</x:v>
      </x:c>
      <x:c r="L530" s="28" t="str">
        <x:v>каротол, β-ионон, терпинолен, пинены</x:v>
      </x:c>
      <x:c r="M530" s="28" t="str">
        <x:v>гексаналь, гексилацетат</x:v>
      </x:c>
      <x:c r="N530" s="28" t="str">
        <x:v>прямое пересечение семейств не подтверждено</x:v>
      </x:c>
      <x:c r="O530" s="28" t="str">
        <x:v>надёжная общая ключевая молекула не установлена</x:v>
      </x:c>
      <x:c r="P530" s="28" t="str">
        <x:v>кислотно-сладкий баланс</x:v>
      </x:c>
      <x:c r="Q530" s="28" t="str">
        <x:v>Сладость и землистость балансируются кислотой, солью, горечью и умами; жир усиливает ощущение округлости.</x:v>
      </x:c>
      <x:c r="R530" s="28" t="str">
        <x:v>минимальный</x:v>
      </x:c>
      <x:c r="S530" s="28" t="str">
        <x:v>водно-клетчаточная матрица с сахарами и каротиноидами Водная кислая фаза усиливает свежесть, но может разжижать пюре и нарушать молочную эмульсию.</x:v>
      </x:c>
      <x:c r="T53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U530" s="28" t="str">
        <x:v>Морковь имеет профиль «сладкий, землистый, древесный и слегка цитрусовый».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530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W530" s="28" t="str">
        <x:v>цитрус, мёд или мягкая трава</x:v>
      </x:c>
      <x:c r="X530" s="28" t="str">
        <x:v>сок, кордиал, гаспачо, салат, соус, маринад или коктейльный компонент с яблоко</x:v>
      </x:c>
      <x:c r="Y530" s="28" t="str">
        <x:v>десерты</x:v>
      </x:c>
      <x:c r="Z530" s="28" t="str">
        <x:v>Высокая</x:v>
      </x:c>
      <x:c r="AA530" s="28" t="str">
        <x:v>The Art &amp; Science of Foodpairing.pdf | Тезариус вкусов (Ники Сегнит)(1).pdf</x:v>
      </x:c>
      <x:c r="AB530" s="28" t="str">
        <x:v>Тезариус вкусов (Ники Сегнит)(1).pdf: 607, 714; The Art &amp; Science of Foodpairing.pdf: 232</x:v>
      </x:c>
      <x:c r="AC530" s="28" t="str">
        <x:v>развёрнутая пара/статья, стр. 607; развёрнутая пара/статья, стр. 714; связь из pairing grid, стр. 232</x:v>
      </x:c>
      <x:c r="AD530" s="28" t="n">
        <x:v>2</x:v>
      </x:c>
      <x:c r="AE530" s="28" t="n">
        <x:v>3</x:v>
      </x:c>
      <x:c r="AF530" s="28" t="n">
        <x:f>IF(Z530="Высокая",3,IF(Z530="Средняя",2,1))+AD530*2+MIN(AE530,3)</x:f>
        <x:v>10</x:v>
      </x:c>
    </x:row>
    <x:row r="531" ht="64" customHeight="1">
      <x:c r="A531" s="28" t="str">
        <x:v>VEG-0530</x:v>
      </x:c>
      <x:c r="B531" s="28" t="str">
        <x:v>огурец</x:v>
      </x:c>
      <x:c r="C531" s="28" t="str">
        <x:v>Универсальные</x:v>
      </x:c>
      <x:c r="D531" s="28" t="str">
        <x:v>огурец</x:v>
      </x:c>
      <x:c r="E531" s="28" t="str">
        <x:v>Огурцы | огурец | огурцы</x:v>
      </x:c>
      <x:c r="F531" s="28" t="str">
        <x:v>Тыквенные</x:v>
      </x:c>
      <x:c r="G531" s="28" t="str">
        <x:v>авокадо</x:v>
      </x:c>
      <x:c r="H531" s="28" t="str">
        <x:v>Авокадо | авокадо</x:v>
      </x:c>
      <x:c r="I531" s="28" t="str">
        <x:v>Прочее</x:v>
      </x:c>
      <x:c r="J531" s="28" t="str">
        <x:v>зелёный, водянистый, свежий и дынный</x:v>
      </x:c>
      <x:c r="K531" s="28" t="str">
        <x:v>профиль зависит от конкретного продукта</x:v>
      </x:c>
      <x:c r="L531" s="28" t="str">
        <x:v>(E,Z)-2,6-нонадиеналь, (E)-2-ноненаль, гексаналь</x:v>
      </x:c>
      <x:c r="M531" s="28" t="str">
        <x:v>конкретный молекулярный профиль не указан</x:v>
      </x:c>
      <x:c r="N531" s="28" t="str">
        <x:v>прямое пересечение семейств не подтверждено</x:v>
      </x:c>
      <x:c r="O531" s="28" t="str">
        <x:v>надёжная общая ключевая молекула не установлена</x:v>
      </x:c>
      <x:c r="P531" s="28" t="str">
        <x:v>сенсорная комплементарность</x:v>
      </x:c>
      <x:c r="Q531" s="28" t="str">
        <x:v>Свежесть и водянистость требуют кислоты, соли или умами; избыток жирной матрицы может подавить зелёные ноты.</x:v>
      </x:c>
      <x:c r="R531" s="28" t="str">
        <x:v>прохладно-зелёное ощущение</x:v>
      </x:c>
      <x:c r="S531" s="28" t="str">
        <x:v>почти полностью водная хрустящая матрица; летучие альдегиды быстро теряются</x:v>
      </x:c>
      <x:c r="T53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1" s="28" t="str">
        <x:v>Огурец имеет профиль «зелёный, водянистый, свежий и дынный». Партнёр «авокадо»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31" s="28" t="str">
        <x:v>легко разбавляет вкус; перезрелая кожица и семена дают горечь; сок быстро окисляется</x:v>
      </x:c>
      <x:c r="W531" s="28" t="str">
        <x:v>соль, кислота или ароматический жир</x:v>
      </x:c>
      <x:c r="X531" s="28" t="str">
        <x:v>сок, кордиал, гаспачо, салат, соус, маринад или коктейльный компонент с авокадо</x:v>
      </x:c>
      <x:c r="Y531" s="28" t="str">
        <x:v>универсальное</x:v>
      </x:c>
      <x:c r="Z531" s="28" t="str">
        <x:v>Высокая</x:v>
      </x:c>
      <x:c r="AA531" s="28" t="str">
        <x:v>Таблица сочетания(1).pdf | Тезариус вкусов (Ники Сегнит)(1).pdf</x:v>
      </x:c>
      <x:c r="AB531" s="28" t="str">
        <x:v>Таблица сочетания(1).pdf: 2; Тезариус вкусов (Ники Сегнит)(1).pdf: 491, 531</x:v>
      </x:c>
      <x:c r="AC531" s="28" t="str">
        <x:v>развёрнутая пара/статья, стр. 491; развёрнутая пара/статья, стр. 531; рекомендация таблицы, стр. 2</x:v>
      </x:c>
      <x:c r="AD531" s="28" t="n">
        <x:v>2</x:v>
      </x:c>
      <x:c r="AE531" s="28" t="n">
        <x:v>3</x:v>
      </x:c>
      <x:c r="AF531" s="28" t="n">
        <x:f>IF(Z531="Высокая",3,IF(Z531="Средняя",2,1))+AD531*2+MIN(AE531,3)</x:f>
        <x:v>10</x:v>
      </x:c>
    </x:row>
    <x:row r="532" ht="64" customHeight="1">
      <x:c r="A532" s="28" t="str">
        <x:v>VEG-0531</x:v>
      </x:c>
      <x:c r="B532" s="28" t="str">
        <x:v>огурец</x:v>
      </x:c>
      <x:c r="C532" s="28" t="str">
        <x:v>Универсальные</x:v>
      </x:c>
      <x:c r="D532" s="28" t="str">
        <x:v>огурец</x:v>
      </x:c>
      <x:c r="E532" s="28" t="str">
        <x:v>Огурец | огурец</x:v>
      </x:c>
      <x:c r="F532" s="28" t="str">
        <x:v>Тыквенные</x:v>
      </x:c>
      <x:c r="G532" s="28" t="str">
        <x:v>агава</x:v>
      </x:c>
      <x:c r="H532" s="28" t="str">
        <x:v>Агава | агава</x:v>
      </x:c>
      <x:c r="I532" s="28" t="str">
        <x:v>Прочее</x:v>
      </x:c>
      <x:c r="J532" s="28" t="str">
        <x:v>зелёный, водянистый, свежий и дынный</x:v>
      </x:c>
      <x:c r="K532" s="28" t="str">
        <x:v>профиль зависит от конкретного продукта</x:v>
      </x:c>
      <x:c r="L532" s="28" t="str">
        <x:v>(E,Z)-2,6-нонадиеналь, (E)-2-ноненаль, гексаналь</x:v>
      </x:c>
      <x:c r="M532" s="28" t="str">
        <x:v>конкретный молекулярный профиль не указан</x:v>
      </x:c>
      <x:c r="N532" s="28" t="str">
        <x:v>прямое пересечение семейств не подтверждено</x:v>
      </x:c>
      <x:c r="O532" s="28" t="str">
        <x:v>надёжная общая ключевая молекула не установлена</x:v>
      </x:c>
      <x:c r="P532" s="28" t="str">
        <x:v>сенсорная комплементарность</x:v>
      </x:c>
      <x:c r="Q532" s="28" t="str">
        <x:v>Свежесть и водянистость требуют кислоты, соли или умами; избыток жирной матрицы может подавить зелёные ноты.</x:v>
      </x:c>
      <x:c r="R532" s="28" t="str">
        <x:v>прохладно-зелёное ощущение</x:v>
      </x:c>
      <x:c r="S532" s="28" t="str">
        <x:v>почти полностью водная хрустящая матрица; летучие альдегиды быстро теряются</x:v>
      </x:c>
      <x:c r="T53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2" s="28" t="str">
        <x:v>Огурец имеет профиль «зелёный, водянистый, свежий и дынный». Партнёр «агава»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32" s="28" t="str">
        <x:v>легко разбавляет вкус; перезрелая кожица и семена дают горечь; сок быстро окисляется</x:v>
      </x:c>
      <x:c r="W532" s="28" t="str">
        <x:v>соль, кислота или ароматический жир</x:v>
      </x:c>
      <x:c r="X532" s="28" t="str">
        <x:v>сок, кордиал, гаспачо, салат, соус, маринад или коктейльный компонент с агава</x:v>
      </x:c>
      <x:c r="Y532" s="28" t="str">
        <x:v>универсальное</x:v>
      </x:c>
      <x:c r="Z532" s="28" t="str">
        <x:v>Гипотеза / практическая</x:v>
      </x:c>
      <x:c r="AA532" s="28" t="str">
        <x:v>Таблица сочетания(1).pdf</x:v>
      </x:c>
      <x:c r="AB532" s="28" t="str">
        <x:v>Таблица сочетания(1).pdf: 1, 6</x:v>
      </x:c>
      <x:c r="AC532" s="28" t="str">
        <x:v>рекомендация таблицы, стр. 1; рекомендация таблицы, стр. 6</x:v>
      </x:c>
      <x:c r="AD532" s="28" t="n">
        <x:v>1</x:v>
      </x:c>
      <x:c r="AE532" s="28" t="n">
        <x:v>2</x:v>
      </x:c>
      <x:c r="AF532" s="28" t="n">
        <x:f>IF(Z532="Высокая",3,IF(Z532="Средняя",2,1))+AD532*2+MIN(AE532,3)</x:f>
        <x:v>5</x:v>
      </x:c>
    </x:row>
    <x:row r="533" ht="64" customHeight="1">
      <x:c r="A533" s="28" t="str">
        <x:v>VEG-0532</x:v>
      </x:c>
      <x:c r="B533" s="28" t="str">
        <x:v>огурец</x:v>
      </x:c>
      <x:c r="C533" s="28" t="str">
        <x:v>Универсальные</x:v>
      </x:c>
      <x:c r="D533" s="28" t="str">
        <x:v>огурец</x:v>
      </x:c>
      <x:c r="E533" s="28" t="str">
        <x:v>Огурцы | огурцы</x:v>
      </x:c>
      <x:c r="F533" s="28" t="str">
        <x:v>Тыквенные</x:v>
      </x:c>
      <x:c r="G533" s="28" t="str">
        <x:v>анис</x:v>
      </x:c>
      <x:c r="H533" s="28" t="str">
        <x:v>Анис | анис</x:v>
      </x:c>
      <x:c r="I533" s="28" t="str">
        <x:v>Прочее</x:v>
      </x:c>
      <x:c r="J533" s="28" t="str">
        <x:v>зелёный, водянистый, свежий и дынный</x:v>
      </x:c>
      <x:c r="K533" s="28" t="str">
        <x:v>профиль зависит от конкретного продукта</x:v>
      </x:c>
      <x:c r="L533" s="28" t="str">
        <x:v>(E,Z)-2,6-нонадиеналь, (E)-2-ноненаль, гексаналь</x:v>
      </x:c>
      <x:c r="M533" s="28" t="str">
        <x:v>конкретный молекулярный профиль не указан</x:v>
      </x:c>
      <x:c r="N533" s="28" t="str">
        <x:v>прямое пересечение семейств не подтверждено</x:v>
      </x:c>
      <x:c r="O533" s="28" t="str">
        <x:v>надёжная общая ключевая молекула не установлена</x:v>
      </x:c>
      <x:c r="P533" s="28" t="str">
        <x:v>сенсорная комплементарность</x:v>
      </x:c>
      <x:c r="Q533" s="28" t="str">
        <x:v>Свежесть и водянистость требуют кислоты, соли или умами; избыток жирной матрицы может подавить зелёные ноты.</x:v>
      </x:c>
      <x:c r="R533" s="28" t="str">
        <x:v>прохладно-зелёное ощущение</x:v>
      </x:c>
      <x:c r="S533" s="28" t="str">
        <x:v>почти полностью водная хрустящая матрица; летучие альдегиды быстро теряются</x:v>
      </x:c>
      <x:c r="T53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3" s="28" t="str">
        <x:v>Огурец имеет профиль «зелёный, водянистый, свежий и дынный».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33" s="28" t="str">
        <x:v>легко разбавляет вкус; перезрелая кожица и семена дают горечь; сок быстро окисляется</x:v>
      </x:c>
      <x:c r="W533" s="28" t="str">
        <x:v>соль, кислота или ароматический жир</x:v>
      </x:c>
      <x:c r="X533" s="28" t="str">
        <x:v>сок, кордиал, гаспачо, салат, соус, маринад или коктейльный компонент с анис</x:v>
      </x:c>
      <x:c r="Y533" s="28" t="str">
        <x:v>универсальное</x:v>
      </x:c>
      <x:c r="Z533" s="28" t="str">
        <x:v>Средняя</x:v>
      </x:c>
      <x:c r="AA533" s="28" t="str">
        <x:v>Тезариус вкусов (Ники Сегнит)(1).pdf</x:v>
      </x:c>
      <x:c r="AB533" s="28" t="str">
        <x:v>Тезариус вкусов (Ники Сегнит)(1).pdf: 486, 491</x:v>
      </x:c>
      <x:c r="AC533" s="28" t="str">
        <x:v>развёрнутая пара/статья, стр. 486; развёрнутая пара/статья, стр. 491</x:v>
      </x:c>
      <x:c r="AD533" s="28" t="n">
        <x:v>1</x:v>
      </x:c>
      <x:c r="AE533" s="28" t="n">
        <x:v>2</x:v>
      </x:c>
      <x:c r="AF533" s="28" t="n">
        <x:f>IF(Z533="Высокая",3,IF(Z533="Средняя",2,1))+AD533*2+MIN(AE533,3)</x:f>
        <x:v>6</x:v>
      </x:c>
    </x:row>
    <x:row r="534" ht="64" customHeight="1">
      <x:c r="A534" s="28" t="str">
        <x:v>VEG-0533</x:v>
      </x:c>
      <x:c r="B534" s="28" t="str">
        <x:v>огурец</x:v>
      </x:c>
      <x:c r="C534" s="28" t="str">
        <x:v>Десерты и выпечка</x:v>
      </x:c>
      <x:c r="D534" s="28" t="str">
        <x:v>огурец</x:v>
      </x:c>
      <x:c r="E534" s="28" t="str">
        <x:v>cucumber | Огурец</x:v>
      </x:c>
      <x:c r="F534" s="28" t="str">
        <x:v>Тыквенные</x:v>
      </x:c>
      <x:c r="G534" s="28" t="str">
        <x:v>апельсин</x:v>
      </x:c>
      <x:c r="H534" s="28" t="str">
        <x:v>orange | апельсин</x:v>
      </x:c>
      <x:c r="I534" s="28" t="str">
        <x:v>Фрукты и ягоды</x:v>
      </x:c>
      <x:c r="J534" s="28" t="str">
        <x:v>зелёный, водянистый, свежий и дынный</x:v>
      </x:c>
      <x:c r="K534" s="28" t="str">
        <x:v>сладкий, цветочный, цитрусовый</x:v>
      </x:c>
      <x:c r="L534" s="28" t="str">
        <x:v>(E,Z)-2,6-нонадиеналь, (E)-2-ноненаль, гексаналь</x:v>
      </x:c>
      <x:c r="M534" s="28" t="str">
        <x:v>лимонен, линалоол</x:v>
      </x:c>
      <x:c r="N534" s="28" t="str">
        <x:v>прямое пересечение семейств не подтверждено</x:v>
      </x:c>
      <x:c r="O534" s="28" t="str">
        <x:v>надёжная общая ключевая молекула не установлена</x:v>
      </x:c>
      <x:c r="P534" s="28" t="str">
        <x:v>кислотно-сладкий баланс</x:v>
      </x:c>
      <x:c r="Q534" s="28" t="str">
        <x:v>Свежесть и водянистость требуют кислоты, соли или умами; избыток жирной матрицы может подавить зелёные ноты.</x:v>
      </x:c>
      <x:c r="R534" s="28" t="str">
        <x:v>прохладно-зелёное ощущение</x:v>
      </x:c>
      <x:c r="S534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3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4" s="28" t="str">
        <x:v>Огурец имеет профиль «зелёный, водянистый, свежий и дынный».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34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34" s="28" t="str">
        <x:v>цитрус, мёд или мягкая трава</x:v>
      </x:c>
      <x:c r="X534" s="28" t="str">
        <x:v>сок, кордиал, гаспачо, салат, соус, маринад или коктейльный компонент с апельсин</x:v>
      </x:c>
      <x:c r="Y534" s="28" t="str">
        <x:v>десерты</x:v>
      </x:c>
      <x:c r="Z534" s="28" t="str">
        <x:v>Высокая</x:v>
      </x:c>
      <x:c r="AA534" s="28" t="str">
        <x:v>The Art &amp; Science of Foodpairing.pdf | Таблица сочетания(1).pdf</x:v>
      </x:c>
      <x:c r="AB534" s="28" t="str">
        <x:v>Таблица сочетания(1).pdf: 6; The Art &amp; Science of Foodpairing.pdf: 268</x:v>
      </x:c>
      <x:c r="AC534" s="28" t="str">
        <x:v>связь из pairing grid, стр. 268; рекомендация таблицы, стр. 6</x:v>
      </x:c>
      <x:c r="AD534" s="28" t="n">
        <x:v>2</x:v>
      </x:c>
      <x:c r="AE534" s="28" t="n">
        <x:v>2</x:v>
      </x:c>
      <x:c r="AF534" s="28" t="n">
        <x:f>IF(Z534="Высокая",3,IF(Z534="Средняя",2,1))+AD534*2+MIN(AE534,3)</x:f>
        <x:v>9</x:v>
      </x:c>
    </x:row>
    <x:row r="535" ht="64" customHeight="1">
      <x:c r="A535" s="28" t="str">
        <x:v>VEG-0534</x:v>
      </x:c>
      <x:c r="B535" s="28" t="str">
        <x:v>огурец</x:v>
      </x:c>
      <x:c r="C535" s="28" t="str">
        <x:v>Десерты и выпечка</x:v>
      </x:c>
      <x:c r="D535" s="28" t="str">
        <x:v>огурец</x:v>
      </x:c>
      <x:c r="E535" s="28" t="str">
        <x:v>Огурцы | огурцы</x:v>
      </x:c>
      <x:c r="F535" s="28" t="str">
        <x:v>Тыквенные</x:v>
      </x:c>
      <x:c r="G535" s="28" t="str">
        <x:v>арахис</x:v>
      </x:c>
      <x:c r="H535" s="28" t="str">
        <x:v>Арахис | арахис</x:v>
      </x:c>
      <x:c r="I535" s="28" t="str">
        <x:v>Орехи и семена</x:v>
      </x:c>
      <x:c r="J535" s="28" t="str">
        <x:v>зелёный, водянистый, свежий и дынный</x:v>
      </x:c>
      <x:c r="K535" s="28" t="str">
        <x:v>ореховый, жареный и жирный</x:v>
      </x:c>
      <x:c r="L535" s="28" t="str">
        <x:v>(E,Z)-2,6-нонадиеналь, (E)-2-ноненаль, гексаналь</x:v>
      </x:c>
      <x:c r="M535" s="28" t="str">
        <x:v>альдегиды, пиразины, фураны</x:v>
      </x:c>
      <x:c r="N535" s="28" t="str">
        <x:v>прямое пересечение семейств не подтверждено</x:v>
      </x:c>
      <x:c r="O535" s="28" t="str">
        <x:v>надёжная общая ключевая молекула не установлена</x:v>
      </x:c>
      <x:c r="P535" s="28" t="str">
        <x:v>сенсорная комплементарность</x:v>
      </x:c>
      <x:c r="Q535" s="28" t="str">
        <x:v>Свежесть и водянистость требуют кислоты, соли или умами; избыток жирной матрицы может подавить зелёные ноты.</x:v>
      </x:c>
      <x:c r="R535" s="28" t="str">
        <x:v>прохладно-зелёное ощущение</x:v>
      </x:c>
      <x:c r="S535" s="28" t="str">
        <x:v>почти полностью водная хрустящая матрица; летучие альдегиды быстро теряются</x:v>
      </x:c>
      <x:c r="T53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5" s="28" t="str">
        <x:v>Огурец имеет профиль «зелёный, водянистый, свежий и дынный».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535" s="28" t="str">
        <x:v>легко разбавляет вкус; перезрелая кожица и семена дают горечь; сок быстро окисляется</x:v>
      </x:c>
      <x:c r="W535" s="28" t="str">
        <x:v>соль, кислота или ароматический жир</x:v>
      </x:c>
      <x:c r="X535" s="28" t="str">
        <x:v>сок, кордиал, гаспачо, салат, соус, маринад или коктейльный компонент с арахис</x:v>
      </x:c>
      <x:c r="Y535" s="28" t="str">
        <x:v>десерты</x:v>
      </x:c>
      <x:c r="Z535" s="28" t="str">
        <x:v>Средняя</x:v>
      </x:c>
      <x:c r="AA535" s="28" t="str">
        <x:v>Тезариус вкусов (Ники Сегнит)(1).pdf</x:v>
      </x:c>
      <x:c r="AB535" s="28" t="str">
        <x:v>Тезариус вкусов (Ники Сегнит)(1).pdf: 56, 491</x:v>
      </x:c>
      <x:c r="AC535" s="28" t="str">
        <x:v>развёрнутая пара/статья, стр. 56; развёрнутая пара/статья, стр. 491</x:v>
      </x:c>
      <x:c r="AD535" s="28" t="n">
        <x:v>1</x:v>
      </x:c>
      <x:c r="AE535" s="28" t="n">
        <x:v>2</x:v>
      </x:c>
      <x:c r="AF535" s="28" t="n">
        <x:f>IF(Z535="Высокая",3,IF(Z535="Средняя",2,1))+AD535*2+MIN(AE535,3)</x:f>
        <x:v>6</x:v>
      </x:c>
    </x:row>
    <x:row r="536" ht="64" customHeight="1">
      <x:c r="A536" s="28" t="str">
        <x:v>VEG-0535</x:v>
      </x:c>
      <x:c r="B536" s="28" t="str">
        <x:v>огурец</x:v>
      </x:c>
      <x:c r="C536" s="28" t="str">
        <x:v>Универсальные</x:v>
      </x:c>
      <x:c r="D536" s="28" t="str">
        <x:v>огурец</x:v>
      </x:c>
      <x:c r="E536" s="28" t="str">
        <x:v>Огурцы | огурец | огурцы</x:v>
      </x:c>
      <x:c r="F536" s="28" t="str">
        <x:v>Тыквенные</x:v>
      </x:c>
      <x:c r="G536" s="28" t="str">
        <x:v>арбуз</x:v>
      </x:c>
      <x:c r="H536" s="28" t="str">
        <x:v>Арбуз | арбуз</x:v>
      </x:c>
      <x:c r="I536" s="28" t="str">
        <x:v>Прочее</x:v>
      </x:c>
      <x:c r="J536" s="28" t="str">
        <x:v>зелёный, водянистый, свежий и дынный</x:v>
      </x:c>
      <x:c r="K536" s="28" t="str">
        <x:v>профиль зависит от конкретного продукта</x:v>
      </x:c>
      <x:c r="L536" s="28" t="str">
        <x:v>(E,Z)-2,6-нонадиеналь, (E)-2-ноненаль, гексаналь</x:v>
      </x:c>
      <x:c r="M536" s="28" t="str">
        <x:v>конкретный молекулярный профиль не указан</x:v>
      </x:c>
      <x:c r="N536" s="28" t="str">
        <x:v>прямое пересечение семейств не подтверждено</x:v>
      </x:c>
      <x:c r="O536" s="28" t="str">
        <x:v>надёжная общая ключевая молекула не установлена</x:v>
      </x:c>
      <x:c r="P536" s="28" t="str">
        <x:v>сенсорная комплементарность</x:v>
      </x:c>
      <x:c r="Q536" s="28" t="str">
        <x:v>Свежесть и водянистость требуют кислоты, соли или умами; избыток жирной матрицы может подавить зелёные ноты.</x:v>
      </x:c>
      <x:c r="R536" s="28" t="str">
        <x:v>прохладно-зелёное ощущение</x:v>
      </x:c>
      <x:c r="S536" s="28" t="str">
        <x:v>почти полностью водная хрустящая матрица; летучие альдегиды быстро теряются</x:v>
      </x:c>
      <x:c r="T53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6" s="28" t="str">
        <x:v>Огурец имеет профиль «зелёный, водянистый, свежий и дынный».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36" s="28" t="str">
        <x:v>легко разбавляет вкус; перезрелая кожица и семена дают горечь; сок быстро окисляется</x:v>
      </x:c>
      <x:c r="W536" s="28" t="str">
        <x:v>соль, кислота или ароматический жир</x:v>
      </x:c>
      <x:c r="X536" s="28" t="str">
        <x:v>сок, кордиал, гаспачо, салат, соус, маринад или коктейльный компонент с арбуз</x:v>
      </x:c>
      <x:c r="Y536" s="28" t="str">
        <x:v>универсальное</x:v>
      </x:c>
      <x:c r="Z536" s="28" t="str">
        <x:v>Высокая</x:v>
      </x:c>
      <x:c r="AA536" s="28" t="str">
        <x:v>Таблица сочетания(1).pdf | Тезариус вкусов (Ники Сегнит)(1).pdf</x:v>
      </x:c>
      <x:c r="AB536" s="28" t="str">
        <x:v>Таблица сочетания(1).pdf: 22; Тезариус вкусов (Ники Сегнит)(1).pdf: 491, 660</x:v>
      </x:c>
      <x:c r="AC536" s="28" t="str">
        <x:v>развёрнутая пара/статья, стр. 491; развёрнутая пара/статья, стр. 660; рекомендация таблицы, стр. 22</x:v>
      </x:c>
      <x:c r="AD536" s="28" t="n">
        <x:v>2</x:v>
      </x:c>
      <x:c r="AE536" s="28" t="n">
        <x:v>3</x:v>
      </x:c>
      <x:c r="AF536" s="28" t="n">
        <x:f>IF(Z536="Высокая",3,IF(Z536="Средняя",2,1))+AD536*2+MIN(AE536,3)</x:f>
        <x:v>10</x:v>
      </x:c>
    </x:row>
    <x:row r="537" ht="64" customHeight="1">
      <x:c r="A537" s="28" t="str">
        <x:v>VEG-0536</x:v>
      </x:c>
      <x:c r="B537" s="28" t="str">
        <x:v>огурец</x:v>
      </x:c>
      <x:c r="C537" s="28" t="str">
        <x:v>Универсальные</x:v>
      </x:c>
      <x:c r="D537" s="28" t="str">
        <x:v>огурец</x:v>
      </x:c>
      <x:c r="E537" s="28" t="str">
        <x:v>Огурец</x:v>
      </x:c>
      <x:c r="F537" s="28" t="str">
        <x:v>Тыквенные</x:v>
      </x:c>
      <x:c r="G537" s="28" t="str">
        <x:v>базилик</x:v>
      </x:c>
      <x:c r="H537" s="28" t="str">
        <x:v>базилик</x:v>
      </x:c>
      <x:c r="I537" s="28" t="str">
        <x:v>Травы, цветы и листья</x:v>
      </x:c>
      <x:c r="J537" s="28" t="str">
        <x:v>зелёный, водянистый, свежий и дынный</x:v>
      </x:c>
      <x:c r="K537" s="28" t="str">
        <x:v>зелёный, пряный, цветочный</x:v>
      </x:c>
      <x:c r="L537" s="28" t="str">
        <x:v>(E,Z)-2,6-нонадиеналь, (E)-2-ноненаль, гексаналь</x:v>
      </x:c>
      <x:c r="M537" s="28" t="str">
        <x:v>линалоол, эвгенол</x:v>
      </x:c>
      <x:c r="N537" s="28" t="str">
        <x:v>зелёный</x:v>
      </x:c>
      <x:c r="O537" s="28" t="str">
        <x:v>надёжная общая ключевая молекула не установлена</x:v>
      </x:c>
      <x:c r="P537" s="28" t="str">
        <x:v>пересечение ароматических семейств</x:v>
      </x:c>
      <x:c r="Q537" s="28" t="str">
        <x:v>Свежесть и водянистость требуют кислоты, соли или умами; избыток жирной матрицы может подавить зелёные ноты.</x:v>
      </x:c>
      <x:c r="R537" s="28" t="str">
        <x:v>прохладно-зелёное ощущение</x:v>
      </x:c>
      <x:c r="S537" s="28" t="str">
        <x:v>почти полностью водная хрустящая матрица; летучие альдегиды быстро теряются</x:v>
      </x:c>
      <x:c r="T53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7" s="28" t="str">
        <x:v>Огурец имеет профиль «зелёный, водянистый, свежий и дынный».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537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W537" s="28" t="str">
        <x:v>оливковое масло, лимон или сыр</x:v>
      </x:c>
      <x:c r="X537" s="28" t="str">
        <x:v>сок, кордиал, гаспачо, салат, соус, маринад или коктейльный компонент с базилик</x:v>
      </x:c>
      <x:c r="Y537" s="28" t="str">
        <x:v>универсальное</x:v>
      </x:c>
      <x:c r="Z537" s="28" t="str">
        <x:v>Гипотеза / практическая</x:v>
      </x:c>
      <x:c r="AA537" s="28" t="str">
        <x:v>Таблица сочетания(1).pdf</x:v>
      </x:c>
      <x:c r="AB537" s="28" t="str">
        <x:v>Таблица сочетания(1).pdf: 6</x:v>
      </x:c>
      <x:c r="AC537" s="28" t="str">
        <x:v>рекомендация таблицы, стр. 6</x:v>
      </x:c>
      <x:c r="AD537" s="28" t="n">
        <x:v>1</x:v>
      </x:c>
      <x:c r="AE537" s="28" t="n">
        <x:v>1</x:v>
      </x:c>
      <x:c r="AF537" s="28" t="n">
        <x:f>IF(Z537="Высокая",3,IF(Z537="Средняя",2,1))+AD537*2+MIN(AE537,3)</x:f>
        <x:v>4</x:v>
      </x:c>
    </x:row>
    <x:row r="538" ht="64" customHeight="1">
      <x:c r="A538" s="28" t="str">
        <x:v>VEG-0537</x:v>
      </x:c>
      <x:c r="B538" s="28" t="str">
        <x:v>огурец</x:v>
      </x:c>
      <x:c r="C538" s="28" t="str">
        <x:v>Еда и соусы</x:v>
      </x:c>
      <x:c r="D538" s="28" t="str">
        <x:v>огурец</x:v>
      </x:c>
      <x:c r="E538" s="28" t="str">
        <x:v>cucumber</x:v>
      </x:c>
      <x:c r="F538" s="28" t="str">
        <x:v>Тыквенные</x:v>
      </x:c>
      <x:c r="G538" s="28" t="str">
        <x:v>бальзамический уксус</x:v>
      </x:c>
      <x:c r="H538" s="28" t="str">
        <x:v>balsamic vinegar</x:v>
      </x:c>
      <x:c r="I538" s="28" t="str">
        <x:v>Ферментированные продукты и соусы</x:v>
      </x:c>
      <x:c r="J538" s="28" t="str">
        <x:v>зелёный, водянистый, свежий и дынный</x:v>
      </x:c>
      <x:c r="K538" s="28" t="str">
        <x:v>ферментированный, умами и сложный</x:v>
      </x:c>
      <x:c r="L538" s="28" t="str">
        <x:v>(E,Z)-2,6-нонадиеналь, (E)-2-ноненаль, гексаналь</x:v>
      </x:c>
      <x:c r="M538" s="28" t="str">
        <x:v>пиразины, фураны, эфиры</x:v>
      </x:c>
      <x:c r="N538" s="28" t="str">
        <x:v>прямое пересечение семейств не подтверждено</x:v>
      </x:c>
      <x:c r="O538" s="28" t="str">
        <x:v>надёжная общая ключевая молекула не установлена</x:v>
      </x:c>
      <x:c r="P538" s="28" t="str">
        <x:v>умами и солёный контраст</x:v>
      </x:c>
      <x:c r="Q538" s="28" t="str">
        <x:v>Свежесть и водянистость требуют кислоты, соли или умами; избыток жирной матрицы может подавить зелёные ноты.</x:v>
      </x:c>
      <x:c r="R538" s="28" t="str">
        <x:v>прохладно-зелёное ощущение</x:v>
      </x:c>
      <x:c r="S538" s="28" t="str">
        <x:v>почти полностью водная хрустящая матрица; летучие альдегиды быстро теряются</x:v>
      </x:c>
      <x:c r="T53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8" s="28" t="str">
        <x:v>Огурец имеет профиль «зелёный, водянистый, свежий и дынный».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38" s="28" t="str">
        <x:v>легко разбавляет вкус; перезрелая кожица и семена дают горечь; сок быстро окисляется</x:v>
      </x:c>
      <x:c r="W538" s="28" t="str">
        <x:v>имбирь, чеснок или кунжут</x:v>
      </x:c>
      <x:c r="X538" s="28" t="str">
        <x:v>сок, кордиал, гаспачо, салат, соус, маринад или коктейльный компонент с бальзамический уксус</x:v>
      </x:c>
      <x:c r="Y538" s="28" t="str">
        <x:v>еда, соусы/маринады</x:v>
      </x:c>
      <x:c r="Z538" s="28" t="str">
        <x:v>Средняя</x:v>
      </x:c>
      <x:c r="AA538" s="28" t="str">
        <x:v>The Art &amp; Science of Foodpairing.pdf</x:v>
      </x:c>
      <x:c r="AB538" s="28" t="str">
        <x:v>The Art &amp; Science of Foodpairing.pdf: 316</x:v>
      </x:c>
      <x:c r="AC538" s="28" t="str">
        <x:v>связь из pairing grid, стр. 316</x:v>
      </x:c>
      <x:c r="AD538" s="28" t="n">
        <x:v>1</x:v>
      </x:c>
      <x:c r="AE538" s="28" t="n">
        <x:v>1</x:v>
      </x:c>
      <x:c r="AF538" s="28" t="n">
        <x:f>IF(Z538="Высокая",3,IF(Z538="Средняя",2,1))+AD538*2+MIN(AE538,3)</x:f>
        <x:v>5</x:v>
      </x:c>
    </x:row>
    <x:row r="539" ht="64" customHeight="1">
      <x:c r="A539" s="28" t="str">
        <x:v>VEG-0538</x:v>
      </x:c>
      <x:c r="B539" s="28" t="str">
        <x:v>огурец</x:v>
      </x:c>
      <x:c r="C539" s="28" t="str">
        <x:v>Десерты и выпечка</x:v>
      </x:c>
      <x:c r="D539" s="28" t="str">
        <x:v>огурец</x:v>
      </x:c>
      <x:c r="E539" s="28" t="str">
        <x:v>cucumber</x:v>
      </x:c>
      <x:c r="F539" s="28" t="str">
        <x:v>Тыквенные</x:v>
      </x:c>
      <x:c r="G539" s="28" t="str">
        <x:v>банан</x:v>
      </x:c>
      <x:c r="H539" s="28" t="str">
        <x:v>banana</x:v>
      </x:c>
      <x:c r="I539" s="28" t="str">
        <x:v>Фрукты и ягоды</x:v>
      </x:c>
      <x:c r="J539" s="28" t="str">
        <x:v>зелёный, водянистый, свежий и дынный</x:v>
      </x:c>
      <x:c r="K539" s="28" t="str">
        <x:v>фруктовый, цветочный и свежий</x:v>
      </x:c>
      <x:c r="L539" s="28" t="str">
        <x:v>(E,Z)-2,6-нонадиеналь, (E)-2-ноненаль, гексаналь</x:v>
      </x:c>
      <x:c r="M539" s="28" t="str">
        <x:v>альдегиды, эфиры</x:v>
      </x:c>
      <x:c r="N539" s="28" t="str">
        <x:v>прямое пересечение семейств не подтверждено</x:v>
      </x:c>
      <x:c r="O539" s="28" t="str">
        <x:v>надёжная общая ключевая молекула не установлена</x:v>
      </x:c>
      <x:c r="P539" s="28" t="str">
        <x:v>кислотно-сладкий баланс</x:v>
      </x:c>
      <x:c r="Q539" s="28" t="str">
        <x:v>Свежесть и водянистость требуют кислоты, соли или умами; избыток жирной матрицы может подавить зелёные ноты.</x:v>
      </x:c>
      <x:c r="R539" s="28" t="str">
        <x:v>прохладно-зелёное ощущение</x:v>
      </x:c>
      <x:c r="S539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3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39" s="28" t="str">
        <x:v>Огурец имеет профиль «зелёный, водянистый, свежий и дынный».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39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39" s="28" t="str">
        <x:v>цитрус, мёд или мягкая трава</x:v>
      </x:c>
      <x:c r="X539" s="28" t="str">
        <x:v>сок, кордиал, гаспачо, салат, соус, маринад или коктейльный компонент с банан</x:v>
      </x:c>
      <x:c r="Y539" s="28" t="str">
        <x:v>десерты</x:v>
      </x:c>
      <x:c r="Z539" s="28" t="str">
        <x:v>Средняя</x:v>
      </x:c>
      <x:c r="AA539" s="28" t="str">
        <x:v>The Art &amp; Science of Foodpairing.pdf</x:v>
      </x:c>
      <x:c r="AB539" s="28" t="str">
        <x:v>The Art &amp; Science of Foodpairing.pdf: 342</x:v>
      </x:c>
      <x:c r="AC539" s="28" t="str">
        <x:v>связь из pairing grid, стр. 342</x:v>
      </x:c>
      <x:c r="AD539" s="28" t="n">
        <x:v>1</x:v>
      </x:c>
      <x:c r="AE539" s="28" t="n">
        <x:v>1</x:v>
      </x:c>
      <x:c r="AF539" s="28" t="n">
        <x:f>IF(Z539="Высокая",3,IF(Z539="Средняя",2,1))+AD539*2+MIN(AE539,3)</x:f>
        <x:v>5</x:v>
      </x:c>
    </x:row>
    <x:row r="540" ht="64" customHeight="1">
      <x:c r="A540" s="28" t="str">
        <x:v>VEG-0539</x:v>
      </x:c>
      <x:c r="B540" s="28" t="str">
        <x:v>огурец</x:v>
      </x:c>
      <x:c r="C540" s="28" t="str">
        <x:v>Еда и соусы</x:v>
      </x:c>
      <x:c r="D540" s="28" t="str">
        <x:v>огурец</x:v>
      </x:c>
      <x:c r="E540" s="28" t="str">
        <x:v>Огурцы | огурцы</x:v>
      </x:c>
      <x:c r="F540" s="28" t="str">
        <x:v>Тыквенные</x:v>
      </x:c>
      <x:c r="G540" s="28" t="str">
        <x:v>белая рыба</x:v>
      </x:c>
      <x:c r="H540" s="28" t="str">
        <x:v>Белая рыба | белая рыба</x:v>
      </x:c>
      <x:c r="I540" s="28" t="str">
        <x:v>Рыба и морепродукты</x:v>
      </x:c>
      <x:c r="J540" s="28" t="str">
        <x:v>зелёный, водянистый, свежий и дынный</x:v>
      </x:c>
      <x:c r="K540" s="28" t="str">
        <x:v>жирный, морской, умами</x:v>
      </x:c>
      <x:c r="L540" s="28" t="str">
        <x:v>(E,Z)-2,6-нонадиеналь, (E)-2-ноненаль, гексаналь</x:v>
      </x:c>
      <x:c r="M540" s="28" t="str">
        <x:v>альдегиды, амины</x:v>
      </x:c>
      <x:c r="N540" s="28" t="str">
        <x:v>прямое пересечение семейств не подтверждено</x:v>
      </x:c>
      <x:c r="O540" s="28" t="str">
        <x:v>надёжная общая ключевая молекула не установлена</x:v>
      </x:c>
      <x:c r="P540" s="28" t="str">
        <x:v>умами и солёный контраст</x:v>
      </x:c>
      <x:c r="Q540" s="28" t="str">
        <x:v>Свежесть и водянистость требуют кислоты, соли или умами; избыток жирной матрицы может подавить зелёные ноты.</x:v>
      </x:c>
      <x:c r="R540" s="28" t="str">
        <x:v>прохладно-зелёное ощущение</x:v>
      </x:c>
      <x:c r="S540" s="28" t="str">
        <x:v>почти полностью водная хрустящая матрица; летучие альдегиды быстро теряются Белок и жир требуют контроля воды: для жареной ароматики поверхность должна подсохнуть.</x:v>
      </x:c>
      <x:c r="T54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0" s="28" t="str">
        <x:v>Огурец имеет профиль «зелёный, водянистый, свежий и дынный».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40" s="28" t="str">
        <x:v>легко разбавляет вкус; перезрелая кожица и семена дают горечь; сок быстро окисляется</x:v>
      </x:c>
      <x:c r="W540" s="28" t="str">
        <x:v>сливочное масло, соевый соус или тимьян</x:v>
      </x:c>
      <x:c r="X540" s="28" t="str">
        <x:v>сок, кордиал, гаспачо, салат, соус, маринад или коктейльный компонент с белая рыба</x:v>
      </x:c>
      <x:c r="Y540" s="28" t="str">
        <x:v>еда, соусы/маринады</x:v>
      </x:c>
      <x:c r="Z540" s="28" t="str">
        <x:v>Средняя</x:v>
      </x:c>
      <x:c r="AA540" s="28" t="str">
        <x:v>Тезариус вкусов (Ники Сегнит)(1).pdf</x:v>
      </x:c>
      <x:c r="AB540" s="28" t="str">
        <x:v>Тезариус вкусов (Ники Сегнит)(1).pdf: 387, 491</x:v>
      </x:c>
      <x:c r="AC540" s="28" t="str">
        <x:v>развёрнутая пара/статья, стр. 387; развёрнутая пара/статья, стр. 491</x:v>
      </x:c>
      <x:c r="AD540" s="28" t="n">
        <x:v>1</x:v>
      </x:c>
      <x:c r="AE540" s="28" t="n">
        <x:v>2</x:v>
      </x:c>
      <x:c r="AF540" s="28" t="n">
        <x:f>IF(Z540="Высокая",3,IF(Z540="Средняя",2,1))+AD540*2+MIN(AE540,3)</x:f>
        <x:v>6</x:v>
      </x:c>
    </x:row>
    <x:row r="541" ht="64" customHeight="1">
      <x:c r="A541" s="28" t="str">
        <x:v>VEG-0540</x:v>
      </x:c>
      <x:c r="B541" s="28" t="str">
        <x:v>огурец</x:v>
      </x:c>
      <x:c r="C541" s="28" t="str">
        <x:v>Универсальные</x:v>
      </x:c>
      <x:c r="D541" s="28" t="str">
        <x:v>огурец</x:v>
      </x:c>
      <x:c r="E541" s="28" t="str">
        <x:v>огурец</x:v>
      </x:c>
      <x:c r="F541" s="28" t="str">
        <x:v>Тыквенные</x:v>
      </x:c>
      <x:c r="G541" s="28" t="str">
        <x:v>ваниль</x:v>
      </x:c>
      <x:c r="H541" s="28" t="str">
        <x:v>Ваниль</x:v>
      </x:c>
      <x:c r="I541" s="28" t="str">
        <x:v>Специи</x:v>
      </x:c>
      <x:c r="J541" s="28" t="str">
        <x:v>зелёный, водянистый, свежий и дынный</x:v>
      </x:c>
      <x:c r="K541" s="28" t="str">
        <x:v>ванильный, древесный, цветочный</x:v>
      </x:c>
      <x:c r="L541" s="28" t="str">
        <x:v>(E,Z)-2,6-нонадиеналь, (E)-2-ноненаль, гексаналь</x:v>
      </x:c>
      <x:c r="M541" s="28" t="str">
        <x:v>ванилин</x:v>
      </x:c>
      <x:c r="N541" s="28" t="str">
        <x:v>прямое пересечение семейств не подтверждено</x:v>
      </x:c>
      <x:c r="O541" s="28" t="str">
        <x:v>надёжная общая ключевая молекула не установлена</x:v>
      </x:c>
      <x:c r="P541" s="28" t="str">
        <x:v>сенсорная комплементарность</x:v>
      </x:c>
      <x:c r="Q541" s="28" t="str">
        <x:v>Свежесть и водянистость требуют кислоты, соли или умами; избыток жирной матрицы может подавить зелёные ноты.</x:v>
      </x:c>
      <x:c r="R541" s="28" t="str">
        <x:v>прохладно-зелёное ощущение</x:v>
      </x:c>
      <x:c r="S541" s="28" t="str">
        <x:v>почти полностью водная хрустящая матрица; летучие альдегиды быстро теряются</x:v>
      </x:c>
      <x:c r="T54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1" s="28" t="str">
        <x:v>Огурец имеет профиль «зелёный, водянистый, свежий и дынный».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541" s="28" t="str">
        <x:v>легко разбавляет вкус; перезрелая кожица и семена дают горечь; сок быстро окисляется</x:v>
      </x:c>
      <x:c r="W541" s="28" t="str">
        <x:v>цитрус, йогурт или мёд</x:v>
      </x:c>
      <x:c r="X541" s="28" t="str">
        <x:v>сок, кордиал, гаспачо, салат, соус, маринад или коктейльный компонент с ваниль</x:v>
      </x:c>
      <x:c r="Y541" s="28" t="str">
        <x:v>универсальное</x:v>
      </x:c>
      <x:c r="Z541" s="28" t="str">
        <x:v>Гипотеза / практическая</x:v>
      </x:c>
      <x:c r="AA541" s="28" t="str">
        <x:v>Таблица сочетания(1).pdf</x:v>
      </x:c>
      <x:c r="AB541" s="28" t="str">
        <x:v>Таблица сочетания(1).pdf: 21</x:v>
      </x:c>
      <x:c r="AC541" s="28" t="str">
        <x:v>рекомендация таблицы, стр. 21</x:v>
      </x:c>
      <x:c r="AD541" s="28" t="n">
        <x:v>1</x:v>
      </x:c>
      <x:c r="AE541" s="28" t="n">
        <x:v>1</x:v>
      </x:c>
      <x:c r="AF541" s="28" t="n">
        <x:f>IF(Z541="Высокая",3,IF(Z541="Средняя",2,1))+AD541*2+MIN(AE541,3)</x:f>
        <x:v>4</x:v>
      </x:c>
    </x:row>
    <x:row r="542" ht="64" customHeight="1">
      <x:c r="A542" s="28" t="str">
        <x:v>VEG-0541</x:v>
      </x:c>
      <x:c r="B542" s="28" t="str">
        <x:v>огурец</x:v>
      </x:c>
      <x:c r="C542" s="28" t="str">
        <x:v>Универсальные</x:v>
      </x:c>
      <x:c r="D542" s="28" t="str">
        <x:v>огурец</x:v>
      </x:c>
      <x:c r="E542" s="28" t="str">
        <x:v>cucumber</x:v>
      </x:c>
      <x:c r="F542" s="28" t="str">
        <x:v>Тыквенные</x:v>
      </x:c>
      <x:c r="G542" s="28" t="str">
        <x:v>водоросли</x:v>
      </x:c>
      <x:c r="H542" s="28" t="str">
        <x:v>seaweed</x:v>
      </x:c>
      <x:c r="I542" s="28" t="str">
        <x:v>Прочее</x:v>
      </x:c>
      <x:c r="J542" s="28" t="str">
        <x:v>зелёный, водянистый, свежий и дынный</x:v>
      </x:c>
      <x:c r="K542" s="28" t="str">
        <x:v>профиль зависит от конкретного продукта</x:v>
      </x:c>
      <x:c r="L542" s="28" t="str">
        <x:v>(E,Z)-2,6-нонадиеналь, (E)-2-ноненаль, гексаналь</x:v>
      </x:c>
      <x:c r="M542" s="28" t="str">
        <x:v>конкретный молекулярный профиль не указан</x:v>
      </x:c>
      <x:c r="N542" s="28" t="str">
        <x:v>прямое пересечение семейств не подтверждено</x:v>
      </x:c>
      <x:c r="O542" s="28" t="str">
        <x:v>надёжная общая ключевая молекула не установлена</x:v>
      </x:c>
      <x:c r="P542" s="28" t="str">
        <x:v>сенсорная комплементарность</x:v>
      </x:c>
      <x:c r="Q542" s="28" t="str">
        <x:v>Свежесть и водянистость требуют кислоты, соли или умами; избыток жирной матрицы может подавить зелёные ноты.</x:v>
      </x:c>
      <x:c r="R542" s="28" t="str">
        <x:v>прохладно-зелёное ощущение</x:v>
      </x:c>
      <x:c r="S542" s="28" t="str">
        <x:v>почти полностью водная хрустящая матрица; летучие альдегиды быстро теряются</x:v>
      </x:c>
      <x:c r="T54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2" s="28" t="str">
        <x:v>Огурец имеет профиль «зелёный, водянистый, свежий и дынный».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42" s="28" t="str">
        <x:v>легко разбавляет вкус; перезрелая кожица и семена дают горечь; сок быстро окисляется</x:v>
      </x:c>
      <x:c r="W542" s="28" t="str">
        <x:v>соль, кислота или ароматический жир</x:v>
      </x:c>
      <x:c r="X542" s="28" t="str">
        <x:v>сок, кордиал, гаспачо, салат, соус, маринад или коктейльный компонент с водоросли</x:v>
      </x:c>
      <x:c r="Y542" s="28" t="str">
        <x:v>универсальное</x:v>
      </x:c>
      <x:c r="Z542" s="28" t="str">
        <x:v>Высокая</x:v>
      </x:c>
      <x:c r="AA542" s="28" t="str">
        <x:v>The Art &amp; Science of Foodpairing.pdf</x:v>
      </x:c>
      <x:c r="AB542" s="28" t="str">
        <x:v>The Art &amp; Science of Foodpairing.pdf: 267</x:v>
      </x:c>
      <x:c r="AC542" s="28" t="str">
        <x:v>прямая Classic pairing, стр. 267</x:v>
      </x:c>
      <x:c r="AD542" s="28" t="n">
        <x:v>1</x:v>
      </x:c>
      <x:c r="AE542" s="28" t="n">
        <x:v>1</x:v>
      </x:c>
      <x:c r="AF542" s="28" t="n">
        <x:f>IF(Z542="Высокая",3,IF(Z542="Средняя",2,1))+AD542*2+MIN(AE542,3)</x:f>
        <x:v>6</x:v>
      </x:c>
    </x:row>
    <x:row r="543" ht="64" customHeight="1">
      <x:c r="A543" s="28" t="str">
        <x:v>VEG-0542</x:v>
      </x:c>
      <x:c r="B543" s="28" t="str">
        <x:v>огурец</x:v>
      </x:c>
      <x:c r="C543" s="28" t="str">
        <x:v>Универсальные</x:v>
      </x:c>
      <x:c r="D543" s="28" t="str">
        <x:v>огурец</x:v>
      </x:c>
      <x:c r="E543" s="28" t="str">
        <x:v>cucumber</x:v>
      </x:c>
      <x:c r="F543" s="28" t="str">
        <x:v>Тыквенные</x:v>
      </x:c>
      <x:c r="G543" s="28" t="str">
        <x:v>гамбургер</x:v>
      </x:c>
      <x:c r="H543" s="28" t="str">
        <x:v>oven-baked hamburger</x:v>
      </x:c>
      <x:c r="I543" s="28" t="str">
        <x:v>Прочее</x:v>
      </x:c>
      <x:c r="J543" s="28" t="str">
        <x:v>зелёный, водянистый, свежий и дынный</x:v>
      </x:c>
      <x:c r="K543" s="28" t="str">
        <x:v>профиль зависит от конкретного продукта</x:v>
      </x:c>
      <x:c r="L543" s="28" t="str">
        <x:v>(E,Z)-2,6-нонадиеналь, (E)-2-ноненаль, гексаналь</x:v>
      </x:c>
      <x:c r="M543" s="28" t="str">
        <x:v>конкретный молекулярный профиль не указан</x:v>
      </x:c>
      <x:c r="N543" s="28" t="str">
        <x:v>прямое пересечение семейств не подтверждено</x:v>
      </x:c>
      <x:c r="O543" s="28" t="str">
        <x:v>надёжная общая ключевая молекула не установлена</x:v>
      </x:c>
      <x:c r="P543" s="28" t="str">
        <x:v>сенсорная комплементарность</x:v>
      </x:c>
      <x:c r="Q543" s="28" t="str">
        <x:v>Свежесть и водянистость требуют кислоты, соли или умами; избыток жирной матрицы может подавить зелёные ноты.</x:v>
      </x:c>
      <x:c r="R543" s="28" t="str">
        <x:v>прохладно-зелёное ощущение</x:v>
      </x:c>
      <x:c r="S543" s="28" t="str">
        <x:v>почти полностью водная хрустящая матрица; летучие альдегиды быстро теряются</x:v>
      </x:c>
      <x:c r="T54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3" s="28" t="str">
        <x:v>Огурец имеет профиль «зелёный, водянистый, свежий и дынный». Партнёр «гамбургер»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43" s="28" t="str">
        <x:v>легко разбавляет вкус; перезрелая кожица и семена дают горечь; сок быстро окисляется</x:v>
      </x:c>
      <x:c r="W543" s="28" t="str">
        <x:v>соль, кислота или ароматический жир</x:v>
      </x:c>
      <x:c r="X543" s="28" t="str">
        <x:v>сок, кордиал, гаспачо, салат, соус, маринад или коктейльный компонент с гамбургер</x:v>
      </x:c>
      <x:c r="Y543" s="28" t="str">
        <x:v>универсальное</x:v>
      </x:c>
      <x:c r="Z543" s="28" t="str">
        <x:v>Средняя</x:v>
      </x:c>
      <x:c r="AA543" s="28" t="str">
        <x:v>The Art &amp; Science of Foodpairing.pdf</x:v>
      </x:c>
      <x:c r="AB543" s="28" t="str">
        <x:v>The Art &amp; Science of Foodpairing.pdf: 268</x:v>
      </x:c>
      <x:c r="AC543" s="28" t="str">
        <x:v>связь из pairing grid, стр. 268</x:v>
      </x:c>
      <x:c r="AD543" s="28" t="n">
        <x:v>1</x:v>
      </x:c>
      <x:c r="AE543" s="28" t="n">
        <x:v>1</x:v>
      </x:c>
      <x:c r="AF543" s="28" t="n">
        <x:f>IF(Z543="Высокая",3,IF(Z543="Средняя",2,1))+AD543*2+MIN(AE543,3)</x:f>
        <x:v>5</x:v>
      </x:c>
    </x:row>
    <x:row r="544" ht="64" customHeight="1">
      <x:c r="A544" s="28" t="str">
        <x:v>VEG-0543</x:v>
      </x:c>
      <x:c r="B544" s="28" t="str">
        <x:v>огурец</x:v>
      </x:c>
      <x:c r="C544" s="28" t="str">
        <x:v>Универсальные</x:v>
      </x:c>
      <x:c r="D544" s="28" t="str">
        <x:v>огурец</x:v>
      </x:c>
      <x:c r="E544" s="28" t="str">
        <x:v>огурец</x:v>
      </x:c>
      <x:c r="F544" s="28" t="str">
        <x:v>Тыквенные</x:v>
      </x:c>
      <x:c r="G544" s="28" t="str">
        <x:v>гибискус</x:v>
      </x:c>
      <x:c r="H544" s="28" t="str">
        <x:v>Гибискус</x:v>
      </x:c>
      <x:c r="I544" s="28" t="str">
        <x:v>Прочее</x:v>
      </x:c>
      <x:c r="J544" s="28" t="str">
        <x:v>зелёный, водянистый, свежий и дынный</x:v>
      </x:c>
      <x:c r="K544" s="28" t="str">
        <x:v>профиль зависит от конкретного продукта</x:v>
      </x:c>
      <x:c r="L544" s="28" t="str">
        <x:v>(E,Z)-2,6-нонадиеналь, (E)-2-ноненаль, гексаналь</x:v>
      </x:c>
      <x:c r="M544" s="28" t="str">
        <x:v>конкретный молекулярный профиль не указан</x:v>
      </x:c>
      <x:c r="N544" s="28" t="str">
        <x:v>прямое пересечение семейств не подтверждено</x:v>
      </x:c>
      <x:c r="O544" s="28" t="str">
        <x:v>надёжная общая ключевая молекула не установлена</x:v>
      </x:c>
      <x:c r="P544" s="28" t="str">
        <x:v>сенсорная комплементарность</x:v>
      </x:c>
      <x:c r="Q544" s="28" t="str">
        <x:v>Свежесть и водянистость требуют кислоты, соли или умами; избыток жирной матрицы может подавить зелёные ноты.</x:v>
      </x:c>
      <x:c r="R544" s="28" t="str">
        <x:v>прохладно-зелёное ощущение</x:v>
      </x:c>
      <x:c r="S544" s="28" t="str">
        <x:v>почти полностью водная хрустящая матрица; летучие альдегиды быстро теряются</x:v>
      </x:c>
      <x:c r="T54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4" s="28" t="str">
        <x:v>Огурец имеет профиль «зелёный, водянистый, свежий и дынный».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44" s="28" t="str">
        <x:v>легко разбавляет вкус; перезрелая кожица и семена дают горечь; сок быстро окисляется</x:v>
      </x:c>
      <x:c r="W544" s="28" t="str">
        <x:v>соль, кислота или ароматический жир</x:v>
      </x:c>
      <x:c r="X544" s="28" t="str">
        <x:v>сок, кордиал, гаспачо, салат, соус, маринад или коктейльный компонент с гибискус</x:v>
      </x:c>
      <x:c r="Y544" s="28" t="str">
        <x:v>универсальное</x:v>
      </x:c>
      <x:c r="Z544" s="28" t="str">
        <x:v>Гипотеза / практическая</x:v>
      </x:c>
      <x:c r="AA544" s="28" t="str">
        <x:v>Таблица сочетания(1).pdf</x:v>
      </x:c>
      <x:c r="AB544" s="28" t="str">
        <x:v>Таблица сочетания(1).pdf: 9</x:v>
      </x:c>
      <x:c r="AC544" s="28" t="str">
        <x:v>рекомендация таблицы, стр. 9</x:v>
      </x:c>
      <x:c r="AD544" s="28" t="n">
        <x:v>1</x:v>
      </x:c>
      <x:c r="AE544" s="28" t="n">
        <x:v>1</x:v>
      </x:c>
      <x:c r="AF544" s="28" t="n">
        <x:f>IF(Z544="Высокая",3,IF(Z544="Средняя",2,1))+AD544*2+MIN(AE544,3)</x:f>
        <x:v>4</x:v>
      </x:c>
    </x:row>
    <x:row r="545" ht="64" customHeight="1">
      <x:c r="A545" s="28" t="str">
        <x:v>VEG-0544</x:v>
      </x:c>
      <x:c r="B545" s="28" t="str">
        <x:v>огурец</x:v>
      </x:c>
      <x:c r="C545" s="28" t="str">
        <x:v>Универсальные</x:v>
      </x:c>
      <x:c r="D545" s="28" t="str">
        <x:v>огурец</x:v>
      </x:c>
      <x:c r="E545" s="28" t="str">
        <x:v>cucumber</x:v>
      </x:c>
      <x:c r="F545" s="28" t="str">
        <x:v>Тыквенные</x:v>
      </x:c>
      <x:c r="G545" s="28" t="str">
        <x:v>горчичная зелень</x:v>
      </x:c>
      <x:c r="H545" s="28" t="str">
        <x:v>steamed mustard greens</x:v>
      </x:c>
      <x:c r="I545" s="28" t="str">
        <x:v>Прочее</x:v>
      </x:c>
      <x:c r="J545" s="28" t="str">
        <x:v>зелёный, водянистый, свежий и дынный</x:v>
      </x:c>
      <x:c r="K545" s="28" t="str">
        <x:v>профиль зависит от конкретного продукта</x:v>
      </x:c>
      <x:c r="L545" s="28" t="str">
        <x:v>(E,Z)-2,6-нонадиеналь, (E)-2-ноненаль, гексаналь</x:v>
      </x:c>
      <x:c r="M545" s="28" t="str">
        <x:v>конкретный молекулярный профиль не указан</x:v>
      </x:c>
      <x:c r="N545" s="28" t="str">
        <x:v>прямое пересечение семейств не подтверждено</x:v>
      </x:c>
      <x:c r="O545" s="28" t="str">
        <x:v>надёжная общая ключевая молекула не установлена</x:v>
      </x:c>
      <x:c r="P545" s="28" t="str">
        <x:v>сенсорная комплементарность</x:v>
      </x:c>
      <x:c r="Q545" s="28" t="str">
        <x:v>Свежесть и водянистость требуют кислоты, соли или умами; избыток жирной матрицы может подавить зелёные ноты.</x:v>
      </x:c>
      <x:c r="R545" s="28" t="str">
        <x:v>прохладно-зелёное ощущение</x:v>
      </x:c>
      <x:c r="S545" s="28" t="str">
        <x:v>почти полностью водная хрустящая матрица; летучие альдегиды быстро теряются</x:v>
      </x:c>
      <x:c r="T54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5" s="28" t="str">
        <x:v>Огурец имеет профиль «зелёный, водянистый, свежий и дынный». Партнёр «горчичная зелень»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45" s="28" t="str">
        <x:v>легко разбавляет вкус; перезрелая кожица и семена дают горечь; сок быстро окисляется</x:v>
      </x:c>
      <x:c r="W545" s="28" t="str">
        <x:v>соль, кислота или ароматический жир</x:v>
      </x:c>
      <x:c r="X545" s="28" t="str">
        <x:v>сок, кордиал, гаспачо, салат, соус, маринад или коктейльный компонент с горчичная зелень</x:v>
      </x:c>
      <x:c r="Y545" s="28" t="str">
        <x:v>универсальное</x:v>
      </x:c>
      <x:c r="Z545" s="28" t="str">
        <x:v>Средняя</x:v>
      </x:c>
      <x:c r="AA545" s="28" t="str">
        <x:v>The Art &amp; Science of Foodpairing.pdf</x:v>
      </x:c>
      <x:c r="AB545" s="28" t="str">
        <x:v>The Art &amp; Science of Foodpairing.pdf: 268</x:v>
      </x:c>
      <x:c r="AC545" s="28" t="str">
        <x:v>связь из pairing grid, стр. 268</x:v>
      </x:c>
      <x:c r="AD545" s="28" t="n">
        <x:v>1</x:v>
      </x:c>
      <x:c r="AE545" s="28" t="n">
        <x:v>1</x:v>
      </x:c>
      <x:c r="AF545" s="28" t="n">
        <x:f>IF(Z545="Высокая",3,IF(Z545="Средняя",2,1))+AD545*2+MIN(AE545,3)</x:f>
        <x:v>5</x:v>
      </x:c>
    </x:row>
    <x:row r="546" ht="64" customHeight="1">
      <x:c r="A546" s="28" t="str">
        <x:v>VEG-0545</x:v>
      </x:c>
      <x:c r="B546" s="28" t="str">
        <x:v>огурец</x:v>
      </x:c>
      <x:c r="C546" s="28" t="str">
        <x:v>Универсальные</x:v>
      </x:c>
      <x:c r="D546" s="28" t="str">
        <x:v>огурец</x:v>
      </x:c>
      <x:c r="E546" s="28" t="str">
        <x:v>огурец</x:v>
      </x:c>
      <x:c r="F546" s="28" t="str">
        <x:v>Тыквенные</x:v>
      </x:c>
      <x:c r="G546" s="28" t="str">
        <x:v>гранат</x:v>
      </x:c>
      <x:c r="H546" s="28" t="str">
        <x:v>Гранат</x:v>
      </x:c>
      <x:c r="I546" s="28" t="str">
        <x:v>Прочее</x:v>
      </x:c>
      <x:c r="J546" s="28" t="str">
        <x:v>зелёный, водянистый, свежий и дынный</x:v>
      </x:c>
      <x:c r="K546" s="28" t="str">
        <x:v>профиль зависит от конкретного продукта</x:v>
      </x:c>
      <x:c r="L546" s="28" t="str">
        <x:v>(E,Z)-2,6-нонадиеналь, (E)-2-ноненаль, гексаналь</x:v>
      </x:c>
      <x:c r="M546" s="28" t="str">
        <x:v>конкретный молекулярный профиль не указан</x:v>
      </x:c>
      <x:c r="N546" s="28" t="str">
        <x:v>прямое пересечение семейств не подтверждено</x:v>
      </x:c>
      <x:c r="O546" s="28" t="str">
        <x:v>надёжная общая ключевая молекула не установлена</x:v>
      </x:c>
      <x:c r="P546" s="28" t="str">
        <x:v>сенсорная комплементарность</x:v>
      </x:c>
      <x:c r="Q546" s="28" t="str">
        <x:v>Свежесть и водянистость требуют кислоты, соли или умами; избыток жирной матрицы может подавить зелёные ноты.</x:v>
      </x:c>
      <x:c r="R546" s="28" t="str">
        <x:v>прохладно-зелёное ощущение</x:v>
      </x:c>
      <x:c r="S546" s="28" t="str">
        <x:v>почти полностью водная хрустящая матрица; летучие альдегиды быстро теряются</x:v>
      </x:c>
      <x:c r="T54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6" s="28" t="str">
        <x:v>Огурец имеет профиль «зелёный, водянистый, свежий и дынный». Партнёр «гранат»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46" s="28" t="str">
        <x:v>легко разбавляет вкус; перезрелая кожица и семена дают горечь; сок быстро окисляется</x:v>
      </x:c>
      <x:c r="W546" s="28" t="str">
        <x:v>соль, кислота или ароматический жир</x:v>
      </x:c>
      <x:c r="X546" s="28" t="str">
        <x:v>сок, кордиал, гаспачо, салат, соус, маринад или коктейльный компонент с гранат</x:v>
      </x:c>
      <x:c r="Y546" s="28" t="str">
        <x:v>универсальное</x:v>
      </x:c>
      <x:c r="Z546" s="28" t="str">
        <x:v>Гипотеза / практическая</x:v>
      </x:c>
      <x:c r="AA546" s="28" t="str">
        <x:v>Таблица сочетания(1).pdf</x:v>
      </x:c>
      <x:c r="AB546" s="28" t="str">
        <x:v>Таблица сочетания(1).pdf: 17</x:v>
      </x:c>
      <x:c r="AC546" s="28" t="str">
        <x:v>рекомендация таблицы, стр. 17</x:v>
      </x:c>
      <x:c r="AD546" s="28" t="n">
        <x:v>1</x:v>
      </x:c>
      <x:c r="AE546" s="28" t="n">
        <x:v>1</x:v>
      </x:c>
      <x:c r="AF546" s="28" t="n">
        <x:f>IF(Z546="Высокая",3,IF(Z546="Средняя",2,1))+AD546*2+MIN(AE546,3)</x:f>
        <x:v>4</x:v>
      </x:c>
    </x:row>
    <x:row r="547" ht="64" customHeight="1">
      <x:c r="A547" s="28" t="str">
        <x:v>VEG-0546</x:v>
      </x:c>
      <x:c r="B547" s="28" t="str">
        <x:v>огурец</x:v>
      </x:c>
      <x:c r="C547" s="28" t="str">
        <x:v>Десерты и выпечка</x:v>
      </x:c>
      <x:c r="D547" s="28" t="str">
        <x:v>огурец</x:v>
      </x:c>
      <x:c r="E547" s="28" t="str">
        <x:v>Огурцы | огурцы</x:v>
      </x:c>
      <x:c r="F547" s="28" t="str">
        <x:v>Тыквенные</x:v>
      </x:c>
      <x:c r="G547" s="28" t="str">
        <x:v>дыня</x:v>
      </x:c>
      <x:c r="H547" s="28" t="str">
        <x:v>Дыня | дыня</x:v>
      </x:c>
      <x:c r="I547" s="28" t="str">
        <x:v>Фрукты и ягоды</x:v>
      </x:c>
      <x:c r="J547" s="28" t="str">
        <x:v>зелёный, водянистый, свежий и дынный</x:v>
      </x:c>
      <x:c r="K547" s="28" t="str">
        <x:v>фруктовый, цветочный и свежий</x:v>
      </x:c>
      <x:c r="L547" s="28" t="str">
        <x:v>(E,Z)-2,6-нонадиеналь, (E)-2-ноненаль, гексаналь</x:v>
      </x:c>
      <x:c r="M547" s="28" t="str">
        <x:v>альдегиды, эфиры</x:v>
      </x:c>
      <x:c r="N547" s="28" t="str">
        <x:v>прямое пересечение семейств не подтверждено</x:v>
      </x:c>
      <x:c r="O547" s="28" t="str">
        <x:v>надёжная общая ключевая молекула не установлена</x:v>
      </x:c>
      <x:c r="P547" s="28" t="str">
        <x:v>кислотно-сладкий баланс</x:v>
      </x:c>
      <x:c r="Q547" s="28" t="str">
        <x:v>Свежесть и водянистость требуют кислоты, соли или умами; избыток жирной матрицы может подавить зелёные ноты.</x:v>
      </x:c>
      <x:c r="R547" s="28" t="str">
        <x:v>прохладно-зелёное ощущение</x:v>
      </x:c>
      <x:c r="S547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4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7" s="28" t="str">
        <x:v>Огурец имеет профиль «зелёный, водянистый, свежий и дынный».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47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47" s="28" t="str">
        <x:v>цитрус, мёд или мягкая трава</x:v>
      </x:c>
      <x:c r="X547" s="28" t="str">
        <x:v>сок, кордиал, гаспачо, салат, соус, маринад или коктейльный компонент с дыня</x:v>
      </x:c>
      <x:c r="Y547" s="28" t="str">
        <x:v>десерты</x:v>
      </x:c>
      <x:c r="Z547" s="28" t="str">
        <x:v>Средняя</x:v>
      </x:c>
      <x:c r="AA547" s="28" t="str">
        <x:v>Тезариус вкусов (Ники Сегнит)(1).pdf</x:v>
      </x:c>
      <x:c r="AB547" s="28" t="str">
        <x:v>Тезариус вкусов (Ники Сегнит)(1).pdf: 492, 740</x:v>
      </x:c>
      <x:c r="AC547" s="28" t="str">
        <x:v>развёрнутая пара/статья, стр. 492; развёрнутая пара/статья, стр. 740</x:v>
      </x:c>
      <x:c r="AD547" s="28" t="n">
        <x:v>1</x:v>
      </x:c>
      <x:c r="AE547" s="28" t="n">
        <x:v>2</x:v>
      </x:c>
      <x:c r="AF547" s="28" t="n">
        <x:f>IF(Z547="Высокая",3,IF(Z547="Средняя",2,1))+AD547*2+MIN(AE547,3)</x:f>
        <x:v>6</x:v>
      </x:c>
    </x:row>
    <x:row r="548" ht="64" customHeight="1">
      <x:c r="A548" s="28" t="str">
        <x:v>VEG-0547</x:v>
      </x:c>
      <x:c r="B548" s="28" t="str">
        <x:v>огурец</x:v>
      </x:c>
      <x:c r="C548" s="28" t="str">
        <x:v>Еда и соусы</x:v>
      </x:c>
      <x:c r="D548" s="28" t="str">
        <x:v>огурец</x:v>
      </x:c>
      <x:c r="E548" s="28" t="str">
        <x:v>Огурцы | огурцы</x:v>
      </x:c>
      <x:c r="F548" s="28" t="str">
        <x:v>Тыквенные</x:v>
      </x:c>
      <x:c r="G548" s="28" t="str">
        <x:v>жирная рыба</x:v>
      </x:c>
      <x:c r="H548" s="28" t="str">
        <x:v>Жирная рыба | жирная рыба</x:v>
      </x:c>
      <x:c r="I548" s="28" t="str">
        <x:v>Рыба и морепродукты</x:v>
      </x:c>
      <x:c r="J548" s="28" t="str">
        <x:v>зелёный, водянистый, свежий и дынный</x:v>
      </x:c>
      <x:c r="K548" s="28" t="str">
        <x:v>жирный, морской, умами</x:v>
      </x:c>
      <x:c r="L548" s="28" t="str">
        <x:v>(E,Z)-2,6-нонадиеналь, (E)-2-ноненаль, гексаналь</x:v>
      </x:c>
      <x:c r="M548" s="28" t="str">
        <x:v>альдегиды, амины</x:v>
      </x:c>
      <x:c r="N548" s="28" t="str">
        <x:v>прямое пересечение семейств не подтверждено</x:v>
      </x:c>
      <x:c r="O548" s="28" t="str">
        <x:v>надёжная общая ключевая молекула не установлена</x:v>
      </x:c>
      <x:c r="P548" s="28" t="str">
        <x:v>умами и солёный контраст</x:v>
      </x:c>
      <x:c r="Q548" s="28" t="str">
        <x:v>Свежесть и водянистость требуют кислоты, соли или умами; избыток жирной матрицы может подавить зелёные ноты.</x:v>
      </x:c>
      <x:c r="R548" s="28" t="str">
        <x:v>прохладно-зелёное ощущение</x:v>
      </x:c>
      <x:c r="S548" s="28" t="str">
        <x:v>почти полностью водная хрустящая матрица; летучие альдегиды быстро теряются Белок и жир требуют контроля воды: для жареной ароматики поверхность должна подсохнуть.</x:v>
      </x:c>
      <x:c r="T54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8" s="28" t="str">
        <x:v>Огурец имеет профиль «зелёный, водянистый, свежий и дынный».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48" s="28" t="str">
        <x:v>легко разбавляет вкус; перезрелая кожица и семена дают горечь; сок быстро окисляется</x:v>
      </x:c>
      <x:c r="W548" s="28" t="str">
        <x:v>сливочное масло, соевый соус или тимьян</x:v>
      </x:c>
      <x:c r="X548" s="28" t="str">
        <x:v>сок, кордиал, гаспачо, салат, соус, маринад или коктейльный компонент с жирная рыба</x:v>
      </x:c>
      <x:c r="Y548" s="28" t="str">
        <x:v>еда, соусы/маринады</x:v>
      </x:c>
      <x:c r="Z548" s="28" t="str">
        <x:v>Средняя</x:v>
      </x:c>
      <x:c r="AA548" s="28" t="str">
        <x:v>Тезариус вкусов (Ники Сегнит)(1).pdf</x:v>
      </x:c>
      <x:c r="AB548" s="28" t="str">
        <x:v>Тезариус вкусов (Ники Сегнит)(1).pdf: 416, 492</x:v>
      </x:c>
      <x:c r="AC548" s="28" t="str">
        <x:v>развёрнутая пара/статья, стр. 416; развёрнутая пара/статья, стр. 492</x:v>
      </x:c>
      <x:c r="AD548" s="28" t="n">
        <x:v>1</x:v>
      </x:c>
      <x:c r="AE548" s="28" t="n">
        <x:v>2</x:v>
      </x:c>
      <x:c r="AF548" s="28" t="n">
        <x:f>IF(Z548="Высокая",3,IF(Z548="Средняя",2,1))+AD548*2+MIN(AE548,3)</x:f>
        <x:v>6</x:v>
      </x:c>
    </x:row>
    <x:row r="549" ht="64" customHeight="1">
      <x:c r="A549" s="28" t="str">
        <x:v>VEG-0548</x:v>
      </x:c>
      <x:c r="B549" s="28" t="str">
        <x:v>огурец</x:v>
      </x:c>
      <x:c r="C549" s="28" t="str">
        <x:v>Универсальные</x:v>
      </x:c>
      <x:c r="D549" s="28" t="str">
        <x:v>огурец</x:v>
      </x:c>
      <x:c r="E549" s="28" t="str">
        <x:v>Огурцы | огурцы</x:v>
      </x:c>
      <x:c r="F549" s="28" t="str">
        <x:v>Тыквенные</x:v>
      </x:c>
      <x:c r="G549" s="28" t="str">
        <x:v>зира</x:v>
      </x:c>
      <x:c r="H549" s="28" t="str">
        <x:v>Зира | зира</x:v>
      </x:c>
      <x:c r="I549" s="28" t="str">
        <x:v>Специи</x:v>
      </x:c>
      <x:c r="J549" s="28" t="str">
        <x:v>зелёный, водянистый, свежий и дынный</x:v>
      </x:c>
      <x:c r="K549" s="28" t="str">
        <x:v>жареный, землистый, пряный</x:v>
      </x:c>
      <x:c r="L549" s="28" t="str">
        <x:v>(E,Z)-2,6-нонадиеналь, (E)-2-ноненаль, гексаналь</x:v>
      </x:c>
      <x:c r="M549" s="28" t="str">
        <x:v>куминовый альдегид, терпены</x:v>
      </x:c>
      <x:c r="N549" s="28" t="str">
        <x:v>прямое пересечение семейств не подтверждено</x:v>
      </x:c>
      <x:c r="O549" s="28" t="str">
        <x:v>надёжная общая ключевая молекула не установлена</x:v>
      </x:c>
      <x:c r="P549" s="28" t="str">
        <x:v>сенсорная комплементарность</x:v>
      </x:c>
      <x:c r="Q549" s="28" t="str">
        <x:v>Свежесть и водянистость требуют кислоты, соли или умами; избыток жирной матрицы может подавить зелёные ноты.</x:v>
      </x:c>
      <x:c r="R549" s="28" t="str">
        <x:v>прохладно-зелёное ощущение</x:v>
      </x:c>
      <x:c r="S549" s="28" t="str">
        <x:v>почти полностью водная хрустящая матрица; летучие альдегиды быстро теряются</x:v>
      </x:c>
      <x:c r="T54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49" s="28" t="str">
        <x:v>Огурец имеет профиль «зелёный, водянистый, свежий и дынный». Партнёр «зира» относится к группе «Специи» и даёт жареный, землистый, пряный.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549" s="28" t="str">
        <x:v>легко разбавляет вкус; перезрелая кожица и семена дают горечь; сок быстро окисляется</x:v>
      </x:c>
      <x:c r="W549" s="28" t="str">
        <x:v>цитрус, йогурт или мёд</x:v>
      </x:c>
      <x:c r="X549" s="28" t="str">
        <x:v>сок, кордиал, гаспачо, салат, соус, маринад или коктейльный компонент с зира</x:v>
      </x:c>
      <x:c r="Y549" s="28" t="str">
        <x:v>универсальное</x:v>
      </x:c>
      <x:c r="Z549" s="28" t="str">
        <x:v>Средняя</x:v>
      </x:c>
      <x:c r="AA549" s="28" t="str">
        <x:v>Тезариус вкусов (Ники Сегнит)(1).pdf</x:v>
      </x:c>
      <x:c r="AB549" s="28" t="str">
        <x:v>Тезариус вкусов (Ники Сегнит)(1).pdf: 218, 492</x:v>
      </x:c>
      <x:c r="AC549" s="28" t="str">
        <x:v>развёрнутая пара/статья, стр. 218; развёрнутая пара/статья, стр. 492</x:v>
      </x:c>
      <x:c r="AD549" s="28" t="n">
        <x:v>1</x:v>
      </x:c>
      <x:c r="AE549" s="28" t="n">
        <x:v>2</x:v>
      </x:c>
      <x:c r="AF549" s="28" t="n">
        <x:f>IF(Z549="Высокая",3,IF(Z549="Средняя",2,1))+AD549*2+MIN(AE549,3)</x:f>
        <x:v>6</x:v>
      </x:c>
    </x:row>
    <x:row r="550" ht="64" customHeight="1">
      <x:c r="A550" s="28" t="str">
        <x:v>VEG-0549</x:v>
      </x:c>
      <x:c r="B550" s="28" t="str">
        <x:v>огурец</x:v>
      </x:c>
      <x:c r="C550" s="28" t="str">
        <x:v>Универсальные</x:v>
      </x:c>
      <x:c r="D550" s="28" t="str">
        <x:v>огурец</x:v>
      </x:c>
      <x:c r="E550" s="28" t="str">
        <x:v>cucumber | огурец</x:v>
      </x:c>
      <x:c r="F550" s="28" t="str">
        <x:v>Тыквенные</x:v>
      </x:c>
      <x:c r="G550" s="28" t="str">
        <x:v>имбирь</x:v>
      </x:c>
      <x:c r="H550" s="28" t="str">
        <x:v>ginger | Имбирь</x:v>
      </x:c>
      <x:c r="I550" s="28" t="str">
        <x:v>Специи</x:v>
      </x:c>
      <x:c r="J550" s="28" t="str">
        <x:v>зелёный, водянистый, свежий и дынный</x:v>
      </x:c>
      <x:c r="K550" s="28" t="str">
        <x:v>пряный, тёплый, цитрусовый</x:v>
      </x:c>
      <x:c r="L550" s="28" t="str">
        <x:v>(E,Z)-2,6-нонадиеналь, (E)-2-ноненаль, гексаналь</x:v>
      </x:c>
      <x:c r="M550" s="28" t="str">
        <x:v>гингеролы, цитраль</x:v>
      </x:c>
      <x:c r="N550" s="28" t="str">
        <x:v>прямое пересечение семейств не подтверждено</x:v>
      </x:c>
      <x:c r="O550" s="28" t="str">
        <x:v>надёжная общая ключевая молекула не установлена</x:v>
      </x:c>
      <x:c r="P550" s="28" t="str">
        <x:v>сенсорная комплементарность</x:v>
      </x:c>
      <x:c r="Q550" s="28" t="str">
        <x:v>Свежесть и водянистость требуют кислоты, соли или умами; избыток жирной матрицы может подавить зелёные ноты.</x:v>
      </x:c>
      <x:c r="R550" s="28" t="str">
        <x:v>прохладно-зелёное ощущение</x:v>
      </x:c>
      <x:c r="S550" s="28" t="str">
        <x:v>почти полностью водная хрустящая матрица; летучие альдегиды быстро теряются</x:v>
      </x:c>
      <x:c r="T55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0" s="28" t="str">
        <x:v>Огурец имеет профиль «зелёный, водянистый, свежий и дынный».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550" s="28" t="str">
        <x:v>легко разбавляет вкус; перезрелая кожица и семена дают горечь; сок быстро окисляется</x:v>
      </x:c>
      <x:c r="W550" s="28" t="str">
        <x:v>цитрус, йогурт или мёд</x:v>
      </x:c>
      <x:c r="X550" s="28" t="str">
        <x:v>сок, кордиал, гаспачо, салат, соус, маринад или коктейльный компонент с имбирь</x:v>
      </x:c>
      <x:c r="Y550" s="28" t="str">
        <x:v>универсальное</x:v>
      </x:c>
      <x:c r="Z550" s="28" t="str">
        <x:v>Высокая</x:v>
      </x:c>
      <x:c r="AA550" s="28" t="str">
        <x:v>The Art &amp; Science of Foodpairing.pdf | Таблица сочетания(1).pdf</x:v>
      </x:c>
      <x:c r="AB550" s="28" t="str">
        <x:v>Таблица сочетания(1).pdf: 8; The Art &amp; Science of Foodpairing.pdf: 142</x:v>
      </x:c>
      <x:c r="AC550" s="28" t="str">
        <x:v>связь из pairing grid, стр. 142; рекомендация таблицы, стр. 8</x:v>
      </x:c>
      <x:c r="AD550" s="28" t="n">
        <x:v>2</x:v>
      </x:c>
      <x:c r="AE550" s="28" t="n">
        <x:v>2</x:v>
      </x:c>
      <x:c r="AF550" s="28" t="n">
        <x:f>IF(Z550="Высокая",3,IF(Z550="Средняя",2,1))+AD550*2+MIN(AE550,3)</x:f>
        <x:v>9</x:v>
      </x:c>
    </x:row>
    <x:row r="551" ht="64" customHeight="1">
      <x:c r="A551" s="28" t="str">
        <x:v>VEG-0550</x:v>
      </x:c>
      <x:c r="B551" s="28" t="str">
        <x:v>огурец</x:v>
      </x:c>
      <x:c r="C551" s="28" t="str">
        <x:v>Универсальные</x:v>
      </x:c>
      <x:c r="D551" s="28" t="str">
        <x:v>огурец</x:v>
      </x:c>
      <x:c r="E551" s="28" t="str">
        <x:v>огурец</x:v>
      </x:c>
      <x:c r="F551" s="28" t="str">
        <x:v>Тыквенные</x:v>
      </x:c>
      <x:c r="G551" s="28" t="str">
        <x:v>канталупа</x:v>
      </x:c>
      <x:c r="H551" s="28" t="str">
        <x:v>Канталупа</x:v>
      </x:c>
      <x:c r="I551" s="28" t="str">
        <x:v>Прочее</x:v>
      </x:c>
      <x:c r="J551" s="28" t="str">
        <x:v>зелёный, водянистый, свежий и дынный</x:v>
      </x:c>
      <x:c r="K551" s="28" t="str">
        <x:v>профиль зависит от конкретного продукта</x:v>
      </x:c>
      <x:c r="L551" s="28" t="str">
        <x:v>(E,Z)-2,6-нонадиеналь, (E)-2-ноненаль, гексаналь</x:v>
      </x:c>
      <x:c r="M551" s="28" t="str">
        <x:v>конкретный молекулярный профиль не указан</x:v>
      </x:c>
      <x:c r="N551" s="28" t="str">
        <x:v>прямое пересечение семейств не подтверждено</x:v>
      </x:c>
      <x:c r="O551" s="28" t="str">
        <x:v>надёжная общая ключевая молекула не установлена</x:v>
      </x:c>
      <x:c r="P551" s="28" t="str">
        <x:v>сенсорная комплементарность</x:v>
      </x:c>
      <x:c r="Q551" s="28" t="str">
        <x:v>Свежесть и водянистость требуют кислоты, соли или умами; избыток жирной матрицы может подавить зелёные ноты.</x:v>
      </x:c>
      <x:c r="R551" s="28" t="str">
        <x:v>прохладно-зелёное ощущение</x:v>
      </x:c>
      <x:c r="S551" s="28" t="str">
        <x:v>почти полностью водная хрустящая матрица; летучие альдегиды быстро теряются</x:v>
      </x:c>
      <x:c r="T55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1" s="28" t="str">
        <x:v>Огурец имеет профиль «зелёный, водянистый, свежий и дынный». Партнёр «канталупа»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51" s="28" t="str">
        <x:v>легко разбавляет вкус; перезрелая кожица и семена дают горечь; сок быстро окисляется</x:v>
      </x:c>
      <x:c r="W551" s="28" t="str">
        <x:v>соль, кислота или ароматический жир</x:v>
      </x:c>
      <x:c r="X551" s="28" t="str">
        <x:v>сок, кордиал, гаспачо, салат, соус, маринад или коктейльный компонент с канталупа</x:v>
      </x:c>
      <x:c r="Y551" s="28" t="str">
        <x:v>универсальное</x:v>
      </x:c>
      <x:c r="Z551" s="28" t="str">
        <x:v>Гипотеза / практическая</x:v>
      </x:c>
      <x:c r="AA551" s="28" t="str">
        <x:v>Таблица сочетания(1).pdf</x:v>
      </x:c>
      <x:c r="AB551" s="28" t="str">
        <x:v>Таблица сочетания(1).pdf: 3</x:v>
      </x:c>
      <x:c r="AC551" s="28" t="str">
        <x:v>рекомендация таблицы, стр. 3</x:v>
      </x:c>
      <x:c r="AD551" s="28" t="n">
        <x:v>1</x:v>
      </x:c>
      <x:c r="AE551" s="28" t="n">
        <x:v>1</x:v>
      </x:c>
      <x:c r="AF551" s="28" t="n">
        <x:f>IF(Z551="Высокая",3,IF(Z551="Средняя",2,1))+AD551*2+MIN(AE551,3)</x:f>
        <x:v>4</x:v>
      </x:c>
    </x:row>
    <x:row r="552" ht="64" customHeight="1">
      <x:c r="A552" s="28" t="str">
        <x:v>VEG-0551</x:v>
      </x:c>
      <x:c r="B552" s="28" t="str">
        <x:v>огурец</x:v>
      </x:c>
      <x:c r="C552" s="28" t="str">
        <x:v>Универсальные</x:v>
      </x:c>
      <x:c r="D552" s="28" t="str">
        <x:v>огурец</x:v>
      </x:c>
      <x:c r="E552" s="28" t="str">
        <x:v>Огурцы | огурцы</x:v>
      </x:c>
      <x:c r="F552" s="28" t="str">
        <x:v>Тыквенные</x:v>
      </x:c>
      <x:c r="G552" s="28" t="str">
        <x:v>каперсы</x:v>
      </x:c>
      <x:c r="H552" s="28" t="str">
        <x:v>Каперсы | каперсы</x:v>
      </x:c>
      <x:c r="I552" s="28" t="str">
        <x:v>Прочее</x:v>
      </x:c>
      <x:c r="J552" s="28" t="str">
        <x:v>зелёный, водянистый, свежий и дынный</x:v>
      </x:c>
      <x:c r="K552" s="28" t="str">
        <x:v>профиль зависит от конкретного продукта</x:v>
      </x:c>
      <x:c r="L552" s="28" t="str">
        <x:v>(E,Z)-2,6-нонадиеналь, (E)-2-ноненаль, гексаналь</x:v>
      </x:c>
      <x:c r="M552" s="28" t="str">
        <x:v>конкретный молекулярный профиль не указан</x:v>
      </x:c>
      <x:c r="N552" s="28" t="str">
        <x:v>прямое пересечение семейств не подтверждено</x:v>
      </x:c>
      <x:c r="O552" s="28" t="str">
        <x:v>надёжная общая ключевая молекула не установлена</x:v>
      </x:c>
      <x:c r="P552" s="28" t="str">
        <x:v>сенсорная комплементарность</x:v>
      </x:c>
      <x:c r="Q552" s="28" t="str">
        <x:v>Свежесть и водянистость требуют кислоты, соли или умами; избыток жирной матрицы может подавить зелёные ноты.</x:v>
      </x:c>
      <x:c r="R552" s="28" t="str">
        <x:v>прохладно-зелёное ощущение</x:v>
      </x:c>
      <x:c r="S552" s="28" t="str">
        <x:v>почти полностью водная хрустящая матрица; летучие альдегиды быстро теряются</x:v>
      </x:c>
      <x:c r="T55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2" s="28" t="str">
        <x:v>Огурец имеет профиль «зелёный, водянистый, свежий и дынный».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52" s="28" t="str">
        <x:v>легко разбавляет вкус; перезрелая кожица и семена дают горечь; сок быстро окисляется</x:v>
      </x:c>
      <x:c r="W552" s="28" t="str">
        <x:v>соль, кислота или ароматический жир</x:v>
      </x:c>
      <x:c r="X552" s="28" t="str">
        <x:v>сок, кордиал, гаспачо, салат, соус, маринад или коктейльный компонент с каперсы</x:v>
      </x:c>
      <x:c r="Y552" s="28" t="str">
        <x:v>универсальное</x:v>
      </x:c>
      <x:c r="Z552" s="28" t="str">
        <x:v>Средняя</x:v>
      </x:c>
      <x:c r="AA552" s="28" t="str">
        <x:v>Тезариус вкусов (Ники Сегнит)(1).pdf</x:v>
      </x:c>
      <x:c r="AB552" s="28" t="str">
        <x:v>Тезариус вкусов (Ники Сегнит)(1).pdf: 270, 492</x:v>
      </x:c>
      <x:c r="AC552" s="28" t="str">
        <x:v>развёрнутая пара/статья, стр. 270; развёрнутая пара/статья, стр. 492</x:v>
      </x:c>
      <x:c r="AD552" s="28" t="n">
        <x:v>1</x:v>
      </x:c>
      <x:c r="AE552" s="28" t="n">
        <x:v>2</x:v>
      </x:c>
      <x:c r="AF552" s="28" t="n">
        <x:f>IF(Z552="Высокая",3,IF(Z552="Средняя",2,1))+AD552*2+MIN(AE552,3)</x:f>
        <x:v>6</x:v>
      </x:c>
    </x:row>
    <x:row r="553" ht="64" customHeight="1">
      <x:c r="A553" s="28" t="str">
        <x:v>VEG-0552</x:v>
      </x:c>
      <x:c r="B553" s="28" t="str">
        <x:v>огурец</x:v>
      </x:c>
      <x:c r="C553" s="28" t="str">
        <x:v>Универсальные</x:v>
      </x:c>
      <x:c r="D553" s="28" t="str">
        <x:v>огурец</x:v>
      </x:c>
      <x:c r="E553" s="28" t="str">
        <x:v>cucumber</x:v>
      </x:c>
      <x:c r="F553" s="28" t="str">
        <x:v>Тыквенные</x:v>
      </x:c>
      <x:c r="G553" s="28" t="str">
        <x:v>кешью</x:v>
      </x:c>
      <x:c r="H553" s="28" t="str">
        <x:v>roasted cashew nut</x:v>
      </x:c>
      <x:c r="I553" s="28" t="str">
        <x:v>Прочее</x:v>
      </x:c>
      <x:c r="J553" s="28" t="str">
        <x:v>зелёный, водянистый, свежий и дынный</x:v>
      </x:c>
      <x:c r="K553" s="28" t="str">
        <x:v>профиль зависит от конкретного продукта</x:v>
      </x:c>
      <x:c r="L553" s="28" t="str">
        <x:v>(E,Z)-2,6-нонадиеналь, (E)-2-ноненаль, гексаналь</x:v>
      </x:c>
      <x:c r="M553" s="28" t="str">
        <x:v>конкретный молекулярный профиль не указан</x:v>
      </x:c>
      <x:c r="N553" s="28" t="str">
        <x:v>прямое пересечение семейств не подтверждено</x:v>
      </x:c>
      <x:c r="O553" s="28" t="str">
        <x:v>надёжная общая ключевая молекула не установлена</x:v>
      </x:c>
      <x:c r="P553" s="28" t="str">
        <x:v>сенсорная комплементарность</x:v>
      </x:c>
      <x:c r="Q553" s="28" t="str">
        <x:v>Свежесть и водянистость требуют кислоты, соли или умами; избыток жирной матрицы может подавить зелёные ноты.</x:v>
      </x:c>
      <x:c r="R553" s="28" t="str">
        <x:v>прохладно-зелёное ощущение</x:v>
      </x:c>
      <x:c r="S553" s="28" t="str">
        <x:v>почти полностью водная хрустящая матрица; летучие альдегиды быстро теряются</x:v>
      </x:c>
      <x:c r="T55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3" s="28" t="str">
        <x:v>Огурец имеет профиль «зелёный, водянистый, свежий и дынный». Партнёр «кешью»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53" s="28" t="str">
        <x:v>легко разбавляет вкус; перезрелая кожица и семена дают горечь; сок быстро окисляется</x:v>
      </x:c>
      <x:c r="W553" s="28" t="str">
        <x:v>соль, кислота или ароматический жир</x:v>
      </x:c>
      <x:c r="X553" s="28" t="str">
        <x:v>сок, кордиал, гаспачо, салат, соус, маринад или коктейльный компонент с кешью</x:v>
      </x:c>
      <x:c r="Y553" s="28" t="str">
        <x:v>универсальное</x:v>
      </x:c>
      <x:c r="Z553" s="28" t="str">
        <x:v>Средняя</x:v>
      </x:c>
      <x:c r="AA553" s="28" t="str">
        <x:v>The Art &amp; Science of Foodpairing.pdf</x:v>
      </x:c>
      <x:c r="AB553" s="28" t="str">
        <x:v>The Art &amp; Science of Foodpairing.pdf: 268</x:v>
      </x:c>
      <x:c r="AC553" s="28" t="str">
        <x:v>связь из pairing grid, стр. 268</x:v>
      </x:c>
      <x:c r="AD553" s="28" t="n">
        <x:v>1</x:v>
      </x:c>
      <x:c r="AE553" s="28" t="n">
        <x:v>1</x:v>
      </x:c>
      <x:c r="AF553" s="28" t="n">
        <x:f>IF(Z553="Высокая",3,IF(Z553="Средняя",2,1))+AD553*2+MIN(AE553,3)</x:f>
        <x:v>5</x:v>
      </x:c>
    </x:row>
    <x:row r="554" ht="64" customHeight="1">
      <x:c r="A554" s="28" t="str">
        <x:v>VEG-0553</x:v>
      </x:c>
      <x:c r="B554" s="28" t="str">
        <x:v>огурец</x:v>
      </x:c>
      <x:c r="C554" s="28" t="str">
        <x:v>Десерты и выпечка</x:v>
      </x:c>
      <x:c r="D554" s="28" t="str">
        <x:v>огурец</x:v>
      </x:c>
      <x:c r="E554" s="28" t="str">
        <x:v>огурец</x:v>
      </x:c>
      <x:c r="F554" s="28" t="str">
        <x:v>Тыквенные</x:v>
      </x:c>
      <x:c r="G554" s="28" t="str">
        <x:v>киви</x:v>
      </x:c>
      <x:c r="H554" s="28" t="str">
        <x:v>Киви</x:v>
      </x:c>
      <x:c r="I554" s="28" t="str">
        <x:v>Фрукты и ягоды</x:v>
      </x:c>
      <x:c r="J554" s="28" t="str">
        <x:v>зелёный, водянистый, свежий и дынный</x:v>
      </x:c>
      <x:c r="K554" s="28" t="str">
        <x:v>фруктовый, цветочный и свежий</x:v>
      </x:c>
      <x:c r="L554" s="28" t="str">
        <x:v>(E,Z)-2,6-нонадиеналь, (E)-2-ноненаль, гексаналь</x:v>
      </x:c>
      <x:c r="M554" s="28" t="str">
        <x:v>альдегиды, эфиры</x:v>
      </x:c>
      <x:c r="N554" s="28" t="str">
        <x:v>прямое пересечение семейств не подтверждено</x:v>
      </x:c>
      <x:c r="O554" s="28" t="str">
        <x:v>надёжная общая ключевая молекула не установлена</x:v>
      </x:c>
      <x:c r="P554" s="28" t="str">
        <x:v>кислотно-сладкий баланс</x:v>
      </x:c>
      <x:c r="Q554" s="28" t="str">
        <x:v>Свежесть и водянистость требуют кислоты, соли или умами; избыток жирной матрицы может подавить зелёные ноты.</x:v>
      </x:c>
      <x:c r="R554" s="28" t="str">
        <x:v>прохладно-зелёное ощущение</x:v>
      </x:c>
      <x:c r="S554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5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4" s="28" t="str">
        <x:v>Огурец имеет профиль «зелёный, водянистый, свежий и дынный». Партнёр «киви»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54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54" s="28" t="str">
        <x:v>цитрус, мёд или мягкая трава</x:v>
      </x:c>
      <x:c r="X554" s="28" t="str">
        <x:v>сок, кордиал, гаспачо, салат, соус, маринад или коктейльный компонент с киви</x:v>
      </x:c>
      <x:c r="Y554" s="28" t="str">
        <x:v>десерты</x:v>
      </x:c>
      <x:c r="Z554" s="28" t="str">
        <x:v>Гипотеза / практическая</x:v>
      </x:c>
      <x:c r="AA554" s="28" t="str">
        <x:v>Таблица сочетания(1).pdf</x:v>
      </x:c>
      <x:c r="AB554" s="28" t="str">
        <x:v>Таблица сочетания(1).pdf: 10</x:v>
      </x:c>
      <x:c r="AC554" s="28" t="str">
        <x:v>рекомендация таблицы, стр. 10</x:v>
      </x:c>
      <x:c r="AD554" s="28" t="n">
        <x:v>1</x:v>
      </x:c>
      <x:c r="AE554" s="28" t="n">
        <x:v>1</x:v>
      </x:c>
      <x:c r="AF554" s="28" t="n">
        <x:f>IF(Z554="Высокая",3,IF(Z554="Средняя",2,1))+AD554*2+MIN(AE554,3)</x:f>
        <x:v>4</x:v>
      </x:c>
    </x:row>
    <x:row r="555" ht="64" customHeight="1">
      <x:c r="A555" s="28" t="str">
        <x:v>VEG-0554</x:v>
      </x:c>
      <x:c r="B555" s="28" t="str">
        <x:v>огурец</x:v>
      </x:c>
      <x:c r="C555" s="28" t="str">
        <x:v>Десерты и выпечка</x:v>
      </x:c>
      <x:c r="D555" s="28" t="str">
        <x:v>огурец</x:v>
      </x:c>
      <x:c r="E555" s="28" t="str">
        <x:v>Огурец | Огурцы | огурцы</x:v>
      </x:c>
      <x:c r="F555" s="28" t="str">
        <x:v>Тыквенные</x:v>
      </x:c>
      <x:c r="G555" s="28" t="str">
        <x:v>клубника</x:v>
      </x:c>
      <x:c r="H555" s="28" t="str">
        <x:v>Клубника | клубника</x:v>
      </x:c>
      <x:c r="I555" s="28" t="str">
        <x:v>Фрукты и ягоды</x:v>
      </x:c>
      <x:c r="J555" s="28" t="str">
        <x:v>зелёный, водянистый, свежий и дынный</x:v>
      </x:c>
      <x:c r="K555" s="28" t="str">
        <x:v>зелёный, карамельный, фруктовый</x:v>
      </x:c>
      <x:c r="L555" s="28" t="str">
        <x:v>(E,Z)-2,6-нонадиеналь, (E)-2-ноненаль, гексаналь</x:v>
      </x:c>
      <x:c r="M555" s="28" t="str">
        <x:v>фуранеол, эфиры</x:v>
      </x:c>
      <x:c r="N555" s="28" t="str">
        <x:v>зелёный</x:v>
      </x:c>
      <x:c r="O555" s="28" t="str">
        <x:v>надёжная общая ключевая молекула не установлена</x:v>
      </x:c>
      <x:c r="P555" s="28" t="str">
        <x:v>пересечение ароматических семейств; кислотно-сладкий баланс</x:v>
      </x:c>
      <x:c r="Q555" s="28" t="str">
        <x:v>Свежесть и водянистость требуют кислоты, соли или умами; избыток жирной матрицы может подавить зелёные ноты.</x:v>
      </x:c>
      <x:c r="R555" s="28" t="str">
        <x:v>прохладно-зелёное ощущение</x:v>
      </x:c>
      <x:c r="S555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5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5" s="28" t="str">
        <x:v>Огурец имеет профиль «зелёный, водянистый, свежий и дынный». Партнёр «клубника» относится к группе «Фрукты и ягоды» и даёт зелёный, карамельный,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55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55" s="28" t="str">
        <x:v>цитрус, мёд или мягкая трава</x:v>
      </x:c>
      <x:c r="X555" s="28" t="str">
        <x:v>сок, кордиал, гаспачо, салат, соус, маринад или коктейльный компонент с клубника</x:v>
      </x:c>
      <x:c r="Y555" s="28" t="str">
        <x:v>десерты</x:v>
      </x:c>
      <x:c r="Z555" s="28" t="str">
        <x:v>Высокая</x:v>
      </x:c>
      <x:c r="AA555" s="28" t="str">
        <x:v>Таблица сочетания(1).pdf | Тезариус вкусов (Ники Сегнит)(1).pdf</x:v>
      </x:c>
      <x:c r="AB555" s="28" t="str">
        <x:v>Таблица сочетания(1).pdf: 6; Тезариус вкусов (Ники Сегнит)(1).pdf: 492, 697</x:v>
      </x:c>
      <x:c r="AC555" s="28" t="str">
        <x:v>развёрнутая пара/статья, стр. 492; развёрнутая пара/статья, стр. 697; рекомендация таблицы, стр. 6</x:v>
      </x:c>
      <x:c r="AD555" s="28" t="n">
        <x:v>2</x:v>
      </x:c>
      <x:c r="AE555" s="28" t="n">
        <x:v>3</x:v>
      </x:c>
      <x:c r="AF555" s="28" t="n">
        <x:f>IF(Z555="Высокая",3,IF(Z555="Средняя",2,1))+AD555*2+MIN(AE555,3)</x:f>
        <x:v>10</x:v>
      </x:c>
    </x:row>
    <x:row r="556" ht="64" customHeight="1">
      <x:c r="A556" s="28" t="str">
        <x:v>VEG-0555</x:v>
      </x:c>
      <x:c r="B556" s="28" t="str">
        <x:v>огурец</x:v>
      </x:c>
      <x:c r="C556" s="28" t="str">
        <x:v>Универсальные</x:v>
      </x:c>
      <x:c r="D556" s="28" t="str">
        <x:v>огурец</x:v>
      </x:c>
      <x:c r="E556" s="28" t="str">
        <x:v>cucumber</x:v>
      </x:c>
      <x:c r="F556" s="28" t="str">
        <x:v>Тыквенные</x:v>
      </x:c>
      <x:c r="G556" s="28" t="str">
        <x:v>клюква</x:v>
      </x:c>
      <x:c r="H556" s="28" t="str">
        <x:v>cranberry</x:v>
      </x:c>
      <x:c r="I556" s="28" t="str">
        <x:v>Прочее</x:v>
      </x:c>
      <x:c r="J556" s="28" t="str">
        <x:v>зелёный, водянистый, свежий и дынный</x:v>
      </x:c>
      <x:c r="K556" s="28" t="str">
        <x:v>профиль зависит от конкретного продукта</x:v>
      </x:c>
      <x:c r="L556" s="28" t="str">
        <x:v>(E,Z)-2,6-нонадиеналь, (E)-2-ноненаль, гексаналь</x:v>
      </x:c>
      <x:c r="M556" s="28" t="str">
        <x:v>конкретный молекулярный профиль не указан</x:v>
      </x:c>
      <x:c r="N556" s="28" t="str">
        <x:v>прямое пересечение семейств не подтверждено</x:v>
      </x:c>
      <x:c r="O556" s="28" t="str">
        <x:v>надёжная общая ключевая молекула не установлена</x:v>
      </x:c>
      <x:c r="P556" s="28" t="str">
        <x:v>сенсорная комплементарность</x:v>
      </x:c>
      <x:c r="Q556" s="28" t="str">
        <x:v>Свежесть и водянистость требуют кислоты, соли или умами; избыток жирной матрицы может подавить зелёные ноты.</x:v>
      </x:c>
      <x:c r="R556" s="28" t="str">
        <x:v>прохладно-зелёное ощущение</x:v>
      </x:c>
      <x:c r="S556" s="28" t="str">
        <x:v>почти полностью водная хрустящая матрица; летучие альдегиды быстро теряются</x:v>
      </x:c>
      <x:c r="T55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6" s="28" t="str">
        <x:v>Огурец имеет профиль «зелёный, водянистый, свежий и дынный». Партнёр «клюква»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56" s="28" t="str">
        <x:v>легко разбавляет вкус; перезрелая кожица и семена дают горечь; сок быстро окисляется</x:v>
      </x:c>
      <x:c r="W556" s="28" t="str">
        <x:v>соль, кислота или ароматический жир</x:v>
      </x:c>
      <x:c r="X556" s="28" t="str">
        <x:v>сок, кордиал, гаспачо, салат, соус, маринад или коктейльный компонент с клюква</x:v>
      </x:c>
      <x:c r="Y556" s="28" t="str">
        <x:v>универсальное</x:v>
      </x:c>
      <x:c r="Z556" s="28" t="str">
        <x:v>Средняя</x:v>
      </x:c>
      <x:c r="AA556" s="28" t="str">
        <x:v>The Art &amp; Science of Foodpairing.pdf</x:v>
      </x:c>
      <x:c r="AB556" s="28" t="str">
        <x:v>The Art &amp; Science of Foodpairing.pdf: 268</x:v>
      </x:c>
      <x:c r="AC556" s="28" t="str">
        <x:v>связь из pairing grid, стр. 268</x:v>
      </x:c>
      <x:c r="AD556" s="28" t="n">
        <x:v>1</x:v>
      </x:c>
      <x:c r="AE556" s="28" t="n">
        <x:v>1</x:v>
      </x:c>
      <x:c r="AF556" s="28" t="n">
        <x:f>IF(Z556="Высокая",3,IF(Z556="Средняя",2,1))+AD556*2+MIN(AE556,3)</x:f>
        <x:v>5</x:v>
      </x:c>
    </x:row>
    <x:row r="557" ht="64" customHeight="1">
      <x:c r="A557" s="28" t="str">
        <x:v>VEG-0556</x:v>
      </x:c>
      <x:c r="B557" s="28" t="str">
        <x:v>огурец</x:v>
      </x:c>
      <x:c r="C557" s="28" t="str">
        <x:v>Десерты и выпечка</x:v>
      </x:c>
      <x:c r="D557" s="28" t="str">
        <x:v>огурец</x:v>
      </x:c>
      <x:c r="E557" s="28" t="str">
        <x:v>Огурцы | огурцы</x:v>
      </x:c>
      <x:c r="F557" s="28" t="str">
        <x:v>Тыквенные</x:v>
      </x:c>
      <x:c r="G557" s="28" t="str">
        <x:v>козий сыр</x:v>
      </x:c>
      <x:c r="H557" s="28" t="str">
        <x:v>Козий сыр | козий сыр</x:v>
      </x:c>
      <x:c r="I557" s="28" t="str">
        <x:v>Молочные продукты и сыры</x:v>
      </x:c>
      <x:c r="J557" s="28" t="str">
        <x:v>зелёный, водянистый, свежий и дынный</x:v>
      </x:c>
      <x:c r="K557" s="28" t="str">
        <x:v>молочный, умами, ферментированный</x:v>
      </x:c>
      <x:c r="L557" s="28" t="str">
        <x:v>(E,Z)-2,6-нонадиеналь, (E)-2-ноненаль, гексаналь</x:v>
      </x:c>
      <x:c r="M557" s="28" t="str">
        <x:v>диацетил, жирные кислоты</x:v>
      </x:c>
      <x:c r="N557" s="28" t="str">
        <x:v>прямое пересечение семейств не подтверждено</x:v>
      </x:c>
      <x:c r="O557" s="28" t="str">
        <x:v>надёжная общая ключевая молекула не установлена</x:v>
      </x:c>
      <x:c r="P557" s="28" t="str">
        <x:v>жировая матрица</x:v>
      </x:c>
      <x:c r="Q557" s="28" t="str">
        <x:v>Свежесть и водянистость требуют кислоты, соли или умами; избыток жирной матрицы может подавить зелёные ноты.</x:v>
      </x:c>
      <x:c r="R557" s="28" t="str">
        <x:v>прохладно-зелёное ощущение</x:v>
      </x:c>
      <x:c r="S557" s="28" t="str">
        <x:v>почти полностью водная хрустящая матрица; летучие альдегиды быстро теряются Жировая фаза удерживает гидрофобные молекулы, но может сделать вкус тяжёлым.</x:v>
      </x:c>
      <x:c r="T55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7" s="28" t="str">
        <x:v>Огурец имеет профиль «зелёный, водянистый, свежий и дынный».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557" s="28" t="str">
        <x:v>легко разбавляет вкус; перезрелая кожица и семена дают горечь; сок быстро окисляется; жир способен приглушить свежую зелёную ароматику</x:v>
      </x:c>
      <x:c r="W557" s="28" t="str">
        <x:v>кислота, зелень или жареный орех</x:v>
      </x:c>
      <x:c r="X557" s="28" t="str">
        <x:v>сок, кордиал, гаспачо, салат, соус, маринад или коктейльный компонент с козий сыр</x:v>
      </x:c>
      <x:c r="Y557" s="28" t="str">
        <x:v>десерты</x:v>
      </x:c>
      <x:c r="Z557" s="28" t="str">
        <x:v>Средняя</x:v>
      </x:c>
      <x:c r="AA557" s="28" t="str">
        <x:v>Тезариус вкусов (Ники Сегнит)(1).pdf</x:v>
      </x:c>
      <x:c r="AB557" s="28" t="str">
        <x:v>Тезариус вкусов (Ники Сегнит)(1).pdf: 142, 492</x:v>
      </x:c>
      <x:c r="AC557" s="28" t="str">
        <x:v>развёрнутая пара/статья, стр. 142; развёрнутая пара/статья, стр. 492</x:v>
      </x:c>
      <x:c r="AD557" s="28" t="n">
        <x:v>1</x:v>
      </x:c>
      <x:c r="AE557" s="28" t="n">
        <x:v>2</x:v>
      </x:c>
      <x:c r="AF557" s="28" t="n">
        <x:f>IF(Z557="Высокая",3,IF(Z557="Средняя",2,1))+AD557*2+MIN(AE557,3)</x:f>
        <x:v>6</x:v>
      </x:c>
    </x:row>
    <x:row r="558" ht="64" customHeight="1">
      <x:c r="A558" s="28" t="str">
        <x:v>VEG-0557</x:v>
      </x:c>
      <x:c r="B558" s="28" t="str">
        <x:v>огурец</x:v>
      </x:c>
      <x:c r="C558" s="28" t="str">
        <x:v>Универсальные</x:v>
      </x:c>
      <x:c r="D558" s="28" t="str">
        <x:v>огурец</x:v>
      </x:c>
      <x:c r="E558" s="28" t="str">
        <x:v>огурец</x:v>
      </x:c>
      <x:c r="F558" s="28" t="str">
        <x:v>Тыквенные</x:v>
      </x:c>
      <x:c r="G558" s="28" t="str">
        <x:v>кокос</x:v>
      </x:c>
      <x:c r="H558" s="28" t="str">
        <x:v>Кокос</x:v>
      </x:c>
      <x:c r="I558" s="28" t="str">
        <x:v>Прочее</x:v>
      </x:c>
      <x:c r="J558" s="28" t="str">
        <x:v>зелёный, водянистый, свежий и дынный</x:v>
      </x:c>
      <x:c r="K558" s="28" t="str">
        <x:v>лактонный, сливочный</x:v>
      </x:c>
      <x:c r="L558" s="28" t="str">
        <x:v>(E,Z)-2,6-нонадиеналь, (E)-2-ноненаль, гексаналь</x:v>
      </x:c>
      <x:c r="M558" s="28" t="str">
        <x:v>лактоны</x:v>
      </x:c>
      <x:c r="N558" s="28" t="str">
        <x:v>прямое пересечение семейств не подтверждено</x:v>
      </x:c>
      <x:c r="O558" s="28" t="str">
        <x:v>надёжная общая ключевая молекула не установлена</x:v>
      </x:c>
      <x:c r="P558" s="28" t="str">
        <x:v>сенсорная комплементарность</x:v>
      </x:c>
      <x:c r="Q558" s="28" t="str">
        <x:v>Свежесть и водянистость требуют кислоты, соли или умами; избыток жирной матрицы может подавить зелёные ноты.</x:v>
      </x:c>
      <x:c r="R558" s="28" t="str">
        <x:v>прохладно-зелёное ощущение</x:v>
      </x:c>
      <x:c r="S558" s="28" t="str">
        <x:v>почти полностью водная хрустящая матрица; летучие альдегиды быстро теряются</x:v>
      </x:c>
      <x:c r="T55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8" s="28" t="str">
        <x:v>Огурец имеет профиль «зелёный, водянистый, свежий и дынный».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58" s="28" t="str">
        <x:v>легко разбавляет вкус; перезрелая кожица и семена дают горечь; сок быстро окисляется</x:v>
      </x:c>
      <x:c r="W558" s="28" t="str">
        <x:v>соль, кислота или ароматический жир</x:v>
      </x:c>
      <x:c r="X558" s="28" t="str">
        <x:v>сок, кордиал, гаспачо, салат, соус, маринад или коктейльный компонент с кокос</x:v>
      </x:c>
      <x:c r="Y558" s="28" t="str">
        <x:v>универсальное</x:v>
      </x:c>
      <x:c r="Z558" s="28" t="str">
        <x:v>Гипотеза / практическая</x:v>
      </x:c>
      <x:c r="AA558" s="28" t="str">
        <x:v>Таблица сочетания(1).pdf</x:v>
      </x:c>
      <x:c r="AB558" s="28" t="str">
        <x:v>Таблица сочетания(1).pdf: 5</x:v>
      </x:c>
      <x:c r="AC558" s="28" t="str">
        <x:v>рекомендация таблицы, стр. 5</x:v>
      </x:c>
      <x:c r="AD558" s="28" t="n">
        <x:v>1</x:v>
      </x:c>
      <x:c r="AE558" s="28" t="n">
        <x:v>1</x:v>
      </x:c>
      <x:c r="AF558" s="28" t="n">
        <x:f>IF(Z558="Высокая",3,IF(Z558="Средняя",2,1))+AD558*2+MIN(AE558,3)</x:f>
        <x:v>4</x:v>
      </x:c>
    </x:row>
    <x:row r="559" ht="64" customHeight="1">
      <x:c r="A559" s="28" t="str">
        <x:v>VEG-0558</x:v>
      </x:c>
      <x:c r="B559" s="28" t="str">
        <x:v>огурец</x:v>
      </x:c>
      <x:c r="C559" s="28" t="str">
        <x:v>Универсальные</x:v>
      </x:c>
      <x:c r="D559" s="28" t="str">
        <x:v>огурец</x:v>
      </x:c>
      <x:c r="E559" s="28" t="str">
        <x:v>огурец</x:v>
      </x:c>
      <x:c r="F559" s="28" t="str">
        <x:v>Тыквенные</x:v>
      </x:c>
      <x:c r="G559" s="28" t="str">
        <x:v>кориандр</x:v>
      </x:c>
      <x:c r="H559" s="28" t="str">
        <x:v>Кориандр</x:v>
      </x:c>
      <x:c r="I559" s="28" t="str">
        <x:v>Прочее</x:v>
      </x:c>
      <x:c r="J559" s="28" t="str">
        <x:v>зелёный, водянистый, свежий и дынный</x:v>
      </x:c>
      <x:c r="K559" s="28" t="str">
        <x:v>профиль зависит от конкретного продукта</x:v>
      </x:c>
      <x:c r="L559" s="28" t="str">
        <x:v>(E,Z)-2,6-нонадиеналь, (E)-2-ноненаль, гексаналь</x:v>
      </x:c>
      <x:c r="M559" s="28" t="str">
        <x:v>конкретный молекулярный профиль не указан</x:v>
      </x:c>
      <x:c r="N559" s="28" t="str">
        <x:v>прямое пересечение семейств не подтверждено</x:v>
      </x:c>
      <x:c r="O559" s="28" t="str">
        <x:v>надёжная общая ключевая молекула не установлена</x:v>
      </x:c>
      <x:c r="P559" s="28" t="str">
        <x:v>сенсорная комплементарность</x:v>
      </x:c>
      <x:c r="Q559" s="28" t="str">
        <x:v>Свежесть и водянистость требуют кислоты, соли или умами; избыток жирной матрицы может подавить зелёные ноты.</x:v>
      </x:c>
      <x:c r="R559" s="28" t="str">
        <x:v>прохладно-зелёное ощущение</x:v>
      </x:c>
      <x:c r="S559" s="28" t="str">
        <x:v>почти полностью водная хрустящая матрица; летучие альдегиды быстро теряются</x:v>
      </x:c>
      <x:c r="T55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59" s="28" t="str">
        <x:v>Огурец имеет профиль «зелёный, водянистый, свежий и дынный». Партнёр «кориандр»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59" s="28" t="str">
        <x:v>легко разбавляет вкус; перезрелая кожица и семена дают горечь; сок быстро окисляется</x:v>
      </x:c>
      <x:c r="W559" s="28" t="str">
        <x:v>соль, кислота или ароматический жир</x:v>
      </x:c>
      <x:c r="X559" s="28" t="str">
        <x:v>сок, кордиал, гаспачо, салат, соус, маринад или коктейльный компонент с кориандр</x:v>
      </x:c>
      <x:c r="Y559" s="28" t="str">
        <x:v>универсальное</x:v>
      </x:c>
      <x:c r="Z559" s="28" t="str">
        <x:v>Гипотеза / практическая</x:v>
      </x:c>
      <x:c r="AA559" s="28" t="str">
        <x:v>Таблица сочетания(1).pdf</x:v>
      </x:c>
      <x:c r="AB559" s="28" t="str">
        <x:v>Таблица сочетания(1).pdf: 6</x:v>
      </x:c>
      <x:c r="AC559" s="28" t="str">
        <x:v>рекомендация таблицы, стр. 6</x:v>
      </x:c>
      <x:c r="AD559" s="28" t="n">
        <x:v>1</x:v>
      </x:c>
      <x:c r="AE559" s="28" t="n">
        <x:v>1</x:v>
      </x:c>
      <x:c r="AF559" s="28" t="n">
        <x:f>IF(Z559="Высокая",3,IF(Z559="Средняя",2,1))+AD559*2+MIN(AE559,3)</x:f>
        <x:v>4</x:v>
      </x:c>
    </x:row>
    <x:row r="560" ht="64" customHeight="1">
      <x:c r="A560" s="28" t="str">
        <x:v>VEG-0559</x:v>
      </x:c>
      <x:c r="B560" s="28" t="str">
        <x:v>огурец</x:v>
      </x:c>
      <x:c r="C560" s="28" t="str">
        <x:v>Универсальные</x:v>
      </x:c>
      <x:c r="D560" s="28" t="str">
        <x:v>огурец</x:v>
      </x:c>
      <x:c r="E560" s="28" t="str">
        <x:v>огурец</x:v>
      </x:c>
      <x:c r="F560" s="28" t="str">
        <x:v>Тыквенные</x:v>
      </x:c>
      <x:c r="G560" s="28" t="str">
        <x:v>лаванда</x:v>
      </x:c>
      <x:c r="H560" s="28" t="str">
        <x:v>Лаванда</x:v>
      </x:c>
      <x:c r="I560" s="28" t="str">
        <x:v>Прочее</x:v>
      </x:c>
      <x:c r="J560" s="28" t="str">
        <x:v>зелёный, водянистый, свежий и дынный</x:v>
      </x:c>
      <x:c r="K560" s="28" t="str">
        <x:v>профиль зависит от конкретного продукта</x:v>
      </x:c>
      <x:c r="L560" s="28" t="str">
        <x:v>(E,Z)-2,6-нонадиеналь, (E)-2-ноненаль, гексаналь</x:v>
      </x:c>
      <x:c r="M560" s="28" t="str">
        <x:v>конкретный молекулярный профиль не указан</x:v>
      </x:c>
      <x:c r="N560" s="28" t="str">
        <x:v>прямое пересечение семейств не подтверждено</x:v>
      </x:c>
      <x:c r="O560" s="28" t="str">
        <x:v>надёжная общая ключевая молекула не установлена</x:v>
      </x:c>
      <x:c r="P560" s="28" t="str">
        <x:v>сенсорная комплементарность</x:v>
      </x:c>
      <x:c r="Q560" s="28" t="str">
        <x:v>Свежесть и водянистость требуют кислоты, соли или умами; избыток жирной матрицы может подавить зелёные ноты.</x:v>
      </x:c>
      <x:c r="R560" s="28" t="str">
        <x:v>прохладно-зелёное ощущение</x:v>
      </x:c>
      <x:c r="S560" s="28" t="str">
        <x:v>почти полностью водная хрустящая матрица; летучие альдегиды быстро теряются</x:v>
      </x:c>
      <x:c r="T56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0" s="28" t="str">
        <x:v>Огурец имеет профиль «зелёный, водянистый, свежий и дынный». Партнёр «лаванда»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60" s="28" t="str">
        <x:v>легко разбавляет вкус; перезрелая кожица и семена дают горечь; сок быстро окисляется</x:v>
      </x:c>
      <x:c r="W560" s="28" t="str">
        <x:v>соль, кислота или ароматический жир</x:v>
      </x:c>
      <x:c r="X560" s="28" t="str">
        <x:v>сок, кордиал, гаспачо, салат, соус, маринад или коктейльный компонент с лаванда</x:v>
      </x:c>
      <x:c r="Y560" s="28" t="str">
        <x:v>универсальное</x:v>
      </x:c>
      <x:c r="Z560" s="28" t="str">
        <x:v>Гипотеза / практическая</x:v>
      </x:c>
      <x:c r="AA560" s="28" t="str">
        <x:v>Таблица сочетания(1).pdf</x:v>
      </x:c>
      <x:c r="AB560" s="28" t="str">
        <x:v>Таблица сочетания(1).pdf: 11</x:v>
      </x:c>
      <x:c r="AC560" s="28" t="str">
        <x:v>рекомендация таблицы, стр. 11</x:v>
      </x:c>
      <x:c r="AD560" s="28" t="n">
        <x:v>1</x:v>
      </x:c>
      <x:c r="AE560" s="28" t="n">
        <x:v>1</x:v>
      </x:c>
      <x:c r="AF560" s="28" t="n">
        <x:f>IF(Z560="Высокая",3,IF(Z560="Средняя",2,1))+AD560*2+MIN(AE560,3)</x:f>
        <x:v>4</x:v>
      </x:c>
    </x:row>
    <x:row r="561" ht="64" customHeight="1">
      <x:c r="A561" s="28" t="str">
        <x:v>VEG-0560</x:v>
      </x:c>
      <x:c r="B561" s="28" t="str">
        <x:v>огурец</x:v>
      </x:c>
      <x:c r="C561" s="28" t="str">
        <x:v>Универсальные</x:v>
      </x:c>
      <x:c r="D561" s="28" t="str">
        <x:v>огурец</x:v>
      </x:c>
      <x:c r="E561" s="28" t="str">
        <x:v>cucumber</x:v>
      </x:c>
      <x:c r="F561" s="28" t="str">
        <x:v>Тыквенные</x:v>
      </x:c>
      <x:c r="G561" s="28" t="str">
        <x:v>лавровый лист и семена кориандра</x:v>
      </x:c>
      <x:c r="H561" s="28" t="str">
        <x:v>bay leaf and coriander seeds</x:v>
      </x:c>
      <x:c r="I561" s="28" t="str">
        <x:v>Специи</x:v>
      </x:c>
      <x:c r="J561" s="28" t="str">
        <x:v>зелёный, водянистый, свежий и дынный</x:v>
      </x:c>
      <x:c r="K561" s="28" t="str">
        <x:v>пряный, цветочный, цитрусовый</x:v>
      </x:c>
      <x:c r="L561" s="28" t="str">
        <x:v>(E,Z)-2,6-нонадиеналь, (E)-2-ноненаль, гексаналь</x:v>
      </x:c>
      <x:c r="M561" s="28" t="str">
        <x:v>лимонен, линалоол</x:v>
      </x:c>
      <x:c r="N561" s="28" t="str">
        <x:v>прямое пересечение семейств не подтверждено</x:v>
      </x:c>
      <x:c r="O561" s="28" t="str">
        <x:v>надёжная общая ключевая молекула не установлена</x:v>
      </x:c>
      <x:c r="P561" s="28" t="str">
        <x:v>сенсорная комплементарность</x:v>
      </x:c>
      <x:c r="Q561" s="28" t="str">
        <x:v>Свежесть и водянистость требуют кислоты, соли или умами; избыток жирной матрицы может подавить зелёные ноты.</x:v>
      </x:c>
      <x:c r="R561" s="28" t="str">
        <x:v>прохладно-зелёное ощущение</x:v>
      </x:c>
      <x:c r="S561" s="28" t="str">
        <x:v>почти полностью водная хрустящая матрица; летучие альдегиды быстро теряются</x:v>
      </x:c>
      <x:c r="T56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1" s="28" t="str">
        <x:v>Огурец имеет профиль «зелёный, водянистый, свежий и дынный». Партнёр «лавровый лист и семена кориандра» относится к группе «Специи» и даёт пряный,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561" s="28" t="str">
        <x:v>легко разбавляет вкус; перезрелая кожица и семена дают горечь; сок быстро окисляется</x:v>
      </x:c>
      <x:c r="W561" s="28" t="str">
        <x:v>цитрус, йогурт или мёд</x:v>
      </x:c>
      <x:c r="X561" s="28" t="str">
        <x:v>сок, кордиал, гаспачо, салат, соус, маринад или коктейльный компонент с лавровый лист и семена кориандра</x:v>
      </x:c>
      <x:c r="Y561" s="28" t="str">
        <x:v>универсальное</x:v>
      </x:c>
      <x:c r="Z561" s="28" t="str">
        <x:v>Средняя</x:v>
      </x:c>
      <x:c r="AA561" s="28" t="str">
        <x:v>The Art &amp; Science of Foodpairing.pdf</x:v>
      </x:c>
      <x:c r="AB561" s="28" t="str">
        <x:v>The Art &amp; Science of Foodpairing.pdf: 268</x:v>
      </x:c>
      <x:c r="AC561" s="28" t="str">
        <x:v>связь из pairing grid, стр. 268</x:v>
      </x:c>
      <x:c r="AD561" s="28" t="n">
        <x:v>1</x:v>
      </x:c>
      <x:c r="AE561" s="28" t="n">
        <x:v>1</x:v>
      </x:c>
      <x:c r="AF561" s="28" t="n">
        <x:f>IF(Z561="Высокая",3,IF(Z561="Средняя",2,1))+AD561*2+MIN(AE561,3)</x:f>
        <x:v>5</x:v>
      </x:c>
    </x:row>
    <x:row r="562" ht="64" customHeight="1">
      <x:c r="A562" s="28" t="str">
        <x:v>VEG-0561</x:v>
      </x:c>
      <x:c r="B562" s="28" t="str">
        <x:v>огурец</x:v>
      </x:c>
      <x:c r="C562" s="28" t="str">
        <x:v>Десерты и выпечка</x:v>
      </x:c>
      <x:c r="D562" s="28" t="str">
        <x:v>огурец</x:v>
      </x:c>
      <x:c r="E562" s="28" t="str">
        <x:v>огурец</x:v>
      </x:c>
      <x:c r="F562" s="28" t="str">
        <x:v>Тыквенные</x:v>
      </x:c>
      <x:c r="G562" s="28" t="str">
        <x:v>лайм</x:v>
      </x:c>
      <x:c r="H562" s="28" t="str">
        <x:v>Лайм</x:v>
      </x:c>
      <x:c r="I562" s="28" t="str">
        <x:v>Фрукты и ягоды</x:v>
      </x:c>
      <x:c r="J562" s="28" t="str">
        <x:v>зелёный, водянистый, свежий и дынный</x:v>
      </x:c>
      <x:c r="K562" s="28" t="str">
        <x:v>зелёный, кислый, цитрусовый</x:v>
      </x:c>
      <x:c r="L562" s="28" t="str">
        <x:v>(E,Z)-2,6-нонадиеналь, (E)-2-ноненаль, гексаналь</x:v>
      </x:c>
      <x:c r="M562" s="28" t="str">
        <x:v>лимонен, цитраль</x:v>
      </x:c>
      <x:c r="N562" s="28" t="str">
        <x:v>зелёный</x:v>
      </x:c>
      <x:c r="O562" s="28" t="str">
        <x:v>надёжная общая ключевая молекула не установлена</x:v>
      </x:c>
      <x:c r="P562" s="28" t="str">
        <x:v>пересечение ароматических семейств; кислотно-сладкий баланс</x:v>
      </x:c>
      <x:c r="Q562" s="28" t="str">
        <x:v>Свежесть и водянистость требуют кислоты, соли или умами; избыток жирной матрицы может подавить зелёные ноты.</x:v>
      </x:c>
      <x:c r="R562" s="28" t="str">
        <x:v>прохладно-зелёное ощущение</x:v>
      </x:c>
      <x:c r="S562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6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2" s="28" t="str">
        <x:v>Огурец имеет профиль «зелёный, водянистый, свежий и дынный». Партнёр «лайм» относится к группе «Фрукты и ягоды» и даёт зелёный, кислый, цитрусовый.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62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62" s="28" t="str">
        <x:v>цитрус, мёд или мягкая трава</x:v>
      </x:c>
      <x:c r="X562" s="28" t="str">
        <x:v>сок, кордиал, гаспачо, салат, соус, маринад или коктейльный компонент с лайм</x:v>
      </x:c>
      <x:c r="Y562" s="28" t="str">
        <x:v>десерты</x:v>
      </x:c>
      <x:c r="Z562" s="28" t="str">
        <x:v>Гипотеза / практическая</x:v>
      </x:c>
      <x:c r="AA562" s="28" t="str">
        <x:v>Таблица сочетания(1).pdf</x:v>
      </x:c>
      <x:c r="AB562" s="28" t="str">
        <x:v>Таблица сочетания(1).pdf: 11</x:v>
      </x:c>
      <x:c r="AC562" s="28" t="str">
        <x:v>рекомендация таблицы, стр. 11</x:v>
      </x:c>
      <x:c r="AD562" s="28" t="n">
        <x:v>1</x:v>
      </x:c>
      <x:c r="AE562" s="28" t="n">
        <x:v>1</x:v>
      </x:c>
      <x:c r="AF562" s="28" t="n">
        <x:f>IF(Z562="Высокая",3,IF(Z562="Средняя",2,1))+AD562*2+MIN(AE562,3)</x:f>
        <x:v>4</x:v>
      </x:c>
    </x:row>
    <x:row r="563" ht="64" customHeight="1">
      <x:c r="A563" s="28" t="str">
        <x:v>VEG-0562</x:v>
      </x:c>
      <x:c r="B563" s="28" t="str">
        <x:v>огурец</x:v>
      </x:c>
      <x:c r="C563" s="28" t="str">
        <x:v>Универсальные</x:v>
      </x:c>
      <x:c r="D563" s="28" t="str">
        <x:v>огурец</x:v>
      </x:c>
      <x:c r="E563" s="28" t="str">
        <x:v>огурец</x:v>
      </x:c>
      <x:c r="F563" s="28" t="str">
        <x:v>Тыквенные</x:v>
      </x:c>
      <x:c r="G563" s="28" t="str">
        <x:v>лемонграсс</x:v>
      </x:c>
      <x:c r="H563" s="28" t="str">
        <x:v>Лемонграсс</x:v>
      </x:c>
      <x:c r="I563" s="28" t="str">
        <x:v>Травы, цветы и листья</x:v>
      </x:c>
      <x:c r="J563" s="28" t="str">
        <x:v>зелёный, водянистый, свежий и дынный</x:v>
      </x:c>
      <x:c r="K563" s="28" t="str">
        <x:v>зелёный, цветочный и терпеновый</x:v>
      </x:c>
      <x:c r="L563" s="28" t="str">
        <x:v>(E,Z)-2,6-нонадиеналь, (E)-2-ноненаль, гексаналь</x:v>
      </x:c>
      <x:c r="M563" s="28" t="str">
        <x:v>линалоол, терпены</x:v>
      </x:c>
      <x:c r="N563" s="28" t="str">
        <x:v>зелёный</x:v>
      </x:c>
      <x:c r="O563" s="28" t="str">
        <x:v>надёжная общая ключевая молекула не установлена</x:v>
      </x:c>
      <x:c r="P563" s="28" t="str">
        <x:v>пересечение ароматических семейств</x:v>
      </x:c>
      <x:c r="Q563" s="28" t="str">
        <x:v>Свежесть и водянистость требуют кислоты, соли или умами; избыток жирной матрицы может подавить зелёные ноты.</x:v>
      </x:c>
      <x:c r="R563" s="28" t="str">
        <x:v>прохладно-зелёное ощущение</x:v>
      </x:c>
      <x:c r="S563" s="28" t="str">
        <x:v>почти полностью водная хрустящая матрица; летучие альдегиды быстро теряются</x:v>
      </x:c>
      <x:c r="T56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3" s="28" t="str">
        <x:v>Огурец имеет профиль «зелёный, водянистый, свежий и дынный». Партнёр «лемонграсс»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563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W563" s="28" t="str">
        <x:v>оливковое масло, лимон или сыр</x:v>
      </x:c>
      <x:c r="X563" s="28" t="str">
        <x:v>сок, кордиал, гаспачо, салат, соус, маринад или коктейльный компонент с лемонграсс</x:v>
      </x:c>
      <x:c r="Y563" s="28" t="str">
        <x:v>универсальное</x:v>
      </x:c>
      <x:c r="Z563" s="28" t="str">
        <x:v>Гипотеза / практическая</x:v>
      </x:c>
      <x:c r="AA563" s="28" t="str">
        <x:v>Таблица сочетания(1).pdf</x:v>
      </x:c>
      <x:c r="AB563" s="28" t="str">
        <x:v>Таблица сочетания(1).pdf: 11</x:v>
      </x:c>
      <x:c r="AC563" s="28" t="str">
        <x:v>рекомендация таблицы, стр. 11</x:v>
      </x:c>
      <x:c r="AD563" s="28" t="n">
        <x:v>1</x:v>
      </x:c>
      <x:c r="AE563" s="28" t="n">
        <x:v>1</x:v>
      </x:c>
      <x:c r="AF563" s="28" t="n">
        <x:f>IF(Z563="Высокая",3,IF(Z563="Средняя",2,1))+AD563*2+MIN(AE563,3)</x:f>
        <x:v>4</x:v>
      </x:c>
    </x:row>
    <x:row r="564" ht="64" customHeight="1">
      <x:c r="A564" s="28" t="str">
        <x:v>VEG-0563</x:v>
      </x:c>
      <x:c r="B564" s="28" t="str">
        <x:v>огурец</x:v>
      </x:c>
      <x:c r="C564" s="28" t="str">
        <x:v>Десерты и выпечка</x:v>
      </x:c>
      <x:c r="D564" s="28" t="str">
        <x:v>огурец</x:v>
      </x:c>
      <x:c r="E564" s="28" t="str">
        <x:v>огурец</x:v>
      </x:c>
      <x:c r="F564" s="28" t="str">
        <x:v>Тыквенные</x:v>
      </x:c>
      <x:c r="G564" s="28" t="str">
        <x:v>лимонный тимьян</x:v>
      </x:c>
      <x:c r="H564" s="28" t="str">
        <x:v>Лимонный тимьян</x:v>
      </x:c>
      <x:c r="I564" s="28" t="str">
        <x:v>Фрукты и ягоды</x:v>
      </x:c>
      <x:c r="J564" s="28" t="str">
        <x:v>зелёный, водянистый, свежий и дынный</x:v>
      </x:c>
      <x:c r="K564" s="28" t="str">
        <x:v>кислый, свежий, цитрусовый</x:v>
      </x:c>
      <x:c r="L564" s="28" t="str">
        <x:v>(E,Z)-2,6-нонадиеналь, (E)-2-ноненаль, гексаналь</x:v>
      </x:c>
      <x:c r="M564" s="28" t="str">
        <x:v>лимонен, цитраль</x:v>
      </x:c>
      <x:c r="N564" s="28" t="str">
        <x:v>свежий</x:v>
      </x:c>
      <x:c r="O564" s="28" t="str">
        <x:v>надёжная общая ключевая молекула не установлена</x:v>
      </x:c>
      <x:c r="P564" s="28" t="str">
        <x:v>пересечение ароматических семейств; кислотно-сладкий баланс</x:v>
      </x:c>
      <x:c r="Q564" s="28" t="str">
        <x:v>Свежесть и водянистость требуют кислоты, соли или умами; избыток жирной матрицы может подавить зелёные ноты.</x:v>
      </x:c>
      <x:c r="R564" s="28" t="str">
        <x:v>прохладно-зелёное ощущение</x:v>
      </x:c>
      <x:c r="S564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6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4" s="28" t="str">
        <x:v>Огурец имеет профиль «зелёный, водянистый, свежий и дынный». Партнёр «лимонный тимьян» относится к группе «Фрукты и ягоды» и даёт кислый, свежий, цитрусовый. Профили пересекаются в семействах: свежий.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64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64" s="28" t="str">
        <x:v>цитрус, мёд или мягкая трава</x:v>
      </x:c>
      <x:c r="X564" s="28" t="str">
        <x:v>сок, кордиал, гаспачо, салат, соус, маринад или коктейльный компонент с лимонный тимьян</x:v>
      </x:c>
      <x:c r="Y564" s="28" t="str">
        <x:v>десерты</x:v>
      </x:c>
      <x:c r="Z564" s="28" t="str">
        <x:v>Гипотеза / практическая</x:v>
      </x:c>
      <x:c r="AA564" s="28" t="str">
        <x:v>Таблица сочетания(1).pdf</x:v>
      </x:c>
      <x:c r="AB564" s="28" t="str">
        <x:v>Таблица сочетания(1).pdf: 11</x:v>
      </x:c>
      <x:c r="AC564" s="28" t="str">
        <x:v>рекомендация таблицы, стр. 11</x:v>
      </x:c>
      <x:c r="AD564" s="28" t="n">
        <x:v>1</x:v>
      </x:c>
      <x:c r="AE564" s="28" t="n">
        <x:v>1</x:v>
      </x:c>
      <x:c r="AF564" s="28" t="n">
        <x:f>IF(Z564="Высокая",3,IF(Z564="Средняя",2,1))+AD564*2+MIN(AE564,3)</x:f>
        <x:v>4</x:v>
      </x:c>
    </x:row>
    <x:row r="565" ht="64" customHeight="1">
      <x:c r="A565" s="28" t="str">
        <x:v>VEG-0564</x:v>
      </x:c>
      <x:c r="B565" s="28" t="str">
        <x:v>огурец</x:v>
      </x:c>
      <x:c r="C565" s="28" t="str">
        <x:v>Еда и соусы</x:v>
      </x:c>
      <x:c r="D565" s="28" t="str">
        <x:v>огурец</x:v>
      </x:c>
      <x:c r="E565" s="28" t="str">
        <x:v>cucumber</x:v>
      </x:c>
      <x:c r="F565" s="28" t="str">
        <x:v>Тыквенные</x:v>
      </x:c>
      <x:c r="G565" s="28" t="str">
        <x:v>лосось</x:v>
      </x:c>
      <x:c r="H565" s="28" t="str">
        <x:v>poached salmon</x:v>
      </x:c>
      <x:c r="I565" s="28" t="str">
        <x:v>Рыба и морепродукты</x:v>
      </x:c>
      <x:c r="J565" s="28" t="str">
        <x:v>зелёный, водянистый, свежий и дынный</x:v>
      </x:c>
      <x:c r="K565" s="28" t="str">
        <x:v>морской, солоноватый и умами</x:v>
      </x:c>
      <x:c r="L565" s="28" t="str">
        <x:v>(E,Z)-2,6-нонадиеналь, (E)-2-ноненаль, гексаналь</x:v>
      </x:c>
      <x:c r="M565" s="28" t="str">
        <x:v>альдегиды, амины</x:v>
      </x:c>
      <x:c r="N565" s="28" t="str">
        <x:v>прямое пересечение семейств не подтверждено</x:v>
      </x:c>
      <x:c r="O565" s="28" t="str">
        <x:v>надёжная общая ключевая молекула не установлена</x:v>
      </x:c>
      <x:c r="P565" s="28" t="str">
        <x:v>умами и солёный контраст</x:v>
      </x:c>
      <x:c r="Q565" s="28" t="str">
        <x:v>Свежесть и водянистость требуют кислоты, соли или умами; избыток жирной матрицы может подавить зелёные ноты.</x:v>
      </x:c>
      <x:c r="R565" s="28" t="str">
        <x:v>прохладно-зелёное ощущение</x:v>
      </x:c>
      <x:c r="S565" s="28" t="str">
        <x:v>почти полностью водная хрустящая матрица; летучие альдегиды быстро теряются Белок и жир требуют контроля воды: для жареной ароматики поверхность должна подсохнуть.</x:v>
      </x:c>
      <x:c r="T56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5" s="28" t="str">
        <x:v>Огурец имеет профиль «зелёный, водянистый, свежий и дынный».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65" s="28" t="str">
        <x:v>легко разбавляет вкус; перезрелая кожица и семена дают горечь; сок быстро окисляется</x:v>
      </x:c>
      <x:c r="W565" s="28" t="str">
        <x:v>сливочное масло, соевый соус или тимьян</x:v>
      </x:c>
      <x:c r="X565" s="28" t="str">
        <x:v>сок, кордиал, гаспачо, салат, соус, маринад или коктейльный компонент с лосось</x:v>
      </x:c>
      <x:c r="Y565" s="28" t="str">
        <x:v>еда, соусы/маринады</x:v>
      </x:c>
      <x:c r="Z565" s="28" t="str">
        <x:v>Средняя</x:v>
      </x:c>
      <x:c r="AA565" s="28" t="str">
        <x:v>The Art &amp; Science of Foodpairing.pdf</x:v>
      </x:c>
      <x:c r="AB565" s="28" t="str">
        <x:v>The Art &amp; Science of Foodpairing.pdf: 268</x:v>
      </x:c>
      <x:c r="AC565" s="28" t="str">
        <x:v>связь из pairing grid, стр. 268</x:v>
      </x:c>
      <x:c r="AD565" s="28" t="n">
        <x:v>1</x:v>
      </x:c>
      <x:c r="AE565" s="28" t="n">
        <x:v>1</x:v>
      </x:c>
      <x:c r="AF565" s="28" t="n">
        <x:f>IF(Z565="Высокая",3,IF(Z565="Средняя",2,1))+AD565*2+MIN(AE565,3)</x:f>
        <x:v>5</x:v>
      </x:c>
    </x:row>
    <x:row r="566" ht="64" customHeight="1">
      <x:c r="A566" s="28" t="str">
        <x:v>VEG-0565</x:v>
      </x:c>
      <x:c r="B566" s="28" t="str">
        <x:v>огурец</x:v>
      </x:c>
      <x:c r="C566" s="28" t="str">
        <x:v>Десерты и выпечка</x:v>
      </x:c>
      <x:c r="D566" s="28" t="str">
        <x:v>огурец</x:v>
      </x:c>
      <x:c r="E566" s="28" t="str">
        <x:v>Огурец</x:v>
      </x:c>
      <x:c r="F566" s="28" t="str">
        <x:v>Тыквенные</x:v>
      </x:c>
      <x:c r="G566" s="28" t="str">
        <x:v>малина</x:v>
      </x:c>
      <x:c r="H566" s="28" t="str">
        <x:v>малина</x:v>
      </x:c>
      <x:c r="I566" s="28" t="str">
        <x:v>Фрукты и ягоды</x:v>
      </x:c>
      <x:c r="J566" s="28" t="str">
        <x:v>зелёный, водянистый, свежий и дынный</x:v>
      </x:c>
      <x:c r="K566" s="28" t="str">
        <x:v>цветочный, ягодный</x:v>
      </x:c>
      <x:c r="L566" s="28" t="str">
        <x:v>(E,Z)-2,6-нонадиеналь, (E)-2-ноненаль, гексаналь</x:v>
      </x:c>
      <x:c r="M566" s="28" t="str">
        <x:v>иононы, малиновый кетон</x:v>
      </x:c>
      <x:c r="N566" s="28" t="str">
        <x:v>прямое пересечение семейств не подтверждено</x:v>
      </x:c>
      <x:c r="O566" s="28" t="str">
        <x:v>надёжная общая ключевая молекула не установлена</x:v>
      </x:c>
      <x:c r="P566" s="28" t="str">
        <x:v>кислотно-сладкий баланс</x:v>
      </x:c>
      <x:c r="Q566" s="28" t="str">
        <x:v>Свежесть и водянистость требуют кислоты, соли или умами; избыток жирной матрицы может подавить зелёные ноты.</x:v>
      </x:c>
      <x:c r="R566" s="28" t="str">
        <x:v>прохладно-зелёное ощущение</x:v>
      </x:c>
      <x:c r="S566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6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6" s="28" t="str">
        <x:v>Огурец имеет профиль «зелёный, водянистый, свежий и дынный». Партнёр «малина» относится к группе «Фрукты и ягоды» и даёт цветочный, ягодный.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66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66" s="28" t="str">
        <x:v>цитрус, мёд или мягкая трава</x:v>
      </x:c>
      <x:c r="X566" s="28" t="str">
        <x:v>сок, кордиал, гаспачо, салат, соус, маринад или коктейльный компонент с малина</x:v>
      </x:c>
      <x:c r="Y566" s="28" t="str">
        <x:v>десерты</x:v>
      </x:c>
      <x:c r="Z566" s="28" t="str">
        <x:v>Гипотеза / практическая</x:v>
      </x:c>
      <x:c r="AA566" s="28" t="str">
        <x:v>Таблица сочетания(1).pdf</x:v>
      </x:c>
      <x:c r="AB566" s="28" t="str">
        <x:v>Таблица сочетания(1).pdf: 6</x:v>
      </x:c>
      <x:c r="AC566" s="28" t="str">
        <x:v>рекомендация таблицы, стр. 6</x:v>
      </x:c>
      <x:c r="AD566" s="28" t="n">
        <x:v>1</x:v>
      </x:c>
      <x:c r="AE566" s="28" t="n">
        <x:v>1</x:v>
      </x:c>
      <x:c r="AF566" s="28" t="n">
        <x:f>IF(Z566="Высокая",3,IF(Z566="Средняя",2,1))+AD566*2+MIN(AE566,3)</x:f>
        <x:v>4</x:v>
      </x:c>
    </x:row>
    <x:row r="567" ht="64" customHeight="1">
      <x:c r="A567" s="28" t="str">
        <x:v>VEG-0566</x:v>
      </x:c>
      <x:c r="B567" s="28" t="str">
        <x:v>огурец</x:v>
      </x:c>
      <x:c r="C567" s="28" t="str">
        <x:v>Десерты и выпечка</x:v>
      </x:c>
      <x:c r="D567" s="28" t="str">
        <x:v>огурец</x:v>
      </x:c>
      <x:c r="E567" s="28" t="str">
        <x:v>cucumber</x:v>
      </x:c>
      <x:c r="F567" s="28" t="str">
        <x:v>Тыквенные</x:v>
      </x:c>
      <x:c r="G567" s="28" t="str">
        <x:v>манго</x:v>
      </x:c>
      <x:c r="H567" s="28" t="str">
        <x:v>Hadenmango</x:v>
      </x:c>
      <x:c r="I567" s="28" t="str">
        <x:v>Фрукты и ягоды</x:v>
      </x:c>
      <x:c r="J567" s="28" t="str">
        <x:v>зелёный, водянистый, свежий и дынный</x:v>
      </x:c>
      <x:c r="K567" s="28" t="str">
        <x:v>фруктовый, цветочный и свежий</x:v>
      </x:c>
      <x:c r="L567" s="28" t="str">
        <x:v>(E,Z)-2,6-нонадиеналь, (E)-2-ноненаль, гексаналь</x:v>
      </x:c>
      <x:c r="M567" s="28" t="str">
        <x:v>альдегиды, эфиры</x:v>
      </x:c>
      <x:c r="N567" s="28" t="str">
        <x:v>прямое пересечение семейств не подтверждено</x:v>
      </x:c>
      <x:c r="O567" s="28" t="str">
        <x:v>надёжная общая ключевая молекула не установлена</x:v>
      </x:c>
      <x:c r="P567" s="28" t="str">
        <x:v>кислотно-сладкий баланс</x:v>
      </x:c>
      <x:c r="Q567" s="28" t="str">
        <x:v>Свежесть и водянистость требуют кислоты, соли или умами; избыток жирной матрицы может подавить зелёные ноты.</x:v>
      </x:c>
      <x:c r="R567" s="28" t="str">
        <x:v>прохладно-зелёное ощущение</x:v>
      </x:c>
      <x:c r="S567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6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7" s="28" t="str">
        <x:v>Огурец имеет профиль «зелёный, водянистый, свежий и дынный».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67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67" s="28" t="str">
        <x:v>цитрус, мёд или мягкая трава</x:v>
      </x:c>
      <x:c r="X567" s="28" t="str">
        <x:v>сок, кордиал, гаспачо, салат, соус, маринад или коктейльный компонент с манго</x:v>
      </x:c>
      <x:c r="Y567" s="28" t="str">
        <x:v>десерты</x:v>
      </x:c>
      <x:c r="Z567" s="28" t="str">
        <x:v>Средняя</x:v>
      </x:c>
      <x:c r="AA567" s="28" t="str">
        <x:v>The Art &amp; Science of Foodpairing.pdf</x:v>
      </x:c>
      <x:c r="AB567" s="28" t="str">
        <x:v>The Art &amp; Science of Foodpairing.pdf: 268</x:v>
      </x:c>
      <x:c r="AC567" s="28" t="str">
        <x:v>связь из pairing grid, стр. 268</x:v>
      </x:c>
      <x:c r="AD567" s="28" t="n">
        <x:v>1</x:v>
      </x:c>
      <x:c r="AE567" s="28" t="n">
        <x:v>1</x:v>
      </x:c>
      <x:c r="AF567" s="28" t="n">
        <x:f>IF(Z567="Высокая",3,IF(Z567="Средняя",2,1))+AD567*2+MIN(AE567,3)</x:f>
        <x:v>5</x:v>
      </x:c>
    </x:row>
    <x:row r="568" ht="64" customHeight="1">
      <x:c r="A568" s="28" t="str">
        <x:v>VEG-0567</x:v>
      </x:c>
      <x:c r="B568" s="28" t="str">
        <x:v>огурец</x:v>
      </x:c>
      <x:c r="C568" s="28" t="str">
        <x:v>Универсальные</x:v>
      </x:c>
      <x:c r="D568" s="28" t="str">
        <x:v>огурец</x:v>
      </x:c>
      <x:c r="E568" s="28" t="str">
        <x:v>cucumber</x:v>
      </x:c>
      <x:c r="F568" s="28" t="str">
        <x:v>Тыквенные</x:v>
      </x:c>
      <x:c r="G568" s="28" t="str">
        <x:v>маниок</x:v>
      </x:c>
      <x:c r="H568" s="28" t="str">
        <x:v>cassava</x:v>
      </x:c>
      <x:c r="I568" s="28" t="str">
        <x:v>Прочее</x:v>
      </x:c>
      <x:c r="J568" s="28" t="str">
        <x:v>зелёный, водянистый, свежий и дынный</x:v>
      </x:c>
      <x:c r="K568" s="28" t="str">
        <x:v>профиль зависит от конкретного продукта</x:v>
      </x:c>
      <x:c r="L568" s="28" t="str">
        <x:v>(E,Z)-2,6-нонадиеналь, (E)-2-ноненаль, гексаналь</x:v>
      </x:c>
      <x:c r="M568" s="28" t="str">
        <x:v>конкретный молекулярный профиль не указан</x:v>
      </x:c>
      <x:c r="N568" s="28" t="str">
        <x:v>прямое пересечение семейств не подтверждено</x:v>
      </x:c>
      <x:c r="O568" s="28" t="str">
        <x:v>надёжная общая ключевая молекула не установлена</x:v>
      </x:c>
      <x:c r="P568" s="28" t="str">
        <x:v>сенсорная комплементарность</x:v>
      </x:c>
      <x:c r="Q568" s="28" t="str">
        <x:v>Свежесть и водянистость требуют кислоты, соли или умами; избыток жирной матрицы может подавить зелёные ноты.</x:v>
      </x:c>
      <x:c r="R568" s="28" t="str">
        <x:v>прохладно-зелёное ощущение</x:v>
      </x:c>
      <x:c r="S568" s="28" t="str">
        <x:v>почти полностью водная хрустящая матрица; летучие альдегиды быстро теряются</x:v>
      </x:c>
      <x:c r="T56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8" s="28" t="str">
        <x:v>Огурец имеет профиль «зелёный, водянистый, свежий и дынный».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68" s="28" t="str">
        <x:v>легко разбавляет вкус; перезрелая кожица и семена дают горечь; сок быстро окисляется</x:v>
      </x:c>
      <x:c r="W568" s="28" t="str">
        <x:v>соль, кислота или ароматический жир</x:v>
      </x:c>
      <x:c r="X568" s="28" t="str">
        <x:v>сок, кордиал, гаспачо, салат, соус, маринад или коктейльный компонент с маниок</x:v>
      </x:c>
      <x:c r="Y568" s="28" t="str">
        <x:v>универсальное</x:v>
      </x:c>
      <x:c r="Z568" s="28" t="str">
        <x:v>Средняя</x:v>
      </x:c>
      <x:c r="AA568" s="28" t="str">
        <x:v>The Art &amp; Science of Foodpairing.pdf</x:v>
      </x:c>
      <x:c r="AB568" s="28" t="str">
        <x:v>The Art &amp; Science of Foodpairing.pdf: 251</x:v>
      </x:c>
      <x:c r="AC568" s="28" t="str">
        <x:v>связь из pairing grid, стр. 251</x:v>
      </x:c>
      <x:c r="AD568" s="28" t="n">
        <x:v>1</x:v>
      </x:c>
      <x:c r="AE568" s="28" t="n">
        <x:v>1</x:v>
      </x:c>
      <x:c r="AF568" s="28" t="n">
        <x:f>IF(Z568="Высокая",3,IF(Z568="Средняя",2,1))+AD568*2+MIN(AE568,3)</x:f>
        <x:v>5</x:v>
      </x:c>
    </x:row>
    <x:row r="569" ht="64" customHeight="1">
      <x:c r="A569" s="28" t="str">
        <x:v>VEG-0568</x:v>
      </x:c>
      <x:c r="B569" s="28" t="str">
        <x:v>огурец</x:v>
      </x:c>
      <x:c r="C569" s="28" t="str">
        <x:v>Универсальные</x:v>
      </x:c>
      <x:c r="D569" s="28" t="str">
        <x:v>огурец</x:v>
      </x:c>
      <x:c r="E569" s="28" t="str">
        <x:v>Огурец</x:v>
      </x:c>
      <x:c r="F569" s="28" t="str">
        <x:v>Тыквенные</x:v>
      </x:c>
      <x:c r="G569" s="28" t="str">
        <x:v>можжевельник</x:v>
      </x:c>
      <x:c r="H569" s="28" t="str">
        <x:v>можжевельник</x:v>
      </x:c>
      <x:c r="I569" s="28" t="str">
        <x:v>Прочее</x:v>
      </x:c>
      <x:c r="J569" s="28" t="str">
        <x:v>зелёный, водянистый, свежий и дынный</x:v>
      </x:c>
      <x:c r="K569" s="28" t="str">
        <x:v>профиль зависит от конкретного продукта</x:v>
      </x:c>
      <x:c r="L569" s="28" t="str">
        <x:v>(E,Z)-2,6-нонадиеналь, (E)-2-ноненаль, гексаналь</x:v>
      </x:c>
      <x:c r="M569" s="28" t="str">
        <x:v>конкретный молекулярный профиль не указан</x:v>
      </x:c>
      <x:c r="N569" s="28" t="str">
        <x:v>прямое пересечение семейств не подтверждено</x:v>
      </x:c>
      <x:c r="O569" s="28" t="str">
        <x:v>надёжная общая ключевая молекула не установлена</x:v>
      </x:c>
      <x:c r="P569" s="28" t="str">
        <x:v>сенсорная комплементарность</x:v>
      </x:c>
      <x:c r="Q569" s="28" t="str">
        <x:v>Свежесть и водянистость требуют кислоты, соли или умами; избыток жирной матрицы может подавить зелёные ноты.</x:v>
      </x:c>
      <x:c r="R569" s="28" t="str">
        <x:v>прохладно-зелёное ощущение</x:v>
      </x:c>
      <x:c r="S569" s="28" t="str">
        <x:v>почти полностью водная хрустящая матрица; летучие альдегиды быстро теряются</x:v>
      </x:c>
      <x:c r="T56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69" s="28" t="str">
        <x:v>Огурец имеет профиль «зелёный, водянистый, свежий и дынный». Партнёр «можжевельник»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69" s="28" t="str">
        <x:v>легко разбавляет вкус; перезрелая кожица и семена дают горечь; сок быстро окисляется</x:v>
      </x:c>
      <x:c r="W569" s="28" t="str">
        <x:v>соль, кислота или ароматический жир</x:v>
      </x:c>
      <x:c r="X569" s="28" t="str">
        <x:v>сок, кордиал, гаспачо, салат, соус, маринад или коктейльный компонент с можжевельник</x:v>
      </x:c>
      <x:c r="Y569" s="28" t="str">
        <x:v>универсальное</x:v>
      </x:c>
      <x:c r="Z569" s="28" t="str">
        <x:v>Гипотеза / практическая</x:v>
      </x:c>
      <x:c r="AA569" s="28" t="str">
        <x:v>Таблица сочетания(1).pdf</x:v>
      </x:c>
      <x:c r="AB569" s="28" t="str">
        <x:v>Таблица сочетания(1).pdf: 6</x:v>
      </x:c>
      <x:c r="AC569" s="28" t="str">
        <x:v>рекомендация таблицы, стр. 6</x:v>
      </x:c>
      <x:c r="AD569" s="28" t="n">
        <x:v>1</x:v>
      </x:c>
      <x:c r="AE569" s="28" t="n">
        <x:v>1</x:v>
      </x:c>
      <x:c r="AF569" s="28" t="n">
        <x:f>IF(Z569="Высокая",3,IF(Z569="Средняя",2,1))+AD569*2+MIN(AE569,3)</x:f>
        <x:v>4</x:v>
      </x:c>
    </x:row>
    <x:row r="570" ht="64" customHeight="1">
      <x:c r="A570" s="28" t="str">
        <x:v>VEG-0569</x:v>
      </x:c>
      <x:c r="B570" s="28" t="str">
        <x:v>огурец</x:v>
      </x:c>
      <x:c r="C570" s="28" t="str">
        <x:v>Еда и соусы</x:v>
      </x:c>
      <x:c r="D570" s="28" t="str">
        <x:v>огурец</x:v>
      </x:c>
      <x:c r="E570" s="28" t="str">
        <x:v>Огурцы | огурцы</x:v>
      </x:c>
      <x:c r="F570" s="28" t="str">
        <x:v>Тыквенные</x:v>
      </x:c>
      <x:c r="G570" s="28" t="str">
        <x:v>моллюски</x:v>
      </x:c>
      <x:c r="H570" s="28" t="str">
        <x:v>Моллюски | моллюски</x:v>
      </x:c>
      <x:c r="I570" s="28" t="str">
        <x:v>Рыба и морепродукты</x:v>
      </x:c>
      <x:c r="J570" s="28" t="str">
        <x:v>зелёный, водянистый, свежий и дынный</x:v>
      </x:c>
      <x:c r="K570" s="28" t="str">
        <x:v>морской, солоноватый и умами</x:v>
      </x:c>
      <x:c r="L570" s="28" t="str">
        <x:v>(E,Z)-2,6-нонадиеналь, (E)-2-ноненаль, гексаналь</x:v>
      </x:c>
      <x:c r="M570" s="28" t="str">
        <x:v>альдегиды, амины</x:v>
      </x:c>
      <x:c r="N570" s="28" t="str">
        <x:v>прямое пересечение семейств не подтверждено</x:v>
      </x:c>
      <x:c r="O570" s="28" t="str">
        <x:v>надёжная общая ключевая молекула не установлена</x:v>
      </x:c>
      <x:c r="P570" s="28" t="str">
        <x:v>умами и солёный контраст</x:v>
      </x:c>
      <x:c r="Q570" s="28" t="str">
        <x:v>Свежесть и водянистость требуют кислоты, соли или умами; избыток жирной матрицы может подавить зелёные ноты.</x:v>
      </x:c>
      <x:c r="R570" s="28" t="str">
        <x:v>прохладно-зелёное ощущение</x:v>
      </x:c>
      <x:c r="S570" s="28" t="str">
        <x:v>почти полностью водная хрустящая матрица; летучие альдегиды быстро теряются Белок и жир требуют контроля воды: для жареной ароматики поверхность должна подсохнуть.</x:v>
      </x:c>
      <x:c r="T57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0" s="28" t="str">
        <x:v>Огурец имеет профиль «зелёный, водянистый, свежий и дынный».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70" s="28" t="str">
        <x:v>легко разбавляет вкус; перезрелая кожица и семена дают горечь; сок быстро окисляется</x:v>
      </x:c>
      <x:c r="W570" s="28" t="str">
        <x:v>сливочное масло, соевый соус или тимьян</x:v>
      </x:c>
      <x:c r="X570" s="28" t="str">
        <x:v>сок, кордиал, гаспачо, салат, соус, маринад или коктейльный компонент с моллюски</x:v>
      </x:c>
      <x:c r="Y570" s="28" t="str">
        <x:v>еда, соусы/маринады</x:v>
      </x:c>
      <x:c r="Z570" s="28" t="str">
        <x:v>Средняя</x:v>
      </x:c>
      <x:c r="AA570" s="28" t="str">
        <x:v>Тезариус вкусов (Ники Сегнит)(1).pdf</x:v>
      </x:c>
      <x:c r="AB570" s="28" t="str">
        <x:v>Тезариус вкусов (Ники Сегнит)(1).pdf: 374, 493</x:v>
      </x:c>
      <x:c r="AC570" s="28" t="str">
        <x:v>развёрнутая пара/статья, стр. 374; развёрнутая пара/статья, стр. 493</x:v>
      </x:c>
      <x:c r="AD570" s="28" t="n">
        <x:v>1</x:v>
      </x:c>
      <x:c r="AE570" s="28" t="n">
        <x:v>2</x:v>
      </x:c>
      <x:c r="AF570" s="28" t="n">
        <x:f>IF(Z570="Высокая",3,IF(Z570="Средняя",2,1))+AD570*2+MIN(AE570,3)</x:f>
        <x:v>6</x:v>
      </x:c>
    </x:row>
    <x:row r="571" ht="64" customHeight="1">
      <x:c r="A571" s="28" t="str">
        <x:v>VEG-0570</x:v>
      </x:c>
      <x:c r="B571" s="28" t="str">
        <x:v>огурец</x:v>
      </x:c>
      <x:c r="C571" s="28" t="str">
        <x:v>Универсальные</x:v>
      </x:c>
      <x:c r="D571" s="28" t="str">
        <x:v>огурец</x:v>
      </x:c>
      <x:c r="E571" s="28" t="str">
        <x:v>Огурец | Огурцы | огурец | огурцы</x:v>
      </x:c>
      <x:c r="F571" s="28" t="str">
        <x:v>Тыквенные</x:v>
      </x:c>
      <x:c r="G571" s="28" t="str">
        <x:v>мята</x:v>
      </x:c>
      <x:c r="H571" s="28" t="str">
        <x:v>Мята | мята</x:v>
      </x:c>
      <x:c r="I571" s="28" t="str">
        <x:v>Травы, цветы и листья</x:v>
      </x:c>
      <x:c r="J571" s="28" t="str">
        <x:v>зелёный, водянистый, свежий и дынный</x:v>
      </x:c>
      <x:c r="K571" s="28" t="str">
        <x:v>зелёный, холодящий</x:v>
      </x:c>
      <x:c r="L571" s="28" t="str">
        <x:v>(E,Z)-2,6-нонадиеналь, (E)-2-ноненаль, гексаналь</x:v>
      </x:c>
      <x:c r="M571" s="28" t="str">
        <x:v>ментол</x:v>
      </x:c>
      <x:c r="N571" s="28" t="str">
        <x:v>зелёный</x:v>
      </x:c>
      <x:c r="O571" s="28" t="str">
        <x:v>надёжная общая ключевая молекула не установлена</x:v>
      </x:c>
      <x:c r="P571" s="28" t="str">
        <x:v>пересечение ароматических семейств</x:v>
      </x:c>
      <x:c r="Q571" s="28" t="str">
        <x:v>Свежесть и водянистость требуют кислоты, соли или умами; избыток жирной матрицы может подавить зелёные ноты.</x:v>
      </x:c>
      <x:c r="R571" s="28" t="str">
        <x:v>прохладно-зелёное ощущение</x:v>
      </x:c>
      <x:c r="S571" s="28" t="str">
        <x:v>почти полностью водная хрустящая матрица; летучие альдегиды быстро теряются</x:v>
      </x:c>
      <x:c r="T57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1" s="28" t="str">
        <x:v>Огурец имеет профиль «зелёный, водянистый, свежий и дынный».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571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W571" s="28" t="str">
        <x:v>оливковое масло, лимон или сыр</x:v>
      </x:c>
      <x:c r="X571" s="28" t="str">
        <x:v>сок, кордиал, гаспачо, салат, соус, маринад или коктейльный компонент с мята</x:v>
      </x:c>
      <x:c r="Y571" s="28" t="str">
        <x:v>универсальное</x:v>
      </x:c>
      <x:c r="Z571" s="28" t="str">
        <x:v>Высокая</x:v>
      </x:c>
      <x:c r="AA571" s="28" t="str">
        <x:v>Таблица сочетания(1).pdf | Тезариус вкусов (Ники Сегнит)(1).pdf</x:v>
      </x:c>
      <x:c r="AB571" s="28" t="str">
        <x:v>Таблица сочетания(1).pdf: 6, 13; Тезариус вкусов (Ники Сегнит)(1).pdf: 495, 869</x:v>
      </x:c>
      <x:c r="AC571" s="28" t="str">
        <x:v>развёрнутая пара/статья, стр. 495; развёрнутая пара/статья, стр. 869; рекомендация таблицы, стр. 6; рекомендация таблицы, стр. 13</x:v>
      </x:c>
      <x:c r="AD571" s="28" t="n">
        <x:v>2</x:v>
      </x:c>
      <x:c r="AE571" s="28" t="n">
        <x:v>4</x:v>
      </x:c>
      <x:c r="AF571" s="28" t="n">
        <x:f>IF(Z571="Высокая",3,IF(Z571="Средняя",2,1))+AD571*2+MIN(AE571,3)</x:f>
        <x:v>10</x:v>
      </x:c>
    </x:row>
    <x:row r="572" ht="64" customHeight="1">
      <x:c r="A572" s="28" t="str">
        <x:v>VEG-0571</x:v>
      </x:c>
      <x:c r="B572" s="28" t="str">
        <x:v>огурец</x:v>
      </x:c>
      <x:c r="C572" s="28" t="str">
        <x:v>Десерты и выпечка</x:v>
      </x:c>
      <x:c r="D572" s="28" t="str">
        <x:v>огурец</x:v>
      </x:c>
      <x:c r="E572" s="28" t="str">
        <x:v>Огурец | огурец</x:v>
      </x:c>
      <x:c r="F572" s="28" t="str">
        <x:v>Тыквенные</x:v>
      </x:c>
      <x:c r="G572" s="28" t="str">
        <x:v>мёд</x:v>
      </x:c>
      <x:c r="H572" s="28" t="str">
        <x:v>Мёд | мёд</x:v>
      </x:c>
      <x:c r="I572" s="28" t="str">
        <x:v>Выпечка, крупы, сахара и десерты</x:v>
      </x:c>
      <x:c r="J572" s="28" t="str">
        <x:v>зелёный, водянистый, свежий и дынный</x:v>
      </x:c>
      <x:c r="K572" s="28" t="str">
        <x:v>медовый, сладкий, цветочный</x:v>
      </x:c>
      <x:c r="L572" s="28" t="str">
        <x:v>(E,Z)-2,6-нонадиеналь, (E)-2-ноненаль, гексаналь</x:v>
      </x:c>
      <x:c r="M572" s="28" t="str">
        <x:v>норизопреноиды, фенилуксусная кислота</x:v>
      </x:c>
      <x:c r="N572" s="28" t="str">
        <x:v>прямое пересечение семейств не подтверждено</x:v>
      </x:c>
      <x:c r="O572" s="28" t="str">
        <x:v>надёжная общая ключевая молекула не установлена</x:v>
      </x:c>
      <x:c r="P572" s="28" t="str">
        <x:v>сенсорная комплементарность</x:v>
      </x:c>
      <x:c r="Q572" s="28" t="str">
        <x:v>Свежесть и водянистость требуют кислоты, соли или умами; избыток жирной матрицы может подавить зелёные ноты.</x:v>
      </x:c>
      <x:c r="R572" s="28" t="str">
        <x:v>прохладно-зелёное ощущение</x:v>
      </x:c>
      <x:c r="S572" s="28" t="str">
        <x:v>почти полностью водная хрустящая матрица; летучие альдегиды быстро теряются</x:v>
      </x:c>
      <x:c r="T57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2" s="28" t="str">
        <x:v>Огурец имеет профиль «зелёный, водянистый, свежий и дынный». Партнёр «мёд»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572" s="28" t="str">
        <x:v>легко разбавляет вкус; перезрелая кожица и семена дают горечь; сок быстро окисляется</x:v>
      </x:c>
      <x:c r="W572" s="28" t="str">
        <x:v>соль, кислота или ароматический жир</x:v>
      </x:c>
      <x:c r="X572" s="28" t="str">
        <x:v>сок, кордиал, гаспачо, салат, соус, маринад или коктейльный компонент с мёд</x:v>
      </x:c>
      <x:c r="Y572" s="28" t="str">
        <x:v>десерты</x:v>
      </x:c>
      <x:c r="Z572" s="28" t="str">
        <x:v>Гипотеза / практическая</x:v>
      </x:c>
      <x:c r="AA572" s="28" t="str">
        <x:v>Таблица сочетания(1).pdf</x:v>
      </x:c>
      <x:c r="AB572" s="28" t="str">
        <x:v>Таблица сочетания(1).pdf: 6, 9</x:v>
      </x:c>
      <x:c r="AC572" s="28" t="str">
        <x:v>рекомендация таблицы, стр. 6; рекомендация таблицы, стр. 9</x:v>
      </x:c>
      <x:c r="AD572" s="28" t="n">
        <x:v>1</x:v>
      </x:c>
      <x:c r="AE572" s="28" t="n">
        <x:v>2</x:v>
      </x:c>
      <x:c r="AF572" s="28" t="n">
        <x:f>IF(Z572="Высокая",3,IF(Z572="Средняя",2,1))+AD572*2+MIN(AE572,3)</x:f>
        <x:v>5</x:v>
      </x:c>
    </x:row>
    <x:row r="573" ht="64" customHeight="1">
      <x:c r="A573" s="28" t="str">
        <x:v>VEG-0572</x:v>
      </x:c>
      <x:c r="B573" s="28" t="str">
        <x:v>огурец</x:v>
      </x:c>
      <x:c r="C573" s="28" t="str">
        <x:v>Универсальные</x:v>
      </x:c>
      <x:c r="D573" s="28" t="str">
        <x:v>огурец</x:v>
      </x:c>
      <x:c r="E573" s="28" t="str">
        <x:v>огурец</x:v>
      </x:c>
      <x:c r="F573" s="28" t="str">
        <x:v>Тыквенные</x:v>
      </x:c>
      <x:c r="G573" s="28" t="str">
        <x:v>одуванчик</x:v>
      </x:c>
      <x:c r="H573" s="28" t="str">
        <x:v>Одуванчик</x:v>
      </x:c>
      <x:c r="I573" s="28" t="str">
        <x:v>Прочее</x:v>
      </x:c>
      <x:c r="J573" s="28" t="str">
        <x:v>зелёный, водянистый, свежий и дынный</x:v>
      </x:c>
      <x:c r="K573" s="28" t="str">
        <x:v>профиль зависит от конкретного продукта</x:v>
      </x:c>
      <x:c r="L573" s="28" t="str">
        <x:v>(E,Z)-2,6-нонадиеналь, (E)-2-ноненаль, гексаналь</x:v>
      </x:c>
      <x:c r="M573" s="28" t="str">
        <x:v>конкретный молекулярный профиль не указан</x:v>
      </x:c>
      <x:c r="N573" s="28" t="str">
        <x:v>прямое пересечение семейств не подтверждено</x:v>
      </x:c>
      <x:c r="O573" s="28" t="str">
        <x:v>надёжная общая ключевая молекула не установлена</x:v>
      </x:c>
      <x:c r="P573" s="28" t="str">
        <x:v>сенсорная комплементарность</x:v>
      </x:c>
      <x:c r="Q573" s="28" t="str">
        <x:v>Свежесть и водянистость требуют кислоты, соли или умами; избыток жирной матрицы может подавить зелёные ноты.</x:v>
      </x:c>
      <x:c r="R573" s="28" t="str">
        <x:v>прохладно-зелёное ощущение</x:v>
      </x:c>
      <x:c r="S573" s="28" t="str">
        <x:v>почти полностью водная хрустящая матрица; летучие альдегиды быстро теряются</x:v>
      </x:c>
      <x:c r="T57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3" s="28" t="str">
        <x:v>Огурец имеет профиль «зелёный, водянистый, свежий и дынный». Партнёр «одуванчик»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73" s="28" t="str">
        <x:v>легко разбавляет вкус; перезрелая кожица и семена дают горечь; сок быстро окисляется</x:v>
      </x:c>
      <x:c r="W573" s="28" t="str">
        <x:v>соль, кислота или ароматический жир</x:v>
      </x:c>
      <x:c r="X573" s="28" t="str">
        <x:v>сок, кордиал, гаспачо, салат, соус, маринад или коктейльный компонент с одуванчик</x:v>
      </x:c>
      <x:c r="Y573" s="28" t="str">
        <x:v>универсальное</x:v>
      </x:c>
      <x:c r="Z573" s="28" t="str">
        <x:v>Гипотеза / практическая</x:v>
      </x:c>
      <x:c r="AA573" s="28" t="str">
        <x:v>Таблица сочетания(1).pdf</x:v>
      </x:c>
      <x:c r="AB573" s="28" t="str">
        <x:v>Таблица сочетания(1).pdf: 6</x:v>
      </x:c>
      <x:c r="AC573" s="28" t="str">
        <x:v>рекомендация таблицы, стр. 6</x:v>
      </x:c>
      <x:c r="AD573" s="28" t="n">
        <x:v>1</x:v>
      </x:c>
      <x:c r="AE573" s="28" t="n">
        <x:v>1</x:v>
      </x:c>
      <x:c r="AF573" s="28" t="n">
        <x:f>IF(Z573="Высокая",3,IF(Z573="Средняя",2,1))+AD573*2+MIN(AE573,3)</x:f>
        <x:v>4</x:v>
      </x:c>
    </x:row>
    <x:row r="574" ht="64" customHeight="1">
      <x:c r="A574" s="28" t="str">
        <x:v>VEG-0573</x:v>
      </x:c>
      <x:c r="B574" s="28" t="str">
        <x:v>огурец</x:v>
      </x:c>
      <x:c r="C574" s="28" t="str">
        <x:v>Десерты и выпечка</x:v>
      </x:c>
      <x:c r="D574" s="28" t="str">
        <x:v>огурец</x:v>
      </x:c>
      <x:c r="E574" s="28" t="str">
        <x:v>Огурец | Огурцы | огурец | огурцы</x:v>
      </x:c>
      <x:c r="F574" s="28" t="str">
        <x:v>Тыквенные</x:v>
      </x:c>
      <x:c r="G574" s="28" t="str">
        <x:v>ревень</x:v>
      </x:c>
      <x:c r="H574" s="28" t="str">
        <x:v>Ревень | ревень</x:v>
      </x:c>
      <x:c r="I574" s="28" t="str">
        <x:v>Фрукты и ягоды</x:v>
      </x:c>
      <x:c r="J574" s="28" t="str">
        <x:v>зелёный, водянистый, свежий и дынный</x:v>
      </x:c>
      <x:c r="K574" s="28" t="str">
        <x:v>фруктовый, цветочный и свежий</x:v>
      </x:c>
      <x:c r="L574" s="28" t="str">
        <x:v>(E,Z)-2,6-нонадиеналь, (E)-2-ноненаль, гексаналь</x:v>
      </x:c>
      <x:c r="M574" s="28" t="str">
        <x:v>альдегиды, эфиры</x:v>
      </x:c>
      <x:c r="N574" s="28" t="str">
        <x:v>прямое пересечение семейств не подтверждено</x:v>
      </x:c>
      <x:c r="O574" s="28" t="str">
        <x:v>надёжная общая ключевая молекула не установлена</x:v>
      </x:c>
      <x:c r="P574" s="28" t="str">
        <x:v>кислотно-сладкий баланс</x:v>
      </x:c>
      <x:c r="Q574" s="28" t="str">
        <x:v>Свежесть и водянистость требуют кислоты, соли или умами; избыток жирной матрицы может подавить зелёные ноты.</x:v>
      </x:c>
      <x:c r="R574" s="28" t="str">
        <x:v>прохладно-зелёное ощущение</x:v>
      </x:c>
      <x:c r="S574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7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4" s="28" t="str">
        <x:v>Огурец имеет профиль «зелёный, водянистый, свежий и дынный». Партнёр «ревень»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74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74" s="28" t="str">
        <x:v>цитрус, мёд или мягкая трава</x:v>
      </x:c>
      <x:c r="X574" s="28" t="str">
        <x:v>сок, кордиал, гаспачо, салат, соус, маринад или коктейльный компонент с ревень</x:v>
      </x:c>
      <x:c r="Y574" s="28" t="str">
        <x:v>десерты</x:v>
      </x:c>
      <x:c r="Z574" s="28" t="str">
        <x:v>Высокая</x:v>
      </x:c>
      <x:c r="AA574" s="28" t="str">
        <x:v>Таблица сочетания(1).pdf | Тезариус вкусов (Ники Сегнит)(1).pdf</x:v>
      </x:c>
      <x:c r="AB574" s="28" t="str">
        <x:v>Таблица сочетания(1).pdf: 6, 19; Тезариус вкусов (Ники Сегнит)(1).pdf: 495, 676</x:v>
      </x:c>
      <x:c r="AC574" s="28" t="str">
        <x:v>развёрнутая пара/статья, стр. 495; развёрнутая пара/статья, стр. 676; рекомендация таблицы, стр. 6; рекомендация таблицы, стр. 19</x:v>
      </x:c>
      <x:c r="AD574" s="28" t="n">
        <x:v>2</x:v>
      </x:c>
      <x:c r="AE574" s="28" t="n">
        <x:v>4</x:v>
      </x:c>
      <x:c r="AF574" s="28" t="n">
        <x:f>IF(Z574="Высокая",3,IF(Z574="Средняя",2,1))+AD574*2+MIN(AE574,3)</x:f>
        <x:v>10</x:v>
      </x:c>
    </x:row>
    <x:row r="575" ht="64" customHeight="1">
      <x:c r="A575" s="28" t="str">
        <x:v>VEG-0574</x:v>
      </x:c>
      <x:c r="B575" s="28" t="str">
        <x:v>огурец</x:v>
      </x:c>
      <x:c r="C575" s="28" t="str">
        <x:v>Универсальные</x:v>
      </x:c>
      <x:c r="D575" s="28" t="str">
        <x:v>огурец</x:v>
      </x:c>
      <x:c r="E575" s="28" t="str">
        <x:v>Огурцы | огурец | огурцы</x:v>
      </x:c>
      <x:c r="F575" s="28" t="str">
        <x:v>Тыквенные</x:v>
      </x:c>
      <x:c r="G575" s="28" t="str">
        <x:v>роза</x:v>
      </x:c>
      <x:c r="H575" s="28" t="str">
        <x:v>Роза | роза</x:v>
      </x:c>
      <x:c r="I575" s="28" t="str">
        <x:v>Травы, цветы и листья</x:v>
      </x:c>
      <x:c r="J575" s="28" t="str">
        <x:v>зелёный, водянистый, свежий и дынный</x:v>
      </x:c>
      <x:c r="K575" s="28" t="str">
        <x:v>зелёный, цветочный и терпеновый</x:v>
      </x:c>
      <x:c r="L575" s="28" t="str">
        <x:v>(E,Z)-2,6-нонадиеналь, (E)-2-ноненаль, гексаналь</x:v>
      </x:c>
      <x:c r="M575" s="28" t="str">
        <x:v>линалоол, терпены</x:v>
      </x:c>
      <x:c r="N575" s="28" t="str">
        <x:v>зелёный</x:v>
      </x:c>
      <x:c r="O575" s="28" t="str">
        <x:v>надёжная общая ключевая молекула не установлена</x:v>
      </x:c>
      <x:c r="P575" s="28" t="str">
        <x:v>пересечение ароматических семейств</x:v>
      </x:c>
      <x:c r="Q575" s="28" t="str">
        <x:v>Свежесть и водянистость требуют кислоты, соли или умами; избыток жирной матрицы может подавить зелёные ноты.</x:v>
      </x:c>
      <x:c r="R575" s="28" t="str">
        <x:v>прохладно-зелёное ощущение</x:v>
      </x:c>
      <x:c r="S575" s="28" t="str">
        <x:v>почти полностью водная хрустящая матрица; летучие альдегиды быстро теряются</x:v>
      </x:c>
      <x:c r="T57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5" s="28" t="str">
        <x:v>Огурец имеет профиль «зелёный, водянистый, свежий и дынный». Партнёр «роза»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575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W575" s="28" t="str">
        <x:v>оливковое масло, лимон или сыр</x:v>
      </x:c>
      <x:c r="X575" s="28" t="str">
        <x:v>сок, кордиал, гаспачо, салат, соус, маринад или коктейльный компонент с роза</x:v>
      </x:c>
      <x:c r="Y575" s="28" t="str">
        <x:v>универсальное</x:v>
      </x:c>
      <x:c r="Z575" s="28" t="str">
        <x:v>Высокая</x:v>
      </x:c>
      <x:c r="AA575" s="28" t="str">
        <x:v>Таблица сочетания(1).pdf | Тезариус вкусов (Ники Сегнит)(1).pdf</x:v>
      </x:c>
      <x:c r="AB575" s="28" t="str">
        <x:v>Таблица сочетания(1).pdf: 19; Тезариус вкусов (Ники Сегнит)(1).pdf: 495, 900</x:v>
      </x:c>
      <x:c r="AC575" s="28" t="str">
        <x:v>развёрнутая пара/статья, стр. 495; развёрнутая пара/статья, стр. 900; рекомендация таблицы, стр. 19</x:v>
      </x:c>
      <x:c r="AD575" s="28" t="n">
        <x:v>2</x:v>
      </x:c>
      <x:c r="AE575" s="28" t="n">
        <x:v>3</x:v>
      </x:c>
      <x:c r="AF575" s="28" t="n">
        <x:f>IF(Z575="Высокая",3,IF(Z575="Средняя",2,1))+AD575*2+MIN(AE575,3)</x:f>
        <x:v>10</x:v>
      </x:c>
    </x:row>
    <x:row r="576" ht="64" customHeight="1">
      <x:c r="A576" s="28" t="str">
        <x:v>VEG-0575</x:v>
      </x:c>
      <x:c r="B576" s="28" t="str">
        <x:v>огурец</x:v>
      </x:c>
      <x:c r="C576" s="28" t="str">
        <x:v>Универсальные</x:v>
      </x:c>
      <x:c r="D576" s="28" t="str">
        <x:v>огурец</x:v>
      </x:c>
      <x:c r="E576" s="28" t="str">
        <x:v>Огурец | огурец</x:v>
      </x:c>
      <x:c r="F576" s="28" t="str">
        <x:v>Тыквенные</x:v>
      </x:c>
      <x:c r="G576" s="28" t="str">
        <x:v>розмарин</x:v>
      </x:c>
      <x:c r="H576" s="28" t="str">
        <x:v>Розмарин | розмарин</x:v>
      </x:c>
      <x:c r="I576" s="28" t="str">
        <x:v>Травы, цветы и листья</x:v>
      </x:c>
      <x:c r="J576" s="28" t="str">
        <x:v>зелёный, водянистый, свежий и дынный</x:v>
      </x:c>
      <x:c r="K576" s="28" t="str">
        <x:v>древесный, камфорный, хвойный</x:v>
      </x:c>
      <x:c r="L576" s="28" t="str">
        <x:v>(E,Z)-2,6-нонадиеналь, (E)-2-ноненаль, гексаналь</x:v>
      </x:c>
      <x:c r="M576" s="28" t="str">
        <x:v>1,8-цинеол, пинены</x:v>
      </x:c>
      <x:c r="N576" s="28" t="str">
        <x:v>прямое пересечение семейств не подтверждено</x:v>
      </x:c>
      <x:c r="O576" s="28" t="str">
        <x:v>надёжная общая ключевая молекула не установлена</x:v>
      </x:c>
      <x:c r="P576" s="28" t="str">
        <x:v>сенсорная комплементарность</x:v>
      </x:c>
      <x:c r="Q576" s="28" t="str">
        <x:v>Свежесть и водянистость требуют кислоты, соли или умами; избыток жирной матрицы может подавить зелёные ноты.</x:v>
      </x:c>
      <x:c r="R576" s="28" t="str">
        <x:v>прохладно-зелёное ощущение</x:v>
      </x:c>
      <x:c r="S576" s="28" t="str">
        <x:v>почти полностью водная хрустящая матрица; летучие альдегиды быстро теряются</x:v>
      </x:c>
      <x:c r="T57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6" s="28" t="str">
        <x:v>Огурец имеет профиль «зелёный, водянистый, свежий и дынный».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576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W576" s="28" t="str">
        <x:v>оливковое масло, лимон или сыр</x:v>
      </x:c>
      <x:c r="X576" s="28" t="str">
        <x:v>сок, кордиал, гаспачо, салат, соус, маринад или коктейльный компонент с розмарин</x:v>
      </x:c>
      <x:c r="Y576" s="28" t="str">
        <x:v>универсальное</x:v>
      </x:c>
      <x:c r="Z576" s="28" t="str">
        <x:v>Гипотеза / практическая</x:v>
      </x:c>
      <x:c r="AA576" s="28" t="str">
        <x:v>Таблица сочетания(1).pdf</x:v>
      </x:c>
      <x:c r="AB576" s="28" t="str">
        <x:v>Таблица сочетания(1).pdf: 6, 19</x:v>
      </x:c>
      <x:c r="AC576" s="28" t="str">
        <x:v>рекомендация таблицы, стр. 6; рекомендация таблицы, стр. 19</x:v>
      </x:c>
      <x:c r="AD576" s="28" t="n">
        <x:v>1</x:v>
      </x:c>
      <x:c r="AE576" s="28" t="n">
        <x:v>2</x:v>
      </x:c>
      <x:c r="AF576" s="28" t="n">
        <x:f>IF(Z576="Высокая",3,IF(Z576="Средняя",2,1))+AD576*2+MIN(AE576,3)</x:f>
        <x:v>5</x:v>
      </x:c>
    </x:row>
    <x:row r="577" ht="64" customHeight="1">
      <x:c r="A577" s="28" t="str">
        <x:v>VEG-0576</x:v>
      </x:c>
      <x:c r="B577" s="28" t="str">
        <x:v>огурец</x:v>
      </x:c>
      <x:c r="C577" s="28" t="str">
        <x:v>Еда и соусы</x:v>
      </x:c>
      <x:c r="D577" s="28" t="str">
        <x:v>огурец</x:v>
      </x:c>
      <x:c r="E577" s="28" t="str">
        <x:v>Compounds like the cucumber-scented (E,Z)-2,6-nonadienal and</x:v>
      </x:c>
      <x:c r="F577" s="28" t="str">
        <x:v>Тыквенные</x:v>
      </x:c>
      <x:c r="G577" s="28" t="str">
        <x:v>рыба</x:v>
      </x:c>
      <x:c r="H577" s="28" t="str">
        <x:v>fish</x:v>
      </x:c>
      <x:c r="I577" s="28" t="str">
        <x:v>Рыба и морепродукты</x:v>
      </x:c>
      <x:c r="J577" s="28" t="str">
        <x:v>зелёный, водянистый, свежий и дынный</x:v>
      </x:c>
      <x:c r="K577" s="28" t="str">
        <x:v>жирный, морской, умами</x:v>
      </x:c>
      <x:c r="L577" s="28" t="str">
        <x:v>(E,Z)-2,6-нонадиеналь, (E)-2-ноненаль, гексаналь</x:v>
      </x:c>
      <x:c r="M577" s="28" t="str">
        <x:v>альдегиды, амины</x:v>
      </x:c>
      <x:c r="N577" s="28" t="str">
        <x:v>прямое пересечение семейств не подтверждено</x:v>
      </x:c>
      <x:c r="O577" s="28" t="str">
        <x:v>надёжная общая ключевая молекула не установлена</x:v>
      </x:c>
      <x:c r="P577" s="28" t="str">
        <x:v>умами и солёный контраст</x:v>
      </x:c>
      <x:c r="Q577" s="28" t="str">
        <x:v>Свежесть и водянистость требуют кислоты, соли или умами; избыток жирной матрицы может подавить зелёные ноты.</x:v>
      </x:c>
      <x:c r="R577" s="28" t="str">
        <x:v>прохладно-зелёное ощущение</x:v>
      </x:c>
      <x:c r="S577" s="28" t="str">
        <x:v>почти полностью водная хрустящая матрица; летучие альдегиды быстро теряются Белок и жир требуют контроля воды: для жареной ароматики поверхность должна подсохнуть.</x:v>
      </x:c>
      <x:c r="T57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7" s="28" t="str">
        <x:v>Огурец имеет профиль «зелёный, водянистый, свежий и дынный».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77" s="28" t="str">
        <x:v>легко разбавляет вкус; перезрелая кожица и семена дают горечь; сок быстро окисляется</x:v>
      </x:c>
      <x:c r="W577" s="28" t="str">
        <x:v>сливочное масло, соевый соус или тимьян</x:v>
      </x:c>
      <x:c r="X577" s="28" t="str">
        <x:v>сок, кордиал, гаспачо, салат, соус, маринад или коктейльный компонент с рыба</x:v>
      </x:c>
      <x:c r="Y577" s="28" t="str">
        <x:v>еда, соусы/маринады</x:v>
      </x:c>
      <x:c r="Z577" s="28" t="str">
        <x:v>Средняя</x:v>
      </x:c>
      <x:c r="AA577" s="28" t="str">
        <x:v>The Art &amp; Science of Foodpairing.pdf</x:v>
      </x:c>
      <x:c r="AB577" s="28" t="str">
        <x:v>The Art &amp; Science of Foodpairing.pdf: 104</x:v>
      </x:c>
      <x:c r="AC577" s="28" t="str">
        <x:v>связь из pairing grid, стр. 104</x:v>
      </x:c>
      <x:c r="AD577" s="28" t="n">
        <x:v>1</x:v>
      </x:c>
      <x:c r="AE577" s="28" t="n">
        <x:v>1</x:v>
      </x:c>
      <x:c r="AF577" s="28" t="n">
        <x:f>IF(Z577="Высокая",3,IF(Z577="Средняя",2,1))+AD577*2+MIN(AE577,3)</x:f>
        <x:v>5</x:v>
      </x:c>
    </x:row>
    <x:row r="578" ht="64" customHeight="1">
      <x:c r="A578" s="28" t="str">
        <x:v>VEG-0577</x:v>
      </x:c>
      <x:c r="B578" s="28" t="str">
        <x:v>огурец</x:v>
      </x:c>
      <x:c r="C578" s="28" t="str">
        <x:v>Еда и соусы</x:v>
      </x:c>
      <x:c r="D578" s="28" t="str">
        <x:v>огурец</x:v>
      </x:c>
      <x:c r="E578" s="28" t="str">
        <x:v>cucumber</x:v>
      </x:c>
      <x:c r="F578" s="28" t="str">
        <x:v>Тыквенные</x:v>
      </x:c>
      <x:c r="G578" s="28" t="str">
        <x:v>салат и огурец</x:v>
      </x:c>
      <x:c r="H578" s="28" t="str">
        <x:v>lettuce and cucumbers</x:v>
      </x:c>
      <x:c r="I578" s="28" t="str">
        <x:v>Плодовые и тыквенные овощи</x:v>
      </x:c>
      <x:c r="J578" s="28" t="str">
        <x:v>зелёный, водянистый, свежий и дынный</x:v>
      </x:c>
      <x:c r="K578" s="28" t="str">
        <x:v>зелёный, фруктовый или водянистый</x:v>
      </x:c>
      <x:c r="L578" s="28" t="str">
        <x:v>(E,Z)-2,6-нонадиеналь, (E)-2-ноненаль, гексаналь</x:v>
      </x:c>
      <x:c r="M578" s="28" t="str">
        <x:v>альдегиды, эфиры</x:v>
      </x:c>
      <x:c r="N578" s="28" t="str">
        <x:v>водянистый, зелёный</x:v>
      </x:c>
      <x:c r="O578" s="28" t="str">
        <x:v>надёжная общая ключевая молекула не установлена</x:v>
      </x:c>
      <x:c r="P578" s="28" t="str">
        <x:v>пересечение ароматических семейств</x:v>
      </x:c>
      <x:c r="Q578" s="28" t="str">
        <x:v>Свежесть и водянистость требуют кислоты, соли или умами; избыток жирной матрицы может подавить зелёные ноты.</x:v>
      </x:c>
      <x:c r="R578" s="28" t="str">
        <x:v>прохладно-зелёное ощущение</x:v>
      </x:c>
      <x:c r="S578" s="28" t="str">
        <x:v>почти полностью водная хрустящая матрица; летучие альдегиды быстро теряются</x:v>
      </x:c>
      <x:c r="T57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8" s="28" t="str">
        <x:v>Огурец имеет профиль «зелёный, водянистый, свежий и дынный». Партнёр «салат и огурец» относится к группе «Плодовые и тыквенные овощи» и даёт зелёный, фруктовый или водянистый. Профили пересекаются в семействах: водянистый, зелёный. Совместимость формируется за счёт баланса сладости, кислотности, горечи, умами и текстуры.</x:v>
      </x:c>
      <x:c r="V578" s="28" t="str">
        <x:v>легко разбавляет вкус; перезрелая кожица и семена дают горечь; сок быстро окисляется</x:v>
      </x:c>
      <x:c r="W578" s="28" t="str">
        <x:v>соль, кислота или ароматический жир</x:v>
      </x:c>
      <x:c r="X578" s="28" t="str">
        <x:v>сок, кордиал, гаспачо, салат, соус, маринад или коктейльный компонент с салат и огурец</x:v>
      </x:c>
      <x:c r="Y578" s="28" t="str">
        <x:v>еда, соусы/маринады</x:v>
      </x:c>
      <x:c r="Z578" s="28" t="str">
        <x:v>Средняя</x:v>
      </x:c>
      <x:c r="AA578" s="28" t="str">
        <x:v>The Art &amp; Science of Foodpairing.pdf</x:v>
      </x:c>
      <x:c r="AB578" s="28" t="str">
        <x:v>The Art &amp; Science of Foodpairing.pdf: 268</x:v>
      </x:c>
      <x:c r="AC578" s="28" t="str">
        <x:v>связь из pairing grid, стр. 268</x:v>
      </x:c>
      <x:c r="AD578" s="28" t="n">
        <x:v>1</x:v>
      </x:c>
      <x:c r="AE578" s="28" t="n">
        <x:v>1</x:v>
      </x:c>
      <x:c r="AF578" s="28" t="n">
        <x:f>IF(Z578="Высокая",3,IF(Z578="Средняя",2,1))+AD578*2+MIN(AE578,3)</x:f>
        <x:v>5</x:v>
      </x:c>
    </x:row>
    <x:row r="579" ht="64" customHeight="1">
      <x:c r="A579" s="28" t="str">
        <x:v>VEG-0578</x:v>
      </x:c>
      <x:c r="B579" s="28" t="str">
        <x:v>огурец</x:v>
      </x:c>
      <x:c r="C579" s="28" t="str">
        <x:v>Еда и соусы</x:v>
      </x:c>
      <x:c r="D579" s="28" t="str">
        <x:v>огурец</x:v>
      </x:c>
      <x:c r="E579" s="28" t="str">
        <x:v>Огурцы | огурцы</x:v>
      </x:c>
      <x:c r="F579" s="28" t="str">
        <x:v>Тыквенные</x:v>
      </x:c>
      <x:c r="G579" s="28" t="str">
        <x:v>свинина</x:v>
      </x:c>
      <x:c r="H579" s="28" t="str">
        <x:v>Свинина | свинина</x:v>
      </x:c>
      <x:c r="I579" s="28" t="str">
        <x:v>Мясо и птица</x:v>
      </x:c>
      <x:c r="J579" s="28" t="str">
        <x:v>зелёный, водянистый, свежий и дынный</x:v>
      </x:c>
      <x:c r="K579" s="28" t="str">
        <x:v>жареный, мясной и умами</x:v>
      </x:c>
      <x:c r="L579" s="28" t="str">
        <x:v>(E,Z)-2,6-нонадиеналь, (E)-2-ноненаль, гексаналь</x:v>
      </x:c>
      <x:c r="M579" s="28" t="str">
        <x:v>пиразины, сернистые соединения</x:v>
      </x:c>
      <x:c r="N579" s="28" t="str">
        <x:v>прямое пересечение семейств не подтверждено</x:v>
      </x:c>
      <x:c r="O579" s="28" t="str">
        <x:v>надёжная общая ключевая молекула не установлена</x:v>
      </x:c>
      <x:c r="P579" s="28" t="str">
        <x:v>умами и солёный контраст</x:v>
      </x:c>
      <x:c r="Q579" s="28" t="str">
        <x:v>Свежесть и водянистость требуют кислоты, соли или умами; избыток жирной матрицы может подавить зелёные ноты.</x:v>
      </x:c>
      <x:c r="R579" s="28" t="str">
        <x:v>прохладно-зелёное ощущение</x:v>
      </x:c>
      <x:c r="S579" s="28" t="str">
        <x:v>почти полностью водная хрустящая матрица; летучие альдегиды быстро теряются Белок и жир требуют контроля воды: для жареной ароматики поверхность должна подсохнуть.</x:v>
      </x:c>
      <x:c r="T57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79" s="28" t="str">
        <x:v>Огурец имеет профиль «зелёный, водянистый, свежий и дынный».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79" s="28" t="str">
        <x:v>легко разбавляет вкус; перезрелая кожица и семена дают горечь; сок быстро окисляется</x:v>
      </x:c>
      <x:c r="W579" s="28" t="str">
        <x:v>сливочное масло, соевый соус или тимьян</x:v>
      </x:c>
      <x:c r="X579" s="28" t="str">
        <x:v>сок, кордиал, гаспачо, салат, соус, маринад или коктейльный компонент с свинина</x:v>
      </x:c>
      <x:c r="Y579" s="28" t="str">
        <x:v>еда, соусы/маринады</x:v>
      </x:c>
      <x:c r="Z579" s="28" t="str">
        <x:v>Средняя</x:v>
      </x:c>
      <x:c r="AA579" s="28" t="str">
        <x:v>Тезариус вкусов (Ники Сегнит)(1).pdf</x:v>
      </x:c>
      <x:c r="AB579" s="28" t="str">
        <x:v>Тезариус вкусов (Ники Сегнит)(1).pdf: 86, 496</x:v>
      </x:c>
      <x:c r="AC579" s="28" t="str">
        <x:v>развёрнутая пара/статья, стр. 86; развёрнутая пара/статья, стр. 496</x:v>
      </x:c>
      <x:c r="AD579" s="28" t="n">
        <x:v>1</x:v>
      </x:c>
      <x:c r="AE579" s="28" t="n">
        <x:v>2</x:v>
      </x:c>
      <x:c r="AF579" s="28" t="n">
        <x:f>IF(Z579="Высокая",3,IF(Z579="Средняя",2,1))+AD579*2+MIN(AE579,3)</x:f>
        <x:v>6</x:v>
      </x:c>
    </x:row>
    <x:row r="580" ht="64" customHeight="1">
      <x:c r="A580" s="28" t="str">
        <x:v>VEG-0579</x:v>
      </x:c>
      <x:c r="B580" s="28" t="str">
        <x:v>огурец</x:v>
      </x:c>
      <x:c r="C580" s="28" t="str">
        <x:v>Универсальные</x:v>
      </x:c>
      <x:c r="D580" s="28" t="str">
        <x:v>огурец</x:v>
      </x:c>
      <x:c r="E580" s="28" t="str">
        <x:v>cucumber</x:v>
      </x:c>
      <x:c r="F580" s="28" t="str">
        <x:v>Тыквенные</x:v>
      </x:c>
      <x:c r="G580" s="28" t="str">
        <x:v>соус тартар</x:v>
      </x:c>
      <x:c r="H580" s="28" t="str">
        <x:v>tartare sauce</x:v>
      </x:c>
      <x:c r="I580" s="28" t="str">
        <x:v>Прочее</x:v>
      </x:c>
      <x:c r="J580" s="28" t="str">
        <x:v>зелёный, водянистый, свежий и дынный</x:v>
      </x:c>
      <x:c r="K580" s="28" t="str">
        <x:v>профиль зависит от конкретного продукта</x:v>
      </x:c>
      <x:c r="L580" s="28" t="str">
        <x:v>(E,Z)-2,6-нонадиеналь, (E)-2-ноненаль, гексаналь</x:v>
      </x:c>
      <x:c r="M580" s="28" t="str">
        <x:v>конкретный молекулярный профиль не указан</x:v>
      </x:c>
      <x:c r="N580" s="28" t="str">
        <x:v>прямое пересечение семейств не подтверждено</x:v>
      </x:c>
      <x:c r="O580" s="28" t="str">
        <x:v>надёжная общая ключевая молекула не установлена</x:v>
      </x:c>
      <x:c r="P580" s="28" t="str">
        <x:v>сенсорная комплементарность</x:v>
      </x:c>
      <x:c r="Q580" s="28" t="str">
        <x:v>Свежесть и водянистость требуют кислоты, соли или умами; избыток жирной матрицы может подавить зелёные ноты.</x:v>
      </x:c>
      <x:c r="R580" s="28" t="str">
        <x:v>прохладно-зелёное ощущение</x:v>
      </x:c>
      <x:c r="S580" s="28" t="str">
        <x:v>почти полностью водная хрустящая матрица; летучие альдегиды быстро теряются</x:v>
      </x:c>
      <x:c r="T58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0" s="28" t="str">
        <x:v>Огурец имеет профиль «зелёный, водянистый, свежий и дынный». Партнёр «соус тартар»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80" s="28" t="str">
        <x:v>легко разбавляет вкус; перезрелая кожица и семена дают горечь; сок быстро окисляется</x:v>
      </x:c>
      <x:c r="W580" s="28" t="str">
        <x:v>соль, кислота или ароматический жир</x:v>
      </x:c>
      <x:c r="X580" s="28" t="str">
        <x:v>сок, кордиал, гаспачо, салат, соус, маринад или коктейльный компонент с соус тартар</x:v>
      </x:c>
      <x:c r="Y580" s="28" t="str">
        <x:v>соусы/маринады</x:v>
      </x:c>
      <x:c r="Z580" s="28" t="str">
        <x:v>Средняя</x:v>
      </x:c>
      <x:c r="AA580" s="28" t="str">
        <x:v>The Art &amp; Science of Foodpairing.pdf</x:v>
      </x:c>
      <x:c r="AB580" s="28" t="str">
        <x:v>The Art &amp; Science of Foodpairing.pdf: 268</x:v>
      </x:c>
      <x:c r="AC580" s="28" t="str">
        <x:v>связь из pairing grid, стр. 268</x:v>
      </x:c>
      <x:c r="AD580" s="28" t="n">
        <x:v>1</x:v>
      </x:c>
      <x:c r="AE580" s="28" t="n">
        <x:v>1</x:v>
      </x:c>
      <x:c r="AF580" s="28" t="n">
        <x:f>IF(Z580="Высокая",3,IF(Z580="Средняя",2,1))+AD580*2+MIN(AE580,3)</x:f>
        <x:v>5</x:v>
      </x:c>
    </x:row>
    <x:row r="581" ht="64" customHeight="1">
      <x:c r="A581" s="28" t="str">
        <x:v>VEG-0580</x:v>
      </x:c>
      <x:c r="B581" s="28" t="str">
        <x:v>огурец</x:v>
      </x:c>
      <x:c r="C581" s="28" t="str">
        <x:v>Десерты и выпечка</x:v>
      </x:c>
      <x:c r="D581" s="28" t="str">
        <x:v>огурец</x:v>
      </x:c>
      <x:c r="E581" s="28" t="str">
        <x:v>cucumber</x:v>
      </x:c>
      <x:c r="F581" s="28" t="str">
        <x:v>Тыквенные</x:v>
      </x:c>
      <x:c r="G581" s="28" t="str">
        <x:v>сыр</x:v>
      </x:c>
      <x:c r="H581" s="28" t="str">
        <x:v>ham, cheese, slices of tomatoes, hard-boiled eggs, iceberg | semi-hard goats' cheese</x:v>
      </x:c>
      <x:c r="I581" s="28" t="str">
        <x:v>Молочные продукты и сыры</x:v>
      </x:c>
      <x:c r="J581" s="28" t="str">
        <x:v>зелёный, водянистый, свежий и дынный</x:v>
      </x:c>
      <x:c r="K581" s="28" t="str">
        <x:v>молочный, умами, ферментированный</x:v>
      </x:c>
      <x:c r="L581" s="28" t="str">
        <x:v>(E,Z)-2,6-нонадиеналь, (E)-2-ноненаль, гексаналь</x:v>
      </x:c>
      <x:c r="M581" s="28" t="str">
        <x:v>диацетил, жирные кислоты</x:v>
      </x:c>
      <x:c r="N581" s="28" t="str">
        <x:v>прямое пересечение семейств не подтверждено</x:v>
      </x:c>
      <x:c r="O581" s="28" t="str">
        <x:v>надёжная общая ключевая молекула не установлена</x:v>
      </x:c>
      <x:c r="P581" s="28" t="str">
        <x:v>жировая матрица</x:v>
      </x:c>
      <x:c r="Q581" s="28" t="str">
        <x:v>Свежесть и водянистость требуют кислоты, соли или умами; избыток жирной матрицы может подавить зелёные ноты.</x:v>
      </x:c>
      <x:c r="R581" s="28" t="str">
        <x:v>прохладно-зелёное ощущение</x:v>
      </x:c>
      <x:c r="S581" s="28" t="str">
        <x:v>почти полностью водная хрустящая матрица; летучие альдегиды быстро теряются Жировая фаза удерживает гидрофобные молекулы, но может сделать вкус тяжёлым.</x:v>
      </x:c>
      <x:c r="T58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1" s="28" t="str">
        <x:v>Огурец имеет профиль «зелёный, водянистый, свежий и дынный».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581" s="28" t="str">
        <x:v>легко разбавляет вкус; перезрелая кожица и семена дают горечь; сок быстро окисляется; жир способен приглушить свежую зелёную ароматику</x:v>
      </x:c>
      <x:c r="W581" s="28" t="str">
        <x:v>кислота, зелень или жареный орех</x:v>
      </x:c>
      <x:c r="X581" s="28" t="str">
        <x:v>сок, кордиал, гаспачо, салат, соус, маринад или коктейльный компонент с сыр</x:v>
      </x:c>
      <x:c r="Y581" s="28" t="str">
        <x:v>десерты</x:v>
      </x:c>
      <x:c r="Z581" s="28" t="str">
        <x:v>Средняя</x:v>
      </x:c>
      <x:c r="AA581" s="28" t="str">
        <x:v>The Art &amp; Science of Foodpairing.pdf</x:v>
      </x:c>
      <x:c r="AB581" s="28" t="str">
        <x:v>The Art &amp; Science of Foodpairing.pdf: 268</x:v>
      </x:c>
      <x:c r="AC581" s="28" t="str">
        <x:v>связь из pairing grid, стр. 268; связь из pairing grid, стр. 268</x:v>
      </x:c>
      <x:c r="AD581" s="28" t="n">
        <x:v>1</x:v>
      </x:c>
      <x:c r="AE581" s="28" t="n">
        <x:v>2</x:v>
      </x:c>
      <x:c r="AF581" s="28" t="n">
        <x:f>IF(Z581="Высокая",3,IF(Z581="Средняя",2,1))+AD581*2+MIN(AE581,3)</x:f>
        <x:v>6</x:v>
      </x:c>
    </x:row>
    <x:row r="582" ht="64" customHeight="1">
      <x:c r="A582" s="28" t="str">
        <x:v>VEG-0581</x:v>
      </x:c>
      <x:c r="B582" s="28" t="str">
        <x:v>огурец</x:v>
      </x:c>
      <x:c r="C582" s="28" t="str">
        <x:v>Универсальные</x:v>
      </x:c>
      <x:c r="D582" s="28" t="str">
        <x:v>огурец</x:v>
      </x:c>
      <x:c r="E582" s="28" t="str">
        <x:v>cucumber</x:v>
      </x:c>
      <x:c r="F582" s="28" t="str">
        <x:v>Тыквенные</x:v>
      </x:c>
      <x:c r="G582" s="28" t="str">
        <x:v>телячьи зобные железы</x:v>
      </x:c>
      <x:c r="H582" s="28" t="str">
        <x:v>roasted veal sweetbreads</x:v>
      </x:c>
      <x:c r="I582" s="28" t="str">
        <x:v>Прочее</x:v>
      </x:c>
      <x:c r="J582" s="28" t="str">
        <x:v>зелёный, водянистый, свежий и дынный</x:v>
      </x:c>
      <x:c r="K582" s="28" t="str">
        <x:v>профиль зависит от конкретного продукта</x:v>
      </x:c>
      <x:c r="L582" s="28" t="str">
        <x:v>(E,Z)-2,6-нонадиеналь, (E)-2-ноненаль, гексаналь</x:v>
      </x:c>
      <x:c r="M582" s="28" t="str">
        <x:v>конкретный молекулярный профиль не указан</x:v>
      </x:c>
      <x:c r="N582" s="28" t="str">
        <x:v>прямое пересечение семейств не подтверждено</x:v>
      </x:c>
      <x:c r="O582" s="28" t="str">
        <x:v>надёжная общая ключевая молекула не установлена</x:v>
      </x:c>
      <x:c r="P582" s="28" t="str">
        <x:v>сенсорная комплементарность</x:v>
      </x:c>
      <x:c r="Q582" s="28" t="str">
        <x:v>Свежесть и водянистость требуют кислоты, соли или умами; избыток жирной матрицы может подавить зелёные ноты.</x:v>
      </x:c>
      <x:c r="R582" s="28" t="str">
        <x:v>прохладно-зелёное ощущение</x:v>
      </x:c>
      <x:c r="S582" s="28" t="str">
        <x:v>почти полностью водная хрустящая матрица; летучие альдегиды быстро теряются</x:v>
      </x:c>
      <x:c r="T58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2" s="28" t="str">
        <x:v>Огурец имеет профиль «зелёный, водянистый, свежий и дынный». Партнёр «телячьи зобные железы»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82" s="28" t="str">
        <x:v>легко разбавляет вкус; перезрелая кожица и семена дают горечь; сок быстро окисляется</x:v>
      </x:c>
      <x:c r="W582" s="28" t="str">
        <x:v>соль, кислота или ароматический жир</x:v>
      </x:c>
      <x:c r="X582" s="28" t="str">
        <x:v>сок, кордиал, гаспачо, салат, соус, маринад или коктейльный компонент с телячьи зобные железы</x:v>
      </x:c>
      <x:c r="Y582" s="28" t="str">
        <x:v>универсальное</x:v>
      </x:c>
      <x:c r="Z582" s="28" t="str">
        <x:v>Средняя</x:v>
      </x:c>
      <x:c r="AA582" s="28" t="str">
        <x:v>The Art &amp; Science of Foodpairing.pdf</x:v>
      </x:c>
      <x:c r="AB582" s="28" t="str">
        <x:v>The Art &amp; Science of Foodpairing.pdf: 268</x:v>
      </x:c>
      <x:c r="AC582" s="28" t="str">
        <x:v>связь из pairing grid, стр. 268</x:v>
      </x:c>
      <x:c r="AD582" s="28" t="n">
        <x:v>1</x:v>
      </x:c>
      <x:c r="AE582" s="28" t="n">
        <x:v>1</x:v>
      </x:c>
      <x:c r="AF582" s="28" t="n">
        <x:f>IF(Z582="Высокая",3,IF(Z582="Средняя",2,1))+AD582*2+MIN(AE582,3)</x:f>
        <x:v>5</x:v>
      </x:c>
    </x:row>
    <x:row r="583" ht="64" customHeight="1">
      <x:c r="A583" s="28" t="str">
        <x:v>VEG-0582</x:v>
      </x:c>
      <x:c r="B583" s="28" t="str">
        <x:v>огурец</x:v>
      </x:c>
      <x:c r="C583" s="28" t="str">
        <x:v>Универсальные</x:v>
      </x:c>
      <x:c r="D583" s="28" t="str">
        <x:v>огурец</x:v>
      </x:c>
      <x:c r="E583" s="28" t="str">
        <x:v>Огурец | огурец</x:v>
      </x:c>
      <x:c r="F583" s="28" t="str">
        <x:v>Тыквенные</x:v>
      </x:c>
      <x:c r="G583" s="28" t="str">
        <x:v>тимьян</x:v>
      </x:c>
      <x:c r="H583" s="28" t="str">
        <x:v>Тимьян | тимьян</x:v>
      </x:c>
      <x:c r="I583" s="28" t="str">
        <x:v>Травы, цветы и листья</x:v>
      </x:c>
      <x:c r="J583" s="28" t="str">
        <x:v>зелёный, водянистый, свежий и дынный</x:v>
      </x:c>
      <x:c r="K583" s="28" t="str">
        <x:v>древесный, зелёный, фенольный</x:v>
      </x:c>
      <x:c r="L583" s="28" t="str">
        <x:v>(E,Z)-2,6-нонадиеналь, (E)-2-ноненаль, гексаналь</x:v>
      </x:c>
      <x:c r="M583" s="28" t="str">
        <x:v>карвакрол, тимол</x:v>
      </x:c>
      <x:c r="N583" s="28" t="str">
        <x:v>зелёный</x:v>
      </x:c>
      <x:c r="O583" s="28" t="str">
        <x:v>надёжная общая ключевая молекула не установлена</x:v>
      </x:c>
      <x:c r="P583" s="28" t="str">
        <x:v>пересечение ароматических семейств</x:v>
      </x:c>
      <x:c r="Q583" s="28" t="str">
        <x:v>Свежесть и водянистость требуют кислоты, соли или умами; избыток жирной матрицы может подавить зелёные ноты.</x:v>
      </x:c>
      <x:c r="R583" s="28" t="str">
        <x:v>прохладно-зелёное ощущение</x:v>
      </x:c>
      <x:c r="S583" s="28" t="str">
        <x:v>почти полностью водная хрустящая матрица; летучие альдегиды быстро теряются</x:v>
      </x:c>
      <x:c r="T58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3" s="28" t="str">
        <x:v>Огурец имеет профиль «зелёный, водянистый, свежий и дынный». Партнёр «тимьян» относится к группе «Травы, цветы и листья» и даёт древесный, зелёный, фенольный.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583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W583" s="28" t="str">
        <x:v>оливковое масло, лимон или сыр</x:v>
      </x:c>
      <x:c r="X583" s="28" t="str">
        <x:v>сок, кордиал, гаспачо, салат, соус, маринад или коктейльный компонент с тимьян</x:v>
      </x:c>
      <x:c r="Y583" s="28" t="str">
        <x:v>универсальное</x:v>
      </x:c>
      <x:c r="Z583" s="28" t="str">
        <x:v>Гипотеза / практическая</x:v>
      </x:c>
      <x:c r="AA583" s="28" t="str">
        <x:v>Таблица сочетания(1).pdf</x:v>
      </x:c>
      <x:c r="AB583" s="28" t="str">
        <x:v>Таблица сочетания(1).pdf: 6, 21</x:v>
      </x:c>
      <x:c r="AC583" s="28" t="str">
        <x:v>рекомендация таблицы, стр. 6; рекомендация таблицы, стр. 21</x:v>
      </x:c>
      <x:c r="AD583" s="28" t="n">
        <x:v>1</x:v>
      </x:c>
      <x:c r="AE583" s="28" t="n">
        <x:v>2</x:v>
      </x:c>
      <x:c r="AF583" s="28" t="n">
        <x:f>IF(Z583="Высокая",3,IF(Z583="Средняя",2,1))+AD583*2+MIN(AE583,3)</x:f>
        <x:v>5</x:v>
      </x:c>
    </x:row>
    <x:row r="584" ht="64" customHeight="1">
      <x:c r="A584" s="28" t="str">
        <x:v>VEG-0583</x:v>
      </x:c>
      <x:c r="B584" s="28" t="str">
        <x:v>огурец</x:v>
      </x:c>
      <x:c r="C584" s="28" t="str">
        <x:v>Еда и соусы</x:v>
      </x:c>
      <x:c r="D584" s="28" t="str">
        <x:v>огурец</x:v>
      </x:c>
      <x:c r="E584" s="28" t="str">
        <x:v>cucumber</x:v>
      </x:c>
      <x:c r="F584" s="28" t="str">
        <x:v>Тыквенные</x:v>
      </x:c>
      <x:c r="G584" s="28" t="str">
        <x:v>треска</x:v>
      </x:c>
      <x:c r="H584" s="28" t="str">
        <x:v>poached cod fillet</x:v>
      </x:c>
      <x:c r="I584" s="28" t="str">
        <x:v>Рыба и морепродукты</x:v>
      </x:c>
      <x:c r="J584" s="28" t="str">
        <x:v>зелёный, водянистый, свежий и дынный</x:v>
      </x:c>
      <x:c r="K584" s="28" t="str">
        <x:v>морской, солоноватый и умами</x:v>
      </x:c>
      <x:c r="L584" s="28" t="str">
        <x:v>(E,Z)-2,6-нонадиеналь, (E)-2-ноненаль, гексаналь</x:v>
      </x:c>
      <x:c r="M584" s="28" t="str">
        <x:v>альдегиды, амины</x:v>
      </x:c>
      <x:c r="N584" s="28" t="str">
        <x:v>прямое пересечение семейств не подтверждено</x:v>
      </x:c>
      <x:c r="O584" s="28" t="str">
        <x:v>надёжная общая ключевая молекула не установлена</x:v>
      </x:c>
      <x:c r="P584" s="28" t="str">
        <x:v>умами и солёный контраст</x:v>
      </x:c>
      <x:c r="Q584" s="28" t="str">
        <x:v>Свежесть и водянистость требуют кислоты, соли или умами; избыток жирной матрицы может подавить зелёные ноты.</x:v>
      </x:c>
      <x:c r="R584" s="28" t="str">
        <x:v>прохладно-зелёное ощущение</x:v>
      </x:c>
      <x:c r="S584" s="28" t="str">
        <x:v>почти полностью водная хрустящая матрица; летучие альдегиды быстро теряются Белок и жир требуют контроля воды: для жареной ароматики поверхность должна подсохнуть.</x:v>
      </x:c>
      <x:c r="T58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4" s="28" t="str">
        <x:v>Огурец имеет профиль «зелёный, водянистый, свежий и дынный».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584" s="28" t="str">
        <x:v>легко разбавляет вкус; перезрелая кожица и семена дают горечь; сок быстро окисляется</x:v>
      </x:c>
      <x:c r="W584" s="28" t="str">
        <x:v>сливочное масло, соевый соус или тимьян</x:v>
      </x:c>
      <x:c r="X584" s="28" t="str">
        <x:v>сок, кордиал, гаспачо, салат, соус, маринад или коктейльный компонент с треска</x:v>
      </x:c>
      <x:c r="Y584" s="28" t="str">
        <x:v>еда, соусы/маринады</x:v>
      </x:c>
      <x:c r="Z584" s="28" t="str">
        <x:v>Средняя</x:v>
      </x:c>
      <x:c r="AA584" s="28" t="str">
        <x:v>The Art &amp; Science of Foodpairing.pdf</x:v>
      </x:c>
      <x:c r="AB584" s="28" t="str">
        <x:v>The Art &amp; Science of Foodpairing.pdf: 268</x:v>
      </x:c>
      <x:c r="AC584" s="28" t="str">
        <x:v>связь из pairing grid, стр. 268</x:v>
      </x:c>
      <x:c r="AD584" s="28" t="n">
        <x:v>1</x:v>
      </x:c>
      <x:c r="AE584" s="28" t="n">
        <x:v>1</x:v>
      </x:c>
      <x:c r="AF584" s="28" t="n">
        <x:f>IF(Z584="Высокая",3,IF(Z584="Средняя",2,1))+AD584*2+MIN(AE584,3)</x:f>
        <x:v>5</x:v>
      </x:c>
    </x:row>
    <x:row r="585" ht="64" customHeight="1">
      <x:c r="A585" s="28" t="str">
        <x:v>VEG-0584</x:v>
      </x:c>
      <x:c r="B585" s="28" t="str">
        <x:v>огурец</x:v>
      </x:c>
      <x:c r="C585" s="28" t="str">
        <x:v>Универсальные</x:v>
      </x:c>
      <x:c r="D585" s="28" t="str">
        <x:v>огурец</x:v>
      </x:c>
      <x:c r="E585" s="28" t="str">
        <x:v>Огурец | Огурцы | огурец | огурцы</x:v>
      </x:c>
      <x:c r="F585" s="28" t="str">
        <x:v>Тыквенные</x:v>
      </x:c>
      <x:c r="G585" s="28" t="str">
        <x:v>укроп</x:v>
      </x:c>
      <x:c r="H585" s="28" t="str">
        <x:v>Укроп | укроп</x:v>
      </x:c>
      <x:c r="I585" s="28" t="str">
        <x:v>Травы, цветы и листья</x:v>
      </x:c>
      <x:c r="J585" s="28" t="str">
        <x:v>зелёный, водянистый, свежий и дынный</x:v>
      </x:c>
      <x:c r="K585" s="28" t="str">
        <x:v>анисовый, зелёный</x:v>
      </x:c>
      <x:c r="L585" s="28" t="str">
        <x:v>(E,Z)-2,6-нонадиеналь, (E)-2-ноненаль, гексаналь</x:v>
      </x:c>
      <x:c r="M585" s="28" t="str">
        <x:v>карвон, лимонен</x:v>
      </x:c>
      <x:c r="N585" s="28" t="str">
        <x:v>зелёный</x:v>
      </x:c>
      <x:c r="O585" s="28" t="str">
        <x:v>надёжная общая ключевая молекула не установлена</x:v>
      </x:c>
      <x:c r="P585" s="28" t="str">
        <x:v>пересечение ароматических семейств</x:v>
      </x:c>
      <x:c r="Q585" s="28" t="str">
        <x:v>Свежесть и водянистость требуют кислоты, соли или умами; избыток жирной матрицы может подавить зелёные ноты.</x:v>
      </x:c>
      <x:c r="R585" s="28" t="str">
        <x:v>прохладно-зелёное ощущение</x:v>
      </x:c>
      <x:c r="S585" s="28" t="str">
        <x:v>почти полностью водная хрустящая матрица; летучие альдегиды быстро теряются</x:v>
      </x:c>
      <x:c r="T58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5" s="28" t="str">
        <x:v>Огурец имеет профиль «зелёный, водянистый, свежий и дынный». Партнёр «укроп» относится к группе «Травы, цветы и листья» и даёт анисовый, зелёный.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585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W585" s="28" t="str">
        <x:v>оливковое масло, лимон или сыр</x:v>
      </x:c>
      <x:c r="X585" s="28" t="str">
        <x:v>сок, кордиал, гаспачо, салат, соус, маринад или коктейльный компонент с укроп</x:v>
      </x:c>
      <x:c r="Y585" s="28" t="str">
        <x:v>универсальное</x:v>
      </x:c>
      <x:c r="Z585" s="28" t="str">
        <x:v>Высокая</x:v>
      </x:c>
      <x:c r="AA585" s="28" t="str">
        <x:v>Таблица сочетания(1).pdf | Тезариус вкусов (Ники Сегнит)(1).pdf</x:v>
      </x:c>
      <x:c r="AB585" s="28" t="str">
        <x:v>Таблица сочетания(1).pdf: 6, 7; Тезариус вкусов (Ники Сегнит)(1).pdf: 497, 504</x:v>
      </x:c>
      <x:c r="AC585" s="28" t="str">
        <x:v>развёрнутая пара/статья, стр. 497; развёрнутая пара/статья, стр. 504; рекомендация таблицы, стр. 6; рекомендация таблицы, стр. 7</x:v>
      </x:c>
      <x:c r="AD585" s="28" t="n">
        <x:v>2</x:v>
      </x:c>
      <x:c r="AE585" s="28" t="n">
        <x:v>4</x:v>
      </x:c>
      <x:c r="AF585" s="28" t="n">
        <x:f>IF(Z585="Высокая",3,IF(Z585="Средняя",2,1))+AD585*2+MIN(AE585,3)</x:f>
        <x:v>10</x:v>
      </x:c>
    </x:row>
    <x:row r="586" ht="64" customHeight="1">
      <x:c r="A586" s="28" t="str">
        <x:v>VEG-0585</x:v>
      </x:c>
      <x:c r="B586" s="28" t="str">
        <x:v>огурец</x:v>
      </x:c>
      <x:c r="C586" s="28" t="str">
        <x:v>Универсальные</x:v>
      </x:c>
      <x:c r="D586" s="28" t="str">
        <x:v>огурец</x:v>
      </x:c>
      <x:c r="E586" s="28" t="str">
        <x:v>огурец</x:v>
      </x:c>
      <x:c r="F586" s="28" t="str">
        <x:v>Тыквенные</x:v>
      </x:c>
      <x:c r="G586" s="28" t="str">
        <x:v>фенхель</x:v>
      </x:c>
      <x:c r="H586" s="28" t="str">
        <x:v>Фенхель</x:v>
      </x:c>
      <x:c r="I586" s="28" t="str">
        <x:v>Стеблевые овощи</x:v>
      </x:c>
      <x:c r="J586" s="28" t="str">
        <x:v>зелёный, водянистый, свежий и дынный</x:v>
      </x:c>
      <x:c r="K586" s="28" t="str">
        <x:v>анисовый, зелёный, свежий и сладковатый</x:v>
      </x:c>
      <x:c r="L586" s="28" t="str">
        <x:v>(E,Z)-2,6-нонадиеналь, (E)-2-ноненаль, гексаналь</x:v>
      </x:c>
      <x:c r="M586" s="28" t="str">
        <x:v>лимонен, транс-анетол, фенхон, эстрагол</x:v>
      </x:c>
      <x:c r="N586" s="28" t="str">
        <x:v>зелёный</x:v>
      </x:c>
      <x:c r="O586" s="28" t="str">
        <x:v>надёжная общая ключевая молекула не установлена</x:v>
      </x:c>
      <x:c r="P586" s="28" t="str">
        <x:v>пересечение ароматических семейств</x:v>
      </x:c>
      <x:c r="Q586" s="28" t="str">
        <x:v>Свежесть и водянистость требуют кислоты, соли или умами; избыток жирной матрицы может подавить зелёные ноты.</x:v>
      </x:c>
      <x:c r="R586" s="28" t="str">
        <x:v>прохладно-зелёное ощущение</x:v>
      </x:c>
      <x:c r="S586" s="28" t="str">
        <x:v>почти полностью водная хрустящая матрица; летучие альдегиды быстро теряются</x:v>
      </x:c>
      <x:c r="T58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6" s="28" t="str">
        <x:v>Огурец имеет профиль «зелёный, водянистый, свежий и дынный». Партнёр «фенхель» относится к группе «Стеблевые овощи» и даёт анисовый, зелёный, свежий и сладковатый.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V586" s="28" t="str">
        <x:v>легко разбавляет вкус; перезрелая кожица и семена дают горечь; сок быстро окисляется</x:v>
      </x:c>
      <x:c r="W586" s="28" t="str">
        <x:v>соль, кислота или ароматический жир</x:v>
      </x:c>
      <x:c r="X586" s="28" t="str">
        <x:v>сок, кордиал, гаспачо, салат, соус, маринад или коктейльный компонент с фенхель</x:v>
      </x:c>
      <x:c r="Y586" s="28" t="str">
        <x:v>универсальное</x:v>
      </x:c>
      <x:c r="Z586" s="28" t="str">
        <x:v>Гипотеза / практическая</x:v>
      </x:c>
      <x:c r="AA586" s="28" t="str">
        <x:v>Таблица сочетания(1).pdf</x:v>
      </x:c>
      <x:c r="AB586" s="28" t="str">
        <x:v>Таблица сочетания(1).pdf: 8</x:v>
      </x:c>
      <x:c r="AC586" s="28" t="str">
        <x:v>рекомендация таблицы, стр. 8</x:v>
      </x:c>
      <x:c r="AD586" s="28" t="n">
        <x:v>1</x:v>
      </x:c>
      <x:c r="AE586" s="28" t="n">
        <x:v>1</x:v>
      </x:c>
      <x:c r="AF586" s="28" t="n">
        <x:f>IF(Z586="Высокая",3,IF(Z586="Средняя",2,1))+AD586*2+MIN(AE586,3)</x:f>
        <x:v>4</x:v>
      </x:c>
    </x:row>
    <x:row r="587" ht="64" customHeight="1">
      <x:c r="A587" s="28" t="str">
        <x:v>VEG-0586</x:v>
      </x:c>
      <x:c r="B587" s="28" t="str">
        <x:v>огурец</x:v>
      </x:c>
      <x:c r="C587" s="28" t="str">
        <x:v>Универсальные</x:v>
      </x:c>
      <x:c r="D587" s="28" t="str">
        <x:v>огурец</x:v>
      </x:c>
      <x:c r="E587" s="28" t="str">
        <x:v>cucumber</x:v>
      </x:c>
      <x:c r="F587" s="28" t="str">
        <x:v>Тыквенные</x:v>
      </x:c>
      <x:c r="G587" s="28" t="str">
        <x:v>хумус</x:v>
      </x:c>
      <x:c r="H587" s="28" t="str">
        <x:v>hummus</x:v>
      </x:c>
      <x:c r="I587" s="28" t="str">
        <x:v>Прочее</x:v>
      </x:c>
      <x:c r="J587" s="28" t="str">
        <x:v>зелёный, водянистый, свежий и дынный</x:v>
      </x:c>
      <x:c r="K587" s="28" t="str">
        <x:v>профиль зависит от конкретного продукта</x:v>
      </x:c>
      <x:c r="L587" s="28" t="str">
        <x:v>(E,Z)-2,6-нонадиеналь, (E)-2-ноненаль, гексаналь</x:v>
      </x:c>
      <x:c r="M587" s="28" t="str">
        <x:v>конкретный молекулярный профиль не указан</x:v>
      </x:c>
      <x:c r="N587" s="28" t="str">
        <x:v>прямое пересечение семейств не подтверждено</x:v>
      </x:c>
      <x:c r="O587" s="28" t="str">
        <x:v>надёжная общая ключевая молекула не установлена</x:v>
      </x:c>
      <x:c r="P587" s="28" t="str">
        <x:v>сенсорная комплементарность</x:v>
      </x:c>
      <x:c r="Q587" s="28" t="str">
        <x:v>Свежесть и водянистость требуют кислоты, соли или умами; избыток жирной матрицы может подавить зелёные ноты.</x:v>
      </x:c>
      <x:c r="R587" s="28" t="str">
        <x:v>прохладно-зелёное ощущение</x:v>
      </x:c>
      <x:c r="S587" s="28" t="str">
        <x:v>почти полностью водная хрустящая матрица; летучие альдегиды быстро теряются</x:v>
      </x:c>
      <x:c r="T58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7" s="28" t="str">
        <x:v>Огурец имеет профиль «зелёный, водянистый, свежий и дынный». Партнёр «хумус»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87" s="28" t="str">
        <x:v>легко разбавляет вкус; перезрелая кожица и семена дают горечь; сок быстро окисляется</x:v>
      </x:c>
      <x:c r="W587" s="28" t="str">
        <x:v>соль, кислота или ароматический жир</x:v>
      </x:c>
      <x:c r="X587" s="28" t="str">
        <x:v>сок, кордиал, гаспачо, салат, соус, маринад или коктейльный компонент с хумус</x:v>
      </x:c>
      <x:c r="Y587" s="28" t="str">
        <x:v>универсальное</x:v>
      </x:c>
      <x:c r="Z587" s="28" t="str">
        <x:v>Средняя</x:v>
      </x:c>
      <x:c r="AA587" s="28" t="str">
        <x:v>The Art &amp; Science of Foodpairing.pdf</x:v>
      </x:c>
      <x:c r="AB587" s="28" t="str">
        <x:v>The Art &amp; Science of Foodpairing.pdf: 268</x:v>
      </x:c>
      <x:c r="AC587" s="28" t="str">
        <x:v>связь из pairing grid, стр. 268</x:v>
      </x:c>
      <x:c r="AD587" s="28" t="n">
        <x:v>1</x:v>
      </x:c>
      <x:c r="AE587" s="28" t="n">
        <x:v>1</x:v>
      </x:c>
      <x:c r="AF587" s="28" t="n">
        <x:f>IF(Z587="Высокая",3,IF(Z587="Средняя",2,1))+AD587*2+MIN(AE587,3)</x:f>
        <x:v>5</x:v>
      </x:c>
    </x:row>
    <x:row r="588" ht="64" customHeight="1">
      <x:c r="A588" s="28" t="str">
        <x:v>VEG-0587</x:v>
      </x:c>
      <x:c r="B588" s="28" t="str">
        <x:v>огурец</x:v>
      </x:c>
      <x:c r="C588" s="28" t="str">
        <x:v>Универсальные</x:v>
      </x:c>
      <x:c r="D588" s="28" t="str">
        <x:v>огурец</x:v>
      </x:c>
      <x:c r="E588" s="28" t="str">
        <x:v>Огурец</x:v>
      </x:c>
      <x:c r="F588" s="28" t="str">
        <x:v>Тыквенные</x:v>
      </x:c>
      <x:c r="G588" s="28" t="str">
        <x:v>цветы</x:v>
      </x:c>
      <x:c r="H588" s="28" t="str">
        <x:v>цветы</x:v>
      </x:c>
      <x:c r="I588" s="28" t="str">
        <x:v>Прочее</x:v>
      </x:c>
      <x:c r="J588" s="28" t="str">
        <x:v>зелёный, водянистый, свежий и дынный</x:v>
      </x:c>
      <x:c r="K588" s="28" t="str">
        <x:v>профиль зависит от конкретного продукта</x:v>
      </x:c>
      <x:c r="L588" s="28" t="str">
        <x:v>(E,Z)-2,6-нонадиеналь, (E)-2-ноненаль, гексаналь</x:v>
      </x:c>
      <x:c r="M588" s="28" t="str">
        <x:v>конкретный молекулярный профиль не указан</x:v>
      </x:c>
      <x:c r="N588" s="28" t="str">
        <x:v>прямое пересечение семейств не подтверждено</x:v>
      </x:c>
      <x:c r="O588" s="28" t="str">
        <x:v>надёжная общая ключевая молекула не установлена</x:v>
      </x:c>
      <x:c r="P588" s="28" t="str">
        <x:v>сенсорная комплементарность</x:v>
      </x:c>
      <x:c r="Q588" s="28" t="str">
        <x:v>Свежесть и водянистость требуют кислоты, соли или умами; избыток жирной матрицы может подавить зелёные ноты.</x:v>
      </x:c>
      <x:c r="R588" s="28" t="str">
        <x:v>прохладно-зелёное ощущение</x:v>
      </x:c>
      <x:c r="S588" s="28" t="str">
        <x:v>почти полностью водная хрустящая матрица; летучие альдегиды быстро теряются</x:v>
      </x:c>
      <x:c r="T58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8" s="28" t="str">
        <x:v>Огурец имеет профиль «зелёный, водянистый, свежий и дынный». Партнёр «цветы»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88" s="28" t="str">
        <x:v>легко разбавляет вкус; перезрелая кожица и семена дают горечь; сок быстро окисляется</x:v>
      </x:c>
      <x:c r="W588" s="28" t="str">
        <x:v>соль, кислота или ароматический жир</x:v>
      </x:c>
      <x:c r="X588" s="28" t="str">
        <x:v>сок, кордиал, гаспачо, салат, соус, маринад или коктейльный компонент с цветы</x:v>
      </x:c>
      <x:c r="Y588" s="28" t="str">
        <x:v>универсальное</x:v>
      </x:c>
      <x:c r="Z588" s="28" t="str">
        <x:v>Гипотеза / практическая</x:v>
      </x:c>
      <x:c r="AA588" s="28" t="str">
        <x:v>Таблица сочетания(1).pdf</x:v>
      </x:c>
      <x:c r="AB588" s="28" t="str">
        <x:v>Таблица сочетания(1).pdf: 6</x:v>
      </x:c>
      <x:c r="AC588" s="28" t="str">
        <x:v>рекомендация таблицы, стр. 6</x:v>
      </x:c>
      <x:c r="AD588" s="28" t="n">
        <x:v>1</x:v>
      </x:c>
      <x:c r="AE588" s="28" t="n">
        <x:v>1</x:v>
      </x:c>
      <x:c r="AF588" s="28" t="n">
        <x:f>IF(Z588="Высокая",3,IF(Z588="Средняя",2,1))+AD588*2+MIN(AE588,3)</x:f>
        <x:v>4</x:v>
      </x:c>
    </x:row>
    <x:row r="589" ht="64" customHeight="1">
      <x:c r="A589" s="28" t="str">
        <x:v>VEG-0588</x:v>
      </x:c>
      <x:c r="B589" s="28" t="str">
        <x:v>огурец</x:v>
      </x:c>
      <x:c r="C589" s="28" t="str">
        <x:v>Универсальные</x:v>
      </x:c>
      <x:c r="D589" s="28" t="str">
        <x:v>огурец</x:v>
      </x:c>
      <x:c r="E589" s="28" t="str">
        <x:v>Огурец</x:v>
      </x:c>
      <x:c r="F589" s="28" t="str">
        <x:v>Тыквенные</x:v>
      </x:c>
      <x:c r="G589" s="28" t="str">
        <x:v>цитрусовые</x:v>
      </x:c>
      <x:c r="H589" s="28" t="str">
        <x:v>цитрусовые</x:v>
      </x:c>
      <x:c r="I589" s="28" t="str">
        <x:v>Прочее</x:v>
      </x:c>
      <x:c r="J589" s="28" t="str">
        <x:v>зелёный, водянистый, свежий и дынный</x:v>
      </x:c>
      <x:c r="K589" s="28" t="str">
        <x:v>профиль зависит от конкретного продукта</x:v>
      </x:c>
      <x:c r="L589" s="28" t="str">
        <x:v>(E,Z)-2,6-нонадиеналь, (E)-2-ноненаль, гексаналь</x:v>
      </x:c>
      <x:c r="M589" s="28" t="str">
        <x:v>конкретный молекулярный профиль не указан</x:v>
      </x:c>
      <x:c r="N589" s="28" t="str">
        <x:v>прямое пересечение семейств не подтверждено</x:v>
      </x:c>
      <x:c r="O589" s="28" t="str">
        <x:v>надёжная общая ключевая молекула не установлена</x:v>
      </x:c>
      <x:c r="P589" s="28" t="str">
        <x:v>сенсорная комплементарность</x:v>
      </x:c>
      <x:c r="Q589" s="28" t="str">
        <x:v>Свежесть и водянистость требуют кислоты, соли или умами; избыток жирной матрицы может подавить зелёные ноты.</x:v>
      </x:c>
      <x:c r="R589" s="28" t="str">
        <x:v>прохладно-зелёное ощущение</x:v>
      </x:c>
      <x:c r="S589" s="28" t="str">
        <x:v>почти полностью водная хрустящая матрица; летучие альдегиды быстро теряются</x:v>
      </x:c>
      <x:c r="T58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89" s="28" t="str">
        <x:v>Огурец имеет профиль «зелёный, водянистый, свежий и дынный». Партнёр «цитрусовые»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589" s="28" t="str">
        <x:v>легко разбавляет вкус; перезрелая кожица и семена дают горечь; сок быстро окисляется</x:v>
      </x:c>
      <x:c r="W589" s="28" t="str">
        <x:v>соль, кислота или ароматический жир</x:v>
      </x:c>
      <x:c r="X589" s="28" t="str">
        <x:v>сок, кордиал, гаспачо, салат, соус, маринад или коктейльный компонент с цитрусовые</x:v>
      </x:c>
      <x:c r="Y589" s="28" t="str">
        <x:v>универсальное</x:v>
      </x:c>
      <x:c r="Z589" s="28" t="str">
        <x:v>Гипотеза / практическая</x:v>
      </x:c>
      <x:c r="AA589" s="28" t="str">
        <x:v>Таблица сочетания(1).pdf</x:v>
      </x:c>
      <x:c r="AB589" s="28" t="str">
        <x:v>Таблица сочетания(1).pdf: 6</x:v>
      </x:c>
      <x:c r="AC589" s="28" t="str">
        <x:v>рекомендация таблицы, стр. 6</x:v>
      </x:c>
      <x:c r="AD589" s="28" t="n">
        <x:v>1</x:v>
      </x:c>
      <x:c r="AE589" s="28" t="n">
        <x:v>1</x:v>
      </x:c>
      <x:c r="AF589" s="28" t="n">
        <x:f>IF(Z589="Высокая",3,IF(Z589="Средняя",2,1))+AD589*2+MIN(AE589,3)</x:f>
        <x:v>4</x:v>
      </x:c>
    </x:row>
    <x:row r="590" ht="64" customHeight="1">
      <x:c r="A590" s="28" t="str">
        <x:v>VEG-0589</x:v>
      </x:c>
      <x:c r="B590" s="28" t="str">
        <x:v>огурец</x:v>
      </x:c>
      <x:c r="C590" s="28" t="str">
        <x:v>Универсальные</x:v>
      </x:c>
      <x:c r="D590" s="28" t="str">
        <x:v>огурец</x:v>
      </x:c>
      <x:c r="E590" s="28" t="str">
        <x:v>Огурец</x:v>
      </x:c>
      <x:c r="F590" s="28" t="str">
        <x:v>Тыквенные</x:v>
      </x:c>
      <x:c r="G590" s="28" t="str">
        <x:v>чёрный перец</x:v>
      </x:c>
      <x:c r="H590" s="28" t="str">
        <x:v>чёрный перец</x:v>
      </x:c>
      <x:c r="I590" s="28" t="str">
        <x:v>Специи</x:v>
      </x:c>
      <x:c r="J590" s="28" t="str">
        <x:v>зелёный, водянистый, свежий и дынный</x:v>
      </x:c>
      <x:c r="K590" s="28" t="str">
        <x:v>древесный, пряный, цитрусовый</x:v>
      </x:c>
      <x:c r="L590" s="28" t="str">
        <x:v>(E,Z)-2,6-нонадиеналь, (E)-2-ноненаль, гексаналь</x:v>
      </x:c>
      <x:c r="M590" s="28" t="str">
        <x:v>лимонен, пинен, пиперин</x:v>
      </x:c>
      <x:c r="N590" s="28" t="str">
        <x:v>прямое пересечение семейств не подтверждено</x:v>
      </x:c>
      <x:c r="O590" s="28" t="str">
        <x:v>надёжная общая ключевая молекула не установлена</x:v>
      </x:c>
      <x:c r="P590" s="28" t="str">
        <x:v>сенсорная комплементарность</x:v>
      </x:c>
      <x:c r="Q590" s="28" t="str">
        <x:v>Свежесть и водянистость требуют кислоты, соли или умами; избыток жирной матрицы может подавить зелёные ноты.</x:v>
      </x:c>
      <x:c r="R590" s="28" t="str">
        <x:v>прохладно-зелёное ощущение</x:v>
      </x:c>
      <x:c r="S590" s="28" t="str">
        <x:v>почти полностью водная хрустящая матрица; летучие альдегиды быстро теряются</x:v>
      </x:c>
      <x:c r="T59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90" s="28" t="str">
        <x:v>Огурец имеет профиль «зелёный, водянистый, свежий и дынный».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590" s="28" t="str">
        <x:v>легко разбавляет вкус; перезрелая кожица и семена дают горечь; сок быстро окисляется</x:v>
      </x:c>
      <x:c r="W590" s="28" t="str">
        <x:v>цитрус, йогурт или мёд</x:v>
      </x:c>
      <x:c r="X590" s="28" t="str">
        <x:v>сок, кордиал, гаспачо, салат, соус, маринад или коктейльный компонент с чёрный перец</x:v>
      </x:c>
      <x:c r="Y590" s="28" t="str">
        <x:v>универсальное</x:v>
      </x:c>
      <x:c r="Z590" s="28" t="str">
        <x:v>Гипотеза / практическая</x:v>
      </x:c>
      <x:c r="AA590" s="28" t="str">
        <x:v>Таблица сочетания(1).pdf</x:v>
      </x:c>
      <x:c r="AB590" s="28" t="str">
        <x:v>Таблица сочетания(1).pdf: 6</x:v>
      </x:c>
      <x:c r="AC590" s="28" t="str">
        <x:v>рекомендация таблицы, стр. 6</x:v>
      </x:c>
      <x:c r="AD590" s="28" t="n">
        <x:v>1</x:v>
      </x:c>
      <x:c r="AE590" s="28" t="n">
        <x:v>1</x:v>
      </x:c>
      <x:c r="AF590" s="28" t="n">
        <x:f>IF(Z590="Высокая",3,IF(Z590="Средняя",2,1))+AD590*2+MIN(AE590,3)</x:f>
        <x:v>4</x:v>
      </x:c>
    </x:row>
    <x:row r="591" ht="64" customHeight="1">
      <x:c r="A591" s="28" t="str">
        <x:v>VEG-0590</x:v>
      </x:c>
      <x:c r="B591" s="28" t="str">
        <x:v>огурец</x:v>
      </x:c>
      <x:c r="C591" s="28" t="str">
        <x:v>Универсальные</x:v>
      </x:c>
      <x:c r="D591" s="28" t="str">
        <x:v>огурец</x:v>
      </x:c>
      <x:c r="E591" s="28" t="str">
        <x:v>Огурец | огурец</x:v>
      </x:c>
      <x:c r="F591" s="28" t="str">
        <x:v>Тыквенные</x:v>
      </x:c>
      <x:c r="G591" s="28" t="str">
        <x:v>шалфей</x:v>
      </x:c>
      <x:c r="H591" s="28" t="str">
        <x:v>Шалфей | шалфей</x:v>
      </x:c>
      <x:c r="I591" s="28" t="str">
        <x:v>Травы, цветы и листья</x:v>
      </x:c>
      <x:c r="J591" s="28" t="str">
        <x:v>зелёный, водянистый, свежий и дынный</x:v>
      </x:c>
      <x:c r="K591" s="28" t="str">
        <x:v>древесный, камфорный</x:v>
      </x:c>
      <x:c r="L591" s="28" t="str">
        <x:v>(E,Z)-2,6-нонадиеналь, (E)-2-ноненаль, гексаналь</x:v>
      </x:c>
      <x:c r="M591" s="28" t="str">
        <x:v>1,8-цинеол, туйон</x:v>
      </x:c>
      <x:c r="N591" s="28" t="str">
        <x:v>прямое пересечение семейств не подтверждено</x:v>
      </x:c>
      <x:c r="O591" s="28" t="str">
        <x:v>надёжная общая ключевая молекула не установлена</x:v>
      </x:c>
      <x:c r="P591" s="28" t="str">
        <x:v>сенсорная комплементарность</x:v>
      </x:c>
      <x:c r="Q591" s="28" t="str">
        <x:v>Свежесть и водянистость требуют кислоты, соли или умами; избыток жирной матрицы может подавить зелёные ноты.</x:v>
      </x:c>
      <x:c r="R591" s="28" t="str">
        <x:v>прохладно-зелёное ощущение</x:v>
      </x:c>
      <x:c r="S591" s="28" t="str">
        <x:v>почти полностью водная хрустящая матрица; летучие альдегиды быстро теряются</x:v>
      </x:c>
      <x:c r="T59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91" s="28" t="str">
        <x:v>Огурец имеет профиль «зелёный, водянистый, свежий и дынный».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591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W591" s="28" t="str">
        <x:v>оливковое масло, лимон или сыр</x:v>
      </x:c>
      <x:c r="X591" s="28" t="str">
        <x:v>сок, кордиал, гаспачо, салат, соус, маринад или коктейльный компонент с шалфей</x:v>
      </x:c>
      <x:c r="Y591" s="28" t="str">
        <x:v>универсальное</x:v>
      </x:c>
      <x:c r="Z591" s="28" t="str">
        <x:v>Гипотеза / практическая</x:v>
      </x:c>
      <x:c r="AA591" s="28" t="str">
        <x:v>Таблица сочетания(1).pdf</x:v>
      </x:c>
      <x:c r="AB591" s="28" t="str">
        <x:v>Таблица сочетания(1).pdf: 6, 20</x:v>
      </x:c>
      <x:c r="AC591" s="28" t="str">
        <x:v>рекомендация таблицы, стр. 6; рекомендация таблицы, стр. 20</x:v>
      </x:c>
      <x:c r="AD591" s="28" t="n">
        <x:v>1</x:v>
      </x:c>
      <x:c r="AE591" s="28" t="n">
        <x:v>2</x:v>
      </x:c>
      <x:c r="AF591" s="28" t="n">
        <x:f>IF(Z591="Высокая",3,IF(Z591="Средняя",2,1))+AD591*2+MIN(AE591,3)</x:f>
        <x:v>5</x:v>
      </x:c>
    </x:row>
    <x:row r="592" ht="64" customHeight="1">
      <x:c r="A592" s="28" t="str">
        <x:v>VEG-0591</x:v>
      </x:c>
      <x:c r="B592" s="28" t="str">
        <x:v>огурец</x:v>
      </x:c>
      <x:c r="C592" s="28" t="str">
        <x:v>Десерты и выпечка</x:v>
      </x:c>
      <x:c r="D592" s="28" t="str">
        <x:v>огурец</x:v>
      </x:c>
      <x:c r="E592" s="28" t="str">
        <x:v>Огурец</x:v>
      </x:c>
      <x:c r="F592" s="28" t="str">
        <x:v>Тыквенные</x:v>
      </x:c>
      <x:c r="G592" s="28" t="str">
        <x:v>яблоко</x:v>
      </x:c>
      <x:c r="H592" s="28" t="str">
        <x:v>яблоко</x:v>
      </x:c>
      <x:c r="I592" s="28" t="str">
        <x:v>Фрукты и ягоды</x:v>
      </x:c>
      <x:c r="J592" s="28" t="str">
        <x:v>зелёный, водянистый, свежий и дынный</x:v>
      </x:c>
      <x:c r="K592" s="28" t="str">
        <x:v>зелёный, свежий, фруктовый</x:v>
      </x:c>
      <x:c r="L592" s="28" t="str">
        <x:v>(E,Z)-2,6-нонадиеналь, (E)-2-ноненаль, гексаналь</x:v>
      </x:c>
      <x:c r="M592" s="28" t="str">
        <x:v>гексаналь, гексилацетат</x:v>
      </x:c>
      <x:c r="N592" s="28" t="str">
        <x:v>зелёный, свежий</x:v>
      </x:c>
      <x:c r="O592" s="28" t="str">
        <x:v>гексаналь</x:v>
      </x:c>
      <x:c r="P592" s="28" t="str">
        <x:v>общие характерные молекулы; пересечение ароматических семейств; кислотно-сладкий баланс</x:v>
      </x:c>
      <x:c r="Q592" s="28" t="str">
        <x:v>Свежесть и водянистость требуют кислоты, соли или умами; избыток жирной матрицы может подавить зелёные ноты.</x:v>
      </x:c>
      <x:c r="R592" s="28" t="str">
        <x:v>прохладно-зелёное ощущение</x:v>
      </x:c>
      <x:c r="S592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9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92" s="28" t="str">
        <x:v>Огурец имеет профиль «зелёный, водянистый, свежий и дынный». Партнёр «яблоко» относится к группе «Фрукты и ягоды» и даёт зелёный, свежий, фруктовый. Вероятный молекулярный мост: гексаналь.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92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92" s="28" t="str">
        <x:v>цитрус, мёд или мягкая трава</x:v>
      </x:c>
      <x:c r="X592" s="28" t="str">
        <x:v>сок, кордиал, гаспачо, салат, соус, маринад или коктейльный компонент с яблоко</x:v>
      </x:c>
      <x:c r="Y592" s="28" t="str">
        <x:v>десерты</x:v>
      </x:c>
      <x:c r="Z592" s="28" t="str">
        <x:v>Гипотеза / практическая</x:v>
      </x:c>
      <x:c r="AA592" s="28" t="str">
        <x:v>Таблица сочетания(1).pdf</x:v>
      </x:c>
      <x:c r="AB592" s="28" t="str">
        <x:v>Таблица сочетания(1).pdf: 6</x:v>
      </x:c>
      <x:c r="AC592" s="28" t="str">
        <x:v>рекомендация таблицы, стр. 6</x:v>
      </x:c>
      <x:c r="AD592" s="28" t="n">
        <x:v>1</x:v>
      </x:c>
      <x:c r="AE592" s="28" t="n">
        <x:v>1</x:v>
      </x:c>
      <x:c r="AF592" s="28" t="n">
        <x:f>IF(Z592="Высокая",3,IF(Z592="Средняя",2,1))+AD592*2+MIN(AE592,3)</x:f>
        <x:v>4</x:v>
      </x:c>
    </x:row>
    <x:row r="593" ht="64" customHeight="1">
      <x:c r="A593" s="28" t="str">
        <x:v>VEG-0592</x:v>
      </x:c>
      <x:c r="B593" s="28" t="str">
        <x:v>огурец</x:v>
      </x:c>
      <x:c r="C593" s="28" t="str">
        <x:v>Десерты и выпечка</x:v>
      </x:c>
      <x:c r="D593" s="28" t="str">
        <x:v>огурец</x:v>
      </x:c>
      <x:c r="E593" s="28" t="str">
        <x:v>огурец</x:v>
      </x:c>
      <x:c r="F593" s="28" t="str">
        <x:v>Тыквенные</x:v>
      </x:c>
      <x:c r="G593" s="28" t="str">
        <x:v>ягоды можжевельника</x:v>
      </x:c>
      <x:c r="H593" s="28" t="str">
        <x:v>Ягоды можжевельника</x:v>
      </x:c>
      <x:c r="I593" s="28" t="str">
        <x:v>Фрукты и ягоды</x:v>
      </x:c>
      <x:c r="J593" s="28" t="str">
        <x:v>зелёный, водянистый, свежий и дынный</x:v>
      </x:c>
      <x:c r="K593" s="28" t="str">
        <x:v>фруктовый, цветочный и свежий</x:v>
      </x:c>
      <x:c r="L593" s="28" t="str">
        <x:v>(E,Z)-2,6-нонадиеналь, (E)-2-ноненаль, гексаналь</x:v>
      </x:c>
      <x:c r="M593" s="28" t="str">
        <x:v>альдегиды, эфиры</x:v>
      </x:c>
      <x:c r="N593" s="28" t="str">
        <x:v>прямое пересечение семейств не подтверждено</x:v>
      </x:c>
      <x:c r="O593" s="28" t="str">
        <x:v>надёжная общая ключевая молекула не установлена</x:v>
      </x:c>
      <x:c r="P593" s="28" t="str">
        <x:v>кислотно-сладкий баланс</x:v>
      </x:c>
      <x:c r="Q593" s="28" t="str">
        <x:v>Свежесть и водянистость требуют кислоты, соли или умами; избыток жирной матрицы может подавить зелёные ноты.</x:v>
      </x:c>
      <x:c r="R593" s="28" t="str">
        <x:v>прохладно-зелёное ощущение</x:v>
      </x:c>
      <x:c r="S593" s="28" t="str">
        <x:v>почти полностью водная хрустящая матрица; летучие альдегиды быстро теряются Водная кислая фаза усиливает свежесть, но может разжижать пюре и нарушать молочную эмульсию.</x:v>
      </x:c>
      <x:c r="T59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U593" s="28" t="str">
        <x:v>Огурец имеет профиль «зелёный, водянистый, свежий и дынный». Партнёр «ягоды можжевельника»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593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W593" s="28" t="str">
        <x:v>цитрус, мёд или мягкая трава</x:v>
      </x:c>
      <x:c r="X593" s="28" t="str">
        <x:v>сок, кордиал, гаспачо, салат, соус, маринад или коктейльный компонент с ягоды можжевельника</x:v>
      </x:c>
      <x:c r="Y593" s="28" t="str">
        <x:v>десерты</x:v>
      </x:c>
      <x:c r="Z593" s="28" t="str">
        <x:v>Гипотеза / практическая</x:v>
      </x:c>
      <x:c r="AA593" s="28" t="str">
        <x:v>Таблица сочетания(1).pdf</x:v>
      </x:c>
      <x:c r="AB593" s="28" t="str">
        <x:v>Таблица сочетания(1).pdf: 10</x:v>
      </x:c>
      <x:c r="AC593" s="28" t="str">
        <x:v>рекомендация таблицы, стр. 10</x:v>
      </x:c>
      <x:c r="AD593" s="28" t="n">
        <x:v>1</x:v>
      </x:c>
      <x:c r="AE593" s="28" t="n">
        <x:v>1</x:v>
      </x:c>
      <x:c r="AF593" s="28" t="n">
        <x:f>IF(Z593="Высокая",3,IF(Z593="Средняя",2,1))+AD593*2+MIN(AE593,3)</x:f>
        <x:v>4</x:v>
      </x:c>
    </x:row>
    <x:row r="594" ht="64" customHeight="1">
      <x:c r="A594" s="28" t="str">
        <x:v>VEG-0593</x:v>
      </x:c>
      <x:c r="B594" s="28" t="str">
        <x:v>пастернак</x:v>
      </x:c>
      <x:c r="C594" s="28" t="str">
        <x:v>Универсальные</x:v>
      </x:c>
      <x:c r="D594" s="28" t="str">
        <x:v>пастернак</x:v>
      </x:c>
      <x:c r="E594" s="28" t="str">
        <x:v>Пастернак | пастернак</x:v>
      </x:c>
      <x:c r="F594" s="28" t="str">
        <x:v>Корнеплоды</x:v>
      </x:c>
      <x:c r="G594" s="28" t="str">
        <x:v>анис</x:v>
      </x:c>
      <x:c r="H594" s="28" t="str">
        <x:v>Анис | анис</x:v>
      </x:c>
      <x:c r="I594" s="28" t="str">
        <x:v>Прочее</x:v>
      </x:c>
      <x:c r="J594" s="28" t="str">
        <x:v>сладкий, пряный, древесный и слегка анисовый</x:v>
      </x:c>
      <x:c r="K594" s="28" t="str">
        <x:v>профиль зависит от конкретного продукта</x:v>
      </x:c>
      <x:c r="L594" s="28" t="str">
        <x:v>терпены, фураны, пинены, фенольные соединения</x:v>
      </x:c>
      <x:c r="M594" s="28" t="str">
        <x:v>конкретный молекулярный профиль не указан</x:v>
      </x:c>
      <x:c r="N594" s="28" t="str">
        <x:v>прямое пересечение семейств не подтверждено</x:v>
      </x:c>
      <x:c r="O594" s="28" t="str">
        <x:v>надёжная общая ключевая молекула не установлена</x:v>
      </x:c>
      <x:c r="P594" s="28" t="str">
        <x:v>сенсорная комплементарность</x:v>
      </x:c>
      <x:c r="Q594" s="28" t="str">
        <x:v>Сладость и землистость балансируются кислотой, солью, горечью и умами; жир усиливает ощущение округлости.</x:v>
      </x:c>
      <x:c r="R594" s="28" t="str">
        <x:v>минимальный</x:v>
      </x:c>
      <x:c r="S594" s="28" t="str">
        <x:v>крахмалисто-волокнистый корнеплод с ароматическим маслом</x:v>
      </x:c>
      <x:c r="T594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594" s="28" t="str">
        <x:v>Пастернак имеет профиль «сладкий, пряный, древесный и слегка анисовый».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94" s="28" t="str">
        <x:v>старый пастернак может быть волокнистым; сильная сладость требует баланса</x:v>
      </x:c>
      <x:c r="W594" s="28" t="str">
        <x:v>соль, кислота или ароматический жир</x:v>
      </x:c>
      <x:c r="X594" s="28" t="str">
        <x:v>пюре, суп, запекание, крем, гарнир, соус или десертная разработка с анис</x:v>
      </x:c>
      <x:c r="Y594" s="28" t="str">
        <x:v>универсальное</x:v>
      </x:c>
      <x:c r="Z594" s="28" t="str">
        <x:v>Средняя</x:v>
      </x:c>
      <x:c r="AA594" s="28" t="str">
        <x:v>Тезариус вкусов (Ники Сегнит)(1).pdf</x:v>
      </x:c>
      <x:c r="AB594" s="28" t="str">
        <x:v>Тезариус вкусов (Ники Сегнит)(1).pdf: 486, 594</x:v>
      </x:c>
      <x:c r="AC594" s="28" t="str">
        <x:v>развёрнутая пара/статья, стр. 486; развёрнутая пара/статья, стр. 594</x:v>
      </x:c>
      <x:c r="AD594" s="28" t="n">
        <x:v>1</x:v>
      </x:c>
      <x:c r="AE594" s="28" t="n">
        <x:v>2</x:v>
      </x:c>
      <x:c r="AF594" s="28" t="n">
        <x:f>IF(Z594="Высокая",3,IF(Z594="Средняя",2,1))+AD594*2+MIN(AE594,3)</x:f>
        <x:v>6</x:v>
      </x:c>
    </x:row>
    <x:row r="595" ht="64" customHeight="1">
      <x:c r="A595" s="28" t="str">
        <x:v>VEG-0594</x:v>
      </x:c>
      <x:c r="B595" s="28" t="str">
        <x:v>пастернак</x:v>
      </x:c>
      <x:c r="C595" s="28" t="str">
        <x:v>Десерты и выпечка</x:v>
      </x:c>
      <x:c r="D595" s="28" t="str">
        <x:v>пастернак</x:v>
      </x:c>
      <x:c r="E595" s="28" t="str">
        <x:v>Пастернак | пастернак</x:v>
      </x:c>
      <x:c r="F595" s="28" t="str">
        <x:v>Корнеплоды</x:v>
      </x:c>
      <x:c r="G595" s="28" t="str">
        <x:v>банан</x:v>
      </x:c>
      <x:c r="H595" s="28" t="str">
        <x:v>Банан | банан</x:v>
      </x:c>
      <x:c r="I595" s="28" t="str">
        <x:v>Фрукты и ягоды</x:v>
      </x:c>
      <x:c r="J595" s="28" t="str">
        <x:v>сладкий, пряный, древесный и слегка анисовый</x:v>
      </x:c>
      <x:c r="K595" s="28" t="str">
        <x:v>фруктовый, цветочный и свежий</x:v>
      </x:c>
      <x:c r="L595" s="28" t="str">
        <x:v>терпены, фураны, пинены, фенольные соединения</x:v>
      </x:c>
      <x:c r="M595" s="28" t="str">
        <x:v>альдегиды, эфиры</x:v>
      </x:c>
      <x:c r="N595" s="28" t="str">
        <x:v>прямое пересечение семейств не подтверждено</x:v>
      </x:c>
      <x:c r="O595" s="28" t="str">
        <x:v>надёжная общая ключевая молекула не установлена</x:v>
      </x:c>
      <x:c r="P595" s="28" t="str">
        <x:v>кислотно-сладкий баланс</x:v>
      </x:c>
      <x:c r="Q595" s="28" t="str">
        <x:v>Сладость и землистость балансируются кислотой, солью, горечью и умами; жир усиливает ощущение округлости.</x:v>
      </x:c>
      <x:c r="R595" s="28" t="str">
        <x:v>минимальный</x:v>
      </x:c>
      <x:c r="S595" s="28" t="str">
        <x:v>крахмалисто-волокнистый корнеплод с ароматическим маслом Водная кислая фаза усиливает свежесть, но может разжижать пюре и нарушать молочную эмульсию.</x:v>
      </x:c>
      <x:c r="T595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595" s="28" t="str">
        <x:v>Пастернак имеет профиль «сладкий, пряный, древесный и слегка анисовый».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595" s="28" t="str">
        <x:v>старый пастернак может быть волокнистым; сильная сладость требует баланса; избыток кислоты или воды может сделать овощной вкус тонким и разрушить сливочную эмульсию</x:v>
      </x:c>
      <x:c r="W595" s="28" t="str">
        <x:v>цитрус, мёд или мягкая трава</x:v>
      </x:c>
      <x:c r="X595" s="28" t="str">
        <x:v>пюре, суп, запекание, крем, гарнир, соус или десертная разработка с банан</x:v>
      </x:c>
      <x:c r="Y595" s="28" t="str">
        <x:v>десерты</x:v>
      </x:c>
      <x:c r="Z595" s="28" t="str">
        <x:v>Средняя</x:v>
      </x:c>
      <x:c r="AA595" s="28" t="str">
        <x:v>Тезариус вкусов (Ники Сегнит)(1).pdf</x:v>
      </x:c>
      <x:c r="AB595" s="28" t="str">
        <x:v>Тезариус вкусов (Ники Сегнит)(1).pdf: 594, 734</x:v>
      </x:c>
      <x:c r="AC595" s="28" t="str">
        <x:v>развёрнутая пара/статья, стр. 594; развёрнутая пара/статья, стр. 734</x:v>
      </x:c>
      <x:c r="AD595" s="28" t="n">
        <x:v>1</x:v>
      </x:c>
      <x:c r="AE595" s="28" t="n">
        <x:v>2</x:v>
      </x:c>
      <x:c r="AF595" s="28" t="n">
        <x:f>IF(Z595="Высокая",3,IF(Z595="Средняя",2,1))+AD595*2+MIN(AE595,3)</x:f>
        <x:v>6</x:v>
      </x:c>
    </x:row>
    <x:row r="596" ht="64" customHeight="1">
      <x:c r="A596" s="28" t="str">
        <x:v>VEG-0595</x:v>
      </x:c>
      <x:c r="B596" s="28" t="str">
        <x:v>пастернак</x:v>
      </x:c>
      <x:c r="C596" s="28" t="str">
        <x:v>Еда и соусы</x:v>
      </x:c>
      <x:c r="D596" s="28" t="str">
        <x:v>пастернак</x:v>
      </x:c>
      <x:c r="E596" s="28" t="str">
        <x:v>Пастернак | пастернак</x:v>
      </x:c>
      <x:c r="F596" s="28" t="str">
        <x:v>Корнеплоды</x:v>
      </x:c>
      <x:c r="G596" s="28" t="str">
        <x:v>бекон</x:v>
      </x:c>
      <x:c r="H596" s="28" t="str">
        <x:v>Бекон | бекон</x:v>
      </x:c>
      <x:c r="I596" s="28" t="str">
        <x:v>Мясо и птица</x:v>
      </x:c>
      <x:c r="J596" s="28" t="str">
        <x:v>сладкий, пряный, древесный и слегка анисовый</x:v>
      </x:c>
      <x:c r="K596" s="28" t="str">
        <x:v>дымный, жареный, умами</x:v>
      </x:c>
      <x:c r="L596" s="28" t="str">
        <x:v>терпены, фураны, пинены, фенольные соединения</x:v>
      </x:c>
      <x:c r="M596" s="28" t="str">
        <x:v>пиразины, фенолы</x:v>
      </x:c>
      <x:c r="N596" s="28" t="str">
        <x:v>прямое пересечение семейств не подтверждено</x:v>
      </x:c>
      <x:c r="O596" s="28" t="str">
        <x:v>надёжная общая ключевая молекула не установлена</x:v>
      </x:c>
      <x:c r="P596" s="28" t="str">
        <x:v>умами и солёный контраст</x:v>
      </x:c>
      <x:c r="Q596" s="28" t="str">
        <x:v>Сладость и землистость балансируются кислотой, солью, горечью и умами; жир усиливает ощущение округлости.</x:v>
      </x:c>
      <x:c r="R596" s="28" t="str">
        <x:v>минимальный</x:v>
      </x:c>
      <x:c r="S596" s="28" t="str">
        <x:v>крахмалисто-волокнистый корнеплод с ароматическим маслом Белок и жир требуют контроля воды: для жареной ароматики поверхность должна подсохнуть.</x:v>
      </x:c>
      <x:c r="T596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596" s="28" t="str">
        <x:v>Пастернак имеет профиль «сладкий, пряный, древесный и слегка анисовый».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596" s="28" t="str">
        <x:v>старый пастернак может быть волокнистым; сильная сладость требует баланса</x:v>
      </x:c>
      <x:c r="W596" s="28" t="str">
        <x:v>сливочное масло, соевый соус или тимьян</x:v>
      </x:c>
      <x:c r="X596" s="28" t="str">
        <x:v>пюре, суп, запекание, крем, гарнир, соус или десертная разработка с бекон</x:v>
      </x:c>
      <x:c r="Y596" s="28" t="str">
        <x:v>еда, соусы/маринады</x:v>
      </x:c>
      <x:c r="Z596" s="28" t="str">
        <x:v>Средняя</x:v>
      </x:c>
      <x:c r="AA596" s="28" t="str">
        <x:v>Тезариус вкусов (Ники Сегнит)(1).pdf</x:v>
      </x:c>
      <x:c r="AB596" s="28" t="str">
        <x:v>Тезариус вкусов (Ники Сегнит)(1).pdf: 446, 595</x:v>
      </x:c>
      <x:c r="AC596" s="28" t="str">
        <x:v>развёрнутая пара/статья, стр. 446; развёрнутая пара/статья, стр. 595</x:v>
      </x:c>
      <x:c r="AD596" s="28" t="n">
        <x:v>1</x:v>
      </x:c>
      <x:c r="AE596" s="28" t="n">
        <x:v>2</x:v>
      </x:c>
      <x:c r="AF596" s="28" t="n">
        <x:f>IF(Z596="Высокая",3,IF(Z596="Средняя",2,1))+AD596*2+MIN(AE596,3)</x:f>
        <x:v>6</x:v>
      </x:c>
    </x:row>
    <x:row r="597" ht="64" customHeight="1">
      <x:c r="A597" s="28" t="str">
        <x:v>VEG-0596</x:v>
      </x:c>
      <x:c r="B597" s="28" t="str">
        <x:v>пастернак</x:v>
      </x:c>
      <x:c r="C597" s="28" t="str">
        <x:v>Еда и соусы</x:v>
      </x:c>
      <x:c r="D597" s="28" t="str">
        <x:v>пастернак</x:v>
      </x:c>
      <x:c r="E597" s="28" t="str">
        <x:v>Пастернак | пастернак</x:v>
      </x:c>
      <x:c r="F597" s="28" t="str">
        <x:v>Корнеплоды</x:v>
      </x:c>
      <x:c r="G597" s="28" t="str">
        <x:v>белая рыба</x:v>
      </x:c>
      <x:c r="H597" s="28" t="str">
        <x:v>Белая рыба | белая рыба</x:v>
      </x:c>
      <x:c r="I597" s="28" t="str">
        <x:v>Рыба и морепродукты</x:v>
      </x:c>
      <x:c r="J597" s="28" t="str">
        <x:v>сладкий, пряный, древесный и слегка анисовый</x:v>
      </x:c>
      <x:c r="K597" s="28" t="str">
        <x:v>жирный, морской, умами</x:v>
      </x:c>
      <x:c r="L597" s="28" t="str">
        <x:v>терпены, фураны, пинены, фенольные соединения</x:v>
      </x:c>
      <x:c r="M597" s="28" t="str">
        <x:v>альдегиды, амины</x:v>
      </x:c>
      <x:c r="N597" s="28" t="str">
        <x:v>прямое пересечение семейств не подтверждено</x:v>
      </x:c>
      <x:c r="O597" s="28" t="str">
        <x:v>надёжная общая ключевая молекула не установлена</x:v>
      </x:c>
      <x:c r="P597" s="28" t="str">
        <x:v>умами и солёный контраст</x:v>
      </x:c>
      <x:c r="Q597" s="28" t="str">
        <x:v>Сладость и землистость балансируются кислотой, солью, горечью и умами; жир усиливает ощущение округлости.</x:v>
      </x:c>
      <x:c r="R597" s="28" t="str">
        <x:v>минимальный</x:v>
      </x:c>
      <x:c r="S597" s="28" t="str">
        <x:v>крахмалисто-волокнистый корнеплод с ароматическим маслом Белок и жир требуют контроля воды: для жареной ароматики поверхность должна подсохнуть.</x:v>
      </x:c>
      <x:c r="T597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597" s="28" t="str">
        <x:v>Пастернак имеет профиль «сладкий, пряный, древесный и слегка анисовый».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597" s="28" t="str">
        <x:v>старый пастернак может быть волокнистым; сильная сладость требует баланса</x:v>
      </x:c>
      <x:c r="W597" s="28" t="str">
        <x:v>сливочное масло, соевый соус или тимьян</x:v>
      </x:c>
      <x:c r="X597" s="28" t="str">
        <x:v>пюре, суп, запекание, крем, гарнир, соус или десертная разработка с белая рыба</x:v>
      </x:c>
      <x:c r="Y597" s="28" t="str">
        <x:v>еда, соусы/маринады</x:v>
      </x:c>
      <x:c r="Z597" s="28" t="str">
        <x:v>Средняя</x:v>
      </x:c>
      <x:c r="AA597" s="28" t="str">
        <x:v>Тезариус вкусов (Ники Сегнит)(1).pdf</x:v>
      </x:c>
      <x:c r="AB597" s="28" t="str">
        <x:v>Тезариус вкусов (Ники Сегнит)(1).pdf: 388, 595</x:v>
      </x:c>
      <x:c r="AC597" s="28" t="str">
        <x:v>развёрнутая пара/статья, стр. 388; развёрнутая пара/статья, стр. 595</x:v>
      </x:c>
      <x:c r="AD597" s="28" t="n">
        <x:v>1</x:v>
      </x:c>
      <x:c r="AE597" s="28" t="n">
        <x:v>2</x:v>
      </x:c>
      <x:c r="AF597" s="28" t="n">
        <x:f>IF(Z597="Высокая",3,IF(Z597="Средняя",2,1))+AD597*2+MIN(AE597,3)</x:f>
        <x:v>6</x:v>
      </x:c>
    </x:row>
    <x:row r="598" ht="64" customHeight="1">
      <x:c r="A598" s="28" t="str">
        <x:v>VEG-0597</x:v>
      </x:c>
      <x:c r="B598" s="28" t="str">
        <x:v>пастернак</x:v>
      </x:c>
      <x:c r="C598" s="28" t="str">
        <x:v>Универсальные</x:v>
      </x:c>
      <x:c r="D598" s="28" t="str">
        <x:v>пастернак</x:v>
      </x:c>
      <x:c r="E598" s="28" t="str">
        <x:v>Пастернак | пастернак</x:v>
      </x:c>
      <x:c r="F598" s="28" t="str">
        <x:v>Корнеплоды</x:v>
      </x:c>
      <x:c r="G598" s="28" t="str">
        <x:v>водяной кресс</x:v>
      </x:c>
      <x:c r="H598" s="28" t="str">
        <x:v>Водяной кресс | водяной кресс</x:v>
      </x:c>
      <x:c r="I598" s="28" t="str">
        <x:v>Прочее</x:v>
      </x:c>
      <x:c r="J598" s="28" t="str">
        <x:v>сладкий, пряный, древесный и слегка анисовый</x:v>
      </x:c>
      <x:c r="K598" s="28" t="str">
        <x:v>профиль зависит от конкретного продукта</x:v>
      </x:c>
      <x:c r="L598" s="28" t="str">
        <x:v>терпены, фураны, пинены, фенольные соединения</x:v>
      </x:c>
      <x:c r="M598" s="28" t="str">
        <x:v>конкретный молекулярный профиль не указан</x:v>
      </x:c>
      <x:c r="N598" s="28" t="str">
        <x:v>прямое пересечение семейств не подтверждено</x:v>
      </x:c>
      <x:c r="O598" s="28" t="str">
        <x:v>надёжная общая ключевая молекула не установлена</x:v>
      </x:c>
      <x:c r="P598" s="28" t="str">
        <x:v>сенсорная комплементарность</x:v>
      </x:c>
      <x:c r="Q598" s="28" t="str">
        <x:v>Сладость и землистость балансируются кислотой, солью, горечью и умами; жир усиливает ощущение округлости.</x:v>
      </x:c>
      <x:c r="R598" s="28" t="str">
        <x:v>минимальный</x:v>
      </x:c>
      <x:c r="S598" s="28" t="str">
        <x:v>крахмалисто-волокнистый корнеплод с ароматическим маслом</x:v>
      </x:c>
      <x:c r="T598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598" s="28" t="str">
        <x:v>Пастернак имеет профиль «сладкий, пряный, древесный и слегка анисовый». Партнёр «водяной кресс»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598" s="28" t="str">
        <x:v>старый пастернак может быть волокнистым; сильная сладость требует баланса</x:v>
      </x:c>
      <x:c r="W598" s="28" t="str">
        <x:v>соль, кислота или ароматический жир</x:v>
      </x:c>
      <x:c r="X598" s="28" t="str">
        <x:v>пюре, суп, запекание, крем, гарнир, соус или десертная разработка с водяной кресс</x:v>
      </x:c>
      <x:c r="Y598" s="28" t="str">
        <x:v>универсальное</x:v>
      </x:c>
      <x:c r="Z598" s="28" t="str">
        <x:v>Средняя</x:v>
      </x:c>
      <x:c r="AA598" s="28" t="str">
        <x:v>Тезариус вкусов (Ники Сегнит)(1).pdf</x:v>
      </x:c>
      <x:c r="AB598" s="28" t="str">
        <x:v>Тезариус вкусов (Ники Сегнит)(1).pdf: 262, 595</x:v>
      </x:c>
      <x:c r="AC598" s="28" t="str">
        <x:v>развёрнутая пара/статья, стр. 262; развёрнутая пара/статья, стр. 595</x:v>
      </x:c>
      <x:c r="AD598" s="28" t="n">
        <x:v>1</x:v>
      </x:c>
      <x:c r="AE598" s="28" t="n">
        <x:v>2</x:v>
      </x:c>
      <x:c r="AF598" s="28" t="n">
        <x:f>IF(Z598="Высокая",3,IF(Z598="Средняя",2,1))+AD598*2+MIN(AE598,3)</x:f>
        <x:v>6</x:v>
      </x:c>
    </x:row>
    <x:row r="599" ht="64" customHeight="1">
      <x:c r="A599" s="28" t="str">
        <x:v>VEG-0598</x:v>
      </x:c>
      <x:c r="B599" s="28" t="str">
        <x:v>пастернак</x:v>
      </x:c>
      <x:c r="C599" s="28" t="str">
        <x:v>Еда и соусы</x:v>
      </x:c>
      <x:c r="D599" s="28" t="str">
        <x:v>пастернак</x:v>
      </x:c>
      <x:c r="E599" s="28" t="str">
        <x:v>Пастернак | пастернак</x:v>
      </x:c>
      <x:c r="F599" s="28" t="str">
        <x:v>Корнеплоды</x:v>
      </x:c>
      <x:c r="G599" s="28" t="str">
        <x:v>говядина</x:v>
      </x:c>
      <x:c r="H599" s="28" t="str">
        <x:v>Говядина | говядина</x:v>
      </x:c>
      <x:c r="I599" s="28" t="str">
        <x:v>Мясо и птица</x:v>
      </x:c>
      <x:c r="J599" s="28" t="str">
        <x:v>сладкий, пряный, древесный и слегка анисовый</x:v>
      </x:c>
      <x:c r="K599" s="28" t="str">
        <x:v>жареный, мясной и умами</x:v>
      </x:c>
      <x:c r="L599" s="28" t="str">
        <x:v>терпены, фураны, пинены, фенольные соединения</x:v>
      </x:c>
      <x:c r="M599" s="28" t="str">
        <x:v>пиразины, сернистые соединения</x:v>
      </x:c>
      <x:c r="N599" s="28" t="str">
        <x:v>прямое пересечение семейств не подтверждено</x:v>
      </x:c>
      <x:c r="O599" s="28" t="str">
        <x:v>надёжная общая ключевая молекула не установлена</x:v>
      </x:c>
      <x:c r="P599" s="28" t="str">
        <x:v>умами и солёный контраст</x:v>
      </x:c>
      <x:c r="Q599" s="28" t="str">
        <x:v>Сладость и землистость балансируются кислотой, солью, горечью и умами; жир усиливает ощущение округлости.</x:v>
      </x:c>
      <x:c r="R599" s="28" t="str">
        <x:v>минимальный</x:v>
      </x:c>
      <x:c r="S599" s="28" t="str">
        <x:v>крахмалисто-волокнистый корнеплод с ароматическим маслом Белок и жир требуют контроля воды: для жареной ароматики поверхность должна подсохнуть.</x:v>
      </x:c>
      <x:c r="T599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599" s="28" t="str">
        <x:v>Пастернак имеет профиль «сладкий, пряный, древесный и слегка анисовый».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599" s="28" t="str">
        <x:v>старый пастернак может быть волокнистым; сильная сладость требует баланса</x:v>
      </x:c>
      <x:c r="W599" s="28" t="str">
        <x:v>сливочное масло, соевый соус или тимьян</x:v>
      </x:c>
      <x:c r="X599" s="28" t="str">
        <x:v>пюре, суп, запекание, крем, гарнир, соус или десертная разработка с говядина</x:v>
      </x:c>
      <x:c r="Y599" s="28" t="str">
        <x:v>еда, соусы/маринады</x:v>
      </x:c>
      <x:c r="Z599" s="28" t="str">
        <x:v>Средняя</x:v>
      </x:c>
      <x:c r="AA599" s="28" t="str">
        <x:v>Тезариус вкусов (Ники Сегнит)(1).pdf</x:v>
      </x:c>
      <x:c r="AB599" s="28" t="str">
        <x:v>Тезариус вкусов (Ники Сегнит)(1).pdf: 115, 596</x:v>
      </x:c>
      <x:c r="AC599" s="28" t="str">
        <x:v>развёрнутая пара/статья, стр. 115; развёрнутая пара/статья, стр. 596</x:v>
      </x:c>
      <x:c r="AD599" s="28" t="n">
        <x:v>1</x:v>
      </x:c>
      <x:c r="AE599" s="28" t="n">
        <x:v>2</x:v>
      </x:c>
      <x:c r="AF599" s="28" t="n">
        <x:f>IF(Z599="Высокая",3,IF(Z599="Средняя",2,1))+AD599*2+MIN(AE599,3)</x:f>
        <x:v>6</x:v>
      </x:c>
    </x:row>
    <x:row r="600" ht="64" customHeight="1">
      <x:c r="A600" s="28" t="str">
        <x:v>VEG-0599</x:v>
      </x:c>
      <x:c r="B600" s="28" t="str">
        <x:v>пастернак</x:v>
      </x:c>
      <x:c r="C600" s="28" t="str">
        <x:v>Десерты и выпечка</x:v>
      </x:c>
      <x:c r="D600" s="28" t="str">
        <x:v>пастернак</x:v>
      </x:c>
      <x:c r="E600" s="28" t="str">
        <x:v>Пастернак | пастернак</x:v>
      </x:c>
      <x:c r="F600" s="28" t="str">
        <x:v>Корнеплоды</x:v>
      </x:c>
      <x:c r="G600" s="28" t="str">
        <x:v>грецкий орех</x:v>
      </x:c>
      <x:c r="H600" s="28" t="str">
        <x:v>Грецкий орех | грецкий орех</x:v>
      </x:c>
      <x:c r="I600" s="28" t="str">
        <x:v>Орехи и семена</x:v>
      </x:c>
      <x:c r="J600" s="28" t="str">
        <x:v>сладкий, пряный, древесный и слегка анисовый</x:v>
      </x:c>
      <x:c r="K600" s="28" t="str">
        <x:v>древесный, землистый, ореховый</x:v>
      </x:c>
      <x:c r="L600" s="28" t="str">
        <x:v>терпены, фураны, пинены, фенольные соединения</x:v>
      </x:c>
      <x:c r="M600" s="28" t="str">
        <x:v>альдегиды, пиразины</x:v>
      </x:c>
      <x:c r="N600" s="28" t="str">
        <x:v>землистый</x:v>
      </x:c>
      <x:c r="O600" s="28" t="str">
        <x:v>надёжная общая ключевая молекула не установлена</x:v>
      </x:c>
      <x:c r="P600" s="28" t="str">
        <x:v>пересечение ароматических семейств</x:v>
      </x:c>
      <x:c r="Q600" s="28" t="str">
        <x:v>Сладость и землистость балансируются кислотой, солью, горечью и умами; жир усиливает ощущение округлости.</x:v>
      </x:c>
      <x:c r="R600" s="28" t="str">
        <x:v>минимальный</x:v>
      </x:c>
      <x:c r="S600" s="28" t="str">
        <x:v>крахмалисто-волокнистый корнеплод с ароматическим маслом</x:v>
      </x:c>
      <x:c r="T600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0" s="28" t="str">
        <x:v>Пастернак имеет профиль «сладкий, пряный, древесный и слегка анисовый». Партнёр «грецкий орех» относится к группе «Орехи и семена» и даёт древесный, землистый, ореховый. Профили пересекаются в семействах: землистый.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00" s="28" t="str">
        <x:v>старый пастернак может быть волокнистым; сильная сладость требует баланса</x:v>
      </x:c>
      <x:c r="W600" s="28" t="str">
        <x:v>соль, кислота или ароматический жир</x:v>
      </x:c>
      <x:c r="X600" s="28" t="str">
        <x:v>пюре, суп, запекание, крем, гарнир, соус или десертная разработка с грецкий орех</x:v>
      </x:c>
      <x:c r="Y600" s="28" t="str">
        <x:v>десерты</x:v>
      </x:c>
      <x:c r="Z600" s="28" t="str">
        <x:v>Средняя</x:v>
      </x:c>
      <x:c r="AA600" s="28" t="str">
        <x:v>Тезариус вкусов (Ники Сегнит)(1).pdf</x:v>
      </x:c>
      <x:c r="AB600" s="28" t="str">
        <x:v>Тезариус вкусов (Ники Сегнит)(1).pdf: 597, 627</x:v>
      </x:c>
      <x:c r="AC600" s="28" t="str">
        <x:v>развёрнутая пара/статья, стр. 597; развёрнутая пара/статья, стр. 627</x:v>
      </x:c>
      <x:c r="AD600" s="28" t="n">
        <x:v>1</x:v>
      </x:c>
      <x:c r="AE600" s="28" t="n">
        <x:v>2</x:v>
      </x:c>
      <x:c r="AF600" s="28" t="n">
        <x:f>IF(Z600="Высокая",3,IF(Z600="Средняя",2,1))+AD600*2+MIN(AE600,3)</x:f>
        <x:v>6</x:v>
      </x:c>
    </x:row>
    <x:row r="601" ht="64" customHeight="1">
      <x:c r="A601" s="28" t="str">
        <x:v>VEG-0600</x:v>
      </x:c>
      <x:c r="B601" s="28" t="str">
        <x:v>пастернак</x:v>
      </x:c>
      <x:c r="C601" s="28" t="str">
        <x:v>Десерты и выпечка</x:v>
      </x:c>
      <x:c r="D601" s="28" t="str">
        <x:v>пастернак</x:v>
      </x:c>
      <x:c r="E601" s="28" t="str">
        <x:v>boiled parsnip</x:v>
      </x:c>
      <x:c r="F601" s="28" t="str">
        <x:v>Корнеплоды</x:v>
      </x:c>
      <x:c r="G601" s="28" t="str">
        <x:v>кунжут, халва и тахини</x:v>
      </x:c>
      <x:c r="H601" s="28" t="str">
        <x:v>sesame seeds, halva and tahini</x:v>
      </x:c>
      <x:c r="I601" s="28" t="str">
        <x:v>Орехи и семена</x:v>
      </x:c>
      <x:c r="J601" s="28" t="str">
        <x:v>сладкий, пряный, древесный и слегка анисовый</x:v>
      </x:c>
      <x:c r="K601" s="28" t="str">
        <x:v>ореховый, жареный и жирный</x:v>
      </x:c>
      <x:c r="L601" s="28" t="str">
        <x:v>терпены, фураны, пинены, фенольные соединения</x:v>
      </x:c>
      <x:c r="M601" s="28" t="str">
        <x:v>альдегиды, пиразины, фураны</x:v>
      </x:c>
      <x:c r="N601" s="28" t="str">
        <x:v>прямое пересечение семейств не подтверждено</x:v>
      </x:c>
      <x:c r="O601" s="28" t="str">
        <x:v>фураны</x:v>
      </x:c>
      <x:c r="P601" s="28" t="str">
        <x:v>общие характерные молекулы</x:v>
      </x:c>
      <x:c r="Q601" s="28" t="str">
        <x:v>Сладость и землистость балансируются кислотой, солью, горечью и умами; жир усиливает ощущение округлости.</x:v>
      </x:c>
      <x:c r="R601" s="28" t="str">
        <x:v>минимальный</x:v>
      </x:c>
      <x:c r="S601" s="28" t="str">
        <x:v>крахмалисто-волокнистый корнеплод с ароматическим маслом</x:v>
      </x:c>
      <x:c r="T601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1" s="28" t="str">
        <x:v>Пастернак имеет профиль «сладкий, пряный, древесный и слегка анисовый». Партнёр «кунжут, халва и тахини»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01" s="28" t="str">
        <x:v>старый пастернак может быть волокнистым; сильная сладость требует баланса</x:v>
      </x:c>
      <x:c r="W601" s="28" t="str">
        <x:v>соль, кислота или ароматический жир</x:v>
      </x:c>
      <x:c r="X601" s="28" t="str">
        <x:v>пюре, суп, запекание, крем, гарнир, соус или десертная разработка с кунжут, халва и тахини</x:v>
      </x:c>
      <x:c r="Y601" s="28" t="str">
        <x:v>десерты</x:v>
      </x:c>
      <x:c r="Z601" s="28" t="str">
        <x:v>Средняя</x:v>
      </x:c>
      <x:c r="AA601" s="28" t="str">
        <x:v>The Art &amp; Science of Foodpairing.pdf</x:v>
      </x:c>
      <x:c r="AB601" s="28" t="str">
        <x:v>The Art &amp; Science of Foodpairing.pdf: 308</x:v>
      </x:c>
      <x:c r="AC601" s="28" t="str">
        <x:v>связь из pairing grid, стр. 308</x:v>
      </x:c>
      <x:c r="AD601" s="28" t="n">
        <x:v>1</x:v>
      </x:c>
      <x:c r="AE601" s="28" t="n">
        <x:v>1</x:v>
      </x:c>
      <x:c r="AF601" s="28" t="n">
        <x:f>IF(Z601="Высокая",3,IF(Z601="Средняя",2,1))+AD601*2+MIN(AE601,3)</x:f>
        <x:v>5</x:v>
      </x:c>
    </x:row>
    <x:row r="602" ht="64" customHeight="1">
      <x:c r="A602" s="28" t="str">
        <x:v>VEG-0601</x:v>
      </x:c>
      <x:c r="B602" s="28" t="str">
        <x:v>пастернак</x:v>
      </x:c>
      <x:c r="C602" s="28" t="str">
        <x:v>Универсальные</x:v>
      </x:c>
      <x:c r="D602" s="28" t="str">
        <x:v>пастернак</x:v>
      </x:c>
      <x:c r="E602" s="28" t="str">
        <x:v>doenjang, parsnip</x:v>
      </x:c>
      <x:c r="F602" s="28" t="str">
        <x:v>Корнеплоды</x:v>
      </x:c>
      <x:c r="G602" s="28" t="str">
        <x:v>маниок</x:v>
      </x:c>
      <x:c r="H602" s="28" t="str">
        <x:v>cassava</x:v>
      </x:c>
      <x:c r="I602" s="28" t="str">
        <x:v>Прочее</x:v>
      </x:c>
      <x:c r="J602" s="28" t="str">
        <x:v>сладкий, пряный, древесный и слегка анисовый</x:v>
      </x:c>
      <x:c r="K602" s="28" t="str">
        <x:v>профиль зависит от конкретного продукта</x:v>
      </x:c>
      <x:c r="L602" s="28" t="str">
        <x:v>терпены, фураны, пинены, фенольные соединения</x:v>
      </x:c>
      <x:c r="M602" s="28" t="str">
        <x:v>конкретный молекулярный профиль не указан</x:v>
      </x:c>
      <x:c r="N602" s="28" t="str">
        <x:v>прямое пересечение семейств не подтверждено</x:v>
      </x:c>
      <x:c r="O602" s="28" t="str">
        <x:v>надёжная общая ключевая молекула не установлена</x:v>
      </x:c>
      <x:c r="P602" s="28" t="str">
        <x:v>сенсорная комплементарность</x:v>
      </x:c>
      <x:c r="Q602" s="28" t="str">
        <x:v>Сладость и землистость балансируются кислотой, солью, горечью и умами; жир усиливает ощущение округлости.</x:v>
      </x:c>
      <x:c r="R602" s="28" t="str">
        <x:v>минимальный</x:v>
      </x:c>
      <x:c r="S602" s="28" t="str">
        <x:v>крахмалисто-волокнистый корнеплод с ароматическим маслом</x:v>
      </x:c>
      <x:c r="T602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2" s="28" t="str">
        <x:v>Пастернак имеет профиль «сладкий, пряный, древесный и слегка анисовый».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02" s="28" t="str">
        <x:v>старый пастернак может быть волокнистым; сильная сладость требует баланса</x:v>
      </x:c>
      <x:c r="W602" s="28" t="str">
        <x:v>соль, кислота или ароматический жир</x:v>
      </x:c>
      <x:c r="X602" s="28" t="str">
        <x:v>пюре, суп, запекание, крем, гарнир, соус или десертная разработка с маниок</x:v>
      </x:c>
      <x:c r="Y602" s="28" t="str">
        <x:v>универсальное</x:v>
      </x:c>
      <x:c r="Z602" s="28" t="str">
        <x:v>Высокая</x:v>
      </x:c>
      <x:c r="AA602" s="28" t="str">
        <x:v>The Art &amp; Science of Foodpairing.pdf</x:v>
      </x:c>
      <x:c r="AB602" s="28" t="str">
        <x:v>The Art &amp; Science of Foodpairing.pdf: 247</x:v>
      </x:c>
      <x:c r="AC602" s="28" t="str">
        <x:v>прямая Potential pairing, стр. 247</x:v>
      </x:c>
      <x:c r="AD602" s="28" t="n">
        <x:v>1</x:v>
      </x:c>
      <x:c r="AE602" s="28" t="n">
        <x:v>1</x:v>
      </x:c>
      <x:c r="AF602" s="28" t="n">
        <x:f>IF(Z602="Высокая",3,IF(Z602="Средняя",2,1))+AD602*2+MIN(AE602,3)</x:f>
        <x:v>6</x:v>
      </x:c>
    </x:row>
    <x:row r="603" ht="64" customHeight="1">
      <x:c r="A603" s="28" t="str">
        <x:v>VEG-0602</x:v>
      </x:c>
      <x:c r="B603" s="28" t="str">
        <x:v>пастернак</x:v>
      </x:c>
      <x:c r="C603" s="28" t="str">
        <x:v>Еда и соусы</x:v>
      </x:c>
      <x:c r="D603" s="28" t="str">
        <x:v>пастернак</x:v>
      </x:c>
      <x:c r="E603" s="28" t="str">
        <x:v>Пастернак | пастернак</x:v>
      </x:c>
      <x:c r="F603" s="28" t="str">
        <x:v>Корнеплоды</x:v>
      </x:c>
      <x:c r="G603" s="28" t="str">
        <x:v>моллюски</x:v>
      </x:c>
      <x:c r="H603" s="28" t="str">
        <x:v>Моллюски | моллюски</x:v>
      </x:c>
      <x:c r="I603" s="28" t="str">
        <x:v>Рыба и морепродукты</x:v>
      </x:c>
      <x:c r="J603" s="28" t="str">
        <x:v>сладкий, пряный, древесный и слегка анисовый</x:v>
      </x:c>
      <x:c r="K603" s="28" t="str">
        <x:v>морской, солоноватый и умами</x:v>
      </x:c>
      <x:c r="L603" s="28" t="str">
        <x:v>терпены, фураны, пинены, фенольные соединения</x:v>
      </x:c>
      <x:c r="M603" s="28" t="str">
        <x:v>альдегиды, амины</x:v>
      </x:c>
      <x:c r="N603" s="28" t="str">
        <x:v>прямое пересечение семейств не подтверждено</x:v>
      </x:c>
      <x:c r="O603" s="28" t="str">
        <x:v>надёжная общая ключевая молекула не установлена</x:v>
      </x:c>
      <x:c r="P603" s="28" t="str">
        <x:v>умами и солёный контраст</x:v>
      </x:c>
      <x:c r="Q603" s="28" t="str">
        <x:v>Сладость и землистость балансируются кислотой, солью, горечью и умами; жир усиливает ощущение округлости.</x:v>
      </x:c>
      <x:c r="R603" s="28" t="str">
        <x:v>минимальный</x:v>
      </x:c>
      <x:c r="S603" s="28" t="str">
        <x:v>крахмалисто-волокнистый корнеплод с ароматическим маслом Белок и жир требуют контроля воды: для жареной ароматики поверхность должна подсохнуть.</x:v>
      </x:c>
      <x:c r="T603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3" s="28" t="str">
        <x:v>Пастернак имеет профиль «сладкий, пряный, древесный и слегка анисовый».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03" s="28" t="str">
        <x:v>старый пастернак может быть волокнистым; сильная сладость требует баланса</x:v>
      </x:c>
      <x:c r="W603" s="28" t="str">
        <x:v>сливочное масло, соевый соус или тимьян</x:v>
      </x:c>
      <x:c r="X603" s="28" t="str">
        <x:v>пюре, суп, запекание, крем, гарнир, соус или десертная разработка с моллюски</x:v>
      </x:c>
      <x:c r="Y603" s="28" t="str">
        <x:v>еда, соусы/маринады</x:v>
      </x:c>
      <x:c r="Z603" s="28" t="str">
        <x:v>Средняя</x:v>
      </x:c>
      <x:c r="AA603" s="28" t="str">
        <x:v>Тезариус вкусов (Ники Сегнит)(1).pdf</x:v>
      </x:c>
      <x:c r="AB603" s="28" t="str">
        <x:v>Тезариус вкусов (Ники Сегнит)(1).pdf: 374, 598</x:v>
      </x:c>
      <x:c r="AC603" s="28" t="str">
        <x:v>развёрнутая пара/статья, стр. 374; развёрнутая пара/статья, стр. 598</x:v>
      </x:c>
      <x:c r="AD603" s="28" t="n">
        <x:v>1</x:v>
      </x:c>
      <x:c r="AE603" s="28" t="n">
        <x:v>2</x:v>
      </x:c>
      <x:c r="AF603" s="28" t="n">
        <x:f>IF(Z603="Высокая",3,IF(Z603="Средняя",2,1))+AD603*2+MIN(AE603,3)</x:f>
        <x:v>6</x:v>
      </x:c>
    </x:row>
    <x:row r="604" ht="64" customHeight="1">
      <x:c r="A604" s="28" t="str">
        <x:v>VEG-0603</x:v>
      </x:c>
      <x:c r="B604" s="28" t="str">
        <x:v>пастернак</x:v>
      </x:c>
      <x:c r="C604" s="28" t="str">
        <x:v>Еда и соусы</x:v>
      </x:c>
      <x:c r="D604" s="28" t="str">
        <x:v>пастернак</x:v>
      </x:c>
      <x:c r="E604" s="28" t="str">
        <x:v>Пастернак | пастернак</x:v>
      </x:c>
      <x:c r="F604" s="28" t="str">
        <x:v>Корнеплоды</x:v>
      </x:c>
      <x:c r="G604" s="28" t="str">
        <x:v>мускатный орех</x:v>
      </x:c>
      <x:c r="H604" s="28" t="str">
        <x:v>Мускатный орех | мускатный орех</x:v>
      </x:c>
      <x:c r="I604" s="28" t="str">
        <x:v>Рыба и морепродукты</x:v>
      </x:c>
      <x:c r="J604" s="28" t="str">
        <x:v>сладкий, пряный, древесный и слегка анисовый</x:v>
      </x:c>
      <x:c r="K604" s="28" t="str">
        <x:v>камфорный, ореховый, пряный</x:v>
      </x:c>
      <x:c r="L604" s="28" t="str">
        <x:v>терпены, фураны, пинены, фенольные соединения</x:v>
      </x:c>
      <x:c r="M604" s="28" t="str">
        <x:v>пинены, сабинен</x:v>
      </x:c>
      <x:c r="N604" s="28" t="str">
        <x:v>пряный</x:v>
      </x:c>
      <x:c r="O604" s="28" t="str">
        <x:v>пинены</x:v>
      </x:c>
      <x:c r="P604" s="28" t="str">
        <x:v>общие характерные молекулы; пересечение ароматических семейств; умами и солёный контраст</x:v>
      </x:c>
      <x:c r="Q604" s="28" t="str">
        <x:v>Сладость и землистость балансируются кислотой, солью, горечью и умами; жир усиливает ощущение округлости.</x:v>
      </x:c>
      <x:c r="R604" s="28" t="str">
        <x:v>минимальный</x:v>
      </x:c>
      <x:c r="S604" s="28" t="str">
        <x:v>крахмалисто-волокнистый корнеплод с ароматическим маслом Белок и жир требуют контроля воды: для жареной ароматики поверхность должна подсохнуть.</x:v>
      </x:c>
      <x:c r="T604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4" s="28" t="str">
        <x:v>Пастернак имеет профиль «сладкий, пряный, древесный и слегка анисовый». Партнёр «мускатный орех» относится к группе «Рыба и морепродукты» и даёт камфорный, ореховый, пряный. Вероятный молекулярный мост: пинены.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04" s="28" t="str">
        <x:v>старый пастернак может быть волокнистым; сильная сладость требует баланса</x:v>
      </x:c>
      <x:c r="W604" s="28" t="str">
        <x:v>сливочное масло, соевый соус или тимьян</x:v>
      </x:c>
      <x:c r="X604" s="28" t="str">
        <x:v>пюре, суп, запекание, крем, гарнир, соус или десертная разработка с мускатный орех</x:v>
      </x:c>
      <x:c r="Y604" s="28" t="str">
        <x:v>еда, соусы/маринады</x:v>
      </x:c>
      <x:c r="Z604" s="28" t="str">
        <x:v>Средняя</x:v>
      </x:c>
      <x:c r="AA604" s="28" t="str">
        <x:v>Тезариус вкусов (Ники Сегнит)(1).pdf</x:v>
      </x:c>
      <x:c r="AB604" s="28" t="str">
        <x:v>Тезариус вкусов (Ники Сегнит)(1).pdf: 589, 598</x:v>
      </x:c>
      <x:c r="AC604" s="28" t="str">
        <x:v>развёрнутая пара/статья, стр. 589; развёрнутая пара/статья, стр. 598</x:v>
      </x:c>
      <x:c r="AD604" s="28" t="n">
        <x:v>1</x:v>
      </x:c>
      <x:c r="AE604" s="28" t="n">
        <x:v>2</x:v>
      </x:c>
      <x:c r="AF604" s="28" t="n">
        <x:f>IF(Z604="Высокая",3,IF(Z604="Средняя",2,1))+AD604*2+MIN(AE604,3)</x:f>
        <x:v>6</x:v>
      </x:c>
    </x:row>
    <x:row r="605" ht="64" customHeight="1">
      <x:c r="A605" s="28" t="str">
        <x:v>VEG-0604</x:v>
      </x:c>
      <x:c r="B605" s="28" t="str">
        <x:v>пастернак</x:v>
      </x:c>
      <x:c r="C605" s="28" t="str">
        <x:v>Универсальные</x:v>
      </x:c>
      <x:c r="D605" s="28" t="str">
        <x:v>пастернак</x:v>
      </x:c>
      <x:c r="E605" s="28" t="str">
        <x:v>boiled parsnip</x:v>
      </x:c>
      <x:c r="F605" s="28" t="str">
        <x:v>Корнеплоды</x:v>
      </x:c>
      <x:c r="G605" s="28" t="str">
        <x:v>пармезан</x:v>
      </x:c>
      <x:c r="H605" s="28" t="str">
        <x:v>Parmigiano-Reggiano</x:v>
      </x:c>
      <x:c r="I605" s="28" t="str">
        <x:v>Прочее</x:v>
      </x:c>
      <x:c r="J605" s="28" t="str">
        <x:v>сладкий, пряный, древесный и слегка анисовый</x:v>
      </x:c>
      <x:c r="K605" s="28" t="str">
        <x:v>профиль зависит от конкретного продукта</x:v>
      </x:c>
      <x:c r="L605" s="28" t="str">
        <x:v>терпены, фураны, пинены, фенольные соединения</x:v>
      </x:c>
      <x:c r="M605" s="28" t="str">
        <x:v>конкретный молекулярный профиль не указан</x:v>
      </x:c>
      <x:c r="N605" s="28" t="str">
        <x:v>прямое пересечение семейств не подтверждено</x:v>
      </x:c>
      <x:c r="O605" s="28" t="str">
        <x:v>надёжная общая ключевая молекула не установлена</x:v>
      </x:c>
      <x:c r="P605" s="28" t="str">
        <x:v>сенсорная комплементарность</x:v>
      </x:c>
      <x:c r="Q605" s="28" t="str">
        <x:v>Сладость и землистость балансируются кислотой, солью, горечью и умами; жир усиливает ощущение округлости.</x:v>
      </x:c>
      <x:c r="R605" s="28" t="str">
        <x:v>минимальный</x:v>
      </x:c>
      <x:c r="S605" s="28" t="str">
        <x:v>крахмалисто-волокнистый корнеплод с ароматическим маслом</x:v>
      </x:c>
      <x:c r="T605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5" s="28" t="str">
        <x:v>Пастернак имеет профиль «сладкий, пряный, древесный и слегка анисовый».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05" s="28" t="str">
        <x:v>старый пастернак может быть волокнистым; сильная сладость требует баланса</x:v>
      </x:c>
      <x:c r="W605" s="28" t="str">
        <x:v>соль, кислота или ароматический жир</x:v>
      </x:c>
      <x:c r="X605" s="28" t="str">
        <x:v>пюре, суп, запекание, крем, гарнир, соус или десертная разработка с пармезан</x:v>
      </x:c>
      <x:c r="Y605" s="28" t="str">
        <x:v>универсальное</x:v>
      </x:c>
      <x:c r="Z605" s="28" t="str">
        <x:v>Средняя</x:v>
      </x:c>
      <x:c r="AA605" s="28" t="str">
        <x:v>The Art &amp; Science of Foodpairing.pdf</x:v>
      </x:c>
      <x:c r="AB605" s="28" t="str">
        <x:v>The Art &amp; Science of Foodpairing.pdf: 282</x:v>
      </x:c>
      <x:c r="AC605" s="28" t="str">
        <x:v>связь из pairing grid, стр. 282</x:v>
      </x:c>
      <x:c r="AD605" s="28" t="n">
        <x:v>1</x:v>
      </x:c>
      <x:c r="AE605" s="28" t="n">
        <x:v>1</x:v>
      </x:c>
      <x:c r="AF605" s="28" t="n">
        <x:f>IF(Z605="Высокая",3,IF(Z605="Средняя",2,1))+AD605*2+MIN(AE605,3)</x:f>
        <x:v>5</x:v>
      </x:c>
    </x:row>
    <x:row r="606" ht="64" customHeight="1">
      <x:c r="A606" s="28" t="str">
        <x:v>VEG-0605</x:v>
      </x:c>
      <x:c r="B606" s="28" t="str">
        <x:v>пастернак</x:v>
      </x:c>
      <x:c r="C606" s="28" t="str">
        <x:v>Еда и соусы</x:v>
      </x:c>
      <x:c r="D606" s="28" t="str">
        <x:v>пастернак</x:v>
      </x:c>
      <x:c r="E606" s="28" t="str">
        <x:v>Пастернак | пастернак</x:v>
      </x:c>
      <x:c r="F606" s="28" t="str">
        <x:v>Корнеплоды</x:v>
      </x:c>
      <x:c r="G606" s="28" t="str">
        <x:v>свинина</x:v>
      </x:c>
      <x:c r="H606" s="28" t="str">
        <x:v>Свинина | свинина</x:v>
      </x:c>
      <x:c r="I606" s="28" t="str">
        <x:v>Мясо и птица</x:v>
      </x:c>
      <x:c r="J606" s="28" t="str">
        <x:v>сладкий, пряный, древесный и слегка анисовый</x:v>
      </x:c>
      <x:c r="K606" s="28" t="str">
        <x:v>жареный, мясной и умами</x:v>
      </x:c>
      <x:c r="L606" s="28" t="str">
        <x:v>терпены, фураны, пинены, фенольные соединения</x:v>
      </x:c>
      <x:c r="M606" s="28" t="str">
        <x:v>пиразины, сернистые соединения</x:v>
      </x:c>
      <x:c r="N606" s="28" t="str">
        <x:v>прямое пересечение семейств не подтверждено</x:v>
      </x:c>
      <x:c r="O606" s="28" t="str">
        <x:v>надёжная общая ключевая молекула не установлена</x:v>
      </x:c>
      <x:c r="P606" s="28" t="str">
        <x:v>умами и солёный контраст</x:v>
      </x:c>
      <x:c r="Q606" s="28" t="str">
        <x:v>Сладость и землистость балансируются кислотой, солью, горечью и умами; жир усиливает ощущение округлости.</x:v>
      </x:c>
      <x:c r="R606" s="28" t="str">
        <x:v>минимальный</x:v>
      </x:c>
      <x:c r="S606" s="28" t="str">
        <x:v>крахмалисто-волокнистый корнеплод с ароматическим маслом Белок и жир требуют контроля воды: для жареной ароматики поверхность должна подсохнуть.</x:v>
      </x:c>
      <x:c r="T606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6" s="28" t="str">
        <x:v>Пастернак имеет профиль «сладкий, пряный, древесный и слегка анисовый».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06" s="28" t="str">
        <x:v>старый пастернак может быть волокнистым; сильная сладость требует баланса</x:v>
      </x:c>
      <x:c r="W606" s="28" t="str">
        <x:v>сливочное масло, соевый соус или тимьян</x:v>
      </x:c>
      <x:c r="X606" s="28" t="str">
        <x:v>пюре, суп, запекание, крем, гарнир, соус или десертная разработка с свинина</x:v>
      </x:c>
      <x:c r="Y606" s="28" t="str">
        <x:v>еда, соусы/маринады</x:v>
      </x:c>
      <x:c r="Z606" s="28" t="str">
        <x:v>Средняя</x:v>
      </x:c>
      <x:c r="AA606" s="28" t="str">
        <x:v>Тезариус вкусов (Ники Сегнит)(1).pdf</x:v>
      </x:c>
      <x:c r="AB606" s="28" t="str">
        <x:v>Тезариус вкусов (Ники Сегнит)(1).pdf: 86, 598</x:v>
      </x:c>
      <x:c r="AC606" s="28" t="str">
        <x:v>развёрнутая пара/статья, стр. 86; развёрнутая пара/статья, стр. 598</x:v>
      </x:c>
      <x:c r="AD606" s="28" t="n">
        <x:v>1</x:v>
      </x:c>
      <x:c r="AE606" s="28" t="n">
        <x:v>2</x:v>
      </x:c>
      <x:c r="AF606" s="28" t="n">
        <x:f>IF(Z606="Высокая",3,IF(Z606="Средняя",2,1))+AD606*2+MIN(AE606,3)</x:f>
        <x:v>6</x:v>
      </x:c>
    </x:row>
    <x:row r="607" ht="64" customHeight="1">
      <x:c r="A607" s="28" t="str">
        <x:v>VEG-0606</x:v>
      </x:c>
      <x:c r="B607" s="28" t="str">
        <x:v>пастернак</x:v>
      </x:c>
      <x:c r="C607" s="28" t="str">
        <x:v>Десерты и выпечка</x:v>
      </x:c>
      <x:c r="D607" s="28" t="str">
        <x:v>пастернак</x:v>
      </x:c>
      <x:c r="E607" s="28" t="str">
        <x:v>Пастернак | пастернак</x:v>
      </x:c>
      <x:c r="F607" s="28" t="str">
        <x:v>Корнеплоды</x:v>
      </x:c>
      <x:c r="G607" s="28" t="str">
        <x:v>твердый сыр</x:v>
      </x:c>
      <x:c r="H607" s="28" t="str">
        <x:v>Твердый сыр | твердый сыр</x:v>
      </x:c>
      <x:c r="I607" s="28" t="str">
        <x:v>Молочные продукты и сыры</x:v>
      </x:c>
      <x:c r="J607" s="28" t="str">
        <x:v>сладкий, пряный, древесный и слегка анисовый</x:v>
      </x:c>
      <x:c r="K607" s="28" t="str">
        <x:v>молочный, умами, ферментированный</x:v>
      </x:c>
      <x:c r="L607" s="28" t="str">
        <x:v>терпены, фураны, пинены, фенольные соединения</x:v>
      </x:c>
      <x:c r="M607" s="28" t="str">
        <x:v>диацетил, жирные кислоты</x:v>
      </x:c>
      <x:c r="N607" s="28" t="str">
        <x:v>прямое пересечение семейств не подтверждено</x:v>
      </x:c>
      <x:c r="O607" s="28" t="str">
        <x:v>надёжная общая ключевая молекула не установлена</x:v>
      </x:c>
      <x:c r="P607" s="28" t="str">
        <x:v>жировая матрица</x:v>
      </x:c>
      <x:c r="Q607" s="28" t="str">
        <x:v>Сладость и землистость балансируются кислотой, солью, горечью и умами; жир усиливает ощущение округлости.</x:v>
      </x:c>
      <x:c r="R607" s="28" t="str">
        <x:v>минимальный</x:v>
      </x:c>
      <x:c r="S607" s="28" t="str">
        <x:v>крахмалисто-волокнистый корнеплод с ароматическим маслом Жировая фаза удерживает гидрофобные молекулы, но может сделать вкус тяжёлым.</x:v>
      </x:c>
      <x:c r="T607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7" s="28" t="str">
        <x:v>Пастернак имеет профиль «сладкий, пряный, древесный и слегка анисовый».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607" s="28" t="str">
        <x:v>старый пастернак может быть волокнистым; сильная сладость требует баланса; жир способен приглушить свежую зелёную ароматику</x:v>
      </x:c>
      <x:c r="W607" s="28" t="str">
        <x:v>кислота, зелень или жареный орех</x:v>
      </x:c>
      <x:c r="X607" s="28" t="str">
        <x:v>пюре, суп, запекание, крем, гарнир, соус или десертная разработка с твердый сыр</x:v>
      </x:c>
      <x:c r="Y607" s="28" t="str">
        <x:v>десерты</x:v>
      </x:c>
      <x:c r="Z607" s="28" t="str">
        <x:v>Средняя</x:v>
      </x:c>
      <x:c r="AA607" s="28" t="str">
        <x:v>Тезариус вкусов (Ники Сегнит)(1).pdf</x:v>
      </x:c>
      <x:c r="AB607" s="28" t="str">
        <x:v>Тезариус вкусов (Ники Сегнит)(1).pdf: 175, 599</x:v>
      </x:c>
      <x:c r="AC607" s="28" t="str">
        <x:v>развёрнутая пара/статья, стр. 175; развёрнутая пара/статья, стр. 599</x:v>
      </x:c>
      <x:c r="AD607" s="28" t="n">
        <x:v>1</x:v>
      </x:c>
      <x:c r="AE607" s="28" t="n">
        <x:v>2</x:v>
      </x:c>
      <x:c r="AF607" s="28" t="n">
        <x:f>IF(Z607="Высокая",3,IF(Z607="Средняя",2,1))+AD607*2+MIN(AE607,3)</x:f>
        <x:v>6</x:v>
      </x:c>
    </x:row>
    <x:row r="608" ht="64" customHeight="1">
      <x:c r="A608" s="28" t="str">
        <x:v>VEG-0607</x:v>
      </x:c>
      <x:c r="B608" s="28" t="str">
        <x:v>пастернак</x:v>
      </x:c>
      <x:c r="C608" s="28" t="str">
        <x:v>Еда и соусы</x:v>
      </x:c>
      <x:c r="D608" s="28" t="str">
        <x:v>пастернак</x:v>
      </x:c>
      <x:c r="E608" s="28" t="str">
        <x:v>boiled parsnip</x:v>
      </x:c>
      <x:c r="F608" s="28" t="str">
        <x:v>Корнеплоды</x:v>
      </x:c>
      <x:c r="G608" s="28" t="str">
        <x:v>хамон иберико</x:v>
      </x:c>
      <x:c r="H608" s="28" t="str">
        <x:v>lberico ham</x:v>
      </x:c>
      <x:c r="I608" s="28" t="str">
        <x:v>Мясо и птица</x:v>
      </x:c>
      <x:c r="J608" s="28" t="str">
        <x:v>сладкий, пряный, древесный и слегка анисовый</x:v>
      </x:c>
      <x:c r="K608" s="28" t="str">
        <x:v>жареный, мясной и умами</x:v>
      </x:c>
      <x:c r="L608" s="28" t="str">
        <x:v>терпены, фураны, пинены, фенольные соединения</x:v>
      </x:c>
      <x:c r="M608" s="28" t="str">
        <x:v>пиразины, сернистые соединения</x:v>
      </x:c>
      <x:c r="N608" s="28" t="str">
        <x:v>прямое пересечение семейств не подтверждено</x:v>
      </x:c>
      <x:c r="O608" s="28" t="str">
        <x:v>надёжная общая ключевая молекула не установлена</x:v>
      </x:c>
      <x:c r="P608" s="28" t="str">
        <x:v>умами и солёный контраст</x:v>
      </x:c>
      <x:c r="Q608" s="28" t="str">
        <x:v>Сладость и землистость балансируются кислотой, солью, горечью и умами; жир усиливает ощущение округлости.</x:v>
      </x:c>
      <x:c r="R608" s="28" t="str">
        <x:v>минимальный</x:v>
      </x:c>
      <x:c r="S608" s="28" t="str">
        <x:v>крахмалисто-волокнистый корнеплод с ароматическим маслом Белок и жир требуют контроля воды: для жареной ароматики поверхность должна подсохнуть.</x:v>
      </x:c>
      <x:c r="T608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8" s="28" t="str">
        <x:v>Пастернак имеет профиль «сладкий, пряный, древесный и слегка анисовый».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08" s="28" t="str">
        <x:v>старый пастернак может быть волокнистым; сильная сладость требует баланса</x:v>
      </x:c>
      <x:c r="W608" s="28" t="str">
        <x:v>сливочное масло, соевый соус или тимьян</x:v>
      </x:c>
      <x:c r="X608" s="28" t="str">
        <x:v>пюре, суп, запекание, крем, гарнир, соус или десертная разработка с хамон иберико</x:v>
      </x:c>
      <x:c r="Y608" s="28" t="str">
        <x:v>еда, соусы/маринады</x:v>
      </x:c>
      <x:c r="Z608" s="28" t="str">
        <x:v>Средняя</x:v>
      </x:c>
      <x:c r="AA608" s="28" t="str">
        <x:v>The Art &amp; Science of Foodpairing.pdf</x:v>
      </x:c>
      <x:c r="AB608" s="28" t="str">
        <x:v>The Art &amp; Science of Foodpairing.pdf: 278</x:v>
      </x:c>
      <x:c r="AC608" s="28" t="str">
        <x:v>связь из pairing grid, стр. 278</x:v>
      </x:c>
      <x:c r="AD608" s="28" t="n">
        <x:v>1</x:v>
      </x:c>
      <x:c r="AE608" s="28" t="n">
        <x:v>1</x:v>
      </x:c>
      <x:c r="AF608" s="28" t="n">
        <x:f>IF(Z608="Высокая",3,IF(Z608="Средняя",2,1))+AD608*2+MIN(AE608,3)</x:f>
        <x:v>5</x:v>
      </x:c>
    </x:row>
    <x:row r="609" ht="64" customHeight="1">
      <x:c r="A609" s="28" t="str">
        <x:v>VEG-0608</x:v>
      </x:c>
      <x:c r="B609" s="28" t="str">
        <x:v>пастернак</x:v>
      </x:c>
      <x:c r="C609" s="28" t="str">
        <x:v>Универсальные</x:v>
      </x:c>
      <x:c r="D609" s="28" t="str">
        <x:v>пастернак</x:v>
      </x:c>
      <x:c r="E609" s="28" t="str">
        <x:v>Пастернак | пастернак</x:v>
      </x:c>
      <x:c r="F609" s="28" t="str">
        <x:v>Корнеплоды</x:v>
      </x:c>
      <x:c r="G609" s="28" t="str">
        <x:v>цыпленок</x:v>
      </x:c>
      <x:c r="H609" s="28" t="str">
        <x:v>Цыпленок | цыпленок</x:v>
      </x:c>
      <x:c r="I609" s="28" t="str">
        <x:v>Прочее</x:v>
      </x:c>
      <x:c r="J609" s="28" t="str">
        <x:v>сладкий, пряный, древесный и слегка анисовый</x:v>
      </x:c>
      <x:c r="K609" s="28" t="str">
        <x:v>профиль зависит от конкретного продукта</x:v>
      </x:c>
      <x:c r="L609" s="28" t="str">
        <x:v>терпены, фураны, пинены, фенольные соединения</x:v>
      </x:c>
      <x:c r="M609" s="28" t="str">
        <x:v>конкретный молекулярный профиль не указан</x:v>
      </x:c>
      <x:c r="N609" s="28" t="str">
        <x:v>прямое пересечение семейств не подтверждено</x:v>
      </x:c>
      <x:c r="O609" s="28" t="str">
        <x:v>надёжная общая ключевая молекула не установлена</x:v>
      </x:c>
      <x:c r="P609" s="28" t="str">
        <x:v>сенсорная комплементарность</x:v>
      </x:c>
      <x:c r="Q609" s="28" t="str">
        <x:v>Сладость и землистость балансируются кислотой, солью, горечью и умами; жир усиливает ощущение округлости.</x:v>
      </x:c>
      <x:c r="R609" s="28" t="str">
        <x:v>минимальный</x:v>
      </x:c>
      <x:c r="S609" s="28" t="str">
        <x:v>крахмалисто-волокнистый корнеплод с ароматическим маслом</x:v>
      </x:c>
      <x:c r="T609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09" s="28" t="str">
        <x:v>Пастернак имеет профиль «сладкий, пряный, древесный и слегка анисовый».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09" s="28" t="str">
        <x:v>старый пастернак может быть волокнистым; сильная сладость требует баланса</x:v>
      </x:c>
      <x:c r="W609" s="28" t="str">
        <x:v>соль, кислота или ароматический жир</x:v>
      </x:c>
      <x:c r="X609" s="28" t="str">
        <x:v>пюре, суп, запекание, крем, гарнир, соус или десертная разработка с цыпленок</x:v>
      </x:c>
      <x:c r="Y609" s="28" t="str">
        <x:v>универсальное</x:v>
      </x:c>
      <x:c r="Z609" s="28" t="str">
        <x:v>Средняя</x:v>
      </x:c>
      <x:c r="AA609" s="28" t="str">
        <x:v>Тезариус вкусов (Ники Сегнит)(1).pdf</x:v>
      </x:c>
      <x:c r="AB609" s="28" t="str">
        <x:v>Тезариус вкусов (Ники Сегнит)(1).pdf: 70, 599</x:v>
      </x:c>
      <x:c r="AC609" s="28" t="str">
        <x:v>развёрнутая пара/статья, стр. 70; развёрнутая пара/статья, стр. 599</x:v>
      </x:c>
      <x:c r="AD609" s="28" t="n">
        <x:v>1</x:v>
      </x:c>
      <x:c r="AE609" s="28" t="n">
        <x:v>2</x:v>
      </x:c>
      <x:c r="AF609" s="28" t="n">
        <x:f>IF(Z609="Высокая",3,IF(Z609="Средняя",2,1))+AD609*2+MIN(AE609,3)</x:f>
        <x:v>6</x:v>
      </x:c>
    </x:row>
    <x:row r="610" ht="64" customHeight="1">
      <x:c r="A610" s="28" t="str">
        <x:v>VEG-0609</x:v>
      </x:c>
      <x:c r="B610" s="28" t="str">
        <x:v>пастернак</x:v>
      </x:c>
      <x:c r="C610" s="28" t="str">
        <x:v>Универсальные</x:v>
      </x:c>
      <x:c r="D610" s="28" t="str">
        <x:v>пастернак</x:v>
      </x:c>
      <x:c r="E610" s="28" t="str">
        <x:v>boiled parsnip | parsnip</x:v>
      </x:c>
      <x:c r="F610" s="28" t="str">
        <x:v>Корнеплоды</x:v>
      </x:c>
      <x:c r="G610" s="28" t="str">
        <x:v>чёрный перец</x:v>
      </x:c>
      <x:c r="H610" s="28" t="str">
        <x:v>peppercorns</x:v>
      </x:c>
      <x:c r="I610" s="28" t="str">
        <x:v>Специи</x:v>
      </x:c>
      <x:c r="J610" s="28" t="str">
        <x:v>сладкий, пряный, древесный и слегка анисовый</x:v>
      </x:c>
      <x:c r="K610" s="28" t="str">
        <x:v>древесный, пряный, цитрусовый</x:v>
      </x:c>
      <x:c r="L610" s="28" t="str">
        <x:v>терпены, фураны, пинены, фенольные соединения</x:v>
      </x:c>
      <x:c r="M610" s="28" t="str">
        <x:v>лимонен, пинен, пиперин</x:v>
      </x:c>
      <x:c r="N610" s="28" t="str">
        <x:v>пряный</x:v>
      </x:c>
      <x:c r="O610" s="28" t="str">
        <x:v>надёжная общая ключевая молекула не установлена</x:v>
      </x:c>
      <x:c r="P610" s="28" t="str">
        <x:v>пересечение ароматических семейств</x:v>
      </x:c>
      <x:c r="Q610" s="28" t="str">
        <x:v>Сладость и землистость балансируются кислотой, солью, горечью и умами; жир усиливает ощущение округлости.</x:v>
      </x:c>
      <x:c r="R610" s="28" t="str">
        <x:v>минимальный</x:v>
      </x:c>
      <x:c r="S610" s="28" t="str">
        <x:v>крахмалисто-волокнистый корнеплод с ароматическим маслом</x:v>
      </x:c>
      <x:c r="T610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U610" s="28" t="str">
        <x:v>Пастернак имеет профиль «сладкий, пряный, древесный и слегка анисовый». Партнёр «чёрный перец» относится к группе «Специи» и даёт древесный, пряный, цитрусовый. Профили пересекаются в семействах: пряный.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610" s="28" t="str">
        <x:v>старый пастернак может быть волокнистым; сильная сладость требует баланса</x:v>
      </x:c>
      <x:c r="W610" s="28" t="str">
        <x:v>цитрус, йогурт или мёд</x:v>
      </x:c>
      <x:c r="X610" s="28" t="str">
        <x:v>пюре, суп, запекание, крем, гарнир, соус или десертная разработка с чёрный перец</x:v>
      </x:c>
      <x:c r="Y610" s="28" t="str">
        <x:v>универсальное</x:v>
      </x:c>
      <x:c r="Z610" s="28" t="str">
        <x:v>Средняя</x:v>
      </x:c>
      <x:c r="AA610" s="28" t="str">
        <x:v>The Art &amp; Science of Foodpairing.pdf</x:v>
      </x:c>
      <x:c r="AB610" s="28" t="str">
        <x:v>The Art &amp; Science of Foodpairing.pdf: 273, 274</x:v>
      </x:c>
      <x:c r="AC610" s="28" t="str">
        <x:v>связь из pairing grid, стр. 273; связь из pairing grid, стр. 274</x:v>
      </x:c>
      <x:c r="AD610" s="28" t="n">
        <x:v>1</x:v>
      </x:c>
      <x:c r="AE610" s="28" t="n">
        <x:v>2</x:v>
      </x:c>
      <x:c r="AF610" s="28" t="n">
        <x:f>IF(Z610="Высокая",3,IF(Z610="Средняя",2,1))+AD610*2+MIN(AE610,3)</x:f>
        <x:v>6</x:v>
      </x:c>
    </x:row>
    <x:row r="611" ht="64" customHeight="1">
      <x:c r="A611" s="28" t="str">
        <x:v>VEG-0610</x:v>
      </x:c>
      <x:c r="B611" s="28" t="str">
        <x:v>редис</x:v>
      </x:c>
      <x:c r="C611" s="28" t="str">
        <x:v>Десерты и выпечка</x:v>
      </x:c>
      <x:c r="D611" s="28" t="str">
        <x:v>редис</x:v>
      </x:c>
      <x:c r="E611" s="28" t="str">
        <x:v>daikon</x:v>
      </x:c>
      <x:c r="F611" s="28" t="str">
        <x:v>Корнеплоды и крестоцветные</x:v>
      </x:c>
      <x:c r="G611" s="28" t="str">
        <x:v>апельсин</x:v>
      </x:c>
      <x:c r="H611" s="28" t="str">
        <x:v>orange</x:v>
      </x:c>
      <x:c r="I611" s="28" t="str">
        <x:v>Фрукты и ягоды</x:v>
      </x:c>
      <x:c r="J611" s="28" t="str">
        <x:v>горчичный, зелёный, перечный и водянистый</x:v>
      </x:c>
      <x:c r="K611" s="28" t="str">
        <x:v>сладкий, цветочный, цитрусовый</x:v>
      </x:c>
      <x:c r="L611" s="28" t="str">
        <x:v>изотиоцианаты, метантиол, зелёные альдегиды</x:v>
      </x:c>
      <x:c r="M611" s="28" t="str">
        <x:v>лимонен, линалоол</x:v>
      </x:c>
      <x:c r="N611" s="28" t="str">
        <x:v>прямое пересечение семейств не подтверждено</x:v>
      </x:c>
      <x:c r="O611" s="28" t="str">
        <x:v>надёжная общая ключевая молекула не установлена</x:v>
      </x:c>
      <x:c r="P611" s="28" t="str">
        <x:v>кислотно-сладкий баланс; сернистая или горчичная комплементарность</x:v>
      </x:c>
      <x:c r="Q61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1" s="28" t="str">
        <x:v>выраженное горчичное покалывание</x:v>
      </x:c>
      <x:c r="S611" s="28" t="str">
        <x:v>водная хрустящая матрица с низкой сладостью Водная кислая фаза усиливает свежесть, но может разжижать пюре и нарушать молочную эмульсию.</x:v>
      </x:c>
      <x:c r="T611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U611" s="28" t="str">
        <x:v>Редис имеет профиль «горчичный, зелёный, перечный и водянистый».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1" s="28" t="str">
        <x:v>вялая текстура и чрезмерная острота; некоторые сорта значительно сильнее других; избыток кислоты или воды может сделать овощной вкус тонким и разрушить сливочную эмульсию</x:v>
      </x:c>
      <x:c r="W611" s="28" t="str">
        <x:v>цитрус, мёд или мягкая трава</x:v>
      </x:c>
      <x:c r="X611" s="28" t="str">
        <x:v>салат, гарнир, суп, соус, маринад, ферментация или напиток с апельсин</x:v>
      </x:c>
      <x:c r="Y611" s="28" t="str">
        <x:v>десерты</x:v>
      </x:c>
      <x:c r="Z611" s="28" t="str">
        <x:v>Средняя</x:v>
      </x:c>
      <x:c r="AA611" s="28" t="str">
        <x:v>The Art &amp; Science of Foodpairing.pdf</x:v>
      </x:c>
      <x:c r="AB611" s="28" t="str">
        <x:v>The Art &amp; Science of Foodpairing.pdf: 236</x:v>
      </x:c>
      <x:c r="AC611" s="28" t="str">
        <x:v>связь из pairing grid, стр. 236</x:v>
      </x:c>
      <x:c r="AD611" s="28" t="n">
        <x:v>1</x:v>
      </x:c>
      <x:c r="AE611" s="28" t="n">
        <x:v>1</x:v>
      </x:c>
      <x:c r="AF611" s="28" t="n">
        <x:f>IF(Z611="Высокая",3,IF(Z611="Средняя",2,1))+AD611*2+MIN(AE611,3)</x:f>
        <x:v>5</x:v>
      </x:c>
    </x:row>
    <x:row r="612" ht="64" customHeight="1">
      <x:c r="A612" s="28" t="str">
        <x:v>VEG-0611</x:v>
      </x:c>
      <x:c r="B612" s="28" t="str">
        <x:v>редис</x:v>
      </x:c>
      <x:c r="C612" s="28" t="str">
        <x:v>Универсальные</x:v>
      </x:c>
      <x:c r="D612" s="28" t="str">
        <x:v>редис</x:v>
      </x:c>
      <x:c r="E612" s="28" t="str">
        <x:v>radish</x:v>
      </x:c>
      <x:c r="F612" s="28" t="str">
        <x:v>Корнеплоды и крестоцветные</x:v>
      </x:c>
      <x:c r="G612" s="28" t="str">
        <x:v>болгарский перец</x:v>
      </x:c>
      <x:c r="H612" s="28" t="str">
        <x:v>red bell pepper and paprika</x:v>
      </x:c>
      <x:c r="I612" s="28" t="str">
        <x:v>Плодовые овощи</x:v>
      </x:c>
      <x:c r="J612" s="28" t="str">
        <x:v>горчичный, зелёный, перечный и водянистый</x:v>
      </x:c>
      <x:c r="K612" s="28" t="str">
        <x:v>зелёный, травянистый, фруктовый; у красного — сладкий и жареный</x:v>
      </x:c>
      <x:c r="L612" s="28" t="str">
        <x:v>изотиоцианаты, метантиол, зелёные альдегиды</x:v>
      </x:c>
      <x:c r="M612" s="28" t="str">
        <x:v>2-изобутил-3-метоксипиразин, гексаналь, лимонен, эфиры</x:v>
      </x:c>
      <x:c r="N612" s="28" t="str">
        <x:v>зелёный</x:v>
      </x:c>
      <x:c r="O612" s="28" t="str">
        <x:v>надёжная общая ключевая молекула не установлена</x:v>
      </x:c>
      <x:c r="P612" s="28" t="str">
        <x:v>пересечение ароматических семейств; сернистая или горчичная комплементарность</x:v>
      </x:c>
      <x:c r="Q61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2" s="28" t="str">
        <x:v>выраженное горчичное покалывание</x:v>
      </x:c>
      <x:c r="S612" s="28" t="str">
        <x:v>водная хрустящая матрица с низкой сладостью</x:v>
      </x:c>
      <x:c r="T612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U612" s="28" t="str">
        <x:v>Редис имеет профиль «горчичный, зелёный, перечный и водянистый».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зелёный.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2" s="28" t="str">
        <x:v>вялая текстура и чрезмерная острота; некоторые сорта значительно сильнее других</x:v>
      </x:c>
      <x:c r="W612" s="28" t="str">
        <x:v>соль, кислота или ароматический жир</x:v>
      </x:c>
      <x:c r="X612" s="28" t="str">
        <x:v>салат, гарнир, суп, соус, маринад, ферментация или напиток с болгарский перец</x:v>
      </x:c>
      <x:c r="Y612" s="28" t="str">
        <x:v>универсальное</x:v>
      </x:c>
      <x:c r="Z612" s="28" t="str">
        <x:v>Средняя</x:v>
      </x:c>
      <x:c r="AA612" s="28" t="str">
        <x:v>The Art &amp; Science of Foodpairing.pdf</x:v>
      </x:c>
      <x:c r="AB612" s="28" t="str">
        <x:v>The Art &amp; Science of Foodpairing.pdf: 108</x:v>
      </x:c>
      <x:c r="AC612" s="28" t="str">
        <x:v>связь из pairing grid, стр. 108</x:v>
      </x:c>
      <x:c r="AD612" s="28" t="n">
        <x:v>1</x:v>
      </x:c>
      <x:c r="AE612" s="28" t="n">
        <x:v>1</x:v>
      </x:c>
      <x:c r="AF612" s="28" t="n">
        <x:f>IF(Z612="Высокая",3,IF(Z612="Средняя",2,1))+AD612*2+MIN(AE612,3)</x:f>
        <x:v>5</x:v>
      </x:c>
    </x:row>
    <x:row r="613" ht="64" customHeight="1">
      <x:c r="A613" s="28" t="str">
        <x:v>VEG-0612</x:v>
      </x:c>
      <x:c r="B613" s="28" t="str">
        <x:v>редис</x:v>
      </x:c>
      <x:c r="C613" s="28" t="str">
        <x:v>Напитки</x:v>
      </x:c>
      <x:c r="D613" s="28" t="str">
        <x:v>редис</x:v>
      </x:c>
      <x:c r="E613" s="28" t="str">
        <x:v>daikon</x:v>
      </x:c>
      <x:c r="F613" s="28" t="str">
        <x:v>Корнеплоды и крестоцветные</x:v>
      </x:c>
      <x:c r="G613" s="28" t="str">
        <x:v>джин</x:v>
      </x:c>
      <x:c r="H613" s="28" t="str">
        <x:v>gin</x:v>
      </x:c>
      <x:c r="I613" s="28" t="str">
        <x:v>Алкогольные напитки</x:v>
      </x:c>
      <x:c r="J613" s="28" t="str">
        <x:v>горчичный, зелёный, перечный и водянистый</x:v>
      </x:c>
      <x:c r="K613" s="28" t="str">
        <x:v>спиртовой, фруктовый или древесный</x:v>
      </x:c>
      <x:c r="L613" s="28" t="str">
        <x:v>изотиоцианаты, метантиол, зелёные альдегиды</x:v>
      </x:c>
      <x:c r="M613" s="28" t="str">
        <x:v>альдегиды, эфиры</x:v>
      </x:c>
      <x:c r="N613" s="28" t="str">
        <x:v>прямое пересечение семейств не подтверждено</x:v>
      </x:c>
      <x:c r="O613" s="28" t="str">
        <x:v>надёжная общая ключевая молекула не установлена</x:v>
      </x:c>
      <x:c r="P613" s="28" t="str">
        <x:v>сернистая или горчичная комплементарность</x:v>
      </x:c>
      <x:c r="Q61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3" s="28" t="str">
        <x:v>выраженное горчичное покалывание</x:v>
      </x:c>
      <x:c r="S613" s="28" t="str">
        <x:v>водная хрустящая матрица с низкой сладостью Этанол извлекает терпены и сернистые соединения эффективнее воды; время контакта ограничивать.</x:v>
      </x:c>
      <x:c r="T613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U613" s="28" t="str">
        <x:v>Редис имеет профиль «горчичный, зелёный, перечный и водянистый».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3" s="28" t="str">
        <x:v>вялая текстура и чрезмерная острота; некоторые сорта значительно сильнее других</x:v>
      </x:c>
      <x:c r="W613" s="28" t="str">
        <x:v>соль, кислота или ароматический жир</x:v>
      </x:c>
      <x:c r="X613" s="28" t="str">
        <x:v>салат, гарнир, суп, соус, маринад, ферментация или напиток с джин</x:v>
      </x:c>
      <x:c r="Y613" s="28" t="str">
        <x:v>напитки</x:v>
      </x:c>
      <x:c r="Z613" s="28" t="str">
        <x:v>Средняя</x:v>
      </x:c>
      <x:c r="AA613" s="28" t="str">
        <x:v>The Art &amp; Science of Foodpairing.pdf</x:v>
      </x:c>
      <x:c r="AB613" s="28" t="str">
        <x:v>The Art &amp; Science of Foodpairing.pdf: 215</x:v>
      </x:c>
      <x:c r="AC613" s="28" t="str">
        <x:v>связь из pairing grid, стр. 215</x:v>
      </x:c>
      <x:c r="AD613" s="28" t="n">
        <x:v>1</x:v>
      </x:c>
      <x:c r="AE613" s="28" t="n">
        <x:v>1</x:v>
      </x:c>
      <x:c r="AF613" s="28" t="n">
        <x:f>IF(Z613="Высокая",3,IF(Z613="Средняя",2,1))+AD613*2+MIN(AE613,3)</x:f>
        <x:v>5</x:v>
      </x:c>
    </x:row>
    <x:row r="614" ht="64" customHeight="1">
      <x:c r="A614" s="28" t="str">
        <x:v>VEG-0613</x:v>
      </x:c>
      <x:c r="B614" s="28" t="str">
        <x:v>редис</x:v>
      </x:c>
      <x:c r="C614" s="28" t="str">
        <x:v>Универсальные</x:v>
      </x:c>
      <x:c r="D614" s="28" t="str">
        <x:v>редис</x:v>
      </x:c>
      <x:c r="E614" s="28" t="str">
        <x:v>daikon</x:v>
      </x:c>
      <x:c r="F614" s="28" t="str">
        <x:v>Корнеплоды и крестоцветные</x:v>
      </x:c>
      <x:c r="G614" s="28" t="str">
        <x:v>кардамон</x:v>
      </x:c>
      <x:c r="H614" s="28" t="str">
        <x:v>cardamom</x:v>
      </x:c>
      <x:c r="I614" s="28" t="str">
        <x:v>Специи</x:v>
      </x:c>
      <x:c r="J614" s="28" t="str">
        <x:v>горчичный, зелёный, перечный и водянистый</x:v>
      </x:c>
      <x:c r="K614" s="28" t="str">
        <x:v>камфорный, цветочный, цитрусовый</x:v>
      </x:c>
      <x:c r="L614" s="28" t="str">
        <x:v>изотиоцианаты, метантиол, зелёные альдегиды</x:v>
      </x:c>
      <x:c r="M614" s="28" t="str">
        <x:v>1,8-цинеол, линалоол</x:v>
      </x:c>
      <x:c r="N614" s="28" t="str">
        <x:v>прямое пересечение семейств не подтверждено</x:v>
      </x:c>
      <x:c r="O614" s="28" t="str">
        <x:v>надёжная общая ключевая молекула не установлена</x:v>
      </x:c>
      <x:c r="P614" s="28" t="str">
        <x:v>сернистая или горчичная комплементарность</x:v>
      </x:c>
      <x:c r="Q61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4" s="28" t="str">
        <x:v>выраженное горчичное покалывание</x:v>
      </x:c>
      <x:c r="S614" s="28" t="str">
        <x:v>водная хрустящая матрица с низкой сладостью</x:v>
      </x:c>
      <x:c r="T614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U614" s="28" t="str">
        <x:v>Редис имеет профиль «горчичный, зелёный, перечный и водянистый».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4" s="28" t="str">
        <x:v>вялая текстура и чрезмерная острота; некоторые сорта значительно сильнее других</x:v>
      </x:c>
      <x:c r="W614" s="28" t="str">
        <x:v>цитрус, йогурт или мёд</x:v>
      </x:c>
      <x:c r="X614" s="28" t="str">
        <x:v>салат, гарнир, суп, соус, маринад, ферментация или напиток с кардамон</x:v>
      </x:c>
      <x:c r="Y614" s="28" t="str">
        <x:v>универсальное</x:v>
      </x:c>
      <x:c r="Z614" s="28" t="str">
        <x:v>Средняя</x:v>
      </x:c>
      <x:c r="AA614" s="28" t="str">
        <x:v>The Art &amp; Science of Foodpairing.pdf</x:v>
      </x:c>
      <x:c r="AB614" s="28" t="str">
        <x:v>The Art &amp; Science of Foodpairing.pdf: 256</x:v>
      </x:c>
      <x:c r="AC614" s="28" t="str">
        <x:v>связь из pairing grid, стр. 256</x:v>
      </x:c>
      <x:c r="AD614" s="28" t="n">
        <x:v>1</x:v>
      </x:c>
      <x:c r="AE614" s="28" t="n">
        <x:v>1</x:v>
      </x:c>
      <x:c r="AF614" s="28" t="n">
        <x:f>IF(Z614="Высокая",3,IF(Z614="Средняя",2,1))+AD614*2+MIN(AE614,3)</x:f>
        <x:v>5</x:v>
      </x:c>
    </x:row>
    <x:row r="615" ht="64" customHeight="1">
      <x:c r="A615" s="28" t="str">
        <x:v>VEG-0614</x:v>
      </x:c>
      <x:c r="B615" s="28" t="str">
        <x:v>редис</x:v>
      </x:c>
      <x:c r="C615" s="28" t="str">
        <x:v>Еда и соусы</x:v>
      </x:c>
      <x:c r="D615" s="28" t="str">
        <x:v>редис</x:v>
      </x:c>
      <x:c r="E615" s="28" t="str">
        <x:v>fresh perilla leaveswithbaechukimchi and pickled daikon | radish</x:v>
      </x:c>
      <x:c r="F615" s="28" t="str">
        <x:v>Корнеплоды и крестоцветные</x:v>
      </x:c>
      <x:c r="G615" s="28" t="str">
        <x:v>кимчи</x:v>
      </x:c>
      <x:c r="H615" s="28" t="str">
        <x:v>baechu kimchi</x:v>
      </x:c>
      <x:c r="I615" s="28" t="str">
        <x:v>Ферментированные продукты и соусы</x:v>
      </x:c>
      <x:c r="J615" s="28" t="str">
        <x:v>горчичный, зелёный, перечный и водянистый</x:v>
      </x:c>
      <x:c r="K615" s="28" t="str">
        <x:v>ферментированный, умами и сложный</x:v>
      </x:c>
      <x:c r="L615" s="28" t="str">
        <x:v>изотиоцианаты, метантиол, зелёные альдегиды</x:v>
      </x:c>
      <x:c r="M615" s="28" t="str">
        <x:v>пиразины, фураны, эфиры</x:v>
      </x:c>
      <x:c r="N615" s="28" t="str">
        <x:v>прямое пересечение семейств не подтверждено</x:v>
      </x:c>
      <x:c r="O615" s="28" t="str">
        <x:v>надёжная общая ключевая молекула не установлена</x:v>
      </x:c>
      <x:c r="P615" s="28" t="str">
        <x:v>умами и солёный контраст; сернистая или горчичная комплементарность</x:v>
      </x:c>
      <x:c r="Q61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5" s="28" t="str">
        <x:v>выраженное горчичное покалывание</x:v>
      </x:c>
      <x:c r="S615" s="28" t="str">
        <x:v>водная хрустящая матрица с низкой сладостью</x:v>
      </x:c>
      <x:c r="T615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U615" s="28" t="str">
        <x:v>Редис имеет профиль «горчичный, зелёный, перечный и водянистый».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5" s="28" t="str">
        <x:v>вялая текстура и чрезмерная острота; некоторые сорта значительно сильнее других</x:v>
      </x:c>
      <x:c r="W615" s="28" t="str">
        <x:v>имбирь, чеснок или кунжут</x:v>
      </x:c>
      <x:c r="X615" s="28" t="str">
        <x:v>салат, гарнир, суп, соус, маринад, ферментация или напиток с кимчи</x:v>
      </x:c>
      <x:c r="Y615" s="28" t="str">
        <x:v>еда, соусы/маринады</x:v>
      </x:c>
      <x:c r="Z615" s="28" t="str">
        <x:v>Средняя</x:v>
      </x:c>
      <x:c r="AA615" s="28" t="str">
        <x:v>The Art &amp; Science of Foodpairing.pdf</x:v>
      </x:c>
      <x:c r="AB615" s="28" t="str">
        <x:v>The Art &amp; Science of Foodpairing.pdf: 304, 305</x:v>
      </x:c>
      <x:c r="AC615" s="28" t="str">
        <x:v>связь из pairing grid, стр. 304; связь из pairing grid, стр. 305</x:v>
      </x:c>
      <x:c r="AD615" s="28" t="n">
        <x:v>1</x:v>
      </x:c>
      <x:c r="AE615" s="28" t="n">
        <x:v>2</x:v>
      </x:c>
      <x:c r="AF615" s="28" t="n">
        <x:f>IF(Z615="Высокая",3,IF(Z615="Средняя",2,1))+AD615*2+MIN(AE615,3)</x:f>
        <x:v>6</x:v>
      </x:c>
    </x:row>
    <x:row r="616" ht="64" customHeight="1">
      <x:c r="A616" s="28" t="str">
        <x:v>VEG-0615</x:v>
      </x:c>
      <x:c r="B616" s="28" t="str">
        <x:v>редис</x:v>
      </x:c>
      <x:c r="C616" s="28" t="str">
        <x:v>Десерты и выпечка</x:v>
      </x:c>
      <x:c r="D616" s="28" t="str">
        <x:v>редис</x:v>
      </x:c>
      <x:c r="E616" s="28" t="str">
        <x:v>radish</x:v>
      </x:c>
      <x:c r="F616" s="28" t="str">
        <x:v>Корнеплоды и крестоцветные</x:v>
      </x:c>
      <x:c r="G616" s="28" t="str">
        <x:v>кунжут, халва и тахини</x:v>
      </x:c>
      <x:c r="H616" s="28" t="str">
        <x:v>sesame seeds, halva and tahini</x:v>
      </x:c>
      <x:c r="I616" s="28" t="str">
        <x:v>Орехи и семена</x:v>
      </x:c>
      <x:c r="J616" s="28" t="str">
        <x:v>горчичный, зелёный, перечный и водянистый</x:v>
      </x:c>
      <x:c r="K616" s="28" t="str">
        <x:v>ореховый, жареный и жирный</x:v>
      </x:c>
      <x:c r="L616" s="28" t="str">
        <x:v>изотиоцианаты, метантиол, зелёные альдегиды</x:v>
      </x:c>
      <x:c r="M616" s="28" t="str">
        <x:v>альдегиды, пиразины, фураны</x:v>
      </x:c>
      <x:c r="N616" s="28" t="str">
        <x:v>прямое пересечение семейств не подтверждено</x:v>
      </x:c>
      <x:c r="O616" s="28" t="str">
        <x:v>надёжная общая ключевая молекула не установлена</x:v>
      </x:c>
      <x:c r="P616" s="28" t="str">
        <x:v>сернистая или горчичная комплементарность</x:v>
      </x:c>
      <x:c r="Q61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6" s="28" t="str">
        <x:v>выраженное горчичное покалывание</x:v>
      </x:c>
      <x:c r="S616" s="28" t="str">
        <x:v>водная хрустящая матрица с низкой сладостью</x:v>
      </x:c>
      <x:c r="T616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U616" s="28" t="str">
        <x:v>Редис имеет профиль «горчичный, зелёный, перечный и водянистый».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6" s="28" t="str">
        <x:v>вялая текстура и чрезмерная острота; некоторые сорта значительно сильнее других</x:v>
      </x:c>
      <x:c r="W616" s="28" t="str">
        <x:v>соль, кислота или ароматический жир</x:v>
      </x:c>
      <x:c r="X616" s="28" t="str">
        <x:v>салат, гарнир, суп, соус, маринад, ферментация или напиток с кунжут, халва и тахини</x:v>
      </x:c>
      <x:c r="Y616" s="28" t="str">
        <x:v>десерты</x:v>
      </x:c>
      <x:c r="Z616" s="28" t="str">
        <x:v>Средняя</x:v>
      </x:c>
      <x:c r="AA616" s="28" t="str">
        <x:v>The Art &amp; Science of Foodpairing.pdf</x:v>
      </x:c>
      <x:c r="AB616" s="28" t="str">
        <x:v>The Art &amp; Science of Foodpairing.pdf: 308</x:v>
      </x:c>
      <x:c r="AC616" s="28" t="str">
        <x:v>связь из pairing grid, стр. 308</x:v>
      </x:c>
      <x:c r="AD616" s="28" t="n">
        <x:v>1</x:v>
      </x:c>
      <x:c r="AE616" s="28" t="n">
        <x:v>1</x:v>
      </x:c>
      <x:c r="AF616" s="28" t="n">
        <x:f>IF(Z616="Высокая",3,IF(Z616="Средняя",2,1))+AD616*2+MIN(AE616,3)</x:f>
        <x:v>5</x:v>
      </x:c>
    </x:row>
    <x:row r="617" ht="64" customHeight="1">
      <x:c r="A617" s="28" t="str">
        <x:v>VEG-0616</x:v>
      </x:c>
      <x:c r="B617" s="28" t="str">
        <x:v>редис</x:v>
      </x:c>
      <x:c r="C617" s="28" t="str">
        <x:v>Универсальные</x:v>
      </x:c>
      <x:c r="D617" s="28" t="str">
        <x:v>редис</x:v>
      </x:c>
      <x:c r="E617" s="28" t="str">
        <x:v>daikon</x:v>
      </x:c>
      <x:c r="F617" s="28" t="str">
        <x:v>Корнеплоды и крестоцветные</x:v>
      </x:c>
      <x:c r="G617" s="28" t="str">
        <x:v>пармезан</x:v>
      </x:c>
      <x:c r="H617" s="28" t="str">
        <x:v>Parmigiano-Reggiano</x:v>
      </x:c>
      <x:c r="I617" s="28" t="str">
        <x:v>Прочее</x:v>
      </x:c>
      <x:c r="J617" s="28" t="str">
        <x:v>горчичный, зелёный, перечный и водянистый</x:v>
      </x:c>
      <x:c r="K617" s="28" t="str">
        <x:v>профиль зависит от конкретного продукта</x:v>
      </x:c>
      <x:c r="L617" s="28" t="str">
        <x:v>изотиоцианаты, метантиол, зелёные альдегиды</x:v>
      </x:c>
      <x:c r="M617" s="28" t="str">
        <x:v>конкретный молекулярный профиль не указан</x:v>
      </x:c>
      <x:c r="N617" s="28" t="str">
        <x:v>прямое пересечение семейств не подтверждено</x:v>
      </x:c>
      <x:c r="O617" s="28" t="str">
        <x:v>надёжная общая ключевая молекула не установлена</x:v>
      </x:c>
      <x:c r="P617" s="28" t="str">
        <x:v>сернистая или горчичная комплементарность</x:v>
      </x:c>
      <x:c r="Q61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7" s="28" t="str">
        <x:v>выраженное горчичное покалывание</x:v>
      </x:c>
      <x:c r="S617" s="28" t="str">
        <x:v>водная хрустящая матрица с низкой сладостью</x:v>
      </x:c>
      <x:c r="T617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U617" s="28" t="str">
        <x:v>Редис имеет профиль «горчичный, зелёный, перечный и водянистый».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7" s="28" t="str">
        <x:v>вялая текстура и чрезмерная острота; некоторые сорта значительно сильнее других</x:v>
      </x:c>
      <x:c r="W617" s="28" t="str">
        <x:v>соль, кислота или ароматический жир</x:v>
      </x:c>
      <x:c r="X617" s="28" t="str">
        <x:v>салат, гарнир, суп, соус, маринад, ферментация или напиток с пармезан</x:v>
      </x:c>
      <x:c r="Y617" s="28" t="str">
        <x:v>универсальное</x:v>
      </x:c>
      <x:c r="Z617" s="28" t="str">
        <x:v>Средняя</x:v>
      </x:c>
      <x:c r="AA617" s="28" t="str">
        <x:v>The Art &amp; Science of Foodpairing.pdf</x:v>
      </x:c>
      <x:c r="AB617" s="28" t="str">
        <x:v>The Art &amp; Science of Foodpairing.pdf: 282</x:v>
      </x:c>
      <x:c r="AC617" s="28" t="str">
        <x:v>связь из pairing grid, стр. 282</x:v>
      </x:c>
      <x:c r="AD617" s="28" t="n">
        <x:v>1</x:v>
      </x:c>
      <x:c r="AE617" s="28" t="n">
        <x:v>1</x:v>
      </x:c>
      <x:c r="AF617" s="28" t="n">
        <x:f>IF(Z617="Высокая",3,IF(Z617="Средняя",2,1))+AD617*2+MIN(AE617,3)</x:f>
        <x:v>5</x:v>
      </x:c>
    </x:row>
    <x:row r="618" ht="64" customHeight="1">
      <x:c r="A618" s="28" t="str">
        <x:v>VEG-0617</x:v>
      </x:c>
      <x:c r="B618" s="28" t="str">
        <x:v>репа</x:v>
      </x:c>
      <x:c r="C618" s="28" t="str">
        <x:v>Десерты и выпечка</x:v>
      </x:c>
      <x:c r="D618" s="28" t="str">
        <x:v>репа</x:v>
      </x:c>
      <x:c r="E618" s="28" t="str">
        <x:v>turnip-rooted chervil</x:v>
      </x:c>
      <x:c r="F618" s="28" t="str">
        <x:v>Корнеплоды и крестоцветные</x:v>
      </x:c>
      <x:c r="G618" s="28" t="str">
        <x:v>ананас</x:v>
      </x:c>
      <x:c r="H618" s="28" t="str">
        <x:v>pineapple</x:v>
      </x:c>
      <x:c r="I618" s="28" t="str">
        <x:v>Фрукты и ягоды</x:v>
      </x:c>
      <x:c r="J618" s="28" t="str">
        <x:v>горчичный, зелёный, землистый и мягко сладкий</x:v>
      </x:c>
      <x:c r="K618" s="28" t="str">
        <x:v>карамельный, сернистый, фруктовый</x:v>
      </x:c>
      <x:c r="L618" s="28" t="str">
        <x:v>изотиоцианаты, глюкозинолаты, сернистые соединения</x:v>
      </x:c>
      <x:c r="M618" s="28" t="str">
        <x:v>сернистые эфиры, этилбутират</x:v>
      </x:c>
      <x:c r="N618" s="28" t="str">
        <x:v>прямое пересечение семейств не подтверждено</x:v>
      </x:c>
      <x:c r="O618" s="28" t="str">
        <x:v>надёжная общая ключевая молекула не установлена</x:v>
      </x:c>
      <x:c r="P618" s="28" t="str">
        <x:v>кислотно-сладкий баланс; сернистая или горчичная комплементарность</x:v>
      </x:c>
      <x:c r="Q61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8" s="28" t="str">
        <x:v>горчичное покалывание</x:v>
      </x:c>
      <x:c r="S618" s="28" t="str">
        <x:v>водная хрустящая матрица, после нагрева становится мягкой Водная кислая фаза усиливает свежесть, но может разжижать пюре и нарушать молочную эмульсию.</x:v>
      </x:c>
      <x:c r="T618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U618" s="28" t="str">
        <x:v>Репа имеет профиль «горчичный, зелёный, землистый и мягко сладкий». Партнёр «ананас» относится к группе «Фрукты и ягоды» и даёт карамельный, сернистый,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8" s="28" t="str">
        <x:v>старая репа может быть древесной и горькой; передозировка горчичных нот; избыток кислоты или воды может сделать овощной вкус тонким и разрушить сливочную эмульсию</x:v>
      </x:c>
      <x:c r="W618" s="28" t="str">
        <x:v>цитрус, мёд или мягкая трава</x:v>
      </x:c>
      <x:c r="X618" s="28" t="str">
        <x:v>салат, гарнир, суп, соус, маринад, ферментация или напиток с ананас</x:v>
      </x:c>
      <x:c r="Y618" s="28" t="str">
        <x:v>десерты</x:v>
      </x:c>
      <x:c r="Z618" s="28" t="str">
        <x:v>Средняя</x:v>
      </x:c>
      <x:c r="AA618" s="28" t="str">
        <x:v>The Art &amp; Science of Foodpairing.pdf</x:v>
      </x:c>
      <x:c r="AB618" s="28" t="str">
        <x:v>The Art &amp; Science of Foodpairing.pdf: 242</x:v>
      </x:c>
      <x:c r="AC618" s="28" t="str">
        <x:v>связь из pairing grid, стр. 242</x:v>
      </x:c>
      <x:c r="AD618" s="28" t="n">
        <x:v>1</x:v>
      </x:c>
      <x:c r="AE618" s="28" t="n">
        <x:v>1</x:v>
      </x:c>
      <x:c r="AF618" s="28" t="n">
        <x:f>IF(Z618="Высокая",3,IF(Z618="Средняя",2,1))+AD618*2+MIN(AE618,3)</x:f>
        <x:v>5</x:v>
      </x:c>
    </x:row>
    <x:row r="619" ht="64" customHeight="1">
      <x:c r="A619" s="28" t="str">
        <x:v>VEG-0618</x:v>
      </x:c>
      <x:c r="B619" s="28" t="str">
        <x:v>репа</x:v>
      </x:c>
      <x:c r="C619" s="28" t="str">
        <x:v>Десерты и выпечка</x:v>
      </x:c>
      <x:c r="D619" s="28" t="str">
        <x:v>репа</x:v>
      </x:c>
      <x:c r="E619" s="28" t="str">
        <x:v>steamed turnip greens (cime di rapa)</x:v>
      </x:c>
      <x:c r="F619" s="28" t="str">
        <x:v>Корнеплоды и крестоцветные</x:v>
      </x:c>
      <x:c r="G619" s="28" t="str">
        <x:v>апельсин</x:v>
      </x:c>
      <x:c r="H619" s="28" t="str">
        <x:v>orange</x:v>
      </x:c>
      <x:c r="I619" s="28" t="str">
        <x:v>Фрукты и ягоды</x:v>
      </x:c>
      <x:c r="J619" s="28" t="str">
        <x:v>горчичный, зелёный, землистый и мягко сладкий</x:v>
      </x:c>
      <x:c r="K619" s="28" t="str">
        <x:v>сладкий, цветочный, цитрусовый</x:v>
      </x:c>
      <x:c r="L619" s="28" t="str">
        <x:v>изотиоцианаты, глюкозинолаты, сернистые соединения</x:v>
      </x:c>
      <x:c r="M619" s="28" t="str">
        <x:v>лимонен, линалоол</x:v>
      </x:c>
      <x:c r="N619" s="28" t="str">
        <x:v>прямое пересечение семейств не подтверждено</x:v>
      </x:c>
      <x:c r="O619" s="28" t="str">
        <x:v>надёжная общая ключевая молекула не установлена</x:v>
      </x:c>
      <x:c r="P619" s="28" t="str">
        <x:v>кислотно-сладкий баланс; сернистая или горчичная комплементарность</x:v>
      </x:c>
      <x:c r="Q61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19" s="28" t="str">
        <x:v>горчичное покалывание</x:v>
      </x:c>
      <x:c r="S619" s="28" t="str">
        <x:v>водная хрустящая матрица, после нагрева становится мягкой Водная кислая фаза усиливает свежесть, но может разжижать пюре и нарушать молочную эмульсию.</x:v>
      </x:c>
      <x:c r="T619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U619" s="28" t="str">
        <x:v>Репа имеет профиль «горчичный, зелёный, землистый и мягко сладкий».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19" s="28" t="str">
        <x:v>старая репа может быть древесной и горькой; передозировка горчичных нот; избыток кислоты или воды может сделать овощной вкус тонким и разрушить сливочную эмульсию</x:v>
      </x:c>
      <x:c r="W619" s="28" t="str">
        <x:v>цитрус, мёд или мягкая трава</x:v>
      </x:c>
      <x:c r="X619" s="28" t="str">
        <x:v>салат, гарнир, суп, соус, маринад, ферментация или напиток с апельсин</x:v>
      </x:c>
      <x:c r="Y619" s="28" t="str">
        <x:v>десерты</x:v>
      </x:c>
      <x:c r="Z619" s="28" t="str">
        <x:v>Средняя</x:v>
      </x:c>
      <x:c r="AA619" s="28" t="str">
        <x:v>The Art &amp; Science of Foodpairing.pdf</x:v>
      </x:c>
      <x:c r="AB619" s="28" t="str">
        <x:v>The Art &amp; Science of Foodpairing.pdf: 236</x:v>
      </x:c>
      <x:c r="AC619" s="28" t="str">
        <x:v>связь из pairing grid, стр. 236</x:v>
      </x:c>
      <x:c r="AD619" s="28" t="n">
        <x:v>1</x:v>
      </x:c>
      <x:c r="AE619" s="28" t="n">
        <x:v>1</x:v>
      </x:c>
      <x:c r="AF619" s="28" t="n">
        <x:f>IF(Z619="Высокая",3,IF(Z619="Средняя",2,1))+AD619*2+MIN(AE619,3)</x:f>
        <x:v>5</x:v>
      </x:c>
    </x:row>
    <x:row r="620" ht="64" customHeight="1">
      <x:c r="A620" s="28" t="str">
        <x:v>VEG-0619</x:v>
      </x:c>
      <x:c r="B620" s="28" t="str">
        <x:v>репа</x:v>
      </x:c>
      <x:c r="C620" s="28" t="str">
        <x:v>Десерты и выпечка</x:v>
      </x:c>
      <x:c r="D620" s="28" t="str">
        <x:v>репа</x:v>
      </x:c>
      <x:c r="E620" s="28" t="str">
        <x:v>turnip-rooted chervil</x:v>
      </x:c>
      <x:c r="F620" s="28" t="str">
        <x:v>Корнеплоды и крестоцветные</x:v>
      </x:c>
      <x:c r="G620" s="28" t="str">
        <x:v>голубой сыр</x:v>
      </x:c>
      <x:c r="H620" s="28" t="str">
        <x:v>blue cheese</x:v>
      </x:c>
      <x:c r="I620" s="28" t="str">
        <x:v>Молочные продукты и сыры</x:v>
      </x:c>
      <x:c r="J620" s="28" t="str">
        <x:v>горчичный, зелёный, землистый и мягко сладкий</x:v>
      </x:c>
      <x:c r="K620" s="28" t="str">
        <x:v>молочный, умами, ферментированный</x:v>
      </x:c>
      <x:c r="L620" s="28" t="str">
        <x:v>изотиоцианаты, глюкозинолаты, сернистые соединения</x:v>
      </x:c>
      <x:c r="M620" s="28" t="str">
        <x:v>диацетил, жирные кислоты</x:v>
      </x:c>
      <x:c r="N620" s="28" t="str">
        <x:v>прямое пересечение семейств не подтверждено</x:v>
      </x:c>
      <x:c r="O620" s="28" t="str">
        <x:v>надёжная общая ключевая молекула не установлена</x:v>
      </x:c>
      <x:c r="P620" s="28" t="str">
        <x:v>жировая матрица; сернистая или горчичная комплементарность</x:v>
      </x:c>
      <x:c r="Q62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20" s="28" t="str">
        <x:v>горчичное покалывание</x:v>
      </x:c>
      <x:c r="S620" s="28" t="str">
        <x:v>водная хрустящая матрица, после нагрева становится мягкой Жировая фаза удерживает гидрофобные молекулы, но может сделать вкус тяжёлым.</x:v>
      </x:c>
      <x:c r="T620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U620" s="28" t="str">
        <x:v>Репа имеет профиль «горчичный, зелёный, землистый и мягко сладкий».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20" s="28" t="str">
        <x:v>старая репа может быть древесной и горькой; передозировка горчичных нот; жир способен приглушить свежую зелёную ароматику</x:v>
      </x:c>
      <x:c r="W620" s="28" t="str">
        <x:v>кислота, зелень или жареный орех</x:v>
      </x:c>
      <x:c r="X620" s="28" t="str">
        <x:v>салат, гарнир, суп, соус, маринад, ферментация или напиток с голубой сыр</x:v>
      </x:c>
      <x:c r="Y620" s="28" t="str">
        <x:v>десерты</x:v>
      </x:c>
      <x:c r="Z620" s="28" t="str">
        <x:v>Средняя</x:v>
      </x:c>
      <x:c r="AA620" s="28" t="str">
        <x:v>The Art &amp; Science of Foodpairing.pdf</x:v>
      </x:c>
      <x:c r="AB620" s="28" t="str">
        <x:v>The Art &amp; Science of Foodpairing.pdf: 164</x:v>
      </x:c>
      <x:c r="AC620" s="28" t="str">
        <x:v>связь из pairing grid, стр. 164</x:v>
      </x:c>
      <x:c r="AD620" s="28" t="n">
        <x:v>1</x:v>
      </x:c>
      <x:c r="AE620" s="28" t="n">
        <x:v>1</x:v>
      </x:c>
      <x:c r="AF620" s="28" t="n">
        <x:f>IF(Z620="Высокая",3,IF(Z620="Средняя",2,1))+AD620*2+MIN(AE620,3)</x:f>
        <x:v>5</x:v>
      </x:c>
    </x:row>
    <x:row r="621" ht="64" customHeight="1">
      <x:c r="A621" s="28" t="str">
        <x:v>VEG-0620</x:v>
      </x:c>
      <x:c r="B621" s="28" t="str">
        <x:v>репа</x:v>
      </x:c>
      <x:c r="C621" s="28" t="str">
        <x:v>Универсальные</x:v>
      </x:c>
      <x:c r="D621" s="28" t="str">
        <x:v>репа</x:v>
      </x:c>
      <x:c r="E621" s="28" t="str">
        <x:v>turnip-rooted chervil</x:v>
      </x:c>
      <x:c r="F621" s="28" t="str">
        <x:v>Корнеплоды и крестоцветные</x:v>
      </x:c>
      <x:c r="G621" s="28" t="str">
        <x:v>жасмин</x:v>
      </x:c>
      <x:c r="H621" s="28" t="str">
        <x:v>Jasmine blossom | jasmine blossom</x:v>
      </x:c>
      <x:c r="I621" s="28" t="str">
        <x:v>Травы, цветы и листья</x:v>
      </x:c>
      <x:c r="J621" s="28" t="str">
        <x:v>горчичный, зелёный, землистый и мягко сладкий</x:v>
      </x:c>
      <x:c r="K621" s="28" t="str">
        <x:v>зелёный, цветочный и терпеновый</x:v>
      </x:c>
      <x:c r="L621" s="28" t="str">
        <x:v>изотиоцианаты, глюкозинолаты, сернистые соединения</x:v>
      </x:c>
      <x:c r="M621" s="28" t="str">
        <x:v>линалоол, терпены</x:v>
      </x:c>
      <x:c r="N621" s="28" t="str">
        <x:v>зелёный</x:v>
      </x:c>
      <x:c r="O621" s="28" t="str">
        <x:v>надёжная общая ключевая молекула не установлена</x:v>
      </x:c>
      <x:c r="P621" s="28" t="str">
        <x:v>пересечение ароматических семейств; сернистая или горчичная комплементарность</x:v>
      </x:c>
      <x:c r="Q62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21" s="28" t="str">
        <x:v>горчичное покалывание</x:v>
      </x:c>
      <x:c r="S621" s="28" t="str">
        <x:v>водная хрустящая матрица, после нагрева становится мягкой</x:v>
      </x:c>
      <x:c r="T621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U621" s="28" t="str">
        <x:v>Репа имеет профиль «горчичный, зелёный, землистый и мягко сладкий». Партнёр «жасмин»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21" s="28" t="str">
        <x:v>старая репа может быть древесной и горькой; передозировка горчичных нот; длительный нагрев уносит свежие терпены и зелёные альдегиды</x:v>
      </x:c>
      <x:c r="W621" s="28" t="str">
        <x:v>оливковое масло, лимон или сыр</x:v>
      </x:c>
      <x:c r="X621" s="28" t="str">
        <x:v>салат, гарнир, суп, соус, маринад, ферментация или напиток с жасмин</x:v>
      </x:c>
      <x:c r="Y621" s="28" t="str">
        <x:v>универсальное</x:v>
      </x:c>
      <x:c r="Z621" s="28" t="str">
        <x:v>Высокая</x:v>
      </x:c>
      <x:c r="AA621" s="28" t="str">
        <x:v>The Art &amp; Science of Foodpairing.pdf</x:v>
      </x:c>
      <x:c r="AB621" s="28" t="str">
        <x:v>The Art &amp; Science of Foodpairing.pdf: 210, 211</x:v>
      </x:c>
      <x:c r="AC621" s="28" t="str">
        <x:v>прямая Potential pairing, стр. 211; связь из pairing grid, стр. 210</x:v>
      </x:c>
      <x:c r="AD621" s="28" t="n">
        <x:v>1</x:v>
      </x:c>
      <x:c r="AE621" s="28" t="n">
        <x:v>2</x:v>
      </x:c>
      <x:c r="AF621" s="28" t="n">
        <x:f>IF(Z621="Высокая",3,IF(Z621="Средняя",2,1))+AD621*2+MIN(AE621,3)</x:f>
        <x:v>7</x:v>
      </x:c>
    </x:row>
    <x:row r="622" ht="64" customHeight="1">
      <x:c r="A622" s="28" t="str">
        <x:v>VEG-0621</x:v>
      </x:c>
      <x:c r="B622" s="28" t="str">
        <x:v>репа</x:v>
      </x:c>
      <x:c r="C622" s="28" t="str">
        <x:v>Напитки</x:v>
      </x:c>
      <x:c r="D622" s="28" t="str">
        <x:v>репа</x:v>
      </x:c>
      <x:c r="E622" s="28" t="str">
        <x:v>turnip-rooted chervil</x:v>
      </x:c>
      <x:c r="F622" s="28" t="str">
        <x:v>Корнеплоды и крестоцветные</x:v>
      </x:c>
      <x:c r="G622" s="28" t="str">
        <x:v>кофе</x:v>
      </x:c>
      <x:c r="H622" s="28" t="str">
        <x:v>coffee</x:v>
      </x:c>
      <x:c r="I622" s="28" t="str">
        <x:v>Кофе</x:v>
      </x:c>
      <x:c r="J622" s="28" t="str">
        <x:v>горчичный, зелёный, землистый и мягко сладкий</x:v>
      </x:c>
      <x:c r="K622" s="28" t="str">
        <x:v>жареный, карамельный, ореховый</x:v>
      </x:c>
      <x:c r="L622" s="28" t="str">
        <x:v>изотиоцианаты, глюкозинолаты, сернистые соединения</x:v>
      </x:c>
      <x:c r="M622" s="28" t="str">
        <x:v>гваякол, пиразины, фураны</x:v>
      </x:c>
      <x:c r="N622" s="28" t="str">
        <x:v>прямое пересечение семейств не подтверждено</x:v>
      </x:c>
      <x:c r="O622" s="28" t="str">
        <x:v>надёжная общая ключевая молекула не установлена</x:v>
      </x:c>
      <x:c r="P622" s="28" t="str">
        <x:v>сернистая или горчичная комплементарность</x:v>
      </x:c>
      <x:c r="Q62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22" s="28" t="str">
        <x:v>горчичное покалывание</x:v>
      </x:c>
      <x:c r="S622" s="28" t="str">
        <x:v>водная хрустящая матрица, после нагрева становится мягкой</x:v>
      </x:c>
      <x:c r="T622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U622" s="28" t="str">
        <x:v>Репа имеет профиль «горчичный, зелёный, землистый и мягко сладкий».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22" s="28" t="str">
        <x:v>старая репа может быть древесной и горькой; передозировка горчичных нот; жареная горечь легко маскирует нежный овощной аромат</x:v>
      </x:c>
      <x:c r="W622" s="28" t="str">
        <x:v>сливки, орех или карамель</x:v>
      </x:c>
      <x:c r="X622" s="28" t="str">
        <x:v>салат, гарнир, суп, соус, маринад, ферментация или напиток с кофе</x:v>
      </x:c>
      <x:c r="Y622" s="28" t="str">
        <x:v>напитки</x:v>
      </x:c>
      <x:c r="Z622" s="28" t="str">
        <x:v>Средняя</x:v>
      </x:c>
      <x:c r="AA622" s="28" t="str">
        <x:v>The Art &amp; Science of Foodpairing.pdf</x:v>
      </x:c>
      <x:c r="AB622" s="28" t="str">
        <x:v>The Art &amp; Science of Foodpairing.pdf: 297</x:v>
      </x:c>
      <x:c r="AC622" s="28" t="str">
        <x:v>связь из pairing grid, стр. 297</x:v>
      </x:c>
      <x:c r="AD622" s="28" t="n">
        <x:v>1</x:v>
      </x:c>
      <x:c r="AE622" s="28" t="n">
        <x:v>1</x:v>
      </x:c>
      <x:c r="AF622" s="28" t="n">
        <x:f>IF(Z622="Высокая",3,IF(Z622="Средняя",2,1))+AD622*2+MIN(AE622,3)</x:f>
        <x:v>5</x:v>
      </x:c>
    </x:row>
    <x:row r="623" ht="64" customHeight="1">
      <x:c r="A623" s="28" t="str">
        <x:v>VEG-0622</x:v>
      </x:c>
      <x:c r="B623" s="28" t="str">
        <x:v>репа</x:v>
      </x:c>
      <x:c r="C623" s="28" t="str">
        <x:v>Десерты и выпечка</x:v>
      </x:c>
      <x:c r="D623" s="28" t="str">
        <x:v>репа</x:v>
      </x:c>
      <x:c r="E623" s="28" t="str">
        <x:v>turnip</x:v>
      </x:c>
      <x:c r="F623" s="28" t="str">
        <x:v>Корнеплоды и крестоцветные</x:v>
      </x:c>
      <x:c r="G623" s="28" t="str">
        <x:v>кунжут, халва и тахини</x:v>
      </x:c>
      <x:c r="H623" s="28" t="str">
        <x:v>sesame seeds, halva and tahini</x:v>
      </x:c>
      <x:c r="I623" s="28" t="str">
        <x:v>Орехи и семена</x:v>
      </x:c>
      <x:c r="J623" s="28" t="str">
        <x:v>горчичный, зелёный, землистый и мягко сладкий</x:v>
      </x:c>
      <x:c r="K623" s="28" t="str">
        <x:v>ореховый, жареный и жирный</x:v>
      </x:c>
      <x:c r="L623" s="28" t="str">
        <x:v>изотиоцианаты, глюкозинолаты, сернистые соединения</x:v>
      </x:c>
      <x:c r="M623" s="28" t="str">
        <x:v>альдегиды, пиразины, фураны</x:v>
      </x:c>
      <x:c r="N623" s="28" t="str">
        <x:v>прямое пересечение семейств не подтверждено</x:v>
      </x:c>
      <x:c r="O623" s="28" t="str">
        <x:v>надёжная общая ключевая молекула не установлена</x:v>
      </x:c>
      <x:c r="P623" s="28" t="str">
        <x:v>сернистая или горчичная комплементарность</x:v>
      </x:c>
      <x:c r="Q62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623" s="28" t="str">
        <x:v>горчичное покалывание</x:v>
      </x:c>
      <x:c r="S623" s="28" t="str">
        <x:v>водная хрустящая матрица, после нагрева становится мягкой</x:v>
      </x:c>
      <x:c r="T623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U623" s="28" t="str">
        <x:v>Репа имеет профиль «горчичный, зелёный, землистый и мягко сладкий».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623" s="28" t="str">
        <x:v>старая репа может быть древесной и горькой; передозировка горчичных нот</x:v>
      </x:c>
      <x:c r="W623" s="28" t="str">
        <x:v>соль, кислота или ароматический жир</x:v>
      </x:c>
      <x:c r="X623" s="28" t="str">
        <x:v>салат, гарнир, суп, соус, маринад, ферментация или напиток с кунжут, халва и тахини</x:v>
      </x:c>
      <x:c r="Y623" s="28" t="str">
        <x:v>десерты</x:v>
      </x:c>
      <x:c r="Z623" s="28" t="str">
        <x:v>Средняя</x:v>
      </x:c>
      <x:c r="AA623" s="28" t="str">
        <x:v>The Art &amp; Science of Foodpairing.pdf</x:v>
      </x:c>
      <x:c r="AB623" s="28" t="str">
        <x:v>The Art &amp; Science of Foodpairing.pdf: 308</x:v>
      </x:c>
      <x:c r="AC623" s="28" t="str">
        <x:v>связь из pairing grid, стр. 308</x:v>
      </x:c>
      <x:c r="AD623" s="28" t="n">
        <x:v>1</x:v>
      </x:c>
      <x:c r="AE623" s="28" t="n">
        <x:v>1</x:v>
      </x:c>
      <x:c r="AF623" s="28" t="n">
        <x:f>IF(Z623="Высокая",3,IF(Z623="Средняя",2,1))+AD623*2+MIN(AE623,3)</x:f>
        <x:v>5</x:v>
      </x:c>
    </x:row>
    <x:row r="624" ht="64" customHeight="1">
      <x:c r="A624" s="28" t="str">
        <x:v>VEG-0623</x:v>
      </x:c>
      <x:c r="B624" s="28" t="str">
        <x:v>свёкла</x:v>
      </x:c>
      <x:c r="C624" s="28" t="str">
        <x:v>Десерты и выпечка</x:v>
      </x:c>
      <x:c r="D624" s="28" t="str">
        <x:v>свёкла</x:v>
      </x:c>
      <x:c r="E624" s="28" t="str">
        <x:v>beetroot</x:v>
      </x:c>
      <x:c r="F624" s="28" t="str">
        <x:v>Корнеплоды</x:v>
      </x:c>
      <x:c r="G624" s="28" t="str">
        <x:v>абрикос</x:v>
      </x:c>
      <x:c r="H624" s="28" t="str">
        <x:v>candied apricot</x:v>
      </x:c>
      <x:c r="I624" s="28" t="str">
        <x:v>Фрукты и ягоды</x:v>
      </x:c>
      <x:c r="J624" s="28" t="str">
        <x:v>землистый, сладкий, минеральный и слегка зелёный</x:v>
      </x:c>
      <x:c r="K624" s="28" t="str">
        <x:v>фруктовый, цветочный и свежий</x:v>
      </x:c>
      <x:c r="L624" s="28" t="str">
        <x:v>геосмин, метоксипиразины, альдегиды, бетаин</x:v>
      </x:c>
      <x:c r="M624" s="28" t="str">
        <x:v>альдегиды, эфиры</x:v>
      </x:c>
      <x:c r="N624" s="28" t="str">
        <x:v>прямое пересечение семейств не подтверждено</x:v>
      </x:c>
      <x:c r="O624" s="28" t="str">
        <x:v>альдегиды</x:v>
      </x:c>
      <x:c r="P624" s="28" t="str">
        <x:v>общие характерные молекулы; кислотно-сладкий баланс</x:v>
      </x:c>
      <x:c r="Q624" s="28" t="str">
        <x:v>Сладость и землистость балансируются кислотой, солью, горечью и умами; жир усиливает ощущение округлости.</x:v>
      </x:c>
      <x:c r="R624" s="28" t="str">
        <x:v>минимальный</x:v>
      </x:c>
      <x:c r="S624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62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24" s="28" t="str">
        <x:v>Свёкла имеет профиль «землистый, сладкий, минеральный и слегка зелёный». Партнёр «абрикос»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24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624" s="28" t="str">
        <x:v>цитрус, мёд или мягкая трава</x:v>
      </x:c>
      <x:c r="X624" s="28" t="str">
        <x:v>сок, кордиал, гаспачо, салат, соус, маринад или коктейльный компонент с абрикос</x:v>
      </x:c>
      <x:c r="Y624" s="28" t="str">
        <x:v>десерты</x:v>
      </x:c>
      <x:c r="Z624" s="28" t="str">
        <x:v>Средняя</x:v>
      </x:c>
      <x:c r="AA624" s="28" t="str">
        <x:v>The Art &amp; Science of Foodpairing.pdf</x:v>
      </x:c>
      <x:c r="AB624" s="28" t="str">
        <x:v>The Art &amp; Science of Foodpairing.pdf: 224</x:v>
      </x:c>
      <x:c r="AC624" s="28" t="str">
        <x:v>связь из pairing grid, стр. 224; связь из pairing grid, стр. 224</x:v>
      </x:c>
      <x:c r="AD624" s="28" t="n">
        <x:v>1</x:v>
      </x:c>
      <x:c r="AE624" s="28" t="n">
        <x:v>2</x:v>
      </x:c>
      <x:c r="AF624" s="28" t="n">
        <x:f>IF(Z624="Высокая",3,IF(Z624="Средняя",2,1))+AD624*2+MIN(AE624,3)</x:f>
        <x:v>6</x:v>
      </x:c>
    </x:row>
    <x:row r="625" ht="64" customHeight="1">
      <x:c r="A625" s="28" t="str">
        <x:v>VEG-0624</x:v>
      </x:c>
      <x:c r="B625" s="28" t="str">
        <x:v>свёкла</x:v>
      </x:c>
      <x:c r="C625" s="28" t="str">
        <x:v>Еда и соусы</x:v>
      </x:c>
      <x:c r="D625" s="28" t="str">
        <x:v>свёкла</x:v>
      </x:c>
      <x:c r="E625" s="28" t="str">
        <x:v>Свекла | свекла</x:v>
      </x:c>
      <x:c r="F625" s="28" t="str">
        <x:v>Корнеплоды</x:v>
      </x:c>
      <x:c r="G625" s="28" t="str">
        <x:v>анчоусы</x:v>
      </x:c>
      <x:c r="H625" s="28" t="str">
        <x:v>Анчоусы | анчоусы</x:v>
      </x:c>
      <x:c r="I625" s="28" t="str">
        <x:v>Рыба и морепродукты</x:v>
      </x:c>
      <x:c r="J625" s="28" t="str">
        <x:v>землистый, сладкий, минеральный и слегка зелёный</x:v>
      </x:c>
      <x:c r="K625" s="28" t="str">
        <x:v>морской, солоноватый и умами</x:v>
      </x:c>
      <x:c r="L625" s="28" t="str">
        <x:v>геосмин, метоксипиразины, альдегиды, бетаин</x:v>
      </x:c>
      <x:c r="M625" s="28" t="str">
        <x:v>альдегиды, амины</x:v>
      </x:c>
      <x:c r="N625" s="28" t="str">
        <x:v>прямое пересечение семейств не подтверждено</x:v>
      </x:c>
      <x:c r="O625" s="28" t="str">
        <x:v>альдегиды</x:v>
      </x:c>
      <x:c r="P625" s="28" t="str">
        <x:v>общие характерные молекулы; умами и солёный контраст</x:v>
      </x:c>
      <x:c r="Q625" s="28" t="str">
        <x:v>Сладость и землистость балансируются кислотой, солью, горечью и умами; жир усиливает ощущение округлости.</x:v>
      </x:c>
      <x:c r="R625" s="28" t="str">
        <x:v>минимальный</x:v>
      </x:c>
      <x:c r="S625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2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25" s="28" t="str">
        <x:v>Свёкла имеет профиль «землистый, сладкий, минеральный и слегка зелёный». Партнёр «анчоусы»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25" s="28" t="str">
        <x:v>геосмин легко доминирует; беталаины отвечают за цвет, а не за запах; сильный нагрев снижает яркость цвета</x:v>
      </x:c>
      <x:c r="W625" s="28" t="str">
        <x:v>сливочное масло, соевый соус или тимьян</x:v>
      </x:c>
      <x:c r="X625" s="28" t="str">
        <x:v>сок, кордиал, гаспачо, салат, соус, маринад или коктейльный компонент с анчоусы</x:v>
      </x:c>
      <x:c r="Y625" s="28" t="str">
        <x:v>еда, соусы/маринады</x:v>
      </x:c>
      <x:c r="Z625" s="28" t="str">
        <x:v>Средняя</x:v>
      </x:c>
      <x:c r="AA625" s="28" t="str">
        <x:v>Тезариус вкусов (Ники Сегнит)(1).pdf</x:v>
      </x:c>
      <x:c r="AB625" s="28" t="str">
        <x:v>Тезариус вкусов (Ники Сегнит)(1).pdf: 222, 429</x:v>
      </x:c>
      <x:c r="AC625" s="28" t="str">
        <x:v>развёрнутая пара/статья, стр. 222; развёрнутая пара/статья, стр. 429</x:v>
      </x:c>
      <x:c r="AD625" s="28" t="n">
        <x:v>1</x:v>
      </x:c>
      <x:c r="AE625" s="28" t="n">
        <x:v>2</x:v>
      </x:c>
      <x:c r="AF625" s="28" t="n">
        <x:f>IF(Z625="Высокая",3,IF(Z625="Средняя",2,1))+AD625*2+MIN(AE625,3)</x:f>
        <x:v>6</x:v>
      </x:c>
    </x:row>
    <x:row r="626" ht="64" customHeight="1">
      <x:c r="A626" s="28" t="str">
        <x:v>VEG-0625</x:v>
      </x:c>
      <x:c r="B626" s="28" t="str">
        <x:v>свёкла</x:v>
      </x:c>
      <x:c r="C626" s="28" t="str">
        <x:v>Десерты и выпечка</x:v>
      </x:c>
      <x:c r="D626" s="28" t="str">
        <x:v>свёкла</x:v>
      </x:c>
      <x:c r="E626" s="28" t="str">
        <x:v>Свекла | свекла</x:v>
      </x:c>
      <x:c r="F626" s="28" t="str">
        <x:v>Корнеплоды</x:v>
      </x:c>
      <x:c r="G626" s="28" t="str">
        <x:v>апельсин</x:v>
      </x:c>
      <x:c r="H626" s="28" t="str">
        <x:v>Апельсин | апельсин</x:v>
      </x:c>
      <x:c r="I626" s="28" t="str">
        <x:v>Фрукты и ягоды</x:v>
      </x:c>
      <x:c r="J626" s="28" t="str">
        <x:v>землистый, сладкий, минеральный и слегка зелёный</x:v>
      </x:c>
      <x:c r="K626" s="28" t="str">
        <x:v>сладкий, цветочный, цитрусовый</x:v>
      </x:c>
      <x:c r="L626" s="28" t="str">
        <x:v>геосмин, метоксипиразины, альдегиды, бетаин</x:v>
      </x:c>
      <x:c r="M626" s="28" t="str">
        <x:v>лимонен, линалоол</x:v>
      </x:c>
      <x:c r="N626" s="28" t="str">
        <x:v>сладкий</x:v>
      </x:c>
      <x:c r="O626" s="28" t="str">
        <x:v>надёжная общая ключевая молекула не установлена</x:v>
      </x:c>
      <x:c r="P626" s="28" t="str">
        <x:v>пересечение ароматических семейств; кислотно-сладкий баланс</x:v>
      </x:c>
      <x:c r="Q626" s="28" t="str">
        <x:v>Сладость и землистость балансируются кислотой, солью, горечью и умами; жир усиливает ощущение округлости.</x:v>
      </x:c>
      <x:c r="R626" s="28" t="str">
        <x:v>минимальный</x:v>
      </x:c>
      <x:c r="S626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62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26" s="28" t="str">
        <x:v>Свёкла имеет профиль «землистый, сладкий, минеральный и слегка зелёный».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26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626" s="28" t="str">
        <x:v>цитрус, мёд или мягкая трава</x:v>
      </x:c>
      <x:c r="X626" s="28" t="str">
        <x:v>сок, кордиал, гаспачо, салат, соус, маринад или коктейльный компонент с апельсин</x:v>
      </x:c>
      <x:c r="Y626" s="28" t="str">
        <x:v>десерты</x:v>
      </x:c>
      <x:c r="Z626" s="28" t="str">
        <x:v>Средняя</x:v>
      </x:c>
      <x:c r="AA626" s="28" t="str">
        <x:v>Тезариус вкусов (Ники Сегнит)(1).pdf</x:v>
      </x:c>
      <x:c r="AB626" s="28" t="str">
        <x:v>Тезариус вкусов (Ники Сегнит)(1).pdf: 223, 780</x:v>
      </x:c>
      <x:c r="AC626" s="28" t="str">
        <x:v>развёрнутая пара/статья, стр. 223; развёрнутая пара/статья, стр. 780</x:v>
      </x:c>
      <x:c r="AD626" s="28" t="n">
        <x:v>1</x:v>
      </x:c>
      <x:c r="AE626" s="28" t="n">
        <x:v>2</x:v>
      </x:c>
      <x:c r="AF626" s="28" t="n">
        <x:f>IF(Z626="Высокая",3,IF(Z626="Средняя",2,1))+AD626*2+MIN(AE626,3)</x:f>
        <x:v>6</x:v>
      </x:c>
    </x:row>
    <x:row r="627" ht="64" customHeight="1">
      <x:c r="A627" s="28" t="str">
        <x:v>VEG-0626</x:v>
      </x:c>
      <x:c r="B627" s="28" t="str">
        <x:v>свёкла</x:v>
      </x:c>
      <x:c r="C627" s="28" t="str">
        <x:v>Десерты и выпечка</x:v>
      </x:c>
      <x:c r="D627" s="28" t="str">
        <x:v>свёкла</x:v>
      </x:c>
      <x:c r="E627" s="28" t="str">
        <x:v>beetroot</x:v>
      </x:c>
      <x:c r="F627" s="28" t="str">
        <x:v>Корнеплоды</x:v>
      </x:c>
      <x:c r="G627" s="28" t="str">
        <x:v>арахис</x:v>
      </x:c>
      <x:c r="H627" s="28" t="str">
        <x:v>roasted peanut | roastedpeanut</x:v>
      </x:c>
      <x:c r="I627" s="28" t="str">
        <x:v>Орехи и семена</x:v>
      </x:c>
      <x:c r="J627" s="28" t="str">
        <x:v>землистый, сладкий, минеральный и слегка зелёный</x:v>
      </x:c>
      <x:c r="K627" s="28" t="str">
        <x:v>ореховый, жареный и жирный</x:v>
      </x:c>
      <x:c r="L627" s="28" t="str">
        <x:v>геосмин, метоксипиразины, альдегиды, бетаин</x:v>
      </x:c>
      <x:c r="M627" s="28" t="str">
        <x:v>альдегиды, пиразины, фураны</x:v>
      </x:c>
      <x:c r="N627" s="28" t="str">
        <x:v>прямое пересечение семейств не подтверждено</x:v>
      </x:c>
      <x:c r="O627" s="28" t="str">
        <x:v>альдегиды</x:v>
      </x:c>
      <x:c r="P627" s="28" t="str">
        <x:v>общие характерные молекулы</x:v>
      </x:c>
      <x:c r="Q627" s="28" t="str">
        <x:v>Сладость и землистость балансируются кислотой, солью, горечью и умами; жир усиливает ощущение округлости.</x:v>
      </x:c>
      <x:c r="R627" s="28" t="str">
        <x:v>минимальный</x:v>
      </x:c>
      <x:c r="S627" s="28" t="str">
        <x:v>водная сахаристая матрица с пигментами беталаинами</x:v>
      </x:c>
      <x:c r="T62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27" s="28" t="str">
        <x:v>Свёкла имеет профиль «землистый, сладкий, минеральный и слегка зелёный». Партнёр «арахис» относится к группе «Орехи и семена» и даёт ореховый, жареный и жирный.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27" s="28" t="str">
        <x:v>геосмин легко доминирует; беталаины отвечают за цвет, а не за запах; сильный нагрев снижает яркость цвета</x:v>
      </x:c>
      <x:c r="W627" s="28" t="str">
        <x:v>соль, кислота или ароматический жир</x:v>
      </x:c>
      <x:c r="X627" s="28" t="str">
        <x:v>сок, кордиал, гаспачо, салат, соус, маринад или коктейльный компонент с арахис</x:v>
      </x:c>
      <x:c r="Y627" s="28" t="str">
        <x:v>десерты</x:v>
      </x:c>
      <x:c r="Z627" s="28" t="str">
        <x:v>Средняя</x:v>
      </x:c>
      <x:c r="AA627" s="28" t="str">
        <x:v>The Art &amp; Science of Foodpairing.pdf</x:v>
      </x:c>
      <x:c r="AB627" s="28" t="str">
        <x:v>The Art &amp; Science of Foodpairing.pdf: 224</x:v>
      </x:c>
      <x:c r="AC627" s="28" t="str">
        <x:v>связь из pairing grid, стр. 224; связь из pairing grid, стр. 224</x:v>
      </x:c>
      <x:c r="AD627" s="28" t="n">
        <x:v>1</x:v>
      </x:c>
      <x:c r="AE627" s="28" t="n">
        <x:v>2</x:v>
      </x:c>
      <x:c r="AF627" s="28" t="n">
        <x:f>IF(Z627="Высокая",3,IF(Z627="Средняя",2,1))+AD627*2+MIN(AE627,3)</x:f>
        <x:v>6</x:v>
      </x:c>
    </x:row>
    <x:row r="628" ht="64" customHeight="1">
      <x:c r="A628" s="28" t="str">
        <x:v>VEG-0627</x:v>
      </x:c>
      <x:c r="B628" s="28" t="str">
        <x:v>свёкла</x:v>
      </x:c>
      <x:c r="C628" s="28" t="str">
        <x:v>Универсальные</x:v>
      </x:c>
      <x:c r="D628" s="28" t="str">
        <x:v>свёкла</x:v>
      </x:c>
      <x:c r="E628" s="28" t="str">
        <x:v>beetroot</x:v>
      </x:c>
      <x:c r="F628" s="28" t="str">
        <x:v>Корнеплоды</x:v>
      </x:c>
      <x:c r="G628" s="28" t="str">
        <x:v>арбуз</x:v>
      </x:c>
      <x:c r="H628" s="28" t="str">
        <x:v>watermelon</x:v>
      </x:c>
      <x:c r="I628" s="28" t="str">
        <x:v>Прочее</x:v>
      </x:c>
      <x:c r="J628" s="28" t="str">
        <x:v>землистый, сладкий, минеральный и слегка зелёный</x:v>
      </x:c>
      <x:c r="K628" s="28" t="str">
        <x:v>профиль зависит от конкретного продукта</x:v>
      </x:c>
      <x:c r="L628" s="28" t="str">
        <x:v>геосмин, метоксипиразины, альдегиды, бетаин</x:v>
      </x:c>
      <x:c r="M628" s="28" t="str">
        <x:v>конкретный молекулярный профиль не указан</x:v>
      </x:c>
      <x:c r="N628" s="28" t="str">
        <x:v>прямое пересечение семейств не подтверждено</x:v>
      </x:c>
      <x:c r="O628" s="28" t="str">
        <x:v>надёжная общая ключевая молекула не установлена</x:v>
      </x:c>
      <x:c r="P628" s="28" t="str">
        <x:v>сенсорная комплементарность</x:v>
      </x:c>
      <x:c r="Q628" s="28" t="str">
        <x:v>Сладость и землистость балансируются кислотой, солью, горечью и умами; жир усиливает ощущение округлости.</x:v>
      </x:c>
      <x:c r="R628" s="28" t="str">
        <x:v>минимальный</x:v>
      </x:c>
      <x:c r="S628" s="28" t="str">
        <x:v>водная сахаристая матрица с пигментами беталаинами</x:v>
      </x:c>
      <x:c r="T62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28" s="28" t="str">
        <x:v>Свёкла имеет профиль «землистый, сладкий, минеральный и слегка зелёный».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28" s="28" t="str">
        <x:v>геосмин легко доминирует; беталаины отвечают за цвет, а не за запах; сильный нагрев снижает яркость цвета</x:v>
      </x:c>
      <x:c r="W628" s="28" t="str">
        <x:v>соль, кислота или ароматический жир</x:v>
      </x:c>
      <x:c r="X628" s="28" t="str">
        <x:v>сок, кордиал, гаспачо, салат, соус, маринад или коктейльный компонент с арбуз</x:v>
      </x:c>
      <x:c r="Y628" s="28" t="str">
        <x:v>универсальное</x:v>
      </x:c>
      <x:c r="Z628" s="28" t="str">
        <x:v>Средняя</x:v>
      </x:c>
      <x:c r="AA628" s="28" t="str">
        <x:v>The Art &amp; Science of Foodpairing.pdf</x:v>
      </x:c>
      <x:c r="AB628" s="28" t="str">
        <x:v>The Art &amp; Science of Foodpairing.pdf: 78</x:v>
      </x:c>
      <x:c r="AC628" s="28" t="str">
        <x:v>связь из pairing grid, стр. 78</x:v>
      </x:c>
      <x:c r="AD628" s="28" t="n">
        <x:v>1</x:v>
      </x:c>
      <x:c r="AE628" s="28" t="n">
        <x:v>1</x:v>
      </x:c>
      <x:c r="AF628" s="28" t="n">
        <x:f>IF(Z628="Высокая",3,IF(Z628="Средняя",2,1))+AD628*2+MIN(AE628,3)</x:f>
        <x:v>5</x:v>
      </x:c>
    </x:row>
    <x:row r="629" ht="64" customHeight="1">
      <x:c r="A629" s="28" t="str">
        <x:v>VEG-0628</x:v>
      </x:c>
      <x:c r="B629" s="28" t="str">
        <x:v>свёкла</x:v>
      </x:c>
      <x:c r="C629" s="28" t="str">
        <x:v>Универсальные</x:v>
      </x:c>
      <x:c r="D629" s="28" t="str">
        <x:v>свёкла</x:v>
      </x:c>
      <x:c r="E629" s="28" t="str">
        <x:v>beetroot</x:v>
      </x:c>
      <x:c r="F629" s="28" t="str">
        <x:v>Корнеплоды</x:v>
      </x:c>
      <x:c r="G629" s="28" t="str">
        <x:v>асаи</x:v>
      </x:c>
      <x:c r="H629" s="28" t="str">
        <x:v>acai berry</x:v>
      </x:c>
      <x:c r="I629" s="28" t="str">
        <x:v>Прочее</x:v>
      </x:c>
      <x:c r="J629" s="28" t="str">
        <x:v>землистый, сладкий, минеральный и слегка зелёный</x:v>
      </x:c>
      <x:c r="K629" s="28" t="str">
        <x:v>профиль зависит от конкретного продукта</x:v>
      </x:c>
      <x:c r="L629" s="28" t="str">
        <x:v>геосмин, метоксипиразины, альдегиды, бетаин</x:v>
      </x:c>
      <x:c r="M629" s="28" t="str">
        <x:v>конкретный молекулярный профиль не указан</x:v>
      </x:c>
      <x:c r="N629" s="28" t="str">
        <x:v>прямое пересечение семейств не подтверждено</x:v>
      </x:c>
      <x:c r="O629" s="28" t="str">
        <x:v>надёжная общая ключевая молекула не установлена</x:v>
      </x:c>
      <x:c r="P629" s="28" t="str">
        <x:v>сенсорная комплементарность</x:v>
      </x:c>
      <x:c r="Q629" s="28" t="str">
        <x:v>Сладость и землистость балансируются кислотой, солью, горечью и умами; жир усиливает ощущение округлости.</x:v>
      </x:c>
      <x:c r="R629" s="28" t="str">
        <x:v>минимальный</x:v>
      </x:c>
      <x:c r="S629" s="28" t="str">
        <x:v>водная сахаристая матрица с пигментами беталаинами</x:v>
      </x:c>
      <x:c r="T62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29" s="28" t="str">
        <x:v>Свёкла имеет профиль «землистый, сладкий, минеральный и слегка зелёный». Партнёр «асаи»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29" s="28" t="str">
        <x:v>геосмин легко доминирует; беталаины отвечают за цвет, а не за запах; сильный нагрев снижает яркость цвета</x:v>
      </x:c>
      <x:c r="W629" s="28" t="str">
        <x:v>соль, кислота или ароматический жир</x:v>
      </x:c>
      <x:c r="X629" s="28" t="str">
        <x:v>сок, кордиал, гаспачо, салат, соус, маринад или коктейльный компонент с асаи</x:v>
      </x:c>
      <x:c r="Y629" s="28" t="str">
        <x:v>универсальное</x:v>
      </x:c>
      <x:c r="Z629" s="28" t="str">
        <x:v>Средняя</x:v>
      </x:c>
      <x:c r="AA629" s="28" t="str">
        <x:v>The Art &amp; Science of Foodpairing.pdf</x:v>
      </x:c>
      <x:c r="AB629" s="28" t="str">
        <x:v>The Art &amp; Science of Foodpairing.pdf: 224</x:v>
      </x:c>
      <x:c r="AC629" s="28" t="str">
        <x:v>связь из pairing grid, стр. 224</x:v>
      </x:c>
      <x:c r="AD629" s="28" t="n">
        <x:v>1</x:v>
      </x:c>
      <x:c r="AE629" s="28" t="n">
        <x:v>1</x:v>
      </x:c>
      <x:c r="AF629" s="28" t="n">
        <x:f>IF(Z629="Высокая",3,IF(Z629="Средняя",2,1))+AD629*2+MIN(AE629,3)</x:f>
        <x:v>5</x:v>
      </x:c>
    </x:row>
    <x:row r="630" ht="64" customHeight="1">
      <x:c r="A630" s="28" t="str">
        <x:v>VEG-0629</x:v>
      </x:c>
      <x:c r="B630" s="28" t="str">
        <x:v>свёкла</x:v>
      </x:c>
      <x:c r="C630" s="28" t="str">
        <x:v>Еда и соусы</x:v>
      </x:c>
      <x:c r="D630" s="28" t="str">
        <x:v>свёкла</x:v>
      </x:c>
      <x:c r="E630" s="28" t="str">
        <x:v>roasted beetroot</x:v>
      </x:c>
      <x:c r="F630" s="28" t="str">
        <x:v>Корнеплоды</x:v>
      </x:c>
      <x:c r="G630" s="28" t="str">
        <x:v>бальзамический уксус</x:v>
      </x:c>
      <x:c r="H630" s="28" t="str">
        <x:v>balsamic vinegar</x:v>
      </x:c>
      <x:c r="I630" s="28" t="str">
        <x:v>Ферментированные продукты и соусы</x:v>
      </x:c>
      <x:c r="J630" s="28" t="str">
        <x:v>землистый, сладкий, минеральный и слегка зелёный</x:v>
      </x:c>
      <x:c r="K630" s="28" t="str">
        <x:v>ферментированный, умами и сложный</x:v>
      </x:c>
      <x:c r="L630" s="28" t="str">
        <x:v>геосмин, метоксипиразины, альдегиды, бетаин</x:v>
      </x:c>
      <x:c r="M630" s="28" t="str">
        <x:v>пиразины, фураны, эфиры</x:v>
      </x:c>
      <x:c r="N630" s="28" t="str">
        <x:v>прямое пересечение семейств не подтверждено</x:v>
      </x:c>
      <x:c r="O630" s="28" t="str">
        <x:v>надёжная общая ключевая молекула не установлена</x:v>
      </x:c>
      <x:c r="P630" s="28" t="str">
        <x:v>умами и солёный контраст</x:v>
      </x:c>
      <x:c r="Q630" s="28" t="str">
        <x:v>Сладость и землистость балансируются кислотой, солью, горечью и умами; жир усиливает ощущение округлости.</x:v>
      </x:c>
      <x:c r="R630" s="28" t="str">
        <x:v>минимальный</x:v>
      </x:c>
      <x:c r="S630" s="28" t="str">
        <x:v>водная сахаристая матрица с пигментами беталаинами</x:v>
      </x:c>
      <x:c r="T63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0" s="28" t="str">
        <x:v>Свёкла имеет профиль «землистый, сладкий, минеральный и слегка зелёный».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30" s="28" t="str">
        <x:v>геосмин легко доминирует; беталаины отвечают за цвет, а не за запах; сильный нагрев снижает яркость цвета</x:v>
      </x:c>
      <x:c r="W630" s="28" t="str">
        <x:v>имбирь, чеснок или кунжут</x:v>
      </x:c>
      <x:c r="X630" s="28" t="str">
        <x:v>сок, кордиал, гаспачо, салат, соус, маринад или коктейльный компонент с бальзамический уксус</x:v>
      </x:c>
      <x:c r="Y630" s="28" t="str">
        <x:v>еда, соусы/маринады</x:v>
      </x:c>
      <x:c r="Z630" s="28" t="str">
        <x:v>Средняя</x:v>
      </x:c>
      <x:c r="AA630" s="28" t="str">
        <x:v>The Art &amp; Science of Foodpairing.pdf</x:v>
      </x:c>
      <x:c r="AB630" s="28" t="str">
        <x:v>The Art &amp; Science of Foodpairing.pdf: 316</x:v>
      </x:c>
      <x:c r="AC630" s="28" t="str">
        <x:v>связь из pairing grid, стр. 316</x:v>
      </x:c>
      <x:c r="AD630" s="28" t="n">
        <x:v>1</x:v>
      </x:c>
      <x:c r="AE630" s="28" t="n">
        <x:v>1</x:v>
      </x:c>
      <x:c r="AF630" s="28" t="n">
        <x:f>IF(Z630="Высокая",3,IF(Z630="Средняя",2,1))+AD630*2+MIN(AE630,3)</x:f>
        <x:v>5</x:v>
      </x:c>
    </x:row>
    <x:row r="631" ht="64" customHeight="1">
      <x:c r="A631" s="28" t="str">
        <x:v>VEG-0630</x:v>
      </x:c>
      <x:c r="B631" s="28" t="str">
        <x:v>свёкла</x:v>
      </x:c>
      <x:c r="C631" s="28" t="str">
        <x:v>Десерты и выпечка</x:v>
      </x:c>
      <x:c r="D631" s="28" t="str">
        <x:v>свёкла</x:v>
      </x:c>
      <x:c r="E631" s="28" t="str">
        <x:v>beetroot</x:v>
      </x:c>
      <x:c r="F631" s="28" t="str">
        <x:v>Корнеплоды</x:v>
      </x:c>
      <x:c r="G631" s="28" t="str">
        <x:v>банан</x:v>
      </x:c>
      <x:c r="H631" s="28" t="str">
        <x:v>banana | dwarf banana</x:v>
      </x:c>
      <x:c r="I631" s="28" t="str">
        <x:v>Фрукты и ягоды</x:v>
      </x:c>
      <x:c r="J631" s="28" t="str">
        <x:v>землистый, сладкий, минеральный и слегка зелёный</x:v>
      </x:c>
      <x:c r="K631" s="28" t="str">
        <x:v>фруктовый, цветочный и свежий</x:v>
      </x:c>
      <x:c r="L631" s="28" t="str">
        <x:v>геосмин, метоксипиразины, альдегиды, бетаин</x:v>
      </x:c>
      <x:c r="M631" s="28" t="str">
        <x:v>альдегиды, эфиры</x:v>
      </x:c>
      <x:c r="N631" s="28" t="str">
        <x:v>прямое пересечение семейств не подтверждено</x:v>
      </x:c>
      <x:c r="O631" s="28" t="str">
        <x:v>альдегиды</x:v>
      </x:c>
      <x:c r="P631" s="28" t="str">
        <x:v>общие характерные молекулы; кислотно-сладкий баланс</x:v>
      </x:c>
      <x:c r="Q631" s="28" t="str">
        <x:v>Сладость и землистость балансируются кислотой, солью, горечью и умами; жир усиливает ощущение округлости.</x:v>
      </x:c>
      <x:c r="R631" s="28" t="str">
        <x:v>минимальный</x:v>
      </x:c>
      <x:c r="S631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63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1" s="28" t="str">
        <x:v>Свёкла имеет профиль «землистый, сладкий, минеральный и слегка зелёный». Партнёр «банан»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31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631" s="28" t="str">
        <x:v>цитрус, мёд или мягкая трава</x:v>
      </x:c>
      <x:c r="X631" s="28" t="str">
        <x:v>сок, кордиал, гаспачо, салат, соус, маринад или коктейльный компонент с банан</x:v>
      </x:c>
      <x:c r="Y631" s="28" t="str">
        <x:v>десерты</x:v>
      </x:c>
      <x:c r="Z631" s="28" t="str">
        <x:v>Средняя</x:v>
      </x:c>
      <x:c r="AA631" s="28" t="str">
        <x:v>The Art &amp; Science of Foodpairing.pdf</x:v>
      </x:c>
      <x:c r="AB631" s="28" t="str">
        <x:v>The Art &amp; Science of Foodpairing.pdf: 224</x:v>
      </x:c>
      <x:c r="AC631" s="28" t="str">
        <x:v>связь из pairing grid, стр. 224; связь из pairing grid, стр. 224</x:v>
      </x:c>
      <x:c r="AD631" s="28" t="n">
        <x:v>1</x:v>
      </x:c>
      <x:c r="AE631" s="28" t="n">
        <x:v>2</x:v>
      </x:c>
      <x:c r="AF631" s="28" t="n">
        <x:f>IF(Z631="Высокая",3,IF(Z631="Средняя",2,1))+AD631*2+MIN(AE631,3)</x:f>
        <x:v>6</x:v>
      </x:c>
    </x:row>
    <x:row r="632" ht="64" customHeight="1">
      <x:c r="A632" s="28" t="str">
        <x:v>VEG-0631</x:v>
      </x:c>
      <x:c r="B632" s="28" t="str">
        <x:v>свёкла</x:v>
      </x:c>
      <x:c r="C632" s="28" t="str">
        <x:v>Еда и соусы</x:v>
      </x:c>
      <x:c r="D632" s="28" t="str">
        <x:v>свёкла</x:v>
      </x:c>
      <x:c r="E632" s="28" t="str">
        <x:v>beetroot</x:v>
      </x:c>
      <x:c r="F632" s="28" t="str">
        <x:v>Корнеплоды</x:v>
      </x:c>
      <x:c r="G632" s="28" t="str">
        <x:v>баранина</x:v>
      </x:c>
      <x:c r="H632" s="28" t="str">
        <x:v>grilledlamb | roast lamb</x:v>
      </x:c>
      <x:c r="I632" s="28" t="str">
        <x:v>Мясо и птица</x:v>
      </x:c>
      <x:c r="J632" s="28" t="str">
        <x:v>землистый, сладкий, минеральный и слегка зелёный</x:v>
      </x:c>
      <x:c r="K632" s="28" t="str">
        <x:v>жареный, мясной и умами</x:v>
      </x:c>
      <x:c r="L632" s="28" t="str">
        <x:v>геосмин, метоксипиразины, альдегиды, бетаин</x:v>
      </x:c>
      <x:c r="M632" s="28" t="str">
        <x:v>пиразины, сернистые соединения</x:v>
      </x:c>
      <x:c r="N632" s="28" t="str">
        <x:v>прямое пересечение семейств не подтверждено</x:v>
      </x:c>
      <x:c r="O632" s="28" t="str">
        <x:v>надёжная общая ключевая молекула не установлена</x:v>
      </x:c>
      <x:c r="P632" s="28" t="str">
        <x:v>умами и солёный контраст</x:v>
      </x:c>
      <x:c r="Q632" s="28" t="str">
        <x:v>Сладость и землистость балансируются кислотой, солью, горечью и умами; жир усиливает ощущение округлости.</x:v>
      </x:c>
      <x:c r="R632" s="28" t="str">
        <x:v>минимальный</x:v>
      </x:c>
      <x:c r="S632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3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2" s="28" t="str">
        <x:v>Свёкла имеет профиль «землистый, сладкий, минеральный и слегка зелёный».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32" s="28" t="str">
        <x:v>геосмин легко доминирует; беталаины отвечают за цвет, а не за запах; сильный нагрев снижает яркость цвета</x:v>
      </x:c>
      <x:c r="W632" s="28" t="str">
        <x:v>сливочное масло, соевый соус или тимьян</x:v>
      </x:c>
      <x:c r="X632" s="28" t="str">
        <x:v>сок, кордиал, гаспачо, салат, соус, маринад или коктейльный компонент с баранина</x:v>
      </x:c>
      <x:c r="Y632" s="28" t="str">
        <x:v>еда, соусы/маринады</x:v>
      </x:c>
      <x:c r="Z632" s="28" t="str">
        <x:v>Средняя</x:v>
      </x:c>
      <x:c r="AA632" s="28" t="str">
        <x:v>The Art &amp; Science of Foodpairing.pdf</x:v>
      </x:c>
      <x:c r="AB632" s="28" t="str">
        <x:v>The Art &amp; Science of Foodpairing.pdf: 224</x:v>
      </x:c>
      <x:c r="AC632" s="28" t="str">
        <x:v>связь из pairing grid, стр. 224; связь из pairing grid, стр. 224</x:v>
      </x:c>
      <x:c r="AD632" s="28" t="n">
        <x:v>1</x:v>
      </x:c>
      <x:c r="AE632" s="28" t="n">
        <x:v>2</x:v>
      </x:c>
      <x:c r="AF632" s="28" t="n">
        <x:f>IF(Z632="Высокая",3,IF(Z632="Средняя",2,1))+AD632*2+MIN(AE632,3)</x:f>
        <x:v>6</x:v>
      </x:c>
    </x:row>
    <x:row r="633" ht="64" customHeight="1">
      <x:c r="A633" s="28" t="str">
        <x:v>VEG-0632</x:v>
      </x:c>
      <x:c r="B633" s="28" t="str">
        <x:v>свёкла</x:v>
      </x:c>
      <x:c r="C633" s="28" t="str">
        <x:v>Еда и соусы</x:v>
      </x:c>
      <x:c r="D633" s="28" t="str">
        <x:v>свёкла</x:v>
      </x:c>
      <x:c r="E633" s="28" t="str">
        <x:v>boiled peeled beetroot</x:v>
      </x:c>
      <x:c r="F633" s="28" t="str">
        <x:v>Корнеплоды</x:v>
      </x:c>
      <x:c r="G633" s="28" t="str">
        <x:v>батат</x:v>
      </x:c>
      <x:c r="H633" s="28" t="str">
        <x:v>sweet potato</x:v>
      </x:c>
      <x:c r="I633" s="28" t="str">
        <x:v>Корнеплоды и клубни</x:v>
      </x:c>
      <x:c r="J633" s="28" t="str">
        <x:v>землистый, сладкий, минеральный и слегка зелёный</x:v>
      </x:c>
      <x:c r="K633" s="28" t="str">
        <x:v>сладкий, крахмалистый, цветочный, карамельный и ореховый после запекания</x:v>
      </x:c>
      <x:c r="L633" s="28" t="str">
        <x:v>геосмин, метоксипиразины, альдегиды, бетаин</x:v>
      </x:c>
      <x:c r="M633" s="28" t="str">
        <x:v>мальтол, норизопреноиды, пиразины, фураны</x:v>
      </x:c>
      <x:c r="N633" s="28" t="str">
        <x:v>сладкий</x:v>
      </x:c>
      <x:c r="O633" s="28" t="str">
        <x:v>надёжная общая ключевая молекула не установлена</x:v>
      </x:c>
      <x:c r="P633" s="28" t="str">
        <x:v>пересечение ароматических семейств</x:v>
      </x:c>
      <x:c r="Q633" s="28" t="str">
        <x:v>Сладость и землистость балансируются кислотой, солью, горечью и умами; жир усиливает ощущение округлости.</x:v>
      </x:c>
      <x:c r="R633" s="28" t="str">
        <x:v>минимальный</x:v>
      </x:c>
      <x:c r="S633" s="28" t="str">
        <x:v>водная сахаристая матрица с пигментами беталаинами</x:v>
      </x:c>
      <x:c r="T63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3" s="28" t="str">
        <x:v>Свёкла имеет профиль «землистый, сладкий, минеральный и слегка зелёный». Партнёр «батат» относится к группе «Корнеплоды и клубни» и даёт сладкий, крахмалистый, цветочный, карамельный и ореховый после запекания.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33" s="28" t="str">
        <x:v>геосмин легко доминирует; беталаины отвечают за цвет, а не за запах; сильный нагрев снижает яркость цвета</x:v>
      </x:c>
      <x:c r="W633" s="28" t="str">
        <x:v>соль, кислота или ароматический жир</x:v>
      </x:c>
      <x:c r="X633" s="28" t="str">
        <x:v>сок, кордиал, гаспачо, салат, соус, маринад или коктейльный компонент с батат</x:v>
      </x:c>
      <x:c r="Y633" s="28" t="str">
        <x:v>еда, соусы/маринады</x:v>
      </x:c>
      <x:c r="Z633" s="28" t="str">
        <x:v>Средняя</x:v>
      </x:c>
      <x:c r="AA633" s="28" t="str">
        <x:v>The Art &amp; Science of Foodpairing.pdf</x:v>
      </x:c>
      <x:c r="AB633" s="28" t="str">
        <x:v>The Art &amp; Science of Foodpairing.pdf: 119</x:v>
      </x:c>
      <x:c r="AC633" s="28" t="str">
        <x:v>связь из pairing grid, стр. 119</x:v>
      </x:c>
      <x:c r="AD633" s="28" t="n">
        <x:v>1</x:v>
      </x:c>
      <x:c r="AE633" s="28" t="n">
        <x:v>1</x:v>
      </x:c>
      <x:c r="AF633" s="28" t="n">
        <x:f>IF(Z633="Высокая",3,IF(Z633="Средняя",2,1))+AD633*2+MIN(AE633,3)</x:f>
        <x:v>5</x:v>
      </x:c>
    </x:row>
    <x:row r="634" ht="64" customHeight="1">
      <x:c r="A634" s="28" t="str">
        <x:v>VEG-0633</x:v>
      </x:c>
      <x:c r="B634" s="28" t="str">
        <x:v>свёкла</x:v>
      </x:c>
      <x:c r="C634" s="28" t="str">
        <x:v>Еда и соусы</x:v>
      </x:c>
      <x:c r="D634" s="28" t="str">
        <x:v>свёкла</x:v>
      </x:c>
      <x:c r="E634" s="28" t="str">
        <x:v>beetroot</x:v>
      </x:c>
      <x:c r="F634" s="28" t="str">
        <x:v>Корнеплоды</x:v>
      </x:c>
      <x:c r="G634" s="28" t="str">
        <x:v>бекон</x:v>
      </x:c>
      <x:c r="H634" s="28" t="str">
        <x:v>pan-fried bacon</x:v>
      </x:c>
      <x:c r="I634" s="28" t="str">
        <x:v>Мясо и птица</x:v>
      </x:c>
      <x:c r="J634" s="28" t="str">
        <x:v>землистый, сладкий, минеральный и слегка зелёный</x:v>
      </x:c>
      <x:c r="K634" s="28" t="str">
        <x:v>дымный, жареный, умами</x:v>
      </x:c>
      <x:c r="L634" s="28" t="str">
        <x:v>геосмин, метоксипиразины, альдегиды, бетаин</x:v>
      </x:c>
      <x:c r="M634" s="28" t="str">
        <x:v>пиразины, фенолы</x:v>
      </x:c>
      <x:c r="N634" s="28" t="str">
        <x:v>прямое пересечение семейств не подтверждено</x:v>
      </x:c>
      <x:c r="O634" s="28" t="str">
        <x:v>надёжная общая ключевая молекула не установлена</x:v>
      </x:c>
      <x:c r="P634" s="28" t="str">
        <x:v>умами и солёный контраст</x:v>
      </x:c>
      <x:c r="Q634" s="28" t="str">
        <x:v>Сладость и землистость балансируются кислотой, солью, горечью и умами; жир усиливает ощущение округлости.</x:v>
      </x:c>
      <x:c r="R634" s="28" t="str">
        <x:v>минимальный</x:v>
      </x:c>
      <x:c r="S634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3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4" s="28" t="str">
        <x:v>Свёкла имеет профиль «землистый, сладкий, минеральный и слегка зелёный».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34" s="28" t="str">
        <x:v>геосмин легко доминирует; беталаины отвечают за цвет, а не за запах; сильный нагрев снижает яркость цвета</x:v>
      </x:c>
      <x:c r="W634" s="28" t="str">
        <x:v>сливочное масло, соевый соус или тимьян</x:v>
      </x:c>
      <x:c r="X634" s="28" t="str">
        <x:v>сок, кордиал, гаспачо, салат, соус, маринад или коктейльный компонент с бекон</x:v>
      </x:c>
      <x:c r="Y634" s="28" t="str">
        <x:v>еда, соусы/маринады</x:v>
      </x:c>
      <x:c r="Z634" s="28" t="str">
        <x:v>Средняя</x:v>
      </x:c>
      <x:c r="AA634" s="28" t="str">
        <x:v>The Art &amp; Science of Foodpairing.pdf</x:v>
      </x:c>
      <x:c r="AB634" s="28" t="str">
        <x:v>The Art &amp; Science of Foodpairing.pdf: 224</x:v>
      </x:c>
      <x:c r="AC634" s="28" t="str">
        <x:v>связь из pairing grid, стр. 224</x:v>
      </x:c>
      <x:c r="AD634" s="28" t="n">
        <x:v>1</x:v>
      </x:c>
      <x:c r="AE634" s="28" t="n">
        <x:v>1</x:v>
      </x:c>
      <x:c r="AF634" s="28" t="n">
        <x:f>IF(Z634="Высокая",3,IF(Z634="Средняя",2,1))+AD634*2+MIN(AE634,3)</x:f>
        <x:v>5</x:v>
      </x:c>
    </x:row>
    <x:row r="635" ht="64" customHeight="1">
      <x:c r="A635" s="28" t="str">
        <x:v>VEG-0634</x:v>
      </x:c>
      <x:c r="B635" s="28" t="str">
        <x:v>свёкла</x:v>
      </x:c>
      <x:c r="C635" s="28" t="str">
        <x:v>Десерты и выпечка</x:v>
      </x:c>
      <x:c r="D635" s="28" t="str">
        <x:v>свёкла</x:v>
      </x:c>
      <x:c r="E635" s="28" t="str">
        <x:v>beetroot</x:v>
      </x:c>
      <x:c r="F635" s="28" t="str">
        <x:v>Корнеплоды</x:v>
      </x:c>
      <x:c r="G635" s="28" t="str">
        <x:v>виноград</x:v>
      </x:c>
      <x:c r="H635" s="28" t="str">
        <x:v>grapes</x:v>
      </x:c>
      <x:c r="I635" s="28" t="str">
        <x:v>Фрукты и ягоды</x:v>
      </x:c>
      <x:c r="J635" s="28" t="str">
        <x:v>землистый, сладкий, минеральный и слегка зелёный</x:v>
      </x:c>
      <x:c r="K635" s="28" t="str">
        <x:v>фруктовый, цветочный и свежий</x:v>
      </x:c>
      <x:c r="L635" s="28" t="str">
        <x:v>геосмин, метоксипиразины, альдегиды, бетаин</x:v>
      </x:c>
      <x:c r="M635" s="28" t="str">
        <x:v>альдегиды, эфиры</x:v>
      </x:c>
      <x:c r="N635" s="28" t="str">
        <x:v>прямое пересечение семейств не подтверждено</x:v>
      </x:c>
      <x:c r="O635" s="28" t="str">
        <x:v>альдегиды</x:v>
      </x:c>
      <x:c r="P635" s="28" t="str">
        <x:v>общие характерные молекулы; кислотно-сладкий баланс</x:v>
      </x:c>
      <x:c r="Q635" s="28" t="str">
        <x:v>Сладость и землистость балансируются кислотой, солью, горечью и умами; жир усиливает ощущение округлости.</x:v>
      </x:c>
      <x:c r="R635" s="28" t="str">
        <x:v>минимальный</x:v>
      </x:c>
      <x:c r="S635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63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5" s="28" t="str">
        <x:v>Свёкла имеет профиль «землистый, сладкий, минеральный и слегка зелёный». Партнёр «виноград»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35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635" s="28" t="str">
        <x:v>цитрус, мёд или мягкая трава</x:v>
      </x:c>
      <x:c r="X635" s="28" t="str">
        <x:v>сок, кордиал, гаспачо, салат, соус, маринад или коктейльный компонент с виноград</x:v>
      </x:c>
      <x:c r="Y635" s="28" t="str">
        <x:v>десерты</x:v>
      </x:c>
      <x:c r="Z635" s="28" t="str">
        <x:v>Средняя</x:v>
      </x:c>
      <x:c r="AA635" s="28" t="str">
        <x:v>The Art &amp; Science of Foodpairing.pdf</x:v>
      </x:c>
      <x:c r="AB635" s="28" t="str">
        <x:v>The Art &amp; Science of Foodpairing.pdf: 224</x:v>
      </x:c>
      <x:c r="AC635" s="28" t="str">
        <x:v>связь из pairing grid, стр. 224</x:v>
      </x:c>
      <x:c r="AD635" s="28" t="n">
        <x:v>1</x:v>
      </x:c>
      <x:c r="AE635" s="28" t="n">
        <x:v>1</x:v>
      </x:c>
      <x:c r="AF635" s="28" t="n">
        <x:f>IF(Z635="Высокая",3,IF(Z635="Средняя",2,1))+AD635*2+MIN(AE635,3)</x:f>
        <x:v>5</x:v>
      </x:c>
    </x:row>
    <x:row r="636" ht="64" customHeight="1">
      <x:c r="A636" s="28" t="str">
        <x:v>VEG-0635</x:v>
      </x:c>
      <x:c r="B636" s="28" t="str">
        <x:v>свёкла</x:v>
      </x:c>
      <x:c r="C636" s="28" t="str">
        <x:v>Напитки</x:v>
      </x:c>
      <x:c r="D636" s="28" t="str">
        <x:v>свёкла</x:v>
      </x:c>
      <x:c r="E636" s="28" t="str">
        <x:v>beetroot juice</x:v>
      </x:c>
      <x:c r="F636" s="28" t="str">
        <x:v>Корнеплоды</x:v>
      </x:c>
      <x:c r="G636" s="28" t="str">
        <x:v>водка</x:v>
      </x:c>
      <x:c r="H636" s="28" t="str">
        <x:v>vodka</x:v>
      </x:c>
      <x:c r="I636" s="28" t="str">
        <x:v>Алкогольные напитки</x:v>
      </x:c>
      <x:c r="J636" s="28" t="str">
        <x:v>землистый, сладкий, минеральный и слегка зелёный</x:v>
      </x:c>
      <x:c r="K636" s="28" t="str">
        <x:v>спиртовой, фруктовый или древесный</x:v>
      </x:c>
      <x:c r="L636" s="28" t="str">
        <x:v>геосмин, метоксипиразины, альдегиды, бетаин</x:v>
      </x:c>
      <x:c r="M636" s="28" t="str">
        <x:v>альдегиды, эфиры</x:v>
      </x:c>
      <x:c r="N636" s="28" t="str">
        <x:v>прямое пересечение семейств не подтверждено</x:v>
      </x:c>
      <x:c r="O636" s="28" t="str">
        <x:v>альдегиды</x:v>
      </x:c>
      <x:c r="P636" s="28" t="str">
        <x:v>общие характерные молекулы</x:v>
      </x:c>
      <x:c r="Q636" s="28" t="str">
        <x:v>Сладость и землистость балансируются кислотой, солью, горечью и умами; жир усиливает ощущение округлости.</x:v>
      </x:c>
      <x:c r="R636" s="28" t="str">
        <x:v>минимальный</x:v>
      </x:c>
      <x:c r="S636" s="28" t="str">
        <x:v>водная сахаристая матрица с пигментами беталаинами Этанол извлекает терпены и сернистые соединения эффективнее воды; время контакта ограничивать.</x:v>
      </x:c>
      <x:c r="T63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6" s="28" t="str">
        <x:v>Свёкла имеет профиль «землистый, сладкий, минеральный и слегка зелёный». Партнёр «водка»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36" s="28" t="str">
        <x:v>геосмин легко доминирует; беталаины отвечают за цвет, а не за запах; сильный нагрев снижает яркость цвета</x:v>
      </x:c>
      <x:c r="W636" s="28" t="str">
        <x:v>соль, кислота или ароматический жир</x:v>
      </x:c>
      <x:c r="X636" s="28" t="str">
        <x:v>сок, кордиал, гаспачо, салат, соус, маринад или коктейльный компонент с водка</x:v>
      </x:c>
      <x:c r="Y636" s="28" t="str">
        <x:v>напитки</x:v>
      </x:c>
      <x:c r="Z636" s="28" t="str">
        <x:v>Высокая</x:v>
      </x:c>
      <x:c r="AA636" s="28" t="str">
        <x:v>The Art &amp; Science of Foodpairing.pdf</x:v>
      </x:c>
      <x:c r="AB636" s="28" t="str">
        <x:v>The Art &amp; Science of Foodpairing.pdf: 223</x:v>
      </x:c>
      <x:c r="AC636" s="28" t="str">
        <x:v>прямая Potential pairing, стр. 223</x:v>
      </x:c>
      <x:c r="AD636" s="28" t="n">
        <x:v>1</x:v>
      </x:c>
      <x:c r="AE636" s="28" t="n">
        <x:v>1</x:v>
      </x:c>
      <x:c r="AF636" s="28" t="n">
        <x:f>IF(Z636="Высокая",3,IF(Z636="Средняя",2,1))+AD636*2+MIN(AE636,3)</x:f>
        <x:v>6</x:v>
      </x:c>
    </x:row>
    <x:row r="637" ht="64" customHeight="1">
      <x:c r="A637" s="28" t="str">
        <x:v>VEG-0636</x:v>
      </x:c>
      <x:c r="B637" s="28" t="str">
        <x:v>свёкла</x:v>
      </x:c>
      <x:c r="C637" s="28" t="str">
        <x:v>Универсальные</x:v>
      </x:c>
      <x:c r="D637" s="28" t="str">
        <x:v>свёкла</x:v>
      </x:c>
      <x:c r="E637" s="28" t="str">
        <x:v>beetroot</x:v>
      </x:c>
      <x:c r="F637" s="28" t="str">
        <x:v>Корнеплоды</x:v>
      </x:c>
      <x:c r="G637" s="28" t="str">
        <x:v>водоросль грацилярия</x:v>
      </x:c>
      <x:c r="H637" s="28" t="str">
        <x:v>Graci/aria carnosa algae</x:v>
      </x:c>
      <x:c r="I637" s="28" t="str">
        <x:v>Прочее</x:v>
      </x:c>
      <x:c r="J637" s="28" t="str">
        <x:v>землистый, сладкий, минеральный и слегка зелёный</x:v>
      </x:c>
      <x:c r="K637" s="28" t="str">
        <x:v>профиль зависит от конкретного продукта</x:v>
      </x:c>
      <x:c r="L637" s="28" t="str">
        <x:v>геосмин, метоксипиразины, альдегиды, бетаин</x:v>
      </x:c>
      <x:c r="M637" s="28" t="str">
        <x:v>конкретный молекулярный профиль не указан</x:v>
      </x:c>
      <x:c r="N637" s="28" t="str">
        <x:v>прямое пересечение семейств не подтверждено</x:v>
      </x:c>
      <x:c r="O637" s="28" t="str">
        <x:v>надёжная общая ключевая молекула не установлена</x:v>
      </x:c>
      <x:c r="P637" s="28" t="str">
        <x:v>сенсорная комплементарность</x:v>
      </x:c>
      <x:c r="Q637" s="28" t="str">
        <x:v>Сладость и землистость балансируются кислотой, солью, горечью и умами; жир усиливает ощущение округлости.</x:v>
      </x:c>
      <x:c r="R637" s="28" t="str">
        <x:v>минимальный</x:v>
      </x:c>
      <x:c r="S637" s="28" t="str">
        <x:v>водная сахаристая матрица с пигментами беталаинами</x:v>
      </x:c>
      <x:c r="T63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7" s="28" t="str">
        <x:v>Свёкла имеет профиль «землистый, сладкий, минеральный и слегка зелёный». Партнёр «водоросль грацилярия»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37" s="28" t="str">
        <x:v>геосмин легко доминирует; беталаины отвечают за цвет, а не за запах; сильный нагрев снижает яркость цвета</x:v>
      </x:c>
      <x:c r="W637" s="28" t="str">
        <x:v>соль, кислота или ароматический жир</x:v>
      </x:c>
      <x:c r="X637" s="28" t="str">
        <x:v>сок, кордиал, гаспачо, салат, соус, маринад или коктейльный компонент с водоросль грацилярия</x:v>
      </x:c>
      <x:c r="Y637" s="28" t="str">
        <x:v>универсальное</x:v>
      </x:c>
      <x:c r="Z637" s="28" t="str">
        <x:v>Средняя</x:v>
      </x:c>
      <x:c r="AA637" s="28" t="str">
        <x:v>The Art &amp; Science of Foodpairing.pdf</x:v>
      </x:c>
      <x:c r="AB637" s="28" t="str">
        <x:v>The Art &amp; Science of Foodpairing.pdf: 224</x:v>
      </x:c>
      <x:c r="AC637" s="28" t="str">
        <x:v>связь из pairing grid, стр. 224</x:v>
      </x:c>
      <x:c r="AD637" s="28" t="n">
        <x:v>1</x:v>
      </x:c>
      <x:c r="AE637" s="28" t="n">
        <x:v>1</x:v>
      </x:c>
      <x:c r="AF637" s="28" t="n">
        <x:f>IF(Z637="Высокая",3,IF(Z637="Средняя",2,1))+AD637*2+MIN(AE637,3)</x:f>
        <x:v>5</x:v>
      </x:c>
    </x:row>
    <x:row r="638" ht="64" customHeight="1">
      <x:c r="A638" s="28" t="str">
        <x:v>VEG-0637</x:v>
      </x:c>
      <x:c r="B638" s="28" t="str">
        <x:v>свёкла</x:v>
      </x:c>
      <x:c r="C638" s="28" t="str">
        <x:v>Универсальные</x:v>
      </x:c>
      <x:c r="D638" s="28" t="str">
        <x:v>свёкла</x:v>
      </x:c>
      <x:c r="E638" s="28" t="str">
        <x:v>Свекла | свекла</x:v>
      </x:c>
      <x:c r="F638" s="28" t="str">
        <x:v>Корнеплоды</x:v>
      </x:c>
      <x:c r="G638" s="28" t="str">
        <x:v>водяной кресс</x:v>
      </x:c>
      <x:c r="H638" s="28" t="str">
        <x:v>Водяной кресс | водяной кресс</x:v>
      </x:c>
      <x:c r="I638" s="28" t="str">
        <x:v>Прочее</x:v>
      </x:c>
      <x:c r="J638" s="28" t="str">
        <x:v>землистый, сладкий, минеральный и слегка зелёный</x:v>
      </x:c>
      <x:c r="K638" s="28" t="str">
        <x:v>профиль зависит от конкретного продукта</x:v>
      </x:c>
      <x:c r="L638" s="28" t="str">
        <x:v>геосмин, метоксипиразины, альдегиды, бетаин</x:v>
      </x:c>
      <x:c r="M638" s="28" t="str">
        <x:v>конкретный молекулярный профиль не указан</x:v>
      </x:c>
      <x:c r="N638" s="28" t="str">
        <x:v>прямое пересечение семейств не подтверждено</x:v>
      </x:c>
      <x:c r="O638" s="28" t="str">
        <x:v>надёжная общая ключевая молекула не установлена</x:v>
      </x:c>
      <x:c r="P638" s="28" t="str">
        <x:v>сенсорная комплементарность</x:v>
      </x:c>
      <x:c r="Q638" s="28" t="str">
        <x:v>Сладость и землистость балансируются кислотой, солью, горечью и умами; жир усиливает ощущение округлости.</x:v>
      </x:c>
      <x:c r="R638" s="28" t="str">
        <x:v>минимальный</x:v>
      </x:c>
      <x:c r="S638" s="28" t="str">
        <x:v>водная сахаристая матрица с пигментами беталаинами</x:v>
      </x:c>
      <x:c r="T63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8" s="28" t="str">
        <x:v>Свёкла имеет профиль «землистый, сладкий, минеральный и слегка зелёный». Партнёр «водяной кресс»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38" s="28" t="str">
        <x:v>геосмин легко доминирует; беталаины отвечают за цвет, а не за запах; сильный нагрев снижает яркость цвета</x:v>
      </x:c>
      <x:c r="W638" s="28" t="str">
        <x:v>соль, кислота или ароматический жир</x:v>
      </x:c>
      <x:c r="X638" s="28" t="str">
        <x:v>сок, кордиал, гаспачо, салат, соус, маринад или коктейльный компонент с водяной кресс</x:v>
      </x:c>
      <x:c r="Y638" s="28" t="str">
        <x:v>универсальное</x:v>
      </x:c>
      <x:c r="Z638" s="28" t="str">
        <x:v>Средняя</x:v>
      </x:c>
      <x:c r="AA638" s="28" t="str">
        <x:v>Тезариус вкусов (Ники Сегнит)(1).pdf</x:v>
      </x:c>
      <x:c r="AB638" s="28" t="str">
        <x:v>Тезариус вкусов (Ники Сегнит)(1).pdf: 223, 262</x:v>
      </x:c>
      <x:c r="AC638" s="28" t="str">
        <x:v>развёрнутая пара/статья, стр. 223; развёрнутая пара/статья, стр. 262</x:v>
      </x:c>
      <x:c r="AD638" s="28" t="n">
        <x:v>1</x:v>
      </x:c>
      <x:c r="AE638" s="28" t="n">
        <x:v>2</x:v>
      </x:c>
      <x:c r="AF638" s="28" t="n">
        <x:f>IF(Z638="Высокая",3,IF(Z638="Средняя",2,1))+AD638*2+MIN(AE638,3)</x:f>
        <x:v>6</x:v>
      </x:c>
    </x:row>
    <x:row r="639" ht="64" customHeight="1">
      <x:c r="A639" s="28" t="str">
        <x:v>VEG-0638</x:v>
      </x:c>
      <x:c r="B639" s="28" t="str">
        <x:v>свёкла</x:v>
      </x:c>
      <x:c r="C639" s="28" t="str">
        <x:v>Универсальные</x:v>
      </x:c>
      <x:c r="D639" s="28" t="str">
        <x:v>свёкла</x:v>
      </x:c>
      <x:c r="E639" s="28" t="str">
        <x:v>beetroot</x:v>
      </x:c>
      <x:c r="F639" s="28" t="str">
        <x:v>Корнеплоды</x:v>
      </x:c>
      <x:c r="G639" s="28" t="str">
        <x:v>гвоздика</x:v>
      </x:c>
      <x:c r="H639" s="28" t="str">
        <x:v>cloves</x:v>
      </x:c>
      <x:c r="I639" s="28" t="str">
        <x:v>Специи</x:v>
      </x:c>
      <x:c r="J639" s="28" t="str">
        <x:v>землистый, сладкий, минеральный и слегка зелёный</x:v>
      </x:c>
      <x:c r="K639" s="28" t="str">
        <x:v>древесный, пряный, фенольный</x:v>
      </x:c>
      <x:c r="L639" s="28" t="str">
        <x:v>геосмин, метоксипиразины, альдегиды, бетаин</x:v>
      </x:c>
      <x:c r="M639" s="28" t="str">
        <x:v>эвгенол</x:v>
      </x:c>
      <x:c r="N639" s="28" t="str">
        <x:v>прямое пересечение семейств не подтверждено</x:v>
      </x:c>
      <x:c r="O639" s="28" t="str">
        <x:v>надёжная общая ключевая молекула не установлена</x:v>
      </x:c>
      <x:c r="P639" s="28" t="str">
        <x:v>сенсорная комплементарность</x:v>
      </x:c>
      <x:c r="Q639" s="28" t="str">
        <x:v>Сладость и землистость балансируются кислотой, солью, горечью и умами; жир усиливает ощущение округлости.</x:v>
      </x:c>
      <x:c r="R639" s="28" t="str">
        <x:v>минимальный</x:v>
      </x:c>
      <x:c r="S639" s="28" t="str">
        <x:v>водная сахаристая матрица с пигментами беталаинами</x:v>
      </x:c>
      <x:c r="T63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39" s="28" t="str">
        <x:v>Свёкла имеет профиль «землистый, сладкий, минеральный и слегка зелёный».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639" s="28" t="str">
        <x:v>геосмин легко доминирует; беталаины отвечают за цвет, а не за запах; сильный нагрев снижает яркость цвета</x:v>
      </x:c>
      <x:c r="W639" s="28" t="str">
        <x:v>цитрус, йогурт или мёд</x:v>
      </x:c>
      <x:c r="X639" s="28" t="str">
        <x:v>сок, кордиал, гаспачо, салат, соус, маринад или коктейльный компонент с гвоздика</x:v>
      </x:c>
      <x:c r="Y639" s="28" t="str">
        <x:v>универсальное</x:v>
      </x:c>
      <x:c r="Z639" s="28" t="str">
        <x:v>Средняя</x:v>
      </x:c>
      <x:c r="AA639" s="28" t="str">
        <x:v>The Art &amp; Science of Foodpairing.pdf</x:v>
      </x:c>
      <x:c r="AB639" s="28" t="str">
        <x:v>The Art &amp; Science of Foodpairing.pdf: 224</x:v>
      </x:c>
      <x:c r="AC639" s="28" t="str">
        <x:v>связь из pairing grid, стр. 224</x:v>
      </x:c>
      <x:c r="AD639" s="28" t="n">
        <x:v>1</x:v>
      </x:c>
      <x:c r="AE639" s="28" t="n">
        <x:v>1</x:v>
      </x:c>
      <x:c r="AF639" s="28" t="n">
        <x:f>IF(Z639="Высокая",3,IF(Z639="Средняя",2,1))+AD639*2+MIN(AE639,3)</x:f>
        <x:v>5</x:v>
      </x:c>
    </x:row>
    <x:row r="640" ht="64" customHeight="1">
      <x:c r="A640" s="28" t="str">
        <x:v>VEG-0639</x:v>
      </x:c>
      <x:c r="B640" s="28" t="str">
        <x:v>свёкла</x:v>
      </x:c>
      <x:c r="C640" s="28" t="str">
        <x:v>Еда и соусы</x:v>
      </x:c>
      <x:c r="D640" s="28" t="str">
        <x:v>свёкла</x:v>
      </x:c>
      <x:c r="E640" s="28" t="str">
        <x:v>beetroot | Свекла | свекла</x:v>
      </x:c>
      <x:c r="F640" s="28" t="str">
        <x:v>Корнеплоды</x:v>
      </x:c>
      <x:c r="G640" s="28" t="str">
        <x:v>говядина</x:v>
      </x:c>
      <x:c r="H640" s="28" t="str">
        <x:v>beef | Говядина | говядина</x:v>
      </x:c>
      <x:c r="I640" s="28" t="str">
        <x:v>Мясо и птица</x:v>
      </x:c>
      <x:c r="J640" s="28" t="str">
        <x:v>землистый, сладкий, минеральный и слегка зелёный</x:v>
      </x:c>
      <x:c r="K640" s="28" t="str">
        <x:v>жареный, мясной и умами</x:v>
      </x:c>
      <x:c r="L640" s="28" t="str">
        <x:v>геосмин, метоксипиразины, альдегиды, бетаин</x:v>
      </x:c>
      <x:c r="M640" s="28" t="str">
        <x:v>пиразины, сернистые соединения</x:v>
      </x:c>
      <x:c r="N640" s="28" t="str">
        <x:v>прямое пересечение семейств не подтверждено</x:v>
      </x:c>
      <x:c r="O640" s="28" t="str">
        <x:v>надёжная общая ключевая молекула не установлена</x:v>
      </x:c>
      <x:c r="P640" s="28" t="str">
        <x:v>умами и солёный контраст</x:v>
      </x:c>
      <x:c r="Q640" s="28" t="str">
        <x:v>Сладость и землистость балансируются кислотой, солью, горечью и умами; жир усиливает ощущение округлости.</x:v>
      </x:c>
      <x:c r="R640" s="28" t="str">
        <x:v>минимальный</x:v>
      </x:c>
      <x:c r="S640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4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0" s="28" t="str">
        <x:v>Свёкла имеет профиль «землистый, сладкий, минеральный и слегка зелёный».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40" s="28" t="str">
        <x:v>геосмин легко доминирует; беталаины отвечают за цвет, а не за запах; сильный нагрев снижает яркость цвета</x:v>
      </x:c>
      <x:c r="W640" s="28" t="str">
        <x:v>сливочное масло, соевый соус или тимьян</x:v>
      </x:c>
      <x:c r="X640" s="28" t="str">
        <x:v>сок, кордиал, гаспачо, салат, соус, маринад или коктейльный компонент с говядина</x:v>
      </x:c>
      <x:c r="Y640" s="28" t="str">
        <x:v>еда, соусы/маринады</x:v>
      </x:c>
      <x:c r="Z640" s="28" t="str">
        <x:v>Высокая</x:v>
      </x:c>
      <x:c r="AA640" s="28" t="str">
        <x:v>The Art &amp; Science of Foodpairing.pdf | Тезариус вкусов (Ники Сегнит)(1).pdf</x:v>
      </x:c>
      <x:c r="AB640" s="28" t="str">
        <x:v>Тезариус вкусов (Ники Сегнит)(1).pdf: 117, 223; The Art &amp; Science of Foodpairing.pdf: 224</x:v>
      </x:c>
      <x:c r="AC640" s="28" t="str">
        <x:v>развёрнутая пара/статья, стр. 117; развёрнутая пара/статья, стр. 223; связь из pairing grid, стр. 224</x:v>
      </x:c>
      <x:c r="AD640" s="28" t="n">
        <x:v>2</x:v>
      </x:c>
      <x:c r="AE640" s="28" t="n">
        <x:v>3</x:v>
      </x:c>
      <x:c r="AF640" s="28" t="n">
        <x:f>IF(Z640="Высокая",3,IF(Z640="Средняя",2,1))+AD640*2+MIN(AE640,3)</x:f>
        <x:v>10</x:v>
      </x:c>
    </x:row>
    <x:row r="641" ht="64" customHeight="1">
      <x:c r="A641" s="28" t="str">
        <x:v>VEG-0640</x:v>
      </x:c>
      <x:c r="B641" s="28" t="str">
        <x:v>свёкла</x:v>
      </x:c>
      <x:c r="C641" s="28" t="str">
        <x:v>Универсальные</x:v>
      </x:c>
      <x:c r="D641" s="28" t="str">
        <x:v>свёкла</x:v>
      </x:c>
      <x:c r="E641" s="28" t="str">
        <x:v>beetroot</x:v>
      </x:c>
      <x:c r="F641" s="28" t="str">
        <x:v>Корнеплоды</x:v>
      </x:c>
      <x:c r="G641" s="28" t="str">
        <x:v>гранат</x:v>
      </x:c>
      <x:c r="H641" s="28" t="str">
        <x:v>pomegranate</x:v>
      </x:c>
      <x:c r="I641" s="28" t="str">
        <x:v>Прочее</x:v>
      </x:c>
      <x:c r="J641" s="28" t="str">
        <x:v>землистый, сладкий, минеральный и слегка зелёный</x:v>
      </x:c>
      <x:c r="K641" s="28" t="str">
        <x:v>профиль зависит от конкретного продукта</x:v>
      </x:c>
      <x:c r="L641" s="28" t="str">
        <x:v>геосмин, метоксипиразины, альдегиды, бетаин</x:v>
      </x:c>
      <x:c r="M641" s="28" t="str">
        <x:v>конкретный молекулярный профиль не указан</x:v>
      </x:c>
      <x:c r="N641" s="28" t="str">
        <x:v>прямое пересечение семейств не подтверждено</x:v>
      </x:c>
      <x:c r="O641" s="28" t="str">
        <x:v>надёжная общая ключевая молекула не установлена</x:v>
      </x:c>
      <x:c r="P641" s="28" t="str">
        <x:v>сенсорная комплементарность</x:v>
      </x:c>
      <x:c r="Q641" s="28" t="str">
        <x:v>Сладость и землистость балансируются кислотой, солью, горечью и умами; жир усиливает ощущение округлости.</x:v>
      </x:c>
      <x:c r="R641" s="28" t="str">
        <x:v>минимальный</x:v>
      </x:c>
      <x:c r="S641" s="28" t="str">
        <x:v>водная сахаристая матрица с пигментами беталаинами</x:v>
      </x:c>
      <x:c r="T64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1" s="28" t="str">
        <x:v>Свёкла имеет профиль «землистый, сладкий, минеральный и слегка зелёный». Партнёр «гранат»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41" s="28" t="str">
        <x:v>геосмин легко доминирует; беталаины отвечают за цвет, а не за запах; сильный нагрев снижает яркость цвета</x:v>
      </x:c>
      <x:c r="W641" s="28" t="str">
        <x:v>соль, кислота или ароматический жир</x:v>
      </x:c>
      <x:c r="X641" s="28" t="str">
        <x:v>сок, кордиал, гаспачо, салат, соус, маринад или коктейльный компонент с гранат</x:v>
      </x:c>
      <x:c r="Y641" s="28" t="str">
        <x:v>универсальное</x:v>
      </x:c>
      <x:c r="Z641" s="28" t="str">
        <x:v>Высокая</x:v>
      </x:c>
      <x:c r="AA641" s="28" t="str">
        <x:v>The Art &amp; Science of Foodpairing.pdf</x:v>
      </x:c>
      <x:c r="AB641" s="28" t="str">
        <x:v>The Art &amp; Science of Foodpairing.pdf: 225</x:v>
      </x:c>
      <x:c r="AC641" s="28" t="str">
        <x:v>прямая Potential pairing, стр. 225</x:v>
      </x:c>
      <x:c r="AD641" s="28" t="n">
        <x:v>1</x:v>
      </x:c>
      <x:c r="AE641" s="28" t="n">
        <x:v>1</x:v>
      </x:c>
      <x:c r="AF641" s="28" t="n">
        <x:f>IF(Z641="Высокая",3,IF(Z641="Средняя",2,1))+AD641*2+MIN(AE641,3)</x:f>
        <x:v>6</x:v>
      </x:c>
    </x:row>
    <x:row r="642" ht="64" customHeight="1">
      <x:c r="A642" s="28" t="str">
        <x:v>VEG-0641</x:v>
      </x:c>
      <x:c r="B642" s="28" t="str">
        <x:v>свёкла</x:v>
      </x:c>
      <x:c r="C642" s="28" t="str">
        <x:v>Десерты и выпечка</x:v>
      </x:c>
      <x:c r="D642" s="28" t="str">
        <x:v>свёкла</x:v>
      </x:c>
      <x:c r="E642" s="28" t="str">
        <x:v>Свекла | свекла</x:v>
      </x:c>
      <x:c r="F642" s="28" t="str">
        <x:v>Корнеплоды</x:v>
      </x:c>
      <x:c r="G642" s="28" t="str">
        <x:v>грецкий орех</x:v>
      </x:c>
      <x:c r="H642" s="28" t="str">
        <x:v>Грецкий орех | грецкий орех</x:v>
      </x:c>
      <x:c r="I642" s="28" t="str">
        <x:v>Орехи и семена</x:v>
      </x:c>
      <x:c r="J642" s="28" t="str">
        <x:v>землистый, сладкий, минеральный и слегка зелёный</x:v>
      </x:c>
      <x:c r="K642" s="28" t="str">
        <x:v>древесный, землистый, ореховый</x:v>
      </x:c>
      <x:c r="L642" s="28" t="str">
        <x:v>геосмин, метоксипиразины, альдегиды, бетаин</x:v>
      </x:c>
      <x:c r="M642" s="28" t="str">
        <x:v>альдегиды, пиразины</x:v>
      </x:c>
      <x:c r="N642" s="28" t="str">
        <x:v>землистый</x:v>
      </x:c>
      <x:c r="O642" s="28" t="str">
        <x:v>альдегиды</x:v>
      </x:c>
      <x:c r="P642" s="28" t="str">
        <x:v>общие характерные молекулы; пересечение ароматических семейств</x:v>
      </x:c>
      <x:c r="Q642" s="28" t="str">
        <x:v>Сладость и землистость балансируются кислотой, солью, горечью и умами; жир усиливает ощущение округлости.</x:v>
      </x:c>
      <x:c r="R642" s="28" t="str">
        <x:v>минимальный</x:v>
      </x:c>
      <x:c r="S642" s="28" t="str">
        <x:v>водная сахаристая матрица с пигментами беталаинами</x:v>
      </x:c>
      <x:c r="T64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2" s="28" t="str">
        <x:v>Свёкла имеет профиль «землистый, сладкий, минеральный и слегка зелёный». Партнёр «грецкий орех» относится к группе «Орехи и семена» и даёт древесный, землистый, ореховый.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42" s="28" t="str">
        <x:v>геосмин легко доминирует; беталаины отвечают за цвет, а не за запах; сильный нагрев снижает яркость цвета</x:v>
      </x:c>
      <x:c r="W642" s="28" t="str">
        <x:v>соль, кислота или ароматический жир</x:v>
      </x:c>
      <x:c r="X642" s="28" t="str">
        <x:v>сок, кордиал, гаспачо, салат, соус, маринад или коктейльный компонент с грецкий орех</x:v>
      </x:c>
      <x:c r="Y642" s="28" t="str">
        <x:v>десерты</x:v>
      </x:c>
      <x:c r="Z642" s="28" t="str">
        <x:v>Средняя</x:v>
      </x:c>
      <x:c r="AA642" s="28" t="str">
        <x:v>Тезариус вкусов (Ники Сегнит)(1).pdf</x:v>
      </x:c>
      <x:c r="AB642" s="28" t="str">
        <x:v>Тезариус вкусов (Ники Сегнит)(1).pdf: 223, 225, 628</x:v>
      </x:c>
      <x:c r="AC642" s="28" t="str">
        <x:v>развёрнутая пара/статья, стр. 223; развёрнутая пара/статья, стр. 225; развёрнутая пара/статья, стр. 628</x:v>
      </x:c>
      <x:c r="AD642" s="28" t="n">
        <x:v>1</x:v>
      </x:c>
      <x:c r="AE642" s="28" t="n">
        <x:v>3</x:v>
      </x:c>
      <x:c r="AF642" s="28" t="n">
        <x:f>IF(Z642="Высокая",3,IF(Z642="Средняя",2,1))+AD642*2+MIN(AE642,3)</x:f>
        <x:v>7</x:v>
      </x:c>
    </x:row>
    <x:row r="643" ht="64" customHeight="1">
      <x:c r="A643" s="28" t="str">
        <x:v>VEG-0642</x:v>
      </x:c>
      <x:c r="B643" s="28" t="str">
        <x:v>свёкла</x:v>
      </x:c>
      <x:c r="C643" s="28" t="str">
        <x:v>Десерты и выпечка</x:v>
      </x:c>
      <x:c r="D643" s="28" t="str">
        <x:v>свёкла</x:v>
      </x:c>
      <x:c r="E643" s="28" t="str">
        <x:v>beetroot</x:v>
      </x:c>
      <x:c r="F643" s="28" t="str">
        <x:v>Корнеплоды</x:v>
      </x:c>
      <x:c r="G643" s="28" t="str">
        <x:v>дикий рис</x:v>
      </x:c>
      <x:c r="H643" s="28" t="str">
        <x:v>cooked wild rice</x:v>
      </x:c>
      <x:c r="I643" s="28" t="str">
        <x:v>Выпечка, крупы, сахара и десерты</x:v>
      </x:c>
      <x:c r="J643" s="28" t="str">
        <x:v>землистый, сладкий, минеральный и слегка зелёный</x:v>
      </x:c>
      <x:c r="K643" s="28" t="str">
        <x:v>сладкий, карамельный и жареный</x:v>
      </x:c>
      <x:c r="L643" s="28" t="str">
        <x:v>геосмин, метоксипиразины, альдегиды, бетаин</x:v>
      </x:c>
      <x:c r="M643" s="28" t="str">
        <x:v>мальтол, пиразины, фураны</x:v>
      </x:c>
      <x:c r="N643" s="28" t="str">
        <x:v>сладкий</x:v>
      </x:c>
      <x:c r="O643" s="28" t="str">
        <x:v>надёжная общая ключевая молекула не установлена</x:v>
      </x:c>
      <x:c r="P643" s="28" t="str">
        <x:v>пересечение ароматических семейств</x:v>
      </x:c>
      <x:c r="Q643" s="28" t="str">
        <x:v>Сладость и землистость балансируются кислотой, солью, горечью и умами; жир усиливает ощущение округлости.</x:v>
      </x:c>
      <x:c r="R643" s="28" t="str">
        <x:v>минимальный</x:v>
      </x:c>
      <x:c r="S643" s="28" t="str">
        <x:v>водная сахаристая матрица с пигментами беталаинами</x:v>
      </x:c>
      <x:c r="T64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3" s="28" t="str">
        <x:v>Свёкла имеет профиль «землистый, сладкий, минеральный и слегка зелёный».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43" s="28" t="str">
        <x:v>геосмин легко доминирует; беталаины отвечают за цвет, а не за запах; сильный нагрев снижает яркость цвета</x:v>
      </x:c>
      <x:c r="W643" s="28" t="str">
        <x:v>соль, кислота или ароматический жир</x:v>
      </x:c>
      <x:c r="X643" s="28" t="str">
        <x:v>сок, кордиал, гаспачо, салат, соус, маринад или коктейльный компонент с дикий рис</x:v>
      </x:c>
      <x:c r="Y643" s="28" t="str">
        <x:v>десерты</x:v>
      </x:c>
      <x:c r="Z643" s="28" t="str">
        <x:v>Средняя</x:v>
      </x:c>
      <x:c r="AA643" s="28" t="str">
        <x:v>The Art &amp; Science of Foodpairing.pdf</x:v>
      </x:c>
      <x:c r="AB643" s="28" t="str">
        <x:v>The Art &amp; Science of Foodpairing.pdf: 224</x:v>
      </x:c>
      <x:c r="AC643" s="28" t="str">
        <x:v>связь из pairing grid, стр. 224</x:v>
      </x:c>
      <x:c r="AD643" s="28" t="n">
        <x:v>1</x:v>
      </x:c>
      <x:c r="AE643" s="28" t="n">
        <x:v>1</x:v>
      </x:c>
      <x:c r="AF643" s="28" t="n">
        <x:f>IF(Z643="Высокая",3,IF(Z643="Средняя",2,1))+AD643*2+MIN(AE643,3)</x:f>
        <x:v>5</x:v>
      </x:c>
    </x:row>
    <x:row r="644" ht="64" customHeight="1">
      <x:c r="A644" s="28" t="str">
        <x:v>VEG-0643</x:v>
      </x:c>
      <x:c r="B644" s="28" t="str">
        <x:v>свёкла</x:v>
      </x:c>
      <x:c r="C644" s="28" t="str">
        <x:v>Универсальные</x:v>
      </x:c>
      <x:c r="D644" s="28" t="str">
        <x:v>свёкла</x:v>
      </x:c>
      <x:c r="E644" s="28" t="str">
        <x:v>beetroot</x:v>
      </x:c>
      <x:c r="F644" s="28" t="str">
        <x:v>Корнеплоды</x:v>
      </x:c>
      <x:c r="G644" s="28" t="str">
        <x:v>ежевика</x:v>
      </x:c>
      <x:c r="H644" s="28" t="str">
        <x:v>Marion blackberry</x:v>
      </x:c>
      <x:c r="I644" s="28" t="str">
        <x:v>Прочее</x:v>
      </x:c>
      <x:c r="J644" s="28" t="str">
        <x:v>землистый, сладкий, минеральный и слегка зелёный</x:v>
      </x:c>
      <x:c r="K644" s="28" t="str">
        <x:v>профиль зависит от конкретного продукта</x:v>
      </x:c>
      <x:c r="L644" s="28" t="str">
        <x:v>геосмин, метоксипиразины, альдегиды, бетаин</x:v>
      </x:c>
      <x:c r="M644" s="28" t="str">
        <x:v>конкретный молекулярный профиль не указан</x:v>
      </x:c>
      <x:c r="N644" s="28" t="str">
        <x:v>прямое пересечение семейств не подтверждено</x:v>
      </x:c>
      <x:c r="O644" s="28" t="str">
        <x:v>надёжная общая ключевая молекула не установлена</x:v>
      </x:c>
      <x:c r="P644" s="28" t="str">
        <x:v>сенсорная комплементарность</x:v>
      </x:c>
      <x:c r="Q644" s="28" t="str">
        <x:v>Сладость и землистость балансируются кислотой, солью, горечью и умами; жир усиливает ощущение округлости.</x:v>
      </x:c>
      <x:c r="R644" s="28" t="str">
        <x:v>минимальный</x:v>
      </x:c>
      <x:c r="S644" s="28" t="str">
        <x:v>водная сахаристая матрица с пигментами беталаинами</x:v>
      </x:c>
      <x:c r="T64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4" s="28" t="str">
        <x:v>Свёкла имеет профиль «землистый, сладкий, минеральный и слегка зелёный». Партнёр «ежевика»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44" s="28" t="str">
        <x:v>геосмин легко доминирует; беталаины отвечают за цвет, а не за запах; сильный нагрев снижает яркость цвета</x:v>
      </x:c>
      <x:c r="W644" s="28" t="str">
        <x:v>соль, кислота или ароматический жир</x:v>
      </x:c>
      <x:c r="X644" s="28" t="str">
        <x:v>сок, кордиал, гаспачо, салат, соус, маринад или коктейльный компонент с ежевика</x:v>
      </x:c>
      <x:c r="Y644" s="28" t="str">
        <x:v>универсальное</x:v>
      </x:c>
      <x:c r="Z644" s="28" t="str">
        <x:v>Средняя</x:v>
      </x:c>
      <x:c r="AA644" s="28" t="str">
        <x:v>The Art &amp; Science of Foodpairing.pdf</x:v>
      </x:c>
      <x:c r="AB644" s="28" t="str">
        <x:v>The Art &amp; Science of Foodpairing.pdf: 224</x:v>
      </x:c>
      <x:c r="AC644" s="28" t="str">
        <x:v>связь из pairing grid, стр. 224</x:v>
      </x:c>
      <x:c r="AD644" s="28" t="n">
        <x:v>1</x:v>
      </x:c>
      <x:c r="AE644" s="28" t="n">
        <x:v>1</x:v>
      </x:c>
      <x:c r="AF644" s="28" t="n">
        <x:f>IF(Z644="Высокая",3,IF(Z644="Средняя",2,1))+AD644*2+MIN(AE644,3)</x:f>
        <x:v>5</x:v>
      </x:c>
    </x:row>
    <x:row r="645" ht="64" customHeight="1">
      <x:c r="A645" s="28" t="str">
        <x:v>VEG-0644</x:v>
      </x:c>
      <x:c r="B645" s="28" t="str">
        <x:v>свёкла</x:v>
      </x:c>
      <x:c r="C645" s="28" t="str">
        <x:v>Еда и соусы</x:v>
      </x:c>
      <x:c r="D645" s="28" t="str">
        <x:v>свёкла</x:v>
      </x:c>
      <x:c r="E645" s="28" t="str">
        <x:v>Свекла | свекла</x:v>
      </x:c>
      <x:c r="F645" s="28" t="str">
        <x:v>Корнеплоды</x:v>
      </x:c>
      <x:c r="G645" s="28" t="str">
        <x:v>жирная рыба</x:v>
      </x:c>
      <x:c r="H645" s="28" t="str">
        <x:v>Жирная рыба | жирная рыба</x:v>
      </x:c>
      <x:c r="I645" s="28" t="str">
        <x:v>Рыба и морепродукты</x:v>
      </x:c>
      <x:c r="J645" s="28" t="str">
        <x:v>землистый, сладкий, минеральный и слегка зелёный</x:v>
      </x:c>
      <x:c r="K645" s="28" t="str">
        <x:v>жирный, морской, умами</x:v>
      </x:c>
      <x:c r="L645" s="28" t="str">
        <x:v>геосмин, метоксипиразины, альдегиды, бетаин</x:v>
      </x:c>
      <x:c r="M645" s="28" t="str">
        <x:v>альдегиды, амины</x:v>
      </x:c>
      <x:c r="N645" s="28" t="str">
        <x:v>прямое пересечение семейств не подтверждено</x:v>
      </x:c>
      <x:c r="O645" s="28" t="str">
        <x:v>альдегиды</x:v>
      </x:c>
      <x:c r="P645" s="28" t="str">
        <x:v>общие характерные молекулы; умами и солёный контраст</x:v>
      </x:c>
      <x:c r="Q645" s="28" t="str">
        <x:v>Сладость и землистость балансируются кислотой, солью, горечью и умами; жир усиливает ощущение округлости.</x:v>
      </x:c>
      <x:c r="R645" s="28" t="str">
        <x:v>минимальный</x:v>
      </x:c>
      <x:c r="S645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4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5" s="28" t="str">
        <x:v>Свёкла имеет профиль «землистый, сладкий, минеральный и слегка зелёный». Партнёр «жирная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45" s="28" t="str">
        <x:v>геосмин легко доминирует; беталаины отвечают за цвет, а не за запах; сильный нагрев снижает яркость цвета</x:v>
      </x:c>
      <x:c r="W645" s="28" t="str">
        <x:v>сливочное масло, соевый соус или тимьян</x:v>
      </x:c>
      <x:c r="X645" s="28" t="str">
        <x:v>сок, кордиал, гаспачо, салат, соус, маринад или коктейльный компонент с жирная рыба</x:v>
      </x:c>
      <x:c r="Y645" s="28" t="str">
        <x:v>еда, соусы/маринады</x:v>
      </x:c>
      <x:c r="Z645" s="28" t="str">
        <x:v>Средняя</x:v>
      </x:c>
      <x:c r="AA645" s="28" t="str">
        <x:v>Тезариус вкусов (Ники Сегнит)(1).pdf</x:v>
      </x:c>
      <x:c r="AB645" s="28" t="str">
        <x:v>Тезариус вкусов (Ники Сегнит)(1).pdf: 223, 417</x:v>
      </x:c>
      <x:c r="AC645" s="28" t="str">
        <x:v>развёрнутая пара/статья, стр. 223; развёрнутая пара/статья, стр. 417</x:v>
      </x:c>
      <x:c r="AD645" s="28" t="n">
        <x:v>1</x:v>
      </x:c>
      <x:c r="AE645" s="28" t="n">
        <x:v>2</x:v>
      </x:c>
      <x:c r="AF645" s="28" t="n">
        <x:f>IF(Z645="Высокая",3,IF(Z645="Средняя",2,1))+AD645*2+MIN(AE645,3)</x:f>
        <x:v>6</x:v>
      </x:c>
    </x:row>
    <x:row r="646" ht="64" customHeight="1">
      <x:c r="A646" s="28" t="str">
        <x:v>VEG-0645</x:v>
      </x:c>
      <x:c r="B646" s="28" t="str">
        <x:v>свёкла</x:v>
      </x:c>
      <x:c r="C646" s="28" t="str">
        <x:v>Универсальные</x:v>
      </x:c>
      <x:c r="D646" s="28" t="str">
        <x:v>свёкла</x:v>
      </x:c>
      <x:c r="E646" s="28" t="str">
        <x:v>Свекла | свекла</x:v>
      </x:c>
      <x:c r="F646" s="28" t="str">
        <x:v>Корнеплоды</x:v>
      </x:c>
      <x:c r="G646" s="28" t="str">
        <x:v>зира</x:v>
      </x:c>
      <x:c r="H646" s="28" t="str">
        <x:v>Зира | зира</x:v>
      </x:c>
      <x:c r="I646" s="28" t="str">
        <x:v>Специи</x:v>
      </x:c>
      <x:c r="J646" s="28" t="str">
        <x:v>землистый, сладкий, минеральный и слегка зелёный</x:v>
      </x:c>
      <x:c r="K646" s="28" t="str">
        <x:v>жареный, землистый, пряный</x:v>
      </x:c>
      <x:c r="L646" s="28" t="str">
        <x:v>геосмин, метоксипиразины, альдегиды, бетаин</x:v>
      </x:c>
      <x:c r="M646" s="28" t="str">
        <x:v>куминовый альдегид, терпены</x:v>
      </x:c>
      <x:c r="N646" s="28" t="str">
        <x:v>землистый</x:v>
      </x:c>
      <x:c r="O646" s="28" t="str">
        <x:v>надёжная общая ключевая молекула не установлена</x:v>
      </x:c>
      <x:c r="P646" s="28" t="str">
        <x:v>пересечение ароматических семейств</x:v>
      </x:c>
      <x:c r="Q646" s="28" t="str">
        <x:v>Сладость и землистость балансируются кислотой, солью, горечью и умами; жир усиливает ощущение округлости.</x:v>
      </x:c>
      <x:c r="R646" s="28" t="str">
        <x:v>минимальный</x:v>
      </x:c>
      <x:c r="S646" s="28" t="str">
        <x:v>водная сахаристая матрица с пигментами беталаинами</x:v>
      </x:c>
      <x:c r="T64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6" s="28" t="str">
        <x:v>Свёкла имеет профиль «землистый, сладкий, минеральный и слегка зелёный». Партнёр «зира» относится к группе «Специи» и даёт жареный, землистый, пряный. Профили пересекаются в семействах: землистый.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646" s="28" t="str">
        <x:v>геосмин легко доминирует; беталаины отвечают за цвет, а не за запах; сильный нагрев снижает яркость цвета</x:v>
      </x:c>
      <x:c r="W646" s="28" t="str">
        <x:v>цитрус, йогурт или мёд</x:v>
      </x:c>
      <x:c r="X646" s="28" t="str">
        <x:v>сок, кордиал, гаспачо, салат, соус, маринад или коктейльный компонент с зира</x:v>
      </x:c>
      <x:c r="Y646" s="28" t="str">
        <x:v>универсальное</x:v>
      </x:c>
      <x:c r="Z646" s="28" t="str">
        <x:v>Средняя</x:v>
      </x:c>
      <x:c r="AA646" s="28" t="str">
        <x:v>Тезариус вкусов (Ники Сегнит)(1).pdf</x:v>
      </x:c>
      <x:c r="AB646" s="28" t="str">
        <x:v>Тезариус вкусов (Ники Сегнит)(1).pdf: 219, 223</x:v>
      </x:c>
      <x:c r="AC646" s="28" t="str">
        <x:v>развёрнутая пара/статья, стр. 219; развёрнутая пара/статья, стр. 223</x:v>
      </x:c>
      <x:c r="AD646" s="28" t="n">
        <x:v>1</x:v>
      </x:c>
      <x:c r="AE646" s="28" t="n">
        <x:v>2</x:v>
      </x:c>
      <x:c r="AF646" s="28" t="n">
        <x:f>IF(Z646="Высокая",3,IF(Z646="Средняя",2,1))+AD646*2+MIN(AE646,3)</x:f>
        <x:v>6</x:v>
      </x:c>
    </x:row>
    <x:row r="647" ht="64" customHeight="1">
      <x:c r="A647" s="28" t="str">
        <x:v>VEG-0646</x:v>
      </x:c>
      <x:c r="B647" s="28" t="str">
        <x:v>свёкла</x:v>
      </x:c>
      <x:c r="C647" s="28" t="str">
        <x:v>Универсальные</x:v>
      </x:c>
      <x:c r="D647" s="28" t="str">
        <x:v>свёкла</x:v>
      </x:c>
      <x:c r="E647" s="28" t="str">
        <x:v>beetroot</x:v>
      </x:c>
      <x:c r="F647" s="28" t="str">
        <x:v>Корнеплоды</x:v>
      </x:c>
      <x:c r="G647" s="28" t="str">
        <x:v>изюм</x:v>
      </x:c>
      <x:c r="H647" s="28" t="str">
        <x:v>raisin</x:v>
      </x:c>
      <x:c r="I647" s="28" t="str">
        <x:v>Прочее</x:v>
      </x:c>
      <x:c r="J647" s="28" t="str">
        <x:v>землистый, сладкий, минеральный и слегка зелёный</x:v>
      </x:c>
      <x:c r="K647" s="28" t="str">
        <x:v>профиль зависит от конкретного продукта</x:v>
      </x:c>
      <x:c r="L647" s="28" t="str">
        <x:v>геосмин, метоксипиразины, альдегиды, бетаин</x:v>
      </x:c>
      <x:c r="M647" s="28" t="str">
        <x:v>конкретный молекулярный профиль не указан</x:v>
      </x:c>
      <x:c r="N647" s="28" t="str">
        <x:v>прямое пересечение семейств не подтверждено</x:v>
      </x:c>
      <x:c r="O647" s="28" t="str">
        <x:v>надёжная общая ключевая молекула не установлена</x:v>
      </x:c>
      <x:c r="P647" s="28" t="str">
        <x:v>сенсорная комплементарность</x:v>
      </x:c>
      <x:c r="Q647" s="28" t="str">
        <x:v>Сладость и землистость балансируются кислотой, солью, горечью и умами; жир усиливает ощущение округлости.</x:v>
      </x:c>
      <x:c r="R647" s="28" t="str">
        <x:v>минимальный</x:v>
      </x:c>
      <x:c r="S647" s="28" t="str">
        <x:v>водная сахаристая матрица с пигментами беталаинами</x:v>
      </x:c>
      <x:c r="T64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7" s="28" t="str">
        <x:v>Свёкла имеет профиль «землистый, сладкий, минеральный и слегка зелёный». Партнёр «изюм»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47" s="28" t="str">
        <x:v>геосмин легко доминирует; беталаины отвечают за цвет, а не за запах; сильный нагрев снижает яркость цвета</x:v>
      </x:c>
      <x:c r="W647" s="28" t="str">
        <x:v>соль, кислота или ароматический жир</x:v>
      </x:c>
      <x:c r="X647" s="28" t="str">
        <x:v>сок, кордиал, гаспачо, салат, соус, маринад или коктейльный компонент с изюм</x:v>
      </x:c>
      <x:c r="Y647" s="28" t="str">
        <x:v>универсальное</x:v>
      </x:c>
      <x:c r="Z647" s="28" t="str">
        <x:v>Средняя</x:v>
      </x:c>
      <x:c r="AA647" s="28" t="str">
        <x:v>The Art &amp; Science of Foodpairing.pdf</x:v>
      </x:c>
      <x:c r="AB647" s="28" t="str">
        <x:v>The Art &amp; Science of Foodpairing.pdf: 224</x:v>
      </x:c>
      <x:c r="AC647" s="28" t="str">
        <x:v>связь из pairing grid, стр. 224</x:v>
      </x:c>
      <x:c r="AD647" s="28" t="n">
        <x:v>1</x:v>
      </x:c>
      <x:c r="AE647" s="28" t="n">
        <x:v>1</x:v>
      </x:c>
      <x:c r="AF647" s="28" t="n">
        <x:f>IF(Z647="Высокая",3,IF(Z647="Средняя",2,1))+AD647*2+MIN(AE647,3)</x:f>
        <x:v>5</x:v>
      </x:c>
    </x:row>
    <x:row r="648" ht="64" customHeight="1">
      <x:c r="A648" s="28" t="str">
        <x:v>VEG-0647</x:v>
      </x:c>
      <x:c r="B648" s="28" t="str">
        <x:v>свёкла</x:v>
      </x:c>
      <x:c r="C648" s="28" t="str">
        <x:v>Универсальные</x:v>
      </x:c>
      <x:c r="D648" s="28" t="str">
        <x:v>свёкла</x:v>
      </x:c>
      <x:c r="E648" s="28" t="str">
        <x:v>beetroot</x:v>
      </x:c>
      <x:c r="F648" s="28" t="str">
        <x:v>Корнеплоды</x:v>
      </x:c>
      <x:c r="G648" s="28" t="str">
        <x:v>имбирь</x:v>
      </x:c>
      <x:c r="H648" s="28" t="str">
        <x:v>ginger</x:v>
      </x:c>
      <x:c r="I648" s="28" t="str">
        <x:v>Специи</x:v>
      </x:c>
      <x:c r="J648" s="28" t="str">
        <x:v>землистый, сладкий, минеральный и слегка зелёный</x:v>
      </x:c>
      <x:c r="K648" s="28" t="str">
        <x:v>пряный, тёплый, цитрусовый</x:v>
      </x:c>
      <x:c r="L648" s="28" t="str">
        <x:v>геосмин, метоксипиразины, альдегиды, бетаин</x:v>
      </x:c>
      <x:c r="M648" s="28" t="str">
        <x:v>гингеролы, цитраль</x:v>
      </x:c>
      <x:c r="N648" s="28" t="str">
        <x:v>прямое пересечение семейств не подтверждено</x:v>
      </x:c>
      <x:c r="O648" s="28" t="str">
        <x:v>надёжная общая ключевая молекула не установлена</x:v>
      </x:c>
      <x:c r="P648" s="28" t="str">
        <x:v>сенсорная комплементарность</x:v>
      </x:c>
      <x:c r="Q648" s="28" t="str">
        <x:v>Сладость и землистость балансируются кислотой, солью, горечью и умами; жир усиливает ощущение округлости.</x:v>
      </x:c>
      <x:c r="R648" s="28" t="str">
        <x:v>минимальный</x:v>
      </x:c>
      <x:c r="S648" s="28" t="str">
        <x:v>водная сахаристая матрица с пигментами беталаинами</x:v>
      </x:c>
      <x:c r="T64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8" s="28" t="str">
        <x:v>Свёкла имеет профиль «землистый, сладкий, минеральный и слегка зелёный».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648" s="28" t="str">
        <x:v>геосмин легко доминирует; беталаины отвечают за цвет, а не за запах; сильный нагрев снижает яркость цвета</x:v>
      </x:c>
      <x:c r="W648" s="28" t="str">
        <x:v>цитрус, йогурт или мёд</x:v>
      </x:c>
      <x:c r="X648" s="28" t="str">
        <x:v>сок, кордиал, гаспачо, салат, соус, маринад или коктейльный компонент с имбирь</x:v>
      </x:c>
      <x:c r="Y648" s="28" t="str">
        <x:v>универсальное</x:v>
      </x:c>
      <x:c r="Z648" s="28" t="str">
        <x:v>Средняя</x:v>
      </x:c>
      <x:c r="AA648" s="28" t="str">
        <x:v>The Art &amp; Science of Foodpairing.pdf</x:v>
      </x:c>
      <x:c r="AB648" s="28" t="str">
        <x:v>The Art &amp; Science of Foodpairing.pdf: 142</x:v>
      </x:c>
      <x:c r="AC648" s="28" t="str">
        <x:v>связь из pairing grid, стр. 142</x:v>
      </x:c>
      <x:c r="AD648" s="28" t="n">
        <x:v>1</x:v>
      </x:c>
      <x:c r="AE648" s="28" t="n">
        <x:v>1</x:v>
      </x:c>
      <x:c r="AF648" s="28" t="n">
        <x:f>IF(Z648="Высокая",3,IF(Z648="Средняя",2,1))+AD648*2+MIN(AE648,3)</x:f>
        <x:v>5</x:v>
      </x:c>
    </x:row>
    <x:row r="649" ht="64" customHeight="1">
      <x:c r="A649" s="28" t="str">
        <x:v>VEG-0648</x:v>
      </x:c>
      <x:c r="B649" s="28" t="str">
        <x:v>свёкла</x:v>
      </x:c>
      <x:c r="C649" s="28" t="str">
        <x:v>Десерты и выпечка</x:v>
      </x:c>
      <x:c r="D649" s="28" t="str">
        <x:v>свёкла</x:v>
      </x:c>
      <x:c r="E649" s="28" t="str">
        <x:v>beetroot</x:v>
      </x:c>
      <x:c r="F649" s="28" t="str">
        <x:v>Корнеплоды</x:v>
      </x:c>
      <x:c r="G649" s="28" t="str">
        <x:v>инжир</x:v>
      </x:c>
      <x:c r="H649" s="28" t="str">
        <x:v>fig</x:v>
      </x:c>
      <x:c r="I649" s="28" t="str">
        <x:v>Фрукты и ягоды</x:v>
      </x:c>
      <x:c r="J649" s="28" t="str">
        <x:v>землистый, сладкий, минеральный и слегка зелёный</x:v>
      </x:c>
      <x:c r="K649" s="28" t="str">
        <x:v>фруктовый, цветочный и свежий</x:v>
      </x:c>
      <x:c r="L649" s="28" t="str">
        <x:v>геосмин, метоксипиразины, альдегиды, бетаин</x:v>
      </x:c>
      <x:c r="M649" s="28" t="str">
        <x:v>альдегиды, эфиры</x:v>
      </x:c>
      <x:c r="N649" s="28" t="str">
        <x:v>прямое пересечение семейств не подтверждено</x:v>
      </x:c>
      <x:c r="O649" s="28" t="str">
        <x:v>альдегиды</x:v>
      </x:c>
      <x:c r="P649" s="28" t="str">
        <x:v>общие характерные молекулы; кислотно-сладкий баланс</x:v>
      </x:c>
      <x:c r="Q649" s="28" t="str">
        <x:v>Сладость и землистость балансируются кислотой, солью, горечью и умами; жир усиливает ощущение округлости.</x:v>
      </x:c>
      <x:c r="R649" s="28" t="str">
        <x:v>минимальный</x:v>
      </x:c>
      <x:c r="S649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64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49" s="28" t="str">
        <x:v>Свёкла имеет профиль «землистый, сладкий, минеральный и слегка зелёный». Партнёр «инжир»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49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649" s="28" t="str">
        <x:v>цитрус, мёд или мягкая трава</x:v>
      </x:c>
      <x:c r="X649" s="28" t="str">
        <x:v>сок, кордиал, гаспачо, салат, соус, маринад или коктейльный компонент с инжир</x:v>
      </x:c>
      <x:c r="Y649" s="28" t="str">
        <x:v>десерты</x:v>
      </x:c>
      <x:c r="Z649" s="28" t="str">
        <x:v>Средняя</x:v>
      </x:c>
      <x:c r="AA649" s="28" t="str">
        <x:v>The Art &amp; Science of Foodpairing.pdf</x:v>
      </x:c>
      <x:c r="AB649" s="28" t="str">
        <x:v>The Art &amp; Science of Foodpairing.pdf: 224</x:v>
      </x:c>
      <x:c r="AC649" s="28" t="str">
        <x:v>связь из pairing grid, стр. 224</x:v>
      </x:c>
      <x:c r="AD649" s="28" t="n">
        <x:v>1</x:v>
      </x:c>
      <x:c r="AE649" s="28" t="n">
        <x:v>1</x:v>
      </x:c>
      <x:c r="AF649" s="28" t="n">
        <x:f>IF(Z649="Высокая",3,IF(Z649="Средняя",2,1))+AD649*2+MIN(AE649,3)</x:f>
        <x:v>5</x:v>
      </x:c>
    </x:row>
    <x:row r="650" ht="64" customHeight="1">
      <x:c r="A650" s="28" t="str">
        <x:v>VEG-0649</x:v>
      </x:c>
      <x:c r="B650" s="28" t="str">
        <x:v>свёкла</x:v>
      </x:c>
      <x:c r="C650" s="28" t="str">
        <x:v>Универсальные</x:v>
      </x:c>
      <x:c r="D650" s="28" t="str">
        <x:v>свёкла</x:v>
      </x:c>
      <x:c r="E650" s="28" t="str">
        <x:v>Свекла | свекла</x:v>
      </x:c>
      <x:c r="F650" s="28" t="str">
        <x:v>Корнеплоды</x:v>
      </x:c>
      <x:c r="G650" s="28" t="str">
        <x:v>каперсы</x:v>
      </x:c>
      <x:c r="H650" s="28" t="str">
        <x:v>Каперсы | каперсы</x:v>
      </x:c>
      <x:c r="I650" s="28" t="str">
        <x:v>Прочее</x:v>
      </x:c>
      <x:c r="J650" s="28" t="str">
        <x:v>землистый, сладкий, минеральный и слегка зелёный</x:v>
      </x:c>
      <x:c r="K650" s="28" t="str">
        <x:v>профиль зависит от конкретного продукта</x:v>
      </x:c>
      <x:c r="L650" s="28" t="str">
        <x:v>геосмин, метоксипиразины, альдегиды, бетаин</x:v>
      </x:c>
      <x:c r="M650" s="28" t="str">
        <x:v>конкретный молекулярный профиль не указан</x:v>
      </x:c>
      <x:c r="N650" s="28" t="str">
        <x:v>прямое пересечение семейств не подтверждено</x:v>
      </x:c>
      <x:c r="O650" s="28" t="str">
        <x:v>надёжная общая ключевая молекула не установлена</x:v>
      </x:c>
      <x:c r="P650" s="28" t="str">
        <x:v>сенсорная комплементарность</x:v>
      </x:c>
      <x:c r="Q650" s="28" t="str">
        <x:v>Сладость и землистость балансируются кислотой, солью, горечью и умами; жир усиливает ощущение округлости.</x:v>
      </x:c>
      <x:c r="R650" s="28" t="str">
        <x:v>минимальный</x:v>
      </x:c>
      <x:c r="S650" s="28" t="str">
        <x:v>водная сахаристая матрица с пигментами беталаинами</x:v>
      </x:c>
      <x:c r="T65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0" s="28" t="str">
        <x:v>Свёкла имеет профиль «землистый, сладкий, минеральный и слегка зелёный».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50" s="28" t="str">
        <x:v>геосмин легко доминирует; беталаины отвечают за цвет, а не за запах; сильный нагрев снижает яркость цвета</x:v>
      </x:c>
      <x:c r="W650" s="28" t="str">
        <x:v>соль, кислота или ароматический жир</x:v>
      </x:c>
      <x:c r="X650" s="28" t="str">
        <x:v>сок, кордиал, гаспачо, салат, соус, маринад или коктейльный компонент с каперсы</x:v>
      </x:c>
      <x:c r="Y650" s="28" t="str">
        <x:v>универсальное</x:v>
      </x:c>
      <x:c r="Z650" s="28" t="str">
        <x:v>Средняя</x:v>
      </x:c>
      <x:c r="AA650" s="28" t="str">
        <x:v>Тезариус вкусов (Ники Сегнит)(1).pdf</x:v>
      </x:c>
      <x:c r="AB650" s="28" t="str">
        <x:v>Тезариус вкусов (Ники Сегнит)(1).pdf: 223, 271</x:v>
      </x:c>
      <x:c r="AC650" s="28" t="str">
        <x:v>развёрнутая пара/статья, стр. 223; развёрнутая пара/статья, стр. 271</x:v>
      </x:c>
      <x:c r="AD650" s="28" t="n">
        <x:v>1</x:v>
      </x:c>
      <x:c r="AE650" s="28" t="n">
        <x:v>2</x:v>
      </x:c>
      <x:c r="AF650" s="28" t="n">
        <x:f>IF(Z650="Высокая",3,IF(Z650="Средняя",2,1))+AD650*2+MIN(AE650,3)</x:f>
        <x:v>6</x:v>
      </x:c>
    </x:row>
    <x:row r="651" ht="64" customHeight="1">
      <x:c r="A651" s="28" t="str">
        <x:v>VEG-0650</x:v>
      </x:c>
      <x:c r="B651" s="28" t="str">
        <x:v>свёкла</x:v>
      </x:c>
      <x:c r="C651" s="28" t="str">
        <x:v>Еда и соусы</x:v>
      </x:c>
      <x:c r="D651" s="28" t="str">
        <x:v>свёкла</x:v>
      </x:c>
      <x:c r="E651" s="28" t="str">
        <x:v>beetroot</x:v>
      </x:c>
      <x:c r="F651" s="28" t="str">
        <x:v>Корнеплоды</x:v>
      </x:c>
      <x:c r="G651" s="28" t="str">
        <x:v>капуста</x:v>
      </x:c>
      <x:c r="H651" s="28" t="str">
        <x:v>kale</x:v>
      </x:c>
      <x:c r="I651" s="28" t="str">
        <x:v>Крестоцветные</x:v>
      </x:c>
      <x:c r="J651" s="28" t="str">
        <x:v>землистый, сладкий, минеральный и слегка зелёный</x:v>
      </x:c>
      <x:c r="K651" s="28" t="str">
        <x:v>зелёный, горчичный, сернистый и сладковатый после приготовления</x:v>
      </x:c>
      <x:c r="L651" s="28" t="str">
        <x:v>геосмин, метоксипиразины, альдегиды, бетаин</x:v>
      </x:c>
      <x:c r="M651" s="28" t="str">
        <x:v>глюкозинолаты, диметилсульфид, изотиоцианаты, метантиол</x:v>
      </x:c>
      <x:c r="N651" s="28" t="str">
        <x:v>зелёный</x:v>
      </x:c>
      <x:c r="O651" s="28" t="str">
        <x:v>надёжная общая ключевая молекула не установлена</x:v>
      </x:c>
      <x:c r="P651" s="28" t="str">
        <x:v>пересечение ароматических семейств</x:v>
      </x:c>
      <x:c r="Q651" s="28" t="str">
        <x:v>Сладость и землистость балансируются кислотой, солью, горечью и умами; жир усиливает ощущение округлости.</x:v>
      </x:c>
      <x:c r="R651" s="28" t="str">
        <x:v>минимальный</x:v>
      </x:c>
      <x:c r="S651" s="28" t="str">
        <x:v>водная сахаристая матрица с пигментами беталаинами</x:v>
      </x:c>
      <x:c r="T65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1" s="28" t="str">
        <x:v>Свёкла имеет профиль «землистый, сладкий, минеральный и слегка зелёный».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51" s="28" t="str">
        <x:v>геосмин легко доминирует; беталаины отвечают за цвет, а не за запах; сильный нагрев снижает яркость цвета</x:v>
      </x:c>
      <x:c r="W651" s="28" t="str">
        <x:v>соль, кислота или ароматический жир</x:v>
      </x:c>
      <x:c r="X651" s="28" t="str">
        <x:v>сок, кордиал, гаспачо, салат, соус, маринад или коктейльный компонент с капуста</x:v>
      </x:c>
      <x:c r="Y651" s="28" t="str">
        <x:v>еда, соусы/маринады</x:v>
      </x:c>
      <x:c r="Z651" s="28" t="str">
        <x:v>Средняя</x:v>
      </x:c>
      <x:c r="AA651" s="28" t="str">
        <x:v>The Art &amp; Science of Foodpairing.pdf</x:v>
      </x:c>
      <x:c r="AB651" s="28" t="str">
        <x:v>The Art &amp; Science of Foodpairing.pdf: 224</x:v>
      </x:c>
      <x:c r="AC651" s="28" t="str">
        <x:v>связь из pairing grid, стр. 224</x:v>
      </x:c>
      <x:c r="AD651" s="28" t="n">
        <x:v>1</x:v>
      </x:c>
      <x:c r="AE651" s="28" t="n">
        <x:v>1</x:v>
      </x:c>
      <x:c r="AF651" s="28" t="n">
        <x:f>IF(Z651="Высокая",3,IF(Z651="Средняя",2,1))+AD651*2+MIN(AE651,3)</x:f>
        <x:v>5</x:v>
      </x:c>
    </x:row>
    <x:row r="652" ht="64" customHeight="1">
      <x:c r="A652" s="28" t="str">
        <x:v>VEG-0651</x:v>
      </x:c>
      <x:c r="B652" s="28" t="str">
        <x:v>свёкла</x:v>
      </x:c>
      <x:c r="C652" s="28" t="str">
        <x:v>Еда и соусы</x:v>
      </x:c>
      <x:c r="D652" s="28" t="str">
        <x:v>свёкла</x:v>
      </x:c>
      <x:c r="E652" s="28" t="str">
        <x:v>Свекла | свекла</x:v>
      </x:c>
      <x:c r="F652" s="28" t="str">
        <x:v>Корнеплоды</x:v>
      </x:c>
      <x:c r="G652" s="28" t="str">
        <x:v>картофель</x:v>
      </x:c>
      <x:c r="H652" s="28" t="str">
        <x:v>Картофель | картофель</x:v>
      </x:c>
      <x:c r="I652" s="28" t="str">
        <x:v>Корнеплоды и клубни</x:v>
      </x:c>
      <x:c r="J652" s="28" t="str">
        <x:v>землистый, сладкий, минеральный и слегка зелёный</x:v>
      </x:c>
      <x:c r="K652" s="28" t="str">
        <x:v>крахмалистый, землистый, ореховый и жареный после нагрева</x:v>
      </x:c>
      <x:c r="L652" s="28" t="str">
        <x:v>геосмин, метоксипиразины, альдегиды, бетаин</x:v>
      </x:c>
      <x:c r="M652" s="28" t="str">
        <x:v>2-ацетил-1-пирролин, альдегиды, метиональ, пиразины</x:v>
      </x:c>
      <x:c r="N652" s="28" t="str">
        <x:v>землистый</x:v>
      </x:c>
      <x:c r="O652" s="28" t="str">
        <x:v>альдегиды</x:v>
      </x:c>
      <x:c r="P652" s="28" t="str">
        <x:v>общие характерные молекулы; пересечение ароматических семейств</x:v>
      </x:c>
      <x:c r="Q652" s="28" t="str">
        <x:v>Сладость и землистость балансируются кислотой, солью, горечью и умами; жир усиливает ощущение округлости.</x:v>
      </x:c>
      <x:c r="R652" s="28" t="str">
        <x:v>минимальный</x:v>
      </x:c>
      <x:c r="S652" s="28" t="str">
        <x:v>водная сахаристая матрица с пигментами беталаинами</x:v>
      </x:c>
      <x:c r="T65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2" s="28" t="str">
        <x:v>Свёкла имеет профиль «землистый, сладкий, минеральный и слегка зелёный». Партнёр «картофель» относится к группе «Корнеплоды и клубни» и даёт крахмалистый, землистый, ореховый и жареный после нагрева.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52" s="28" t="str">
        <x:v>геосмин легко доминирует; беталаины отвечают за цвет, а не за запах; сильный нагрев снижает яркость цвета</x:v>
      </x:c>
      <x:c r="W652" s="28" t="str">
        <x:v>соль, кислота или ароматический жир</x:v>
      </x:c>
      <x:c r="X652" s="28" t="str">
        <x:v>сок, кордиал, гаспачо, салат, соус, маринад или коктейльный компонент с картофель</x:v>
      </x:c>
      <x:c r="Y652" s="28" t="str">
        <x:v>еда, соусы/маринады</x:v>
      </x:c>
      <x:c r="Z652" s="28" t="str">
        <x:v>Средняя</x:v>
      </x:c>
      <x:c r="AA652" s="28" t="str">
        <x:v>Тезариус вкусов (Ники Сегнит)(1).pdf</x:v>
      </x:c>
      <x:c r="AB652" s="28" t="str">
        <x:v>Тезариус вкусов (Ники Сегнит)(1).pdf: 224, 241</x:v>
      </x:c>
      <x:c r="AC652" s="28" t="str">
        <x:v>развёрнутая пара/статья, стр. 224; развёрнутая пара/статья, стр. 241</x:v>
      </x:c>
      <x:c r="AD652" s="28" t="n">
        <x:v>1</x:v>
      </x:c>
      <x:c r="AE652" s="28" t="n">
        <x:v>2</x:v>
      </x:c>
      <x:c r="AF652" s="28" t="n">
        <x:f>IF(Z652="Высокая",3,IF(Z652="Средняя",2,1))+AD652*2+MIN(AE652,3)</x:f>
        <x:v>6</x:v>
      </x:c>
    </x:row>
    <x:row r="653" ht="64" customHeight="1">
      <x:c r="A653" s="28" t="str">
        <x:v>VEG-0652</x:v>
      </x:c>
      <x:c r="B653" s="28" t="str">
        <x:v>свёкла</x:v>
      </x:c>
      <x:c r="C653" s="28" t="str">
        <x:v>Еда и соусы</x:v>
      </x:c>
      <x:c r="D653" s="28" t="str">
        <x:v>свёкла</x:v>
      </x:c>
      <x:c r="E653" s="28" t="str">
        <x:v>beetroot</x:v>
      </x:c>
      <x:c r="F653" s="28" t="str">
        <x:v>Корнеплоды</x:v>
      </x:c>
      <x:c r="G653" s="28" t="str">
        <x:v>кефаль</x:v>
      </x:c>
      <x:c r="H653" s="28" t="str">
        <x:v>poached grey mullet</x:v>
      </x:c>
      <x:c r="I653" s="28" t="str">
        <x:v>Рыба и морепродукты</x:v>
      </x:c>
      <x:c r="J653" s="28" t="str">
        <x:v>землистый, сладкий, минеральный и слегка зелёный</x:v>
      </x:c>
      <x:c r="K653" s="28" t="str">
        <x:v>морской, солоноватый и умами</x:v>
      </x:c>
      <x:c r="L653" s="28" t="str">
        <x:v>геосмин, метоксипиразины, альдегиды, бетаин</x:v>
      </x:c>
      <x:c r="M653" s="28" t="str">
        <x:v>альдегиды, амины</x:v>
      </x:c>
      <x:c r="N653" s="28" t="str">
        <x:v>прямое пересечение семейств не подтверждено</x:v>
      </x:c>
      <x:c r="O653" s="28" t="str">
        <x:v>альдегиды</x:v>
      </x:c>
      <x:c r="P653" s="28" t="str">
        <x:v>общие характерные молекулы; умами и солёный контраст</x:v>
      </x:c>
      <x:c r="Q653" s="28" t="str">
        <x:v>Сладость и землистость балансируются кислотой, солью, горечью и умами; жир усиливает ощущение округлости.</x:v>
      </x:c>
      <x:c r="R653" s="28" t="str">
        <x:v>минимальный</x:v>
      </x:c>
      <x:c r="S653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5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3" s="28" t="str">
        <x:v>Свёкла имеет профиль «землистый, сладкий, минеральный и слегка зелёный». Партнёр «кефаль»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53" s="28" t="str">
        <x:v>геосмин легко доминирует; беталаины отвечают за цвет, а не за запах; сильный нагрев снижает яркость цвета</x:v>
      </x:c>
      <x:c r="W653" s="28" t="str">
        <x:v>сливочное масло, соевый соус или тимьян</x:v>
      </x:c>
      <x:c r="X653" s="28" t="str">
        <x:v>сок, кордиал, гаспачо, салат, соус, маринад или коктейльный компонент с кефаль</x:v>
      </x:c>
      <x:c r="Y653" s="28" t="str">
        <x:v>еда, соусы/маринады</x:v>
      </x:c>
      <x:c r="Z653" s="28" t="str">
        <x:v>Средняя</x:v>
      </x:c>
      <x:c r="AA653" s="28" t="str">
        <x:v>The Art &amp; Science of Foodpairing.pdf</x:v>
      </x:c>
      <x:c r="AB653" s="28" t="str">
        <x:v>The Art &amp; Science of Foodpairing.pdf: 224</x:v>
      </x:c>
      <x:c r="AC653" s="28" t="str">
        <x:v>связь из pairing grid, стр. 224</x:v>
      </x:c>
      <x:c r="AD653" s="28" t="n">
        <x:v>1</x:v>
      </x:c>
      <x:c r="AE653" s="28" t="n">
        <x:v>1</x:v>
      </x:c>
      <x:c r="AF653" s="28" t="n">
        <x:f>IF(Z653="Высокая",3,IF(Z653="Средняя",2,1))+AD653*2+MIN(AE653,3)</x:f>
        <x:v>5</x:v>
      </x:c>
    </x:row>
    <x:row r="654" ht="64" customHeight="1">
      <x:c r="A654" s="28" t="str">
        <x:v>VEG-0653</x:v>
      </x:c>
      <x:c r="B654" s="28" t="str">
        <x:v>свёкла</x:v>
      </x:c>
      <x:c r="C654" s="28" t="str">
        <x:v>Еда и соусы</x:v>
      </x:c>
      <x:c r="D654" s="28" t="str">
        <x:v>свёкла</x:v>
      </x:c>
      <x:c r="E654" s="28" t="str">
        <x:v>roasted beetroot</x:v>
      </x:c>
      <x:c r="F654" s="28" t="str">
        <x:v>Корнеплоды</x:v>
      </x:c>
      <x:c r="G654" s="28" t="str">
        <x:v>кимчи</x:v>
      </x:c>
      <x:c r="H654" s="28" t="str">
        <x:v>baechu kimchi</x:v>
      </x:c>
      <x:c r="I654" s="28" t="str">
        <x:v>Ферментированные продукты и соусы</x:v>
      </x:c>
      <x:c r="J654" s="28" t="str">
        <x:v>землистый, сладкий, минеральный и слегка зелёный</x:v>
      </x:c>
      <x:c r="K654" s="28" t="str">
        <x:v>ферментированный, умами и сложный</x:v>
      </x:c>
      <x:c r="L654" s="28" t="str">
        <x:v>геосмин, метоксипиразины, альдегиды, бетаин</x:v>
      </x:c>
      <x:c r="M654" s="28" t="str">
        <x:v>пиразины, фураны, эфиры</x:v>
      </x:c>
      <x:c r="N654" s="28" t="str">
        <x:v>прямое пересечение семейств не подтверждено</x:v>
      </x:c>
      <x:c r="O654" s="28" t="str">
        <x:v>надёжная общая ключевая молекула не установлена</x:v>
      </x:c>
      <x:c r="P654" s="28" t="str">
        <x:v>умами и солёный контраст</x:v>
      </x:c>
      <x:c r="Q654" s="28" t="str">
        <x:v>Сладость и землистость балансируются кислотой, солью, горечью и умами; жир усиливает ощущение округлости.</x:v>
      </x:c>
      <x:c r="R654" s="28" t="str">
        <x:v>минимальный</x:v>
      </x:c>
      <x:c r="S654" s="28" t="str">
        <x:v>водная сахаристая матрица с пигментами беталаинами</x:v>
      </x:c>
      <x:c r="T65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4" s="28" t="str">
        <x:v>Свёкла имеет профиль «землистый, сладкий, минеральный и слегка зелёный».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54" s="28" t="str">
        <x:v>геосмин легко доминирует; беталаины отвечают за цвет, а не за запах; сильный нагрев снижает яркость цвета</x:v>
      </x:c>
      <x:c r="W654" s="28" t="str">
        <x:v>имбирь, чеснок или кунжут</x:v>
      </x:c>
      <x:c r="X654" s="28" t="str">
        <x:v>сок, кордиал, гаспачо, салат, соус, маринад или коктейльный компонент с кимчи</x:v>
      </x:c>
      <x:c r="Y654" s="28" t="str">
        <x:v>еда, соусы/маринады</x:v>
      </x:c>
      <x:c r="Z654" s="28" t="str">
        <x:v>Средняя</x:v>
      </x:c>
      <x:c r="AA654" s="28" t="str">
        <x:v>The Art &amp; Science of Foodpairing.pdf</x:v>
      </x:c>
      <x:c r="AB654" s="28" t="str">
        <x:v>The Art &amp; Science of Foodpairing.pdf: 305</x:v>
      </x:c>
      <x:c r="AC654" s="28" t="str">
        <x:v>связь из pairing grid, стр. 305</x:v>
      </x:c>
      <x:c r="AD654" s="28" t="n">
        <x:v>1</x:v>
      </x:c>
      <x:c r="AE654" s="28" t="n">
        <x:v>1</x:v>
      </x:c>
      <x:c r="AF654" s="28" t="n">
        <x:f>IF(Z654="Высокая",3,IF(Z654="Средняя",2,1))+AD654*2+MIN(AE654,3)</x:f>
        <x:v>5</x:v>
      </x:c>
    </x:row>
    <x:row r="655" ht="64" customHeight="1">
      <x:c r="A655" s="28" t="str">
        <x:v>VEG-0654</x:v>
      </x:c>
      <x:c r="B655" s="28" t="str">
        <x:v>свёкла</x:v>
      </x:c>
      <x:c r="C655" s="28" t="str">
        <x:v>Десерты и выпечка</x:v>
      </x:c>
      <x:c r="D655" s="28" t="str">
        <x:v>свёкла</x:v>
      </x:c>
      <x:c r="E655" s="28" t="str">
        <x:v>Свекла | свекла</x:v>
      </x:c>
      <x:c r="F655" s="28" t="str">
        <x:v>Корнеплоды</x:v>
      </x:c>
      <x:c r="G655" s="28" t="str">
        <x:v>козий сыр</x:v>
      </x:c>
      <x:c r="H655" s="28" t="str">
        <x:v>Козий сыр | козий сыр</x:v>
      </x:c>
      <x:c r="I655" s="28" t="str">
        <x:v>Молочные продукты и сыры</x:v>
      </x:c>
      <x:c r="J655" s="28" t="str">
        <x:v>землистый, сладкий, минеральный и слегка зелёный</x:v>
      </x:c>
      <x:c r="K655" s="28" t="str">
        <x:v>молочный, умами, ферментированный</x:v>
      </x:c>
      <x:c r="L655" s="28" t="str">
        <x:v>геосмин, метоксипиразины, альдегиды, бетаин</x:v>
      </x:c>
      <x:c r="M655" s="28" t="str">
        <x:v>диацетил, жирные кислоты</x:v>
      </x:c>
      <x:c r="N655" s="28" t="str">
        <x:v>прямое пересечение семейств не подтверждено</x:v>
      </x:c>
      <x:c r="O655" s="28" t="str">
        <x:v>надёжная общая ключевая молекула не установлена</x:v>
      </x:c>
      <x:c r="P655" s="28" t="str">
        <x:v>жировая матрица</x:v>
      </x:c>
      <x:c r="Q655" s="28" t="str">
        <x:v>Сладость и землистость балансируются кислотой, солью, горечью и умами; жир усиливает ощущение округлости.</x:v>
      </x:c>
      <x:c r="R655" s="28" t="str">
        <x:v>минимальный</x:v>
      </x:c>
      <x:c r="S655" s="28" t="str">
        <x:v>водная сахаристая матрица с пигментами беталаинами Жировая фаза удерживает гидрофобные молекулы, но может сделать вкус тяжёлым.</x:v>
      </x:c>
      <x:c r="T65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5" s="28" t="str">
        <x:v>Свёкла имеет профиль «землистый, сладкий, минеральный и слегка зелёный».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655" s="28" t="str">
        <x:v>геосмин легко доминирует; беталаины отвечают за цвет, а не за запах; сильный нагрев снижает яркость цвета; жир способен приглушить свежую зелёную ароматику</x:v>
      </x:c>
      <x:c r="W655" s="28" t="str">
        <x:v>кислота, зелень или жареный орех</x:v>
      </x:c>
      <x:c r="X655" s="28" t="str">
        <x:v>сок, кордиал, гаспачо, салат, соус, маринад или коктейльный компонент с козий сыр</x:v>
      </x:c>
      <x:c r="Y655" s="28" t="str">
        <x:v>десерты</x:v>
      </x:c>
      <x:c r="Z655" s="28" t="str">
        <x:v>Средняя</x:v>
      </x:c>
      <x:c r="AA655" s="28" t="str">
        <x:v>Тезариус вкусов (Ники Сегнит)(1).pdf</x:v>
      </x:c>
      <x:c r="AB655" s="28" t="str">
        <x:v>Тезариус вкусов (Ники Сегнит)(1).pdf: 143, 224</x:v>
      </x:c>
      <x:c r="AC655" s="28" t="str">
        <x:v>развёрнутая пара/статья, стр. 143; развёрнутая пара/статья, стр. 224</x:v>
      </x:c>
      <x:c r="AD655" s="28" t="n">
        <x:v>1</x:v>
      </x:c>
      <x:c r="AE655" s="28" t="n">
        <x:v>2</x:v>
      </x:c>
      <x:c r="AF655" s="28" t="n">
        <x:f>IF(Z655="Высокая",3,IF(Z655="Средняя",2,1))+AD655*2+MIN(AE655,3)</x:f>
        <x:v>6</x:v>
      </x:c>
    </x:row>
    <x:row r="656" ht="64" customHeight="1">
      <x:c r="A656" s="28" t="str">
        <x:v>VEG-0655</x:v>
      </x:c>
      <x:c r="B656" s="28" t="str">
        <x:v>свёкла</x:v>
      </x:c>
      <x:c r="C656" s="28" t="str">
        <x:v>Универсальные</x:v>
      </x:c>
      <x:c r="D656" s="28" t="str">
        <x:v>свёкла</x:v>
      </x:c>
      <x:c r="E656" s="28" t="str">
        <x:v>beetroot | pan-fried beetroot | Свекла | свекла</x:v>
      </x:c>
      <x:c r="F656" s="28" t="str">
        <x:v>Корнеплоды</x:v>
      </x:c>
      <x:c r="G656" s="28" t="str">
        <x:v>кокос</x:v>
      </x:c>
      <x:c r="H656" s="28" t="str">
        <x:v>coconut | Кокос | кокос</x:v>
      </x:c>
      <x:c r="I656" s="28" t="str">
        <x:v>Прочее</x:v>
      </x:c>
      <x:c r="J656" s="28" t="str">
        <x:v>землистый, сладкий, минеральный и слегка зелёный</x:v>
      </x:c>
      <x:c r="K656" s="28" t="str">
        <x:v>лактонный, сливочный</x:v>
      </x:c>
      <x:c r="L656" s="28" t="str">
        <x:v>геосмин, метоксипиразины, альдегиды, бетаин</x:v>
      </x:c>
      <x:c r="M656" s="28" t="str">
        <x:v>лактоны</x:v>
      </x:c>
      <x:c r="N656" s="28" t="str">
        <x:v>прямое пересечение семейств не подтверждено</x:v>
      </x:c>
      <x:c r="O656" s="28" t="str">
        <x:v>надёжная общая ключевая молекула не установлена</x:v>
      </x:c>
      <x:c r="P656" s="28" t="str">
        <x:v>сенсорная комплементарность</x:v>
      </x:c>
      <x:c r="Q656" s="28" t="str">
        <x:v>Сладость и землистость балансируются кислотой, солью, горечью и умами; жир усиливает ощущение округлости.</x:v>
      </x:c>
      <x:c r="R656" s="28" t="str">
        <x:v>минимальный</x:v>
      </x:c>
      <x:c r="S656" s="28" t="str">
        <x:v>водная сахаристая матрица с пигментами беталаинами</x:v>
      </x:c>
      <x:c r="T65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6" s="28" t="str">
        <x:v>Свёкла имеет профиль «землистый, сладкий, минеральный и слегка зелёный».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56" s="28" t="str">
        <x:v>геосмин легко доминирует; беталаины отвечают за цвет, а не за запах; сильный нагрев снижает яркость цвета</x:v>
      </x:c>
      <x:c r="W656" s="28" t="str">
        <x:v>соль, кислота или ароматический жир</x:v>
      </x:c>
      <x:c r="X656" s="28" t="str">
        <x:v>сок, кордиал, гаспачо, салат, соус, маринад или коктейльный компонент с кокос</x:v>
      </x:c>
      <x:c r="Y656" s="28" t="str">
        <x:v>универсальное</x:v>
      </x:c>
      <x:c r="Z656" s="28" t="str">
        <x:v>Высокая</x:v>
      </x:c>
      <x:c r="AA656" s="28" t="str">
        <x:v>The Art &amp; Science of Foodpairing.pdf | Тезариус вкусов (Ники Сегнит)(1).pdf</x:v>
      </x:c>
      <x:c r="AB656" s="28" t="str">
        <x:v>Тезариус вкусов (Ники Сегнит)(1).pdf: 225, 759; The Art &amp; Science of Foodpairing.pdf: 135, 224</x:v>
      </x:c>
      <x:c r="AC656" s="28" t="str">
        <x:v>развёрнутая пара/статья, стр. 225; развёрнутая пара/статья, стр. 759; связь из pairing grid, стр. 135; связь из pairing grid, стр. 224</x:v>
      </x:c>
      <x:c r="AD656" s="28" t="n">
        <x:v>2</x:v>
      </x:c>
      <x:c r="AE656" s="28" t="n">
        <x:v>4</x:v>
      </x:c>
      <x:c r="AF656" s="28" t="n">
        <x:f>IF(Z656="Высокая",3,IF(Z656="Средняя",2,1))+AD656*2+MIN(AE656,3)</x:f>
        <x:v>10</x:v>
      </x:c>
    </x:row>
    <x:row r="657" ht="64" customHeight="1">
      <x:c r="A657" s="28" t="str">
        <x:v>VEG-0656</x:v>
      </x:c>
      <x:c r="B657" s="28" t="str">
        <x:v>свёкла</x:v>
      </x:c>
      <x:c r="C657" s="28" t="str">
        <x:v>Напитки</x:v>
      </x:c>
      <x:c r="D657" s="28" t="str">
        <x:v>свёкла</x:v>
      </x:c>
      <x:c r="E657" s="28" t="str">
        <x:v>beetroot tops (beet greens)</x:v>
      </x:c>
      <x:c r="F657" s="28" t="str">
        <x:v>Корнеплоды</x:v>
      </x:c>
      <x:c r="G657" s="28" t="str">
        <x:v>коньяк</x:v>
      </x:c>
      <x:c r="H657" s="28" t="str">
        <x:v>cognac</x:v>
      </x:c>
      <x:c r="I657" s="28" t="str">
        <x:v>Алкогольные напитки</x:v>
      </x:c>
      <x:c r="J657" s="28" t="str">
        <x:v>землистый, сладкий, минеральный и слегка зелёный</x:v>
      </x:c>
      <x:c r="K657" s="28" t="str">
        <x:v>спиртовой, фруктовый или древесный</x:v>
      </x:c>
      <x:c r="L657" s="28" t="str">
        <x:v>геосмин, метоксипиразины, альдегиды, бетаин</x:v>
      </x:c>
      <x:c r="M657" s="28" t="str">
        <x:v>альдегиды, эфиры</x:v>
      </x:c>
      <x:c r="N657" s="28" t="str">
        <x:v>прямое пересечение семейств не подтверждено</x:v>
      </x:c>
      <x:c r="O657" s="28" t="str">
        <x:v>альдегиды</x:v>
      </x:c>
      <x:c r="P657" s="28" t="str">
        <x:v>общие характерные молекулы</x:v>
      </x:c>
      <x:c r="Q657" s="28" t="str">
        <x:v>Сладость и землистость балансируются кислотой, солью, горечью и умами; жир усиливает ощущение округлости.</x:v>
      </x:c>
      <x:c r="R657" s="28" t="str">
        <x:v>минимальный</x:v>
      </x:c>
      <x:c r="S657" s="28" t="str">
        <x:v>водная сахаристая матрица с пигментами беталаинами Этанол извлекает терпены и сернистые соединения эффективнее воды; время контакта ограничивать.</x:v>
      </x:c>
      <x:c r="T65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7" s="28" t="str">
        <x:v>Свёкла имеет профиль «землистый, сладкий, минеральный и слегка зелёный». Партнёр «коньяк»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57" s="28" t="str">
        <x:v>геосмин легко доминирует; беталаины отвечают за цвет, а не за запах; сильный нагрев снижает яркость цвета</x:v>
      </x:c>
      <x:c r="W657" s="28" t="str">
        <x:v>соль, кислота или ароматический жир</x:v>
      </x:c>
      <x:c r="X657" s="28" t="str">
        <x:v>сок, кордиал, гаспачо, салат, соус, маринад или коктейльный компонент с коньяк</x:v>
      </x:c>
      <x:c r="Y657" s="28" t="str">
        <x:v>напитки</x:v>
      </x:c>
      <x:c r="Z657" s="28" t="str">
        <x:v>Средняя</x:v>
      </x:c>
      <x:c r="AA657" s="28" t="str">
        <x:v>The Art &amp; Science of Foodpairing.pdf</x:v>
      </x:c>
      <x:c r="AB657" s="28" t="str">
        <x:v>The Art &amp; Science of Foodpairing.pdf: 123</x:v>
      </x:c>
      <x:c r="AC657" s="28" t="str">
        <x:v>связь из pairing grid, стр. 123</x:v>
      </x:c>
      <x:c r="AD657" s="28" t="n">
        <x:v>1</x:v>
      </x:c>
      <x:c r="AE657" s="28" t="n">
        <x:v>1</x:v>
      </x:c>
      <x:c r="AF657" s="28" t="n">
        <x:f>IF(Z657="Высокая",3,IF(Z657="Средняя",2,1))+AD657*2+MIN(AE657,3)</x:f>
        <x:v>5</x:v>
      </x:c>
    </x:row>
    <x:row r="658" ht="64" customHeight="1">
      <x:c r="A658" s="28" t="str">
        <x:v>VEG-0657</x:v>
      </x:c>
      <x:c r="B658" s="28" t="str">
        <x:v>свёкла</x:v>
      </x:c>
      <x:c r="C658" s="28" t="str">
        <x:v>Еда и соусы</x:v>
      </x:c>
      <x:c r="D658" s="28" t="str">
        <x:v>свёкла</x:v>
      </x:c>
      <x:c r="E658" s="28" t="str">
        <x:v>beetroot</x:v>
      </x:c>
      <x:c r="F658" s="28" t="str">
        <x:v>Корнеплоды</x:v>
      </x:c>
      <x:c r="G658" s="28" t="str">
        <x:v>копчёный лосось</x:v>
      </x:c>
      <x:c r="H658" s="28" t="str">
        <x:v>smoked Atlantic salmon</x:v>
      </x:c>
      <x:c r="I658" s="28" t="str">
        <x:v>Рыба и морепродукты</x:v>
      </x:c>
      <x:c r="J658" s="28" t="str">
        <x:v>землистый, сладкий, минеральный и слегка зелёный</x:v>
      </x:c>
      <x:c r="K658" s="28" t="str">
        <x:v>морской, солоноватый и умами</x:v>
      </x:c>
      <x:c r="L658" s="28" t="str">
        <x:v>геосмин, метоксипиразины, альдегиды, бетаин</x:v>
      </x:c>
      <x:c r="M658" s="28" t="str">
        <x:v>альдегиды, амины</x:v>
      </x:c>
      <x:c r="N658" s="28" t="str">
        <x:v>прямое пересечение семейств не подтверждено</x:v>
      </x:c>
      <x:c r="O658" s="28" t="str">
        <x:v>альдегиды</x:v>
      </x:c>
      <x:c r="P658" s="28" t="str">
        <x:v>общие характерные молекулы; умами и солёный контраст</x:v>
      </x:c>
      <x:c r="Q658" s="28" t="str">
        <x:v>Сладость и землистость балансируются кислотой, солью, горечью и умами; жир усиливает ощущение округлости.</x:v>
      </x:c>
      <x:c r="R658" s="28" t="str">
        <x:v>минимальный</x:v>
      </x:c>
      <x:c r="S658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5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8" s="28" t="str">
        <x:v>Свёкла имеет профиль «землистый, сладкий, минеральный и слегка зелёный». Партнёр «копчёный лосось»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58" s="28" t="str">
        <x:v>геосмин легко доминирует; беталаины отвечают за цвет, а не за запах; сильный нагрев снижает яркость цвета</x:v>
      </x:c>
      <x:c r="W658" s="28" t="str">
        <x:v>сливочное масло, соевый соус или тимьян</x:v>
      </x:c>
      <x:c r="X658" s="28" t="str">
        <x:v>сок, кордиал, гаспачо, салат, соус, маринад или коктейльный компонент с копчёный лосось</x:v>
      </x:c>
      <x:c r="Y658" s="28" t="str">
        <x:v>еда, соусы/маринады</x:v>
      </x:c>
      <x:c r="Z658" s="28" t="str">
        <x:v>Средняя</x:v>
      </x:c>
      <x:c r="AA658" s="28" t="str">
        <x:v>The Art &amp; Science of Foodpairing.pdf</x:v>
      </x:c>
      <x:c r="AB658" s="28" t="str">
        <x:v>The Art &amp; Science of Foodpairing.pdf: 224</x:v>
      </x:c>
      <x:c r="AC658" s="28" t="str">
        <x:v>связь из pairing grid, стр. 224</x:v>
      </x:c>
      <x:c r="AD658" s="28" t="n">
        <x:v>1</x:v>
      </x:c>
      <x:c r="AE658" s="28" t="n">
        <x:v>1</x:v>
      </x:c>
      <x:c r="AF658" s="28" t="n">
        <x:f>IF(Z658="Высокая",3,IF(Z658="Средняя",2,1))+AD658*2+MIN(AE658,3)</x:f>
        <x:v>5</x:v>
      </x:c>
    </x:row>
    <x:row r="659" ht="64" customHeight="1">
      <x:c r="A659" s="28" t="str">
        <x:v>VEG-0658</x:v>
      </x:c>
      <x:c r="B659" s="28" t="str">
        <x:v>свёкла</x:v>
      </x:c>
      <x:c r="C659" s="28" t="str">
        <x:v>Универсальные</x:v>
      </x:c>
      <x:c r="D659" s="28" t="str">
        <x:v>свёкла</x:v>
      </x:c>
      <x:c r="E659" s="28" t="str">
        <x:v>beetroot</x:v>
      </x:c>
      <x:c r="F659" s="28" t="str">
        <x:v>Корнеплоды</x:v>
      </x:c>
      <x:c r="G659" s="28" t="str">
        <x:v>костный мозг</x:v>
      </x:c>
      <x:c r="H659" s="28" t="str">
        <x:v>roast bone marrow</x:v>
      </x:c>
      <x:c r="I659" s="28" t="str">
        <x:v>Прочее</x:v>
      </x:c>
      <x:c r="J659" s="28" t="str">
        <x:v>землистый, сладкий, минеральный и слегка зелёный</x:v>
      </x:c>
      <x:c r="K659" s="28" t="str">
        <x:v>профиль зависит от конкретного продукта</x:v>
      </x:c>
      <x:c r="L659" s="28" t="str">
        <x:v>геосмин, метоксипиразины, альдегиды, бетаин</x:v>
      </x:c>
      <x:c r="M659" s="28" t="str">
        <x:v>конкретный молекулярный профиль не указан</x:v>
      </x:c>
      <x:c r="N659" s="28" t="str">
        <x:v>прямое пересечение семейств не подтверждено</x:v>
      </x:c>
      <x:c r="O659" s="28" t="str">
        <x:v>надёжная общая ключевая молекула не установлена</x:v>
      </x:c>
      <x:c r="P659" s="28" t="str">
        <x:v>сенсорная комплементарность</x:v>
      </x:c>
      <x:c r="Q659" s="28" t="str">
        <x:v>Сладость и землистость балансируются кислотой, солью, горечью и умами; жир усиливает ощущение округлости.</x:v>
      </x:c>
      <x:c r="R659" s="28" t="str">
        <x:v>минимальный</x:v>
      </x:c>
      <x:c r="S659" s="28" t="str">
        <x:v>водная сахаристая матрица с пигментами беталаинами</x:v>
      </x:c>
      <x:c r="T65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59" s="28" t="str">
        <x:v>Свёкла имеет профиль «землистый, сладкий, минеральный и слегка зелёный». Партнёр «костный мозг»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59" s="28" t="str">
        <x:v>геосмин легко доминирует; беталаины отвечают за цвет, а не за запах; сильный нагрев снижает яркость цвета</x:v>
      </x:c>
      <x:c r="W659" s="28" t="str">
        <x:v>соль, кислота или ароматический жир</x:v>
      </x:c>
      <x:c r="X659" s="28" t="str">
        <x:v>сок, кордиал, гаспачо, салат, соус, маринад или коктейльный компонент с костный мозг</x:v>
      </x:c>
      <x:c r="Y659" s="28" t="str">
        <x:v>универсальное</x:v>
      </x:c>
      <x:c r="Z659" s="28" t="str">
        <x:v>Средняя</x:v>
      </x:c>
      <x:c r="AA659" s="28" t="str">
        <x:v>The Art &amp; Science of Foodpairing.pdf</x:v>
      </x:c>
      <x:c r="AB659" s="28" t="str">
        <x:v>The Art &amp; Science of Foodpairing.pdf: 224</x:v>
      </x:c>
      <x:c r="AC659" s="28" t="str">
        <x:v>связь из pairing grid, стр. 224</x:v>
      </x:c>
      <x:c r="AD659" s="28" t="n">
        <x:v>1</x:v>
      </x:c>
      <x:c r="AE659" s="28" t="n">
        <x:v>1</x:v>
      </x:c>
      <x:c r="AF659" s="28" t="n">
        <x:f>IF(Z659="Высокая",3,IF(Z659="Средняя",2,1))+AD659*2+MIN(AE659,3)</x:f>
        <x:v>5</x:v>
      </x:c>
    </x:row>
    <x:row r="660" ht="64" customHeight="1">
      <x:c r="A660" s="28" t="str">
        <x:v>VEG-0659</x:v>
      </x:c>
      <x:c r="B660" s="28" t="str">
        <x:v>свёкла</x:v>
      </x:c>
      <x:c r="C660" s="28" t="str">
        <x:v>Напитки</x:v>
      </x:c>
      <x:c r="D660" s="28" t="str">
        <x:v>свёкла</x:v>
      </x:c>
      <x:c r="E660" s="28" t="str">
        <x:v>pan-fried beetroot</x:v>
      </x:c>
      <x:c r="F660" s="28" t="str">
        <x:v>Корнеплоды</x:v>
      </x:c>
      <x:c r="G660" s="28" t="str">
        <x:v>кофе</x:v>
      </x:c>
      <x:c r="H660" s="28" t="str">
        <x:v>coffee</x:v>
      </x:c>
      <x:c r="I660" s="28" t="str">
        <x:v>Кофе</x:v>
      </x:c>
      <x:c r="J660" s="28" t="str">
        <x:v>землистый, сладкий, минеральный и слегка зелёный</x:v>
      </x:c>
      <x:c r="K660" s="28" t="str">
        <x:v>жареный, карамельный, ореховый</x:v>
      </x:c>
      <x:c r="L660" s="28" t="str">
        <x:v>геосмин, метоксипиразины, альдегиды, бетаин</x:v>
      </x:c>
      <x:c r="M660" s="28" t="str">
        <x:v>гваякол, пиразины, фураны</x:v>
      </x:c>
      <x:c r="N660" s="28" t="str">
        <x:v>прямое пересечение семейств не подтверждено</x:v>
      </x:c>
      <x:c r="O660" s="28" t="str">
        <x:v>надёжная общая ключевая молекула не установлена</x:v>
      </x:c>
      <x:c r="P660" s="28" t="str">
        <x:v>сенсорная комплементарность</x:v>
      </x:c>
      <x:c r="Q660" s="28" t="str">
        <x:v>Сладость и землистость балансируются кислотой, солью, горечью и умами; жир усиливает ощущение округлости.</x:v>
      </x:c>
      <x:c r="R660" s="28" t="str">
        <x:v>минимальный</x:v>
      </x:c>
      <x:c r="S660" s="28" t="str">
        <x:v>водная сахаристая матрица с пигментами беталаинами</x:v>
      </x:c>
      <x:c r="T66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0" s="28" t="str">
        <x:v>Свёкла имеет профиль «землистый, сладкий, минеральный и слегка зелёный».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60" s="28" t="str">
        <x:v>геосмин легко доминирует; беталаины отвечают за цвет, а не за запах; сильный нагрев снижает яркость цвета; жареная горечь легко маскирует нежный овощной аромат</x:v>
      </x:c>
      <x:c r="W660" s="28" t="str">
        <x:v>сливки, орех или карамель</x:v>
      </x:c>
      <x:c r="X660" s="28" t="str">
        <x:v>сок, кордиал, гаспачо, салат, соус, маринад или коктейльный компонент с кофе</x:v>
      </x:c>
      <x:c r="Y660" s="28" t="str">
        <x:v>напитки</x:v>
      </x:c>
      <x:c r="Z660" s="28" t="str">
        <x:v>Средняя</x:v>
      </x:c>
      <x:c r="AA660" s="28" t="str">
        <x:v>The Art &amp; Science of Foodpairing.pdf</x:v>
      </x:c>
      <x:c r="AB660" s="28" t="str">
        <x:v>The Art &amp; Science of Foodpairing.pdf: 297</x:v>
      </x:c>
      <x:c r="AC660" s="28" t="str">
        <x:v>связь из pairing grid, стр. 297</x:v>
      </x:c>
      <x:c r="AD660" s="28" t="n">
        <x:v>1</x:v>
      </x:c>
      <x:c r="AE660" s="28" t="n">
        <x:v>1</x:v>
      </x:c>
      <x:c r="AF660" s="28" t="n">
        <x:f>IF(Z660="Высокая",3,IF(Z660="Средняя",2,1))+AD660*2+MIN(AE660,3)</x:f>
        <x:v>5</x:v>
      </x:c>
    </x:row>
    <x:row r="661" ht="64" customHeight="1">
      <x:c r="A661" s="28" t="str">
        <x:v>VEG-0660</x:v>
      </x:c>
      <x:c r="B661" s="28" t="str">
        <x:v>свёкла</x:v>
      </x:c>
      <x:c r="C661" s="28" t="str">
        <x:v>Десерты и выпечка</x:v>
      </x:c>
      <x:c r="D661" s="28" t="str">
        <x:v>свёкла</x:v>
      </x:c>
      <x:c r="E661" s="28" t="str">
        <x:v>boiled peeled beetroot</x:v>
      </x:c>
      <x:c r="F661" s="28" t="str">
        <x:v>Корнеплоды</x:v>
      </x:c>
      <x:c r="G661" s="28" t="str">
        <x:v>кунжут, халва и тахини</x:v>
      </x:c>
      <x:c r="H661" s="28" t="str">
        <x:v>sesame seeds, halva and tahini</x:v>
      </x:c>
      <x:c r="I661" s="28" t="str">
        <x:v>Орехи и семена</x:v>
      </x:c>
      <x:c r="J661" s="28" t="str">
        <x:v>землистый, сладкий, минеральный и слегка зелёный</x:v>
      </x:c>
      <x:c r="K661" s="28" t="str">
        <x:v>ореховый, жареный и жирный</x:v>
      </x:c>
      <x:c r="L661" s="28" t="str">
        <x:v>геосмин, метоксипиразины, альдегиды, бетаин</x:v>
      </x:c>
      <x:c r="M661" s="28" t="str">
        <x:v>альдегиды, пиразины, фураны</x:v>
      </x:c>
      <x:c r="N661" s="28" t="str">
        <x:v>прямое пересечение семейств не подтверждено</x:v>
      </x:c>
      <x:c r="O661" s="28" t="str">
        <x:v>альдегиды</x:v>
      </x:c>
      <x:c r="P661" s="28" t="str">
        <x:v>общие характерные молекулы</x:v>
      </x:c>
      <x:c r="Q661" s="28" t="str">
        <x:v>Сладость и землистость балансируются кислотой, солью, горечью и умами; жир усиливает ощущение округлости.</x:v>
      </x:c>
      <x:c r="R661" s="28" t="str">
        <x:v>минимальный</x:v>
      </x:c>
      <x:c r="S661" s="28" t="str">
        <x:v>водная сахаристая матрица с пигментами беталаинами</x:v>
      </x:c>
      <x:c r="T66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1" s="28" t="str">
        <x:v>Свёкла имеет профиль «землистый, сладкий, минеральный и слегка зелёный». Партнёр «кунжут, халва и тахини» относится к группе «Орехи и семена» и даёт ореховый, жареный и жирный.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61" s="28" t="str">
        <x:v>геосмин легко доминирует; беталаины отвечают за цвет, а не за запах; сильный нагрев снижает яркость цвета</x:v>
      </x:c>
      <x:c r="W661" s="28" t="str">
        <x:v>соль, кислота или ароматический жир</x:v>
      </x:c>
      <x:c r="X661" s="28" t="str">
        <x:v>сок, кордиал, гаспачо, салат, соус, маринад или коктейльный компонент с кунжут, халва и тахини</x:v>
      </x:c>
      <x:c r="Y661" s="28" t="str">
        <x:v>десерты</x:v>
      </x:c>
      <x:c r="Z661" s="28" t="str">
        <x:v>Средняя</x:v>
      </x:c>
      <x:c r="AA661" s="28" t="str">
        <x:v>The Art &amp; Science of Foodpairing.pdf</x:v>
      </x:c>
      <x:c r="AB661" s="28" t="str">
        <x:v>The Art &amp; Science of Foodpairing.pdf: 308</x:v>
      </x:c>
      <x:c r="AC661" s="28" t="str">
        <x:v>связь из pairing grid, стр. 308</x:v>
      </x:c>
      <x:c r="AD661" s="28" t="n">
        <x:v>1</x:v>
      </x:c>
      <x:c r="AE661" s="28" t="n">
        <x:v>1</x:v>
      </x:c>
      <x:c r="AF661" s="28" t="n">
        <x:f>IF(Z661="Высокая",3,IF(Z661="Средняя",2,1))+AD661*2+MIN(AE661,3)</x:f>
        <x:v>5</x:v>
      </x:c>
    </x:row>
    <x:row r="662" ht="64" customHeight="1">
      <x:c r="A662" s="28" t="str">
        <x:v>VEG-0661</x:v>
      </x:c>
      <x:c r="B662" s="28" t="str">
        <x:v>свёкла</x:v>
      </x:c>
      <x:c r="C662" s="28" t="str">
        <x:v>Еда и соусы</x:v>
      </x:c>
      <x:c r="D662" s="28" t="str">
        <x:v>свёкла</x:v>
      </x:c>
      <x:c r="E662" s="28" t="str">
        <x:v>beetroot</x:v>
      </x:c>
      <x:c r="F662" s="28" t="str">
        <x:v>Корнеплоды</x:v>
      </x:c>
      <x:c r="G662" s="28" t="str">
        <x:v>курица</x:v>
      </x:c>
      <x:c r="H662" s="28" t="str">
        <x:v>pan-fried chicken breast fillet | poached chicken breast fillet</x:v>
      </x:c>
      <x:c r="I662" s="28" t="str">
        <x:v>Мясо и птица</x:v>
      </x:c>
      <x:c r="J662" s="28" t="str">
        <x:v>землистый, сладкий, минеральный и слегка зелёный</x:v>
      </x:c>
      <x:c r="K662" s="28" t="str">
        <x:v>жареный, мясной и умами</x:v>
      </x:c>
      <x:c r="L662" s="28" t="str">
        <x:v>геосмин, метоксипиразины, альдегиды, бетаин</x:v>
      </x:c>
      <x:c r="M662" s="28" t="str">
        <x:v>пиразины, сернистые соединения</x:v>
      </x:c>
      <x:c r="N662" s="28" t="str">
        <x:v>прямое пересечение семейств не подтверждено</x:v>
      </x:c>
      <x:c r="O662" s="28" t="str">
        <x:v>надёжная общая ключевая молекула не установлена</x:v>
      </x:c>
      <x:c r="P662" s="28" t="str">
        <x:v>умами и солёный контраст</x:v>
      </x:c>
      <x:c r="Q662" s="28" t="str">
        <x:v>Сладость и землистость балансируются кислотой, солью, горечью и умами; жир усиливает ощущение округлости.</x:v>
      </x:c>
      <x:c r="R662" s="28" t="str">
        <x:v>минимальный</x:v>
      </x:c>
      <x:c r="S662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6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2" s="28" t="str">
        <x:v>Свёкла имеет профиль «землистый, сладкий, минеральный и слегка зелёный». Партнёр «курица»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62" s="28" t="str">
        <x:v>геосмин легко доминирует; беталаины отвечают за цвет, а не за запах; сильный нагрев снижает яркость цвета</x:v>
      </x:c>
      <x:c r="W662" s="28" t="str">
        <x:v>сливочное масло, соевый соус или тимьян</x:v>
      </x:c>
      <x:c r="X662" s="28" t="str">
        <x:v>сок, кордиал, гаспачо, салат, соус, маринад или коктейльный компонент с курица</x:v>
      </x:c>
      <x:c r="Y662" s="28" t="str">
        <x:v>еда, соусы/маринады</x:v>
      </x:c>
      <x:c r="Z662" s="28" t="str">
        <x:v>Средняя</x:v>
      </x:c>
      <x:c r="AA662" s="28" t="str">
        <x:v>The Art &amp; Science of Foodpairing.pdf</x:v>
      </x:c>
      <x:c r="AB662" s="28" t="str">
        <x:v>The Art &amp; Science of Foodpairing.pdf: 224</x:v>
      </x:c>
      <x:c r="AC662" s="28" t="str">
        <x:v>связь из pairing grid, стр. 224; связь из pairing grid, стр. 224</x:v>
      </x:c>
      <x:c r="AD662" s="28" t="n">
        <x:v>1</x:v>
      </x:c>
      <x:c r="AE662" s="28" t="n">
        <x:v>2</x:v>
      </x:c>
      <x:c r="AF662" s="28" t="n">
        <x:f>IF(Z662="Высокая",3,IF(Z662="Средняя",2,1))+AD662*2+MIN(AE662,3)</x:f>
        <x:v>6</x:v>
      </x:c>
    </x:row>
    <x:row r="663" ht="64" customHeight="1">
      <x:c r="A663" s="28" t="str">
        <x:v>VEG-0662</x:v>
      </x:c>
      <x:c r="B663" s="28" t="str">
        <x:v>свёкла</x:v>
      </x:c>
      <x:c r="C663" s="28" t="str">
        <x:v>Универсальные</x:v>
      </x:c>
      <x:c r="D663" s="28" t="str">
        <x:v>свёкла</x:v>
      </x:c>
      <x:c r="E663" s="28" t="str">
        <x:v>beetroot</x:v>
      </x:c>
      <x:c r="F663" s="28" t="str">
        <x:v>Корнеплоды</x:v>
      </x:c>
      <x:c r="G663" s="28" t="str">
        <x:v>лист карри</x:v>
      </x:c>
      <x:c r="H663" s="28" t="str">
        <x:v>curry leaf</x:v>
      </x:c>
      <x:c r="I663" s="28" t="str">
        <x:v>Прочее</x:v>
      </x:c>
      <x:c r="J663" s="28" t="str">
        <x:v>землистый, сладкий, минеральный и слегка зелёный</x:v>
      </x:c>
      <x:c r="K663" s="28" t="str">
        <x:v>профиль зависит от конкретного продукта</x:v>
      </x:c>
      <x:c r="L663" s="28" t="str">
        <x:v>геосмин, метоксипиразины, альдегиды, бетаин</x:v>
      </x:c>
      <x:c r="M663" s="28" t="str">
        <x:v>конкретный молекулярный профиль не указан</x:v>
      </x:c>
      <x:c r="N663" s="28" t="str">
        <x:v>прямое пересечение семейств не подтверждено</x:v>
      </x:c>
      <x:c r="O663" s="28" t="str">
        <x:v>надёжная общая ключевая молекула не установлена</x:v>
      </x:c>
      <x:c r="P663" s="28" t="str">
        <x:v>сенсорная комплементарность</x:v>
      </x:c>
      <x:c r="Q663" s="28" t="str">
        <x:v>Сладость и землистость балансируются кислотой, солью, горечью и умами; жир усиливает ощущение округлости.</x:v>
      </x:c>
      <x:c r="R663" s="28" t="str">
        <x:v>минимальный</x:v>
      </x:c>
      <x:c r="S663" s="28" t="str">
        <x:v>водная сахаристая матрица с пигментами беталаинами</x:v>
      </x:c>
      <x:c r="T66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3" s="28" t="str">
        <x:v>Свёкла имеет профиль «землистый, сладкий, минеральный и слегка зелёный». Партнёр «лист карри»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63" s="28" t="str">
        <x:v>геосмин легко доминирует; беталаины отвечают за цвет, а не за запах; сильный нагрев снижает яркость цвета</x:v>
      </x:c>
      <x:c r="W663" s="28" t="str">
        <x:v>соль, кислота или ароматический жир</x:v>
      </x:c>
      <x:c r="X663" s="28" t="str">
        <x:v>сок, кордиал, гаспачо, салат, соус, маринад или коктейльный компонент с лист карри</x:v>
      </x:c>
      <x:c r="Y663" s="28" t="str">
        <x:v>универсальное</x:v>
      </x:c>
      <x:c r="Z663" s="28" t="str">
        <x:v>Средняя</x:v>
      </x:c>
      <x:c r="AA663" s="28" t="str">
        <x:v>The Art &amp; Science of Foodpairing.pdf</x:v>
      </x:c>
      <x:c r="AB663" s="28" t="str">
        <x:v>The Art &amp; Science of Foodpairing.pdf: 224</x:v>
      </x:c>
      <x:c r="AC663" s="28" t="str">
        <x:v>связь из pairing grid, стр. 224</x:v>
      </x:c>
      <x:c r="AD663" s="28" t="n">
        <x:v>1</x:v>
      </x:c>
      <x:c r="AE663" s="28" t="n">
        <x:v>1</x:v>
      </x:c>
      <x:c r="AF663" s="28" t="n">
        <x:f>IF(Z663="Высокая",3,IF(Z663="Средняя",2,1))+AD663*2+MIN(AE663,3)</x:f>
        <x:v>5</x:v>
      </x:c>
    </x:row>
    <x:row r="664" ht="64" customHeight="1">
      <x:c r="A664" s="28" t="str">
        <x:v>VEG-0663</x:v>
      </x:c>
      <x:c r="B664" s="28" t="str">
        <x:v>свёкла</x:v>
      </x:c>
      <x:c r="C664" s="28" t="str">
        <x:v>Универсальные</x:v>
      </x:c>
      <x:c r="D664" s="28" t="str">
        <x:v>свёкла</x:v>
      </x:c>
      <x:c r="E664" s="28" t="str">
        <x:v>beetroot</x:v>
      </x:c>
      <x:c r="F664" s="28" t="str">
        <x:v>Корнеплоды</x:v>
      </x:c>
      <x:c r="G664" s="28" t="str">
        <x:v>листья кориандра</x:v>
      </x:c>
      <x:c r="H664" s="28" t="str">
        <x:v>coriander leaves</x:v>
      </x:c>
      <x:c r="I664" s="28" t="str">
        <x:v>Травы, цветы и листья</x:v>
      </x:c>
      <x:c r="J664" s="28" t="str">
        <x:v>землистый, сладкий, минеральный и слегка зелёный</x:v>
      </x:c>
      <x:c r="K664" s="28" t="str">
        <x:v>зелёный, цветочный и терпеновый</x:v>
      </x:c>
      <x:c r="L664" s="28" t="str">
        <x:v>геосмин, метоксипиразины, альдегиды, бетаин</x:v>
      </x:c>
      <x:c r="M664" s="28" t="str">
        <x:v>линалоол, терпены</x:v>
      </x:c>
      <x:c r="N664" s="28" t="str">
        <x:v>зелёный</x:v>
      </x:c>
      <x:c r="O664" s="28" t="str">
        <x:v>надёжная общая ключевая молекула не установлена</x:v>
      </x:c>
      <x:c r="P664" s="28" t="str">
        <x:v>пересечение ароматических семейств</x:v>
      </x:c>
      <x:c r="Q664" s="28" t="str">
        <x:v>Сладость и землистость балансируются кислотой, солью, горечью и умами; жир усиливает ощущение округлости.</x:v>
      </x:c>
      <x:c r="R664" s="28" t="str">
        <x:v>минимальный</x:v>
      </x:c>
      <x:c r="S664" s="28" t="str">
        <x:v>водная сахаристая матрица с пигментами беталаинами</x:v>
      </x:c>
      <x:c r="T66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4" s="28" t="str">
        <x:v>Свёкла имеет профиль «землистый, сладкий, минеральный и слегка зелёный».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664" s="28" t="str">
        <x:v>геосмин легко доминирует; беталаины отвечают за цвет, а не за запах; сильный нагрев снижает яркость цвета; длительный нагрев уносит свежие терпены и зелёные альдегиды</x:v>
      </x:c>
      <x:c r="W664" s="28" t="str">
        <x:v>оливковое масло, лимон или сыр</x:v>
      </x:c>
      <x:c r="X664" s="28" t="str">
        <x:v>сок, кордиал, гаспачо, салат, соус, маринад или коктейльный компонент с листья кориандра</x:v>
      </x:c>
      <x:c r="Y664" s="28" t="str">
        <x:v>универсальное</x:v>
      </x:c>
      <x:c r="Z664" s="28" t="str">
        <x:v>Средняя</x:v>
      </x:c>
      <x:c r="AA664" s="28" t="str">
        <x:v>The Art &amp; Science of Foodpairing.pdf</x:v>
      </x:c>
      <x:c r="AB664" s="28" t="str">
        <x:v>The Art &amp; Science of Foodpairing.pdf: 224</x:v>
      </x:c>
      <x:c r="AC664" s="28" t="str">
        <x:v>связь из pairing grid, стр. 224</x:v>
      </x:c>
      <x:c r="AD664" s="28" t="n">
        <x:v>1</x:v>
      </x:c>
      <x:c r="AE664" s="28" t="n">
        <x:v>1</x:v>
      </x:c>
      <x:c r="AF664" s="28" t="n">
        <x:f>IF(Z664="Высокая",3,IF(Z664="Средняя",2,1))+AD664*2+MIN(AE664,3)</x:f>
        <x:v>5</x:v>
      </x:c>
    </x:row>
    <x:row r="665" ht="64" customHeight="1">
      <x:c r="A665" s="28" t="str">
        <x:v>VEG-0664</x:v>
      </x:c>
      <x:c r="B665" s="28" t="str">
        <x:v>свёкла</x:v>
      </x:c>
      <x:c r="C665" s="28" t="str">
        <x:v>Еда и соусы</x:v>
      </x:c>
      <x:c r="D665" s="28" t="str">
        <x:v>свёкла</x:v>
      </x:c>
      <x:c r="E665" s="28" t="str">
        <x:v>beetroot</x:v>
      </x:c>
      <x:c r="F665" s="28" t="str">
        <x:v>Корнеплоды</x:v>
      </x:c>
      <x:c r="G665" s="28" t="str">
        <x:v>лосось</x:v>
      </x:c>
      <x:c r="H665" s="28" t="str">
        <x:v>poached salmon</x:v>
      </x:c>
      <x:c r="I665" s="28" t="str">
        <x:v>Рыба и морепродукты</x:v>
      </x:c>
      <x:c r="J665" s="28" t="str">
        <x:v>землистый, сладкий, минеральный и слегка зелёный</x:v>
      </x:c>
      <x:c r="K665" s="28" t="str">
        <x:v>морской, солоноватый и умами</x:v>
      </x:c>
      <x:c r="L665" s="28" t="str">
        <x:v>геосмин, метоксипиразины, альдегиды, бетаин</x:v>
      </x:c>
      <x:c r="M665" s="28" t="str">
        <x:v>альдегиды, амины</x:v>
      </x:c>
      <x:c r="N665" s="28" t="str">
        <x:v>прямое пересечение семейств не подтверждено</x:v>
      </x:c>
      <x:c r="O665" s="28" t="str">
        <x:v>альдегиды</x:v>
      </x:c>
      <x:c r="P665" s="28" t="str">
        <x:v>общие характерные молекулы; умами и солёный контраст</x:v>
      </x:c>
      <x:c r="Q665" s="28" t="str">
        <x:v>Сладость и землистость балансируются кислотой, солью, горечью и умами; жир усиливает ощущение округлости.</x:v>
      </x:c>
      <x:c r="R665" s="28" t="str">
        <x:v>минимальный</x:v>
      </x:c>
      <x:c r="S665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6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5" s="28" t="str">
        <x:v>Свёкла имеет профиль «землистый, сладкий, минеральный и слегка зелёный». Партнёр «лосось»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65" s="28" t="str">
        <x:v>геосмин легко доминирует; беталаины отвечают за цвет, а не за запах; сильный нагрев снижает яркость цвета</x:v>
      </x:c>
      <x:c r="W665" s="28" t="str">
        <x:v>сливочное масло, соевый соус или тимьян</x:v>
      </x:c>
      <x:c r="X665" s="28" t="str">
        <x:v>сок, кордиал, гаспачо, салат, соус, маринад или коктейльный компонент с лосось</x:v>
      </x:c>
      <x:c r="Y665" s="28" t="str">
        <x:v>еда, соусы/маринады</x:v>
      </x:c>
      <x:c r="Z665" s="28" t="str">
        <x:v>Средняя</x:v>
      </x:c>
      <x:c r="AA665" s="28" t="str">
        <x:v>The Art &amp; Science of Foodpairing.pdf</x:v>
      </x:c>
      <x:c r="AB665" s="28" t="str">
        <x:v>The Art &amp; Science of Foodpairing.pdf: 224</x:v>
      </x:c>
      <x:c r="AC665" s="28" t="str">
        <x:v>связь из pairing grid, стр. 224</x:v>
      </x:c>
      <x:c r="AD665" s="28" t="n">
        <x:v>1</x:v>
      </x:c>
      <x:c r="AE665" s="28" t="n">
        <x:v>1</x:v>
      </x:c>
      <x:c r="AF665" s="28" t="n">
        <x:f>IF(Z665="Высокая",3,IF(Z665="Средняя",2,1))+AD665*2+MIN(AE665,3)</x:f>
        <x:v>5</x:v>
      </x:c>
    </x:row>
    <x:row r="666" ht="64" customHeight="1">
      <x:c r="A666" s="28" t="str">
        <x:v>VEG-0665</x:v>
      </x:c>
      <x:c r="B666" s="28" t="str">
        <x:v>свёкла</x:v>
      </x:c>
      <x:c r="C666" s="28" t="str">
        <x:v>Еда и соусы</x:v>
      </x:c>
      <x:c r="D666" s="28" t="str">
        <x:v>свёкла</x:v>
      </x:c>
      <x:c r="E666" s="28" t="str">
        <x:v>Свекла | свекла</x:v>
      </x:c>
      <x:c r="F666" s="28" t="str">
        <x:v>Корнеплоды</x:v>
      </x:c>
      <x:c r="G666" s="28" t="str">
        <x:v>лук</x:v>
      </x:c>
      <x:c r="H666" s="28" t="str">
        <x:v>Лук | лук</x:v>
      </x:c>
      <x:c r="I666" s="28" t="str">
        <x:v>Луковые овощи</x:v>
      </x:c>
      <x:c r="J666" s="28" t="str">
        <x:v>землистый, сладкий, минеральный и слегка зелёный</x:v>
      </x:c>
      <x:c r="K666" s="28" t="str">
        <x:v>сернистый, сладкий, зелёный; после жарки — карамельный и мясной</x:v>
      </x:c>
      <x:c r="L666" s="28" t="str">
        <x:v>геосмин, метоксипиразины, альдегиды, бетаин</x:v>
      </x:c>
      <x:c r="M666" s="28" t="str">
        <x:v>диаллилдисульфид, пропантиаль-S-оксид, тиосульфинаты, фураны</x:v>
      </x:c>
      <x:c r="N666" s="28" t="str">
        <x:v>сладкий</x:v>
      </x:c>
      <x:c r="O666" s="28" t="str">
        <x:v>надёжная общая ключевая молекула не установлена</x:v>
      </x:c>
      <x:c r="P666" s="28" t="str">
        <x:v>пересечение ароматических семейств</x:v>
      </x:c>
      <x:c r="Q666" s="28" t="str">
        <x:v>Сладость и землистость балансируются кислотой, солью, горечью и умами; жир усиливает ощущение округлости.</x:v>
      </x:c>
      <x:c r="R666" s="28" t="str">
        <x:v>минимальный</x:v>
      </x:c>
      <x:c r="S666" s="28" t="str">
        <x:v>водная сахаристая матрица с пигментами беталаинами</x:v>
      </x:c>
      <x:c r="T66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6" s="28" t="str">
        <x:v>Свёкла имеет профиль «землистый, сладкий, минеральный и слегка зелёный».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66" s="28" t="str">
        <x:v>геосмин легко доминирует; беталаины отвечают за цвет, а не за запах; сильный нагрев снижает яркость цвета</x:v>
      </x:c>
      <x:c r="W666" s="28" t="str">
        <x:v>соль, кислота или ароматический жир</x:v>
      </x:c>
      <x:c r="X666" s="28" t="str">
        <x:v>сок, кордиал, гаспачо, салат, соус, маринад или коктейльный компонент с лук</x:v>
      </x:c>
      <x:c r="Y666" s="28" t="str">
        <x:v>еда, соусы/маринады</x:v>
      </x:c>
      <x:c r="Z666" s="28" t="str">
        <x:v>Средняя</x:v>
      </x:c>
      <x:c r="AA666" s="28" t="str">
        <x:v>Тезариус вкусов (Ники Сегнит)(1).pdf</x:v>
      </x:c>
      <x:c r="AB666" s="28" t="str">
        <x:v>Тезариус вкусов (Ники Сегнит)(1).pdf: 225, 286</x:v>
      </x:c>
      <x:c r="AC666" s="28" t="str">
        <x:v>развёрнутая пара/статья, стр. 225; развёрнутая пара/статья, стр. 286</x:v>
      </x:c>
      <x:c r="AD666" s="28" t="n">
        <x:v>1</x:v>
      </x:c>
      <x:c r="AE666" s="28" t="n">
        <x:v>2</x:v>
      </x:c>
      <x:c r="AF666" s="28" t="n">
        <x:f>IF(Z666="Высокая",3,IF(Z666="Средняя",2,1))+AD666*2+MIN(AE666,3)</x:f>
        <x:v>6</x:v>
      </x:c>
    </x:row>
    <x:row r="667" ht="64" customHeight="1">
      <x:c r="A667" s="28" t="str">
        <x:v>VEG-0666</x:v>
      </x:c>
      <x:c r="B667" s="28" t="str">
        <x:v>свёкла</x:v>
      </x:c>
      <x:c r="C667" s="28" t="str">
        <x:v>Еда и соусы</x:v>
      </x:c>
      <x:c r="D667" s="28" t="str">
        <x:v>свёкла</x:v>
      </x:c>
      <x:c r="E667" s="28" t="str">
        <x:v>beetroot</x:v>
      </x:c>
      <x:c r="F667" s="28" t="str">
        <x:v>Корнеплоды</x:v>
      </x:c>
      <x:c r="G667" s="28" t="str">
        <x:v>лук-порей</x:v>
      </x:c>
      <x:c r="H667" s="28" t="str">
        <x:v>leek</x:v>
      </x:c>
      <x:c r="I667" s="28" t="str">
        <x:v>Луковые овощи</x:v>
      </x:c>
      <x:c r="J667" s="28" t="str">
        <x:v>землистый, сладкий, минеральный и слегка зелёный</x:v>
      </x:c>
      <x:c r="K667" s="28" t="str">
        <x:v>сернистый, сладкий и жареный</x:v>
      </x:c>
      <x:c r="L667" s="28" t="str">
        <x:v>геосмин, метоксипиразины, альдегиды, бетаин</x:v>
      </x:c>
      <x:c r="M667" s="28" t="str">
        <x:v>сернистые соединения, тиосульфинаты</x:v>
      </x:c>
      <x:c r="N667" s="28" t="str">
        <x:v>сладкий</x:v>
      </x:c>
      <x:c r="O667" s="28" t="str">
        <x:v>надёжная общая ключевая молекула не установлена</x:v>
      </x:c>
      <x:c r="P667" s="28" t="str">
        <x:v>пересечение ароматических семейств</x:v>
      </x:c>
      <x:c r="Q667" s="28" t="str">
        <x:v>Сладость и землистость балансируются кислотой, солью, горечью и умами; жир усиливает ощущение округлости.</x:v>
      </x:c>
      <x:c r="R667" s="28" t="str">
        <x:v>минимальный</x:v>
      </x:c>
      <x:c r="S667" s="28" t="str">
        <x:v>водная сахаристая матрица с пигментами беталаинами</x:v>
      </x:c>
      <x:c r="T66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7" s="28" t="str">
        <x:v>Свёкла имеет профиль «землистый, сладкий, минеральный и слегка зелёный». Партнёр «лук-порей» относится к группе «Луковые овощи» и даёт сернистый,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67" s="28" t="str">
        <x:v>геосмин легко доминирует; беталаины отвечают за цвет, а не за запах; сильный нагрев снижает яркость цвета</x:v>
      </x:c>
      <x:c r="W667" s="28" t="str">
        <x:v>соль, кислота или ароматический жир</x:v>
      </x:c>
      <x:c r="X667" s="28" t="str">
        <x:v>сок, кордиал, гаспачо, салат, соус, маринад или коктейльный компонент с лук-порей</x:v>
      </x:c>
      <x:c r="Y667" s="28" t="str">
        <x:v>еда, соусы/маринады</x:v>
      </x:c>
      <x:c r="Z667" s="28" t="str">
        <x:v>Средняя</x:v>
      </x:c>
      <x:c r="AA667" s="28" t="str">
        <x:v>The Art &amp; Science of Foodpairing.pdf</x:v>
      </x:c>
      <x:c r="AB667" s="28" t="str">
        <x:v>The Art &amp; Science of Foodpairing.pdf: 224</x:v>
      </x:c>
      <x:c r="AC667" s="28" t="str">
        <x:v>связь из pairing grid, стр. 224</x:v>
      </x:c>
      <x:c r="AD667" s="28" t="n">
        <x:v>1</x:v>
      </x:c>
      <x:c r="AE667" s="28" t="n">
        <x:v>1</x:v>
      </x:c>
      <x:c r="AF667" s="28" t="n">
        <x:f>IF(Z667="Высокая",3,IF(Z667="Средняя",2,1))+AD667*2+MIN(AE667,3)</x:f>
        <x:v>5</x:v>
      </x:c>
    </x:row>
    <x:row r="668" ht="64" customHeight="1">
      <x:c r="A668" s="28" t="str">
        <x:v>VEG-0667</x:v>
      </x:c>
      <x:c r="B668" s="28" t="str">
        <x:v>свёкла</x:v>
      </x:c>
      <x:c r="C668" s="28" t="str">
        <x:v>Универсальные</x:v>
      </x:c>
      <x:c r="D668" s="28" t="str">
        <x:v>свёкла</x:v>
      </x:c>
      <x:c r="E668" s="28" t="str">
        <x:v>beetroot</x:v>
      </x:c>
      <x:c r="F668" s="28" t="str">
        <x:v>Корнеплоды</x:v>
      </x:c>
      <x:c r="G668" s="28" t="str">
        <x:v>мак</x:v>
      </x:c>
      <x:c r="H668" s="28" t="str">
        <x:v>poppy seeds</x:v>
      </x:c>
      <x:c r="I668" s="28" t="str">
        <x:v>Прочее</x:v>
      </x:c>
      <x:c r="J668" s="28" t="str">
        <x:v>землистый, сладкий, минеральный и слегка зелёный</x:v>
      </x:c>
      <x:c r="K668" s="28" t="str">
        <x:v>профиль зависит от конкретного продукта</x:v>
      </x:c>
      <x:c r="L668" s="28" t="str">
        <x:v>геосмин, метоксипиразины, альдегиды, бетаин</x:v>
      </x:c>
      <x:c r="M668" s="28" t="str">
        <x:v>конкретный молекулярный профиль не указан</x:v>
      </x:c>
      <x:c r="N668" s="28" t="str">
        <x:v>прямое пересечение семейств не подтверждено</x:v>
      </x:c>
      <x:c r="O668" s="28" t="str">
        <x:v>надёжная общая ключевая молекула не установлена</x:v>
      </x:c>
      <x:c r="P668" s="28" t="str">
        <x:v>сенсорная комплементарность</x:v>
      </x:c>
      <x:c r="Q668" s="28" t="str">
        <x:v>Сладость и землистость балансируются кислотой, солью, горечью и умами; жир усиливает ощущение округлости.</x:v>
      </x:c>
      <x:c r="R668" s="28" t="str">
        <x:v>минимальный</x:v>
      </x:c>
      <x:c r="S668" s="28" t="str">
        <x:v>водная сахаристая матрица с пигментами беталаинами</x:v>
      </x:c>
      <x:c r="T66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8" s="28" t="str">
        <x:v>Свёкла имеет профиль «землистый, сладкий, минеральный и слегка зелёный». Партнёр «мак»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68" s="28" t="str">
        <x:v>геосмин легко доминирует; беталаины отвечают за цвет, а не за запах; сильный нагрев снижает яркость цвета</x:v>
      </x:c>
      <x:c r="W668" s="28" t="str">
        <x:v>соль, кислота или ароматический жир</x:v>
      </x:c>
      <x:c r="X668" s="28" t="str">
        <x:v>сок, кордиал, гаспачо, салат, соус, маринад или коктейльный компонент с мак</x:v>
      </x:c>
      <x:c r="Y668" s="28" t="str">
        <x:v>универсальное</x:v>
      </x:c>
      <x:c r="Z668" s="28" t="str">
        <x:v>Средняя</x:v>
      </x:c>
      <x:c r="AA668" s="28" t="str">
        <x:v>The Art &amp; Science of Foodpairing.pdf</x:v>
      </x:c>
      <x:c r="AB668" s="28" t="str">
        <x:v>The Art &amp; Science of Foodpairing.pdf: 224</x:v>
      </x:c>
      <x:c r="AC668" s="28" t="str">
        <x:v>связь из pairing grid, стр. 224</x:v>
      </x:c>
      <x:c r="AD668" s="28" t="n">
        <x:v>1</x:v>
      </x:c>
      <x:c r="AE668" s="28" t="n">
        <x:v>1</x:v>
      </x:c>
      <x:c r="AF668" s="28" t="n">
        <x:f>IF(Z668="Высокая",3,IF(Z668="Средняя",2,1))+AD668*2+MIN(AE668,3)</x:f>
        <x:v>5</x:v>
      </x:c>
    </x:row>
    <x:row r="669" ht="64" customHeight="1">
      <x:c r="A669" s="28" t="str">
        <x:v>VEG-0668</x:v>
      </x:c>
      <x:c r="B669" s="28" t="str">
        <x:v>свёкла</x:v>
      </x:c>
      <x:c r="C669" s="28" t="str">
        <x:v>Универсальные</x:v>
      </x:c>
      <x:c r="D669" s="28" t="str">
        <x:v>свёкла</x:v>
      </x:c>
      <x:c r="E669" s="28" t="str">
        <x:v>beetroot</x:v>
      </x:c>
      <x:c r="F669" s="28" t="str">
        <x:v>Корнеплоды</x:v>
      </x:c>
      <x:c r="G669" s="28" t="str">
        <x:v>макадамия</x:v>
      </x:c>
      <x:c r="H669" s="28" t="str">
        <x:v>roasted macadamia nut</x:v>
      </x:c>
      <x:c r="I669" s="28" t="str">
        <x:v>Прочее</x:v>
      </x:c>
      <x:c r="J669" s="28" t="str">
        <x:v>землистый, сладкий, минеральный и слегка зелёный</x:v>
      </x:c>
      <x:c r="K669" s="28" t="str">
        <x:v>профиль зависит от конкретного продукта</x:v>
      </x:c>
      <x:c r="L669" s="28" t="str">
        <x:v>геосмин, метоксипиразины, альдегиды, бетаин</x:v>
      </x:c>
      <x:c r="M669" s="28" t="str">
        <x:v>конкретный молекулярный профиль не указан</x:v>
      </x:c>
      <x:c r="N669" s="28" t="str">
        <x:v>прямое пересечение семейств не подтверждено</x:v>
      </x:c>
      <x:c r="O669" s="28" t="str">
        <x:v>надёжная общая ключевая молекула не установлена</x:v>
      </x:c>
      <x:c r="P669" s="28" t="str">
        <x:v>сенсорная комплементарность</x:v>
      </x:c>
      <x:c r="Q669" s="28" t="str">
        <x:v>Сладость и землистость балансируются кислотой, солью, горечью и умами; жир усиливает ощущение округлости.</x:v>
      </x:c>
      <x:c r="R669" s="28" t="str">
        <x:v>минимальный</x:v>
      </x:c>
      <x:c r="S669" s="28" t="str">
        <x:v>водная сахаристая матрица с пигментами беталаинами</x:v>
      </x:c>
      <x:c r="T66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69" s="28" t="str">
        <x:v>Свёкла имеет профиль «землистый, сладкий, минеральный и слегка зелёный». Партнёр «макадамия»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69" s="28" t="str">
        <x:v>геосмин легко доминирует; беталаины отвечают за цвет, а не за запах; сильный нагрев снижает яркость цвета</x:v>
      </x:c>
      <x:c r="W669" s="28" t="str">
        <x:v>соль, кислота или ароматический жир</x:v>
      </x:c>
      <x:c r="X669" s="28" t="str">
        <x:v>сок, кордиал, гаспачо, салат, соус, маринад или коктейльный компонент с макадамия</x:v>
      </x:c>
      <x:c r="Y669" s="28" t="str">
        <x:v>универсальное</x:v>
      </x:c>
      <x:c r="Z669" s="28" t="str">
        <x:v>Средняя</x:v>
      </x:c>
      <x:c r="AA669" s="28" t="str">
        <x:v>The Art &amp; Science of Foodpairing.pdf</x:v>
      </x:c>
      <x:c r="AB669" s="28" t="str">
        <x:v>The Art &amp; Science of Foodpairing.pdf: 224</x:v>
      </x:c>
      <x:c r="AC669" s="28" t="str">
        <x:v>связь из pairing grid, стр. 224</x:v>
      </x:c>
      <x:c r="AD669" s="28" t="n">
        <x:v>1</x:v>
      </x:c>
      <x:c r="AE669" s="28" t="n">
        <x:v>1</x:v>
      </x:c>
      <x:c r="AF669" s="28" t="n">
        <x:f>IF(Z669="Высокая",3,IF(Z669="Средняя",2,1))+AD669*2+MIN(AE669,3)</x:f>
        <x:v>5</x:v>
      </x:c>
    </x:row>
    <x:row r="670" ht="64" customHeight="1">
      <x:c r="A670" s="28" t="str">
        <x:v>VEG-0669</x:v>
      </x:c>
      <x:c r="B670" s="28" t="str">
        <x:v>свёкла</x:v>
      </x:c>
      <x:c r="C670" s="28" t="str">
        <x:v>Десерты и выпечка</x:v>
      </x:c>
      <x:c r="D670" s="28" t="str">
        <x:v>свёкла</x:v>
      </x:c>
      <x:c r="E670" s="28" t="str">
        <x:v>beetroot</x:v>
      </x:c>
      <x:c r="F670" s="28" t="str">
        <x:v>Корнеплоды</x:v>
      </x:c>
      <x:c r="G670" s="28" t="str">
        <x:v>малина</x:v>
      </x:c>
      <x:c r="H670" s="28" t="str">
        <x:v>raspberry</x:v>
      </x:c>
      <x:c r="I670" s="28" t="str">
        <x:v>Фрукты и ягоды</x:v>
      </x:c>
      <x:c r="J670" s="28" t="str">
        <x:v>землистый, сладкий, минеральный и слегка зелёный</x:v>
      </x:c>
      <x:c r="K670" s="28" t="str">
        <x:v>цветочный, ягодный</x:v>
      </x:c>
      <x:c r="L670" s="28" t="str">
        <x:v>геосмин, метоксипиразины, альдегиды, бетаин</x:v>
      </x:c>
      <x:c r="M670" s="28" t="str">
        <x:v>иононы, малиновый кетон</x:v>
      </x:c>
      <x:c r="N670" s="28" t="str">
        <x:v>прямое пересечение семейств не подтверждено</x:v>
      </x:c>
      <x:c r="O670" s="28" t="str">
        <x:v>надёжная общая ключевая молекула не установлена</x:v>
      </x:c>
      <x:c r="P670" s="28" t="str">
        <x:v>кислотно-сладкий баланс</x:v>
      </x:c>
      <x:c r="Q670" s="28" t="str">
        <x:v>Сладость и землистость балансируются кислотой, солью, горечью и умами; жир усиливает ощущение округлости.</x:v>
      </x:c>
      <x:c r="R670" s="28" t="str">
        <x:v>минимальный</x:v>
      </x:c>
      <x:c r="S670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67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0" s="28" t="str">
        <x:v>Свёкла имеет профиль «землистый, сладкий, минеральный и слегка зелёный». Партнёр «малина» относится к группе «Фрукты и ягоды» и даёт цветочный, ягодный.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70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670" s="28" t="str">
        <x:v>цитрус, мёд или мягкая трава</x:v>
      </x:c>
      <x:c r="X670" s="28" t="str">
        <x:v>сок, кордиал, гаспачо, салат, соус, маринад или коктейльный компонент с малина</x:v>
      </x:c>
      <x:c r="Y670" s="28" t="str">
        <x:v>десерты</x:v>
      </x:c>
      <x:c r="Z670" s="28" t="str">
        <x:v>Средняя</x:v>
      </x:c>
      <x:c r="AA670" s="28" t="str">
        <x:v>The Art &amp; Science of Foodpairing.pdf</x:v>
      </x:c>
      <x:c r="AB670" s="28" t="str">
        <x:v>The Art &amp; Science of Foodpairing.pdf: 224</x:v>
      </x:c>
      <x:c r="AC670" s="28" t="str">
        <x:v>связь из pairing grid, стр. 224</x:v>
      </x:c>
      <x:c r="AD670" s="28" t="n">
        <x:v>1</x:v>
      </x:c>
      <x:c r="AE670" s="28" t="n">
        <x:v>1</x:v>
      </x:c>
      <x:c r="AF670" s="28" t="n">
        <x:f>IF(Z670="Высокая",3,IF(Z670="Средняя",2,1))+AD670*2+MIN(AE670,3)</x:f>
        <x:v>5</x:v>
      </x:c>
    </x:row>
    <x:row r="671" ht="64" customHeight="1">
      <x:c r="A671" s="28" t="str">
        <x:v>VEG-0670</x:v>
      </x:c>
      <x:c r="B671" s="28" t="str">
        <x:v>свёкла</x:v>
      </x:c>
      <x:c r="C671" s="28" t="str">
        <x:v>Универсальные</x:v>
      </x:c>
      <x:c r="D671" s="28" t="str">
        <x:v>свёкла</x:v>
      </x:c>
      <x:c r="E671" s="28" t="str">
        <x:v>beetroot</x:v>
      </x:c>
      <x:c r="F671" s="28" t="str">
        <x:v>Корнеплоды</x:v>
      </x:c>
      <x:c r="G671" s="28" t="str">
        <x:v>маракуйя</x:v>
      </x:c>
      <x:c r="H671" s="28" t="str">
        <x:v>maracuja</x:v>
      </x:c>
      <x:c r="I671" s="28" t="str">
        <x:v>Прочее</x:v>
      </x:c>
      <x:c r="J671" s="28" t="str">
        <x:v>землистый, сладкий, минеральный и слегка зелёный</x:v>
      </x:c>
      <x:c r="K671" s="28" t="str">
        <x:v>профиль зависит от конкретного продукта</x:v>
      </x:c>
      <x:c r="L671" s="28" t="str">
        <x:v>геосмин, метоксипиразины, альдегиды, бетаин</x:v>
      </x:c>
      <x:c r="M671" s="28" t="str">
        <x:v>конкретный молекулярный профиль не указан</x:v>
      </x:c>
      <x:c r="N671" s="28" t="str">
        <x:v>прямое пересечение семейств не подтверждено</x:v>
      </x:c>
      <x:c r="O671" s="28" t="str">
        <x:v>надёжная общая ключевая молекула не установлена</x:v>
      </x:c>
      <x:c r="P671" s="28" t="str">
        <x:v>сенсорная комплементарность</x:v>
      </x:c>
      <x:c r="Q671" s="28" t="str">
        <x:v>Сладость и землистость балансируются кислотой, солью, горечью и умами; жир усиливает ощущение округлости.</x:v>
      </x:c>
      <x:c r="R671" s="28" t="str">
        <x:v>минимальный</x:v>
      </x:c>
      <x:c r="S671" s="28" t="str">
        <x:v>водная сахаристая матрица с пигментами беталаинами</x:v>
      </x:c>
      <x:c r="T67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1" s="28" t="str">
        <x:v>Свёкла имеет профиль «землистый, сладкий, минеральный и слегка зелёный».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71" s="28" t="str">
        <x:v>геосмин легко доминирует; беталаины отвечают за цвет, а не за запах; сильный нагрев снижает яркость цвета</x:v>
      </x:c>
      <x:c r="W671" s="28" t="str">
        <x:v>соль, кислота или ароматический жир</x:v>
      </x:c>
      <x:c r="X671" s="28" t="str">
        <x:v>сок, кордиал, гаспачо, салат, соус, маринад или коктейльный компонент с маракуйя</x:v>
      </x:c>
      <x:c r="Y671" s="28" t="str">
        <x:v>универсальное</x:v>
      </x:c>
      <x:c r="Z671" s="28" t="str">
        <x:v>Средняя</x:v>
      </x:c>
      <x:c r="AA671" s="28" t="str">
        <x:v>The Art &amp; Science of Foodpairing.pdf</x:v>
      </x:c>
      <x:c r="AB671" s="28" t="str">
        <x:v>The Art &amp; Science of Foodpairing.pdf: 224</x:v>
      </x:c>
      <x:c r="AC671" s="28" t="str">
        <x:v>связь из pairing grid, стр. 224</x:v>
      </x:c>
      <x:c r="AD671" s="28" t="n">
        <x:v>1</x:v>
      </x:c>
      <x:c r="AE671" s="28" t="n">
        <x:v>1</x:v>
      </x:c>
      <x:c r="AF671" s="28" t="n">
        <x:f>IF(Z671="Высокая",3,IF(Z671="Средняя",2,1))+AD671*2+MIN(AE671,3)</x:f>
        <x:v>5</x:v>
      </x:c>
    </x:row>
    <x:row r="672" ht="64" customHeight="1">
      <x:c r="A672" s="28" t="str">
        <x:v>VEG-0671</x:v>
      </x:c>
      <x:c r="B672" s="28" t="str">
        <x:v>свёкла</x:v>
      </x:c>
      <x:c r="C672" s="28" t="str">
        <x:v>Универсальные</x:v>
      </x:c>
      <x:c r="D672" s="28" t="str">
        <x:v>свёкла</x:v>
      </x:c>
      <x:c r="E672" s="28" t="str">
        <x:v>beetroot</x:v>
      </x:c>
      <x:c r="F672" s="28" t="str">
        <x:v>Корнеплоды</x:v>
      </x:c>
      <x:c r="G672" s="28" t="str">
        <x:v>мацутакэ</x:v>
      </x:c>
      <x:c r="H672" s="28" t="str">
        <x:v>(matsutake)</x:v>
      </x:c>
      <x:c r="I672" s="28" t="str">
        <x:v>Прочее</x:v>
      </x:c>
      <x:c r="J672" s="28" t="str">
        <x:v>землистый, сладкий, минеральный и слегка зелёный</x:v>
      </x:c>
      <x:c r="K672" s="28" t="str">
        <x:v>профиль зависит от конкретного продукта</x:v>
      </x:c>
      <x:c r="L672" s="28" t="str">
        <x:v>геосмин, метоксипиразины, альдегиды, бетаин</x:v>
      </x:c>
      <x:c r="M672" s="28" t="str">
        <x:v>конкретный молекулярный профиль не указан</x:v>
      </x:c>
      <x:c r="N672" s="28" t="str">
        <x:v>прямое пересечение семейств не подтверждено</x:v>
      </x:c>
      <x:c r="O672" s="28" t="str">
        <x:v>надёжная общая ключевая молекула не установлена</x:v>
      </x:c>
      <x:c r="P672" s="28" t="str">
        <x:v>сенсорная комплементарность</x:v>
      </x:c>
      <x:c r="Q672" s="28" t="str">
        <x:v>Сладость и землистость балансируются кислотой, солью, горечью и умами; жир усиливает ощущение округлости.</x:v>
      </x:c>
      <x:c r="R672" s="28" t="str">
        <x:v>минимальный</x:v>
      </x:c>
      <x:c r="S672" s="28" t="str">
        <x:v>водная сахаристая матрица с пигментами беталаинами</x:v>
      </x:c>
      <x:c r="T67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2" s="28" t="str">
        <x:v>Свёкла имеет профиль «землистый, сладкий, минеральный и слегка зелёный». Партнёр «мацутакэ»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72" s="28" t="str">
        <x:v>геосмин легко доминирует; беталаины отвечают за цвет, а не за запах; сильный нагрев снижает яркость цвета</x:v>
      </x:c>
      <x:c r="W672" s="28" t="str">
        <x:v>соль, кислота или ароматический жир</x:v>
      </x:c>
      <x:c r="X672" s="28" t="str">
        <x:v>сок, кордиал, гаспачо, салат, соус, маринад или коктейльный компонент с мацутакэ</x:v>
      </x:c>
      <x:c r="Y672" s="28" t="str">
        <x:v>универсальное</x:v>
      </x:c>
      <x:c r="Z672" s="28" t="str">
        <x:v>Средняя</x:v>
      </x:c>
      <x:c r="AA672" s="28" t="str">
        <x:v>The Art &amp; Science of Foodpairing.pdf</x:v>
      </x:c>
      <x:c r="AB672" s="28" t="str">
        <x:v>The Art &amp; Science of Foodpairing.pdf: 224</x:v>
      </x:c>
      <x:c r="AC672" s="28" t="str">
        <x:v>связь из pairing grid, стр. 224</x:v>
      </x:c>
      <x:c r="AD672" s="28" t="n">
        <x:v>1</x:v>
      </x:c>
      <x:c r="AE672" s="28" t="n">
        <x:v>1</x:v>
      </x:c>
      <x:c r="AF672" s="28" t="n">
        <x:f>IF(Z672="Высокая",3,IF(Z672="Средняя",2,1))+AD672*2+MIN(AE672,3)</x:f>
        <x:v>5</x:v>
      </x:c>
    </x:row>
    <x:row r="673" ht="64" customHeight="1">
      <x:c r="A673" s="28" t="str">
        <x:v>VEG-0672</x:v>
      </x:c>
      <x:c r="B673" s="28" t="str">
        <x:v>свёкла</x:v>
      </x:c>
      <x:c r="C673" s="28" t="str">
        <x:v>Еда и соусы</x:v>
      </x:c>
      <x:c r="D673" s="28" t="str">
        <x:v>свёкла</x:v>
      </x:c>
      <x:c r="E673" s="28" t="str">
        <x:v>beetroot</x:v>
      </x:c>
      <x:c r="F673" s="28" t="str">
        <x:v>Корнеплоды</x:v>
      </x:c>
      <x:c r="G673" s="28" t="str">
        <x:v>моллюски</x:v>
      </x:c>
      <x:c r="H673" s="28" t="str">
        <x:v>cooked clams</x:v>
      </x:c>
      <x:c r="I673" s="28" t="str">
        <x:v>Рыба и морепродукты</x:v>
      </x:c>
      <x:c r="J673" s="28" t="str">
        <x:v>землистый, сладкий, минеральный и слегка зелёный</x:v>
      </x:c>
      <x:c r="K673" s="28" t="str">
        <x:v>морской, солоноватый и умами</x:v>
      </x:c>
      <x:c r="L673" s="28" t="str">
        <x:v>геосмин, метоксипиразины, альдегиды, бетаин</x:v>
      </x:c>
      <x:c r="M673" s="28" t="str">
        <x:v>альдегиды, амины</x:v>
      </x:c>
      <x:c r="N673" s="28" t="str">
        <x:v>прямое пересечение семейств не подтверждено</x:v>
      </x:c>
      <x:c r="O673" s="28" t="str">
        <x:v>альдегиды</x:v>
      </x:c>
      <x:c r="P673" s="28" t="str">
        <x:v>общие характерные молекулы; умами и солёный контраст</x:v>
      </x:c>
      <x:c r="Q673" s="28" t="str">
        <x:v>Сладость и землистость балансируются кислотой, солью, горечью и умами; жир усиливает ощущение округлости.</x:v>
      </x:c>
      <x:c r="R673" s="28" t="str">
        <x:v>минимальный</x:v>
      </x:c>
      <x:c r="S673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7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3" s="28" t="str">
        <x:v>Свёкла имеет профиль «землистый, сладкий, минеральный и слегка зелёный». Партнёр «моллюски»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73" s="28" t="str">
        <x:v>геосмин легко доминирует; беталаины отвечают за цвет, а не за запах; сильный нагрев снижает яркость цвета</x:v>
      </x:c>
      <x:c r="W673" s="28" t="str">
        <x:v>сливочное масло, соевый соус или тимьян</x:v>
      </x:c>
      <x:c r="X673" s="28" t="str">
        <x:v>сок, кордиал, гаспачо, салат, соус, маринад или коктейльный компонент с моллюски</x:v>
      </x:c>
      <x:c r="Y673" s="28" t="str">
        <x:v>еда, соусы/маринады</x:v>
      </x:c>
      <x:c r="Z673" s="28" t="str">
        <x:v>Средняя</x:v>
      </x:c>
      <x:c r="AA673" s="28" t="str">
        <x:v>The Art &amp; Science of Foodpairing.pdf</x:v>
      </x:c>
      <x:c r="AB673" s="28" t="str">
        <x:v>The Art &amp; Science of Foodpairing.pdf: 224</x:v>
      </x:c>
      <x:c r="AC673" s="28" t="str">
        <x:v>связь из pairing grid, стр. 224</x:v>
      </x:c>
      <x:c r="AD673" s="28" t="n">
        <x:v>1</x:v>
      </x:c>
      <x:c r="AE673" s="28" t="n">
        <x:v>1</x:v>
      </x:c>
      <x:c r="AF673" s="28" t="n">
        <x:f>IF(Z673="Высокая",3,IF(Z673="Средняя",2,1))+AD673*2+MIN(AE673,3)</x:f>
        <x:v>5</x:v>
      </x:c>
    </x:row>
    <x:row r="674" ht="64" customHeight="1">
      <x:c r="A674" s="28" t="str">
        <x:v>VEG-0673</x:v>
      </x:c>
      <x:c r="B674" s="28" t="str">
        <x:v>свёкла</x:v>
      </x:c>
      <x:c r="C674" s="28" t="str">
        <x:v>Универсальные</x:v>
      </x:c>
      <x:c r="D674" s="28" t="str">
        <x:v>свёкла</x:v>
      </x:c>
      <x:c r="E674" s="28" t="str">
        <x:v>pan-fried beetroot</x:v>
      </x:c>
      <x:c r="F674" s="28" t="str">
        <x:v>Корнеплоды</x:v>
      </x:c>
      <x:c r="G674" s="28" t="str">
        <x:v>морковь</x:v>
      </x:c>
      <x:c r="H674" s="28" t="str">
        <x:v>carrot</x:v>
      </x:c>
      <x:c r="I674" s="28" t="str">
        <x:v>Корнеплоды</x:v>
      </x:c>
      <x:c r="J674" s="28" t="str">
        <x:v>землистый, сладкий, минеральный и слегка зелёный</x:v>
      </x:c>
      <x:c r="K674" s="28" t="str">
        <x:v>сладкий, землистый, древесный и слегка цитрусовый</x:v>
      </x:c>
      <x:c r="L674" s="28" t="str">
        <x:v>геосмин, метоксипиразины, альдегиды, бетаин</x:v>
      </x:c>
      <x:c r="M674" s="28" t="str">
        <x:v>β-ионон, каротол, пинены, терпинолен</x:v>
      </x:c>
      <x:c r="N674" s="28" t="str">
        <x:v>землистый, сладкий</x:v>
      </x:c>
      <x:c r="O674" s="28" t="str">
        <x:v>надёжная общая ключевая молекула не установлена</x:v>
      </x:c>
      <x:c r="P674" s="28" t="str">
        <x:v>пересечение ароматических семейств</x:v>
      </x:c>
      <x:c r="Q674" s="28" t="str">
        <x:v>Сладость и землистость балансируются кислотой, солью, горечью и умами; жир усиливает ощущение округлости.</x:v>
      </x:c>
      <x:c r="R674" s="28" t="str">
        <x:v>минимальный</x:v>
      </x:c>
      <x:c r="S674" s="28" t="str">
        <x:v>водная сахаристая матрица с пигментами беталаинами</x:v>
      </x:c>
      <x:c r="T67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4" s="28" t="str">
        <x:v>Свёкла имеет профиль «землистый, сладкий, минеральный и слегка зелёный».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землистый,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74" s="28" t="str">
        <x:v>геосмин легко доминирует; беталаины отвечают за цвет, а не за запах; сильный нагрев снижает яркость цвета</x:v>
      </x:c>
      <x:c r="W674" s="28" t="str">
        <x:v>соль, кислота или ароматический жир</x:v>
      </x:c>
      <x:c r="X674" s="28" t="str">
        <x:v>сок, кордиал, гаспачо, салат, соус, маринад или коктейльный компонент с морковь</x:v>
      </x:c>
      <x:c r="Y674" s="28" t="str">
        <x:v>универсальное</x:v>
      </x:c>
      <x:c r="Z674" s="28" t="str">
        <x:v>Средняя</x:v>
      </x:c>
      <x:c r="AA674" s="28" t="str">
        <x:v>The Art &amp; Science of Foodpairing.pdf</x:v>
      </x:c>
      <x:c r="AB674" s="28" t="str">
        <x:v>The Art &amp; Science of Foodpairing.pdf: 232</x:v>
      </x:c>
      <x:c r="AC674" s="28" t="str">
        <x:v>связь из pairing grid, стр. 232</x:v>
      </x:c>
      <x:c r="AD674" s="28" t="n">
        <x:v>1</x:v>
      </x:c>
      <x:c r="AE674" s="28" t="n">
        <x:v>1</x:v>
      </x:c>
      <x:c r="AF674" s="28" t="n">
        <x:f>IF(Z674="Высокая",3,IF(Z674="Средняя",2,1))+AD674*2+MIN(AE674,3)</x:f>
        <x:v>5</x:v>
      </x:c>
    </x:row>
    <x:row r="675" ht="64" customHeight="1">
      <x:c r="A675" s="28" t="str">
        <x:v>VEG-0674</x:v>
      </x:c>
      <x:c r="B675" s="28" t="str">
        <x:v>свёкла</x:v>
      </x:c>
      <x:c r="C675" s="28" t="str">
        <x:v>Еда и соусы</x:v>
      </x:c>
      <x:c r="D675" s="28" t="str">
        <x:v>свёкла</x:v>
      </x:c>
      <x:c r="E675" s="28" t="str">
        <x:v>beetroot</x:v>
      </x:c>
      <x:c r="F675" s="28" t="str">
        <x:v>Корнеплоды</x:v>
      </x:c>
      <x:c r="G675" s="28" t="str">
        <x:v>морской язык</x:v>
      </x:c>
      <x:c r="H675" s="28" t="str">
        <x:v>baked Dover sole</x:v>
      </x:c>
      <x:c r="I675" s="28" t="str">
        <x:v>Рыба и морепродукты</x:v>
      </x:c>
      <x:c r="J675" s="28" t="str">
        <x:v>землистый, сладкий, минеральный и слегка зелёный</x:v>
      </x:c>
      <x:c r="K675" s="28" t="str">
        <x:v>морской, солоноватый и умами</x:v>
      </x:c>
      <x:c r="L675" s="28" t="str">
        <x:v>геосмин, метоксипиразины, альдегиды, бетаин</x:v>
      </x:c>
      <x:c r="M675" s="28" t="str">
        <x:v>альдегиды, амины</x:v>
      </x:c>
      <x:c r="N675" s="28" t="str">
        <x:v>прямое пересечение семейств не подтверждено</x:v>
      </x:c>
      <x:c r="O675" s="28" t="str">
        <x:v>альдегиды</x:v>
      </x:c>
      <x:c r="P675" s="28" t="str">
        <x:v>общие характерные молекулы; умами и солёный контраст</x:v>
      </x:c>
      <x:c r="Q675" s="28" t="str">
        <x:v>Сладость и землистость балансируются кислотой, солью, горечью и умами; жир усиливает ощущение округлости.</x:v>
      </x:c>
      <x:c r="R675" s="28" t="str">
        <x:v>минимальный</x:v>
      </x:c>
      <x:c r="S675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7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5" s="28" t="str">
        <x:v>Свёкла имеет профиль «землистый, сладкий, минеральный и слегка зелёный». Партнёр «морской язык»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75" s="28" t="str">
        <x:v>геосмин легко доминирует; беталаины отвечают за цвет, а не за запах; сильный нагрев снижает яркость цвета</x:v>
      </x:c>
      <x:c r="W675" s="28" t="str">
        <x:v>сливочное масло, соевый соус или тимьян</x:v>
      </x:c>
      <x:c r="X675" s="28" t="str">
        <x:v>сок, кордиал, гаспачо, салат, соус, маринад или коктейльный компонент с морской язык</x:v>
      </x:c>
      <x:c r="Y675" s="28" t="str">
        <x:v>еда, соусы/маринады</x:v>
      </x:c>
      <x:c r="Z675" s="28" t="str">
        <x:v>Средняя</x:v>
      </x:c>
      <x:c r="AA675" s="28" t="str">
        <x:v>The Art &amp; Science of Foodpairing.pdf</x:v>
      </x:c>
      <x:c r="AB675" s="28" t="str">
        <x:v>The Art &amp; Science of Foodpairing.pdf: 224</x:v>
      </x:c>
      <x:c r="AC675" s="28" t="str">
        <x:v>связь из pairing grid, стр. 224</x:v>
      </x:c>
      <x:c r="AD675" s="28" t="n">
        <x:v>1</x:v>
      </x:c>
      <x:c r="AE675" s="28" t="n">
        <x:v>1</x:v>
      </x:c>
      <x:c r="AF675" s="28" t="n">
        <x:f>IF(Z675="Высокая",3,IF(Z675="Средняя",2,1))+AD675*2+MIN(AE675,3)</x:f>
        <x:v>5</x:v>
      </x:c>
    </x:row>
    <x:row r="676" ht="64" customHeight="1">
      <x:c r="A676" s="28" t="str">
        <x:v>VEG-0675</x:v>
      </x:c>
      <x:c r="B676" s="28" t="str">
        <x:v>свёкла</x:v>
      </x:c>
      <x:c r="C676" s="28" t="str">
        <x:v>Универсальные</x:v>
      </x:c>
      <x:c r="D676" s="28" t="str">
        <x:v>свёкла</x:v>
      </x:c>
      <x:c r="E676" s="28" t="str">
        <x:v>beetroot</x:v>
      </x:c>
      <x:c r="F676" s="28" t="str">
        <x:v>Корнеплоды</x:v>
      </x:c>
      <x:c r="G676" s="28" t="str">
        <x:v>мята</x:v>
      </x:c>
      <x:c r="H676" s="28" t="str">
        <x:v>mint</x:v>
      </x:c>
      <x:c r="I676" s="28" t="str">
        <x:v>Травы, цветы и листья</x:v>
      </x:c>
      <x:c r="J676" s="28" t="str">
        <x:v>землистый, сладкий, минеральный и слегка зелёный</x:v>
      </x:c>
      <x:c r="K676" s="28" t="str">
        <x:v>зелёный, холодящий</x:v>
      </x:c>
      <x:c r="L676" s="28" t="str">
        <x:v>геосмин, метоксипиразины, альдегиды, бетаин</x:v>
      </x:c>
      <x:c r="M676" s="28" t="str">
        <x:v>ментол</x:v>
      </x:c>
      <x:c r="N676" s="28" t="str">
        <x:v>зелёный</x:v>
      </x:c>
      <x:c r="O676" s="28" t="str">
        <x:v>надёжная общая ключевая молекула не установлена</x:v>
      </x:c>
      <x:c r="P676" s="28" t="str">
        <x:v>пересечение ароматических семейств</x:v>
      </x:c>
      <x:c r="Q676" s="28" t="str">
        <x:v>Сладость и землистость балансируются кислотой, солью, горечью и умами; жир усиливает ощущение округлости.</x:v>
      </x:c>
      <x:c r="R676" s="28" t="str">
        <x:v>минимальный</x:v>
      </x:c>
      <x:c r="S676" s="28" t="str">
        <x:v>водная сахаристая матрица с пигментами беталаинами</x:v>
      </x:c>
      <x:c r="T67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6" s="28" t="str">
        <x:v>Свёкла имеет профиль «землистый, сладкий, минеральный и слегка зелёный».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676" s="28" t="str">
        <x:v>геосмин легко доминирует; беталаины отвечают за цвет, а не за запах; сильный нагрев снижает яркость цвета; длительный нагрев уносит свежие терпены и зелёные альдегиды</x:v>
      </x:c>
      <x:c r="W676" s="28" t="str">
        <x:v>оливковое масло, лимон или сыр</x:v>
      </x:c>
      <x:c r="X676" s="28" t="str">
        <x:v>сок, кордиал, гаспачо, салат, соус, маринад или коктейльный компонент с мята</x:v>
      </x:c>
      <x:c r="Y676" s="28" t="str">
        <x:v>универсальное</x:v>
      </x:c>
      <x:c r="Z676" s="28" t="str">
        <x:v>Средняя</x:v>
      </x:c>
      <x:c r="AA676" s="28" t="str">
        <x:v>The Art &amp; Science of Foodpairing.pdf</x:v>
      </x:c>
      <x:c r="AB676" s="28" t="str">
        <x:v>The Art &amp; Science of Foodpairing.pdf: 224</x:v>
      </x:c>
      <x:c r="AC676" s="28" t="str">
        <x:v>связь из pairing grid, стр. 224</x:v>
      </x:c>
      <x:c r="AD676" s="28" t="n">
        <x:v>1</x:v>
      </x:c>
      <x:c r="AE676" s="28" t="n">
        <x:v>1</x:v>
      </x:c>
      <x:c r="AF676" s="28" t="n">
        <x:f>IF(Z676="Высокая",3,IF(Z676="Средняя",2,1))+AD676*2+MIN(AE676,3)</x:f>
        <x:v>5</x:v>
      </x:c>
    </x:row>
    <x:row r="677" ht="64" customHeight="1">
      <x:c r="A677" s="28" t="str">
        <x:v>VEG-0676</x:v>
      </x:c>
      <x:c r="B677" s="28" t="str">
        <x:v>свёкла</x:v>
      </x:c>
      <x:c r="C677" s="28" t="str">
        <x:v>Десерты и выпечка</x:v>
      </x:c>
      <x:c r="D677" s="28" t="str">
        <x:v>свёкла</x:v>
      </x:c>
      <x:c r="E677" s="28" t="str">
        <x:v>beetroot</x:v>
      </x:c>
      <x:c r="F677" s="28" t="str">
        <x:v>Корнеплоды</x:v>
      </x:c>
      <x:c r="G677" s="28" t="str">
        <x:v>мёд</x:v>
      </x:c>
      <x:c r="H677" s="28" t="str">
        <x:v>buckwheat honey</x:v>
      </x:c>
      <x:c r="I677" s="28" t="str">
        <x:v>Выпечка, крупы, сахара и десерты</x:v>
      </x:c>
      <x:c r="J677" s="28" t="str">
        <x:v>землистый, сладкий, минеральный и слегка зелёный</x:v>
      </x:c>
      <x:c r="K677" s="28" t="str">
        <x:v>медовый, сладкий, цветочный</x:v>
      </x:c>
      <x:c r="L677" s="28" t="str">
        <x:v>геосмин, метоксипиразины, альдегиды, бетаин</x:v>
      </x:c>
      <x:c r="M677" s="28" t="str">
        <x:v>норизопреноиды, фенилуксусная кислота</x:v>
      </x:c>
      <x:c r="N677" s="28" t="str">
        <x:v>сладкий</x:v>
      </x:c>
      <x:c r="O677" s="28" t="str">
        <x:v>надёжная общая ключевая молекула не установлена</x:v>
      </x:c>
      <x:c r="P677" s="28" t="str">
        <x:v>пересечение ароматических семейств</x:v>
      </x:c>
      <x:c r="Q677" s="28" t="str">
        <x:v>Сладость и землистость балансируются кислотой, солью, горечью и умами; жир усиливает ощущение округлости.</x:v>
      </x:c>
      <x:c r="R677" s="28" t="str">
        <x:v>минимальный</x:v>
      </x:c>
      <x:c r="S677" s="28" t="str">
        <x:v>водная сахаристая матрица с пигментами беталаинами</x:v>
      </x:c>
      <x:c r="T67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7" s="28" t="str">
        <x:v>Свёкла имеет профиль «землистый, сладкий, минеральный и слегка зелёный».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77" s="28" t="str">
        <x:v>геосмин легко доминирует; беталаины отвечают за цвет, а не за запах; сильный нагрев снижает яркость цвета</x:v>
      </x:c>
      <x:c r="W677" s="28" t="str">
        <x:v>соль, кислота или ароматический жир</x:v>
      </x:c>
      <x:c r="X677" s="28" t="str">
        <x:v>сок, кордиал, гаспачо, салат, соус, маринад или коктейльный компонент с мёд</x:v>
      </x:c>
      <x:c r="Y677" s="28" t="str">
        <x:v>десерты</x:v>
      </x:c>
      <x:c r="Z677" s="28" t="str">
        <x:v>Средняя</x:v>
      </x:c>
      <x:c r="AA677" s="28" t="str">
        <x:v>The Art &amp; Science of Foodpairing.pdf</x:v>
      </x:c>
      <x:c r="AB677" s="28" t="str">
        <x:v>The Art &amp; Science of Foodpairing.pdf: 224</x:v>
      </x:c>
      <x:c r="AC677" s="28" t="str">
        <x:v>связь из pairing grid, стр. 224</x:v>
      </x:c>
      <x:c r="AD677" s="28" t="n">
        <x:v>1</x:v>
      </x:c>
      <x:c r="AE677" s="28" t="n">
        <x:v>1</x:v>
      </x:c>
      <x:c r="AF677" s="28" t="n">
        <x:f>IF(Z677="Высокая",3,IF(Z677="Средняя",2,1))+AD677*2+MIN(AE677,3)</x:f>
        <x:v>5</x:v>
      </x:c>
    </x:row>
    <x:row r="678" ht="64" customHeight="1">
      <x:c r="A678" s="28" t="str">
        <x:v>VEG-0677</x:v>
      </x:c>
      <x:c r="B678" s="28" t="str">
        <x:v>свёкла</x:v>
      </x:c>
      <x:c r="C678" s="28" t="str">
        <x:v>Универсальные</x:v>
      </x:c>
      <x:c r="D678" s="28" t="str">
        <x:v>свёкла</x:v>
      </x:c>
      <x:c r="E678" s="28" t="str">
        <x:v>beetroot crisps</x:v>
      </x:c>
      <x:c r="F678" s="28" t="str">
        <x:v>Корнеплоды</x:v>
      </x:c>
      <x:c r="G678" s="28" t="str">
        <x:v>оливковое масло</x:v>
      </x:c>
      <x:c r="H678" s="28" t="str">
        <x:v>olive oil</x:v>
      </x:c>
      <x:c r="I678" s="28" t="str">
        <x:v>Масла и жиры</x:v>
      </x:c>
      <x:c r="J678" s="28" t="str">
        <x:v>землистый, сладкий, минеральный и слегка зелёный</x:v>
      </x:c>
      <x:c r="K678" s="28" t="str">
        <x:v>жирный и мягкий</x:v>
      </x:c>
      <x:c r="L678" s="28" t="str">
        <x:v>геосмин, метоксипиразины, альдегиды, бетаин</x:v>
      </x:c>
      <x:c r="M678" s="28" t="str">
        <x:v>альдегиды, лактоны</x:v>
      </x:c>
      <x:c r="N678" s="28" t="str">
        <x:v>прямое пересечение семейств не подтверждено</x:v>
      </x:c>
      <x:c r="O678" s="28" t="str">
        <x:v>альдегиды</x:v>
      </x:c>
      <x:c r="P678" s="28" t="str">
        <x:v>общие характерные молекулы; жировая матрица</x:v>
      </x:c>
      <x:c r="Q678" s="28" t="str">
        <x:v>Сладость и землистость балансируются кислотой, солью, горечью и умами; жир усиливает ощущение округлости.</x:v>
      </x:c>
      <x:c r="R678" s="28" t="str">
        <x:v>минимальный</x:v>
      </x:c>
      <x:c r="S678" s="28" t="str">
        <x:v>водная сахаристая матрица с пигментами беталаинами Жировая фаза удерживает гидрофобные молекулы, но может сделать вкус тяжёлым.</x:v>
      </x:c>
      <x:c r="T67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8" s="28" t="str">
        <x:v>Свёкла имеет профиль «землистый, сладкий, минеральный и слегка зелёный». Партнёр «оливковое масло» относится к группе «Масла и жиры» и даёт жирный и мягкий. Вероятный молекулярный мост: альдегиды.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678" s="28" t="str">
        <x:v>геосмин легко доминирует; беталаины отвечают за цвет, а не за запах; сильный нагрев снижает яркость цвета; жир способен приглушить свежую зелёную ароматику</x:v>
      </x:c>
      <x:c r="W678" s="28" t="str">
        <x:v>кислота, зелень или жареный орех</x:v>
      </x:c>
      <x:c r="X678" s="28" t="str">
        <x:v>сок, кордиал, гаспачо, салат, соус, маринад или коктейльный компонент с оливковое масло</x:v>
      </x:c>
      <x:c r="Y678" s="28" t="str">
        <x:v>универсальное</x:v>
      </x:c>
      <x:c r="Z678" s="28" t="str">
        <x:v>Средняя</x:v>
      </x:c>
      <x:c r="AA678" s="28" t="str">
        <x:v>The Art &amp; Science of Foodpairing.pdf</x:v>
      </x:c>
      <x:c r="AB678" s="28" t="str">
        <x:v>The Art &amp; Science of Foodpairing.pdf: 172</x:v>
      </x:c>
      <x:c r="AC678" s="28" t="str">
        <x:v>связь из pairing grid, стр. 172</x:v>
      </x:c>
      <x:c r="AD678" s="28" t="n">
        <x:v>1</x:v>
      </x:c>
      <x:c r="AE678" s="28" t="n">
        <x:v>1</x:v>
      </x:c>
      <x:c r="AF678" s="28" t="n">
        <x:f>IF(Z678="Высокая",3,IF(Z678="Средняя",2,1))+AD678*2+MIN(AE678,3)</x:f>
        <x:v>5</x:v>
      </x:c>
    </x:row>
    <x:row r="679" ht="64" customHeight="1">
      <x:c r="A679" s="28" t="str">
        <x:v>VEG-0678</x:v>
      </x:c>
      <x:c r="B679" s="28" t="str">
        <x:v>свёкла</x:v>
      </x:c>
      <x:c r="C679" s="28" t="str">
        <x:v>Универсальные</x:v>
      </x:c>
      <x:c r="D679" s="28" t="str">
        <x:v>свёкла</x:v>
      </x:c>
      <x:c r="E679" s="28" t="str">
        <x:v>boiled beetroot | boiled peeled beetroot</x:v>
      </x:c>
      <x:c r="F679" s="28" t="str">
        <x:v>Корнеплоды</x:v>
      </x:c>
      <x:c r="G679" s="28" t="str">
        <x:v>пармезан</x:v>
      </x:c>
      <x:c r="H679" s="28" t="str">
        <x:v>Parmigiano-Reggiano</x:v>
      </x:c>
      <x:c r="I679" s="28" t="str">
        <x:v>Прочее</x:v>
      </x:c>
      <x:c r="J679" s="28" t="str">
        <x:v>землистый, сладкий, минеральный и слегка зелёный</x:v>
      </x:c>
      <x:c r="K679" s="28" t="str">
        <x:v>профиль зависит от конкретного продукта</x:v>
      </x:c>
      <x:c r="L679" s="28" t="str">
        <x:v>геосмин, метоксипиразины, альдегиды, бетаин</x:v>
      </x:c>
      <x:c r="M679" s="28" t="str">
        <x:v>конкретный молекулярный профиль не указан</x:v>
      </x:c>
      <x:c r="N679" s="28" t="str">
        <x:v>прямое пересечение семейств не подтверждено</x:v>
      </x:c>
      <x:c r="O679" s="28" t="str">
        <x:v>надёжная общая ключевая молекула не установлена</x:v>
      </x:c>
      <x:c r="P679" s="28" t="str">
        <x:v>сенсорная комплементарность</x:v>
      </x:c>
      <x:c r="Q679" s="28" t="str">
        <x:v>Сладость и землистость балансируются кислотой, солью, горечью и умами; жир усиливает ощущение округлости.</x:v>
      </x:c>
      <x:c r="R679" s="28" t="str">
        <x:v>минимальный</x:v>
      </x:c>
      <x:c r="S679" s="28" t="str">
        <x:v>водная сахаристая матрица с пигментами беталаинами</x:v>
      </x:c>
      <x:c r="T67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79" s="28" t="str">
        <x:v>Свёкла имеет профиль «землистый, сладкий, минеральный и слегка зелёный».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79" s="28" t="str">
        <x:v>геосмин легко доминирует; беталаины отвечают за цвет, а не за запах; сильный нагрев снижает яркость цвета</x:v>
      </x:c>
      <x:c r="W679" s="28" t="str">
        <x:v>соль, кислота или ароматический жир</x:v>
      </x:c>
      <x:c r="X679" s="28" t="str">
        <x:v>сок, кордиал, гаспачо, салат, соус, маринад или коктейльный компонент с пармезан</x:v>
      </x:c>
      <x:c r="Y679" s="28" t="str">
        <x:v>универсальное</x:v>
      </x:c>
      <x:c r="Z679" s="28" t="str">
        <x:v>Средняя</x:v>
      </x:c>
      <x:c r="AA679" s="28" t="str">
        <x:v>The Art &amp; Science of Foodpairing.pdf</x:v>
      </x:c>
      <x:c r="AB679" s="28" t="str">
        <x:v>The Art &amp; Science of Foodpairing.pdf: 282</x:v>
      </x:c>
      <x:c r="AC679" s="28" t="str">
        <x:v>связь из pairing grid, стр. 282; связь из pairing grid, стр. 282</x:v>
      </x:c>
      <x:c r="AD679" s="28" t="n">
        <x:v>1</x:v>
      </x:c>
      <x:c r="AE679" s="28" t="n">
        <x:v>2</x:v>
      </x:c>
      <x:c r="AF679" s="28" t="n">
        <x:f>IF(Z679="Высокая",3,IF(Z679="Средняя",2,1))+AD679*2+MIN(AE679,3)</x:f>
        <x:v>6</x:v>
      </x:c>
    </x:row>
    <x:row r="680" ht="64" customHeight="1">
      <x:c r="A680" s="28" t="str">
        <x:v>VEG-0679</x:v>
      </x:c>
      <x:c r="B680" s="28" t="str">
        <x:v>свёкла</x:v>
      </x:c>
      <x:c r="C680" s="28" t="str">
        <x:v>Универсальные</x:v>
      </x:c>
      <x:c r="D680" s="28" t="str">
        <x:v>свёкла</x:v>
      </x:c>
      <x:c r="E680" s="28" t="str">
        <x:v>beetroot</x:v>
      </x:c>
      <x:c r="F680" s="28" t="str">
        <x:v>Корнеплоды</x:v>
      </x:c>
      <x:c r="G680" s="28" t="str">
        <x:v>пастернак</x:v>
      </x:c>
      <x:c r="H680" s="28" t="str">
        <x:v>parsnip</x:v>
      </x:c>
      <x:c r="I680" s="28" t="str">
        <x:v>Корнеплоды</x:v>
      </x:c>
      <x:c r="J680" s="28" t="str">
        <x:v>землистый, сладкий, минеральный и слегка зелёный</x:v>
      </x:c>
      <x:c r="K680" s="28" t="str">
        <x:v>сладкий, пряный, древесный и слегка анисовый</x:v>
      </x:c>
      <x:c r="L680" s="28" t="str">
        <x:v>геосмин, метоксипиразины, альдегиды, бетаин</x:v>
      </x:c>
      <x:c r="M680" s="28" t="str">
        <x:v>пинены, терпены, фенольные соединения, фураны</x:v>
      </x:c>
      <x:c r="N680" s="28" t="str">
        <x:v>землистый, сладкий</x:v>
      </x:c>
      <x:c r="O680" s="28" t="str">
        <x:v>надёжная общая ключевая молекула не установлена</x:v>
      </x:c>
      <x:c r="P680" s="28" t="str">
        <x:v>пересечение ароматических семейств</x:v>
      </x:c>
      <x:c r="Q680" s="28" t="str">
        <x:v>Сладость и землистость балансируются кислотой, солью, горечью и умами; жир усиливает ощущение округлости.</x:v>
      </x:c>
      <x:c r="R680" s="28" t="str">
        <x:v>минимальный</x:v>
      </x:c>
      <x:c r="S680" s="28" t="str">
        <x:v>водная сахаристая матрица с пигментами беталаинами</x:v>
      </x:c>
      <x:c r="T68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0" s="28" t="str">
        <x:v>Свёкла имеет профиль «землистый, сладкий, минеральный и слегка зелёный». Партнёр «пастернак» относится к группе «Корнеплоды» и даёт сладкий, пряный, древесный и слегка анисовый. Профили пересекаются в семействах: землистый,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80" s="28" t="str">
        <x:v>геосмин легко доминирует; беталаины отвечают за цвет, а не за запах; сильный нагрев снижает яркость цвета</x:v>
      </x:c>
      <x:c r="W680" s="28" t="str">
        <x:v>соль, кислота или ароматический жир</x:v>
      </x:c>
      <x:c r="X680" s="28" t="str">
        <x:v>сок, кордиал, гаспачо, салат, соус, маринад или коктейльный компонент с пастернак</x:v>
      </x:c>
      <x:c r="Y680" s="28" t="str">
        <x:v>универсальное</x:v>
      </x:c>
      <x:c r="Z680" s="28" t="str">
        <x:v>Средняя</x:v>
      </x:c>
      <x:c r="AA680" s="28" t="str">
        <x:v>The Art &amp; Science of Foodpairing.pdf</x:v>
      </x:c>
      <x:c r="AB680" s="28" t="str">
        <x:v>The Art &amp; Science of Foodpairing.pdf: 224</x:v>
      </x:c>
      <x:c r="AC680" s="28" t="str">
        <x:v>связь из pairing grid, стр. 224</x:v>
      </x:c>
      <x:c r="AD680" s="28" t="n">
        <x:v>1</x:v>
      </x:c>
      <x:c r="AE680" s="28" t="n">
        <x:v>1</x:v>
      </x:c>
      <x:c r="AF680" s="28" t="n">
        <x:f>IF(Z680="Высокая",3,IF(Z680="Средняя",2,1))+AD680*2+MIN(AE680,3)</x:f>
        <x:v>5</x:v>
      </x:c>
    </x:row>
    <x:row r="681" ht="64" customHeight="1">
      <x:c r="A681" s="28" t="str">
        <x:v>VEG-0680</x:v>
      </x:c>
      <x:c r="B681" s="28" t="str">
        <x:v>свёкла</x:v>
      </x:c>
      <x:c r="C681" s="28" t="str">
        <x:v>Универсальные</x:v>
      </x:c>
      <x:c r="D681" s="28" t="str">
        <x:v>свёкла</x:v>
      </x:c>
      <x:c r="E681" s="28" t="str">
        <x:v>beetroot</x:v>
      </x:c>
      <x:c r="F681" s="28" t="str">
        <x:v>Корнеплоды</x:v>
      </x:c>
      <x:c r="G681" s="28" t="str">
        <x:v>пекан</x:v>
      </x:c>
      <x:c r="H681" s="28" t="str">
        <x:v>pecan</x:v>
      </x:c>
      <x:c r="I681" s="28" t="str">
        <x:v>Прочее</x:v>
      </x:c>
      <x:c r="J681" s="28" t="str">
        <x:v>землистый, сладкий, минеральный и слегка зелёный</x:v>
      </x:c>
      <x:c r="K681" s="28" t="str">
        <x:v>профиль зависит от конкретного продукта</x:v>
      </x:c>
      <x:c r="L681" s="28" t="str">
        <x:v>геосмин, метоксипиразины, альдегиды, бетаин</x:v>
      </x:c>
      <x:c r="M681" s="28" t="str">
        <x:v>конкретный молекулярный профиль не указан</x:v>
      </x:c>
      <x:c r="N681" s="28" t="str">
        <x:v>прямое пересечение семейств не подтверждено</x:v>
      </x:c>
      <x:c r="O681" s="28" t="str">
        <x:v>надёжная общая ключевая молекула не установлена</x:v>
      </x:c>
      <x:c r="P681" s="28" t="str">
        <x:v>сенсорная комплементарность</x:v>
      </x:c>
      <x:c r="Q681" s="28" t="str">
        <x:v>Сладость и землистость балансируются кислотой, солью, горечью и умами; жир усиливает ощущение округлости.</x:v>
      </x:c>
      <x:c r="R681" s="28" t="str">
        <x:v>минимальный</x:v>
      </x:c>
      <x:c r="S681" s="28" t="str">
        <x:v>водная сахаристая матрица с пигментами беталаинами</x:v>
      </x:c>
      <x:c r="T68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1" s="28" t="str">
        <x:v>Свёкла имеет профиль «землистый, сладкий, минеральный и слегка зелёный». Партнёр «пекан»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81" s="28" t="str">
        <x:v>геосмин легко доминирует; беталаины отвечают за цвет, а не за запах; сильный нагрев снижает яркость цвета</x:v>
      </x:c>
      <x:c r="W681" s="28" t="str">
        <x:v>соль, кислота или ароматический жир</x:v>
      </x:c>
      <x:c r="X681" s="28" t="str">
        <x:v>сок, кордиал, гаспачо, салат, соус, маринад или коктейльный компонент с пекан</x:v>
      </x:c>
      <x:c r="Y681" s="28" t="str">
        <x:v>универсальное</x:v>
      </x:c>
      <x:c r="Z681" s="28" t="str">
        <x:v>Средняя</x:v>
      </x:c>
      <x:c r="AA681" s="28" t="str">
        <x:v>The Art &amp; Science of Foodpairing.pdf</x:v>
      </x:c>
      <x:c r="AB681" s="28" t="str">
        <x:v>The Art &amp; Science of Foodpairing.pdf: 224</x:v>
      </x:c>
      <x:c r="AC681" s="28" t="str">
        <x:v>связь из pairing grid, стр. 224</x:v>
      </x:c>
      <x:c r="AD681" s="28" t="n">
        <x:v>1</x:v>
      </x:c>
      <x:c r="AE681" s="28" t="n">
        <x:v>1</x:v>
      </x:c>
      <x:c r="AF681" s="28" t="n">
        <x:f>IF(Z681="Высокая",3,IF(Z681="Средняя",2,1))+AD681*2+MIN(AE681,3)</x:f>
        <x:v>5</x:v>
      </x:c>
    </x:row>
    <x:row r="682" ht="64" customHeight="1">
      <x:c r="A682" s="28" t="str">
        <x:v>VEG-0681</x:v>
      </x:c>
      <x:c r="B682" s="28" t="str">
        <x:v>свёкла</x:v>
      </x:c>
      <x:c r="C682" s="28" t="str">
        <x:v>Еда и соусы</x:v>
      </x:c>
      <x:c r="D682" s="28" t="str">
        <x:v>свёкла</x:v>
      </x:c>
      <x:c r="E682" s="28" t="str">
        <x:v>beetroot</x:v>
      </x:c>
      <x:c r="F682" s="28" t="str">
        <x:v>Корнеплоды</x:v>
      </x:c>
      <x:c r="G682" s="28" t="str">
        <x:v>песочное печенье</x:v>
      </x:c>
      <x:c r="H682" s="28" t="str">
        <x:v>shortbread biscuit</x:v>
      </x:c>
      <x:c r="I682" s="28" t="str">
        <x:v>Мясо и птица</x:v>
      </x:c>
      <x:c r="J682" s="28" t="str">
        <x:v>землистый, сладкий, минеральный и слегка зелёный</x:v>
      </x:c>
      <x:c r="K682" s="28" t="str">
        <x:v>жареный, мясной и умами</x:v>
      </x:c>
      <x:c r="L682" s="28" t="str">
        <x:v>геосмин, метоксипиразины, альдегиды, бетаин</x:v>
      </x:c>
      <x:c r="M682" s="28" t="str">
        <x:v>пиразины, сернистые соединения</x:v>
      </x:c>
      <x:c r="N682" s="28" t="str">
        <x:v>прямое пересечение семейств не подтверждено</x:v>
      </x:c>
      <x:c r="O682" s="28" t="str">
        <x:v>надёжная общая ключевая молекула не установлена</x:v>
      </x:c>
      <x:c r="P682" s="28" t="str">
        <x:v>умами и солёный контраст</x:v>
      </x:c>
      <x:c r="Q682" s="28" t="str">
        <x:v>Сладость и землистость балансируются кислотой, солью, горечью и умами; жир усиливает ощущение округлости.</x:v>
      </x:c>
      <x:c r="R682" s="28" t="str">
        <x:v>минимальный</x:v>
      </x:c>
      <x:c r="S682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8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2" s="28" t="str">
        <x:v>Свёкла имеет профиль «землистый, сладкий, минеральный и слегка зелёный». Партнёр «песочное печенье»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82" s="28" t="str">
        <x:v>геосмин легко доминирует; беталаины отвечают за цвет, а не за запах; сильный нагрев снижает яркость цвета</x:v>
      </x:c>
      <x:c r="W682" s="28" t="str">
        <x:v>сливочное масло, соевый соус или тимьян</x:v>
      </x:c>
      <x:c r="X682" s="28" t="str">
        <x:v>сок, кордиал, гаспачо, салат, соус, маринад или коктейльный компонент с песочное печенье</x:v>
      </x:c>
      <x:c r="Y682" s="28" t="str">
        <x:v>еда, соусы/маринады</x:v>
      </x:c>
      <x:c r="Z682" s="28" t="str">
        <x:v>Средняя</x:v>
      </x:c>
      <x:c r="AA682" s="28" t="str">
        <x:v>The Art &amp; Science of Foodpairing.pdf</x:v>
      </x:c>
      <x:c r="AB682" s="28" t="str">
        <x:v>The Art &amp; Science of Foodpairing.pdf: 224</x:v>
      </x:c>
      <x:c r="AC682" s="28" t="str">
        <x:v>связь из pairing grid, стр. 224</x:v>
      </x:c>
      <x:c r="AD682" s="28" t="n">
        <x:v>1</x:v>
      </x:c>
      <x:c r="AE682" s="28" t="n">
        <x:v>1</x:v>
      </x:c>
      <x:c r="AF682" s="28" t="n">
        <x:f>IF(Z682="Высокая",3,IF(Z682="Средняя",2,1))+AD682*2+MIN(AE682,3)</x:f>
        <x:v>5</x:v>
      </x:c>
    </x:row>
    <x:row r="683" ht="64" customHeight="1">
      <x:c r="A683" s="28" t="str">
        <x:v>VEG-0682</x:v>
      </x:c>
      <x:c r="B683" s="28" t="str">
        <x:v>свёкла</x:v>
      </x:c>
      <x:c r="C683" s="28" t="str">
        <x:v>Универсальные</x:v>
      </x:c>
      <x:c r="D683" s="28" t="str">
        <x:v>свёкла</x:v>
      </x:c>
      <x:c r="E683" s="28" t="str">
        <x:v>beetroot</x:v>
      </x:c>
      <x:c r="F683" s="28" t="str">
        <x:v>Корнеплоды</x:v>
      </x:c>
      <x:c r="G683" s="28" t="str">
        <x:v>петрушка</x:v>
      </x:c>
      <x:c r="H683" s="28" t="str">
        <x:v>flat-leaf parsley</x:v>
      </x:c>
      <x:c r="I683" s="28" t="str">
        <x:v>Травы, цветы и листья</x:v>
      </x:c>
      <x:c r="J683" s="28" t="str">
        <x:v>землистый, сладкий, минеральный и слегка зелёный</x:v>
      </x:c>
      <x:c r="K683" s="28" t="str">
        <x:v>зелёный, травянистый</x:v>
      </x:c>
      <x:c r="L683" s="28" t="str">
        <x:v>геосмин, метоксипиразины, альдегиды, бетаин</x:v>
      </x:c>
      <x:c r="M683" s="28" t="str">
        <x:v>апиол, п-ментатриен</x:v>
      </x:c>
      <x:c r="N683" s="28" t="str">
        <x:v>зелёный</x:v>
      </x:c>
      <x:c r="O683" s="28" t="str">
        <x:v>надёжная общая ключевая молекула не установлена</x:v>
      </x:c>
      <x:c r="P683" s="28" t="str">
        <x:v>пересечение ароматических семейств</x:v>
      </x:c>
      <x:c r="Q683" s="28" t="str">
        <x:v>Сладость и землистость балансируются кислотой, солью, горечью и умами; жир усиливает ощущение округлости.</x:v>
      </x:c>
      <x:c r="R683" s="28" t="str">
        <x:v>минимальный</x:v>
      </x:c>
      <x:c r="S683" s="28" t="str">
        <x:v>водная сахаристая матрица с пигментами беталаинами</x:v>
      </x:c>
      <x:c r="T68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3" s="28" t="str">
        <x:v>Свёкла имеет профиль «землистый, сладкий, минеральный и слегка зелёный». Партнёр «петрушка» относится к группе «Травы, цветы и листья» и даёт зелёный, травянистый.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683" s="28" t="str">
        <x:v>геосмин легко доминирует; беталаины отвечают за цвет, а не за запах; сильный нагрев снижает яркость цвета; длительный нагрев уносит свежие терпены и зелёные альдегиды</x:v>
      </x:c>
      <x:c r="W683" s="28" t="str">
        <x:v>оливковое масло, лимон или сыр</x:v>
      </x:c>
      <x:c r="X683" s="28" t="str">
        <x:v>сок, кордиал, гаспачо, салат, соус, маринад или коктейльный компонент с петрушка</x:v>
      </x:c>
      <x:c r="Y683" s="28" t="str">
        <x:v>универсальное</x:v>
      </x:c>
      <x:c r="Z683" s="28" t="str">
        <x:v>Средняя</x:v>
      </x:c>
      <x:c r="AA683" s="28" t="str">
        <x:v>The Art &amp; Science of Foodpairing.pdf</x:v>
      </x:c>
      <x:c r="AB683" s="28" t="str">
        <x:v>The Art &amp; Science of Foodpairing.pdf: 224</x:v>
      </x:c>
      <x:c r="AC683" s="28" t="str">
        <x:v>связь из pairing grid, стр. 224</x:v>
      </x:c>
      <x:c r="AD683" s="28" t="n">
        <x:v>1</x:v>
      </x:c>
      <x:c r="AE683" s="28" t="n">
        <x:v>1</x:v>
      </x:c>
      <x:c r="AF683" s="28" t="n">
        <x:f>IF(Z683="Высокая",3,IF(Z683="Средняя",2,1))+AD683*2+MIN(AE683,3)</x:f>
        <x:v>5</x:v>
      </x:c>
    </x:row>
    <x:row r="684" ht="64" customHeight="1">
      <x:c r="A684" s="28" t="str">
        <x:v>VEG-0683</x:v>
      </x:c>
      <x:c r="B684" s="28" t="str">
        <x:v>свёкла</x:v>
      </x:c>
      <x:c r="C684" s="28" t="str">
        <x:v>Еда и соусы</x:v>
      </x:c>
      <x:c r="D684" s="28" t="str">
        <x:v>свёкла</x:v>
      </x:c>
      <x:c r="E684" s="28" t="str">
        <x:v>Свекла | свекла</x:v>
      </x:c>
      <x:c r="F684" s="28" t="str">
        <x:v>Корнеплоды</x:v>
      </x:c>
      <x:c r="G684" s="28" t="str">
        <x:v>печень</x:v>
      </x:c>
      <x:c r="H684" s="28" t="str">
        <x:v>Печень | печень</x:v>
      </x:c>
      <x:c r="I684" s="28" t="str">
        <x:v>Мясо и птица</x:v>
      </x:c>
      <x:c r="J684" s="28" t="str">
        <x:v>землистый, сладкий, минеральный и слегка зелёный</x:v>
      </x:c>
      <x:c r="K684" s="28" t="str">
        <x:v>жареный, мясной и умами</x:v>
      </x:c>
      <x:c r="L684" s="28" t="str">
        <x:v>геосмин, метоксипиразины, альдегиды, бетаин</x:v>
      </x:c>
      <x:c r="M684" s="28" t="str">
        <x:v>пиразины, сернистые соединения</x:v>
      </x:c>
      <x:c r="N684" s="28" t="str">
        <x:v>прямое пересечение семейств не подтверждено</x:v>
      </x:c>
      <x:c r="O684" s="28" t="str">
        <x:v>надёжная общая ключевая молекула не установлена</x:v>
      </x:c>
      <x:c r="P684" s="28" t="str">
        <x:v>умами и солёный контраст</x:v>
      </x:c>
      <x:c r="Q684" s="28" t="str">
        <x:v>Сладость и землистость балансируются кислотой, солью, горечью и умами; жир усиливает ощущение округлости.</x:v>
      </x:c>
      <x:c r="R684" s="28" t="str">
        <x:v>минимальный</x:v>
      </x:c>
      <x:c r="S684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8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4" s="28" t="str">
        <x:v>Свёкла имеет профиль «землистый, сладкий, минеральный и слегка зелёный». Партнёр «печень»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84" s="28" t="str">
        <x:v>геосмин легко доминирует; беталаины отвечают за цвет, а не за запах; сильный нагрев снижает яркость цвета</x:v>
      </x:c>
      <x:c r="W684" s="28" t="str">
        <x:v>сливочное масло, соевый соус или тимьян</x:v>
      </x:c>
      <x:c r="X684" s="28" t="str">
        <x:v>сок, кордиал, гаспачо, салат, соус, маринад или коктейльный компонент с печень</x:v>
      </x:c>
      <x:c r="Y684" s="28" t="str">
        <x:v>еда, соусы/маринады</x:v>
      </x:c>
      <x:c r="Z684" s="28" t="str">
        <x:v>Средняя</x:v>
      </x:c>
      <x:c r="AA684" s="28" t="str">
        <x:v>Тезариус вкусов (Ники Сегнит)(1).pdf</x:v>
      </x:c>
      <x:c r="AB684" s="28" t="str">
        <x:v>Тезариус вкусов (Ники Сегнит)(1).pdf: 102, 225</x:v>
      </x:c>
      <x:c r="AC684" s="28" t="str">
        <x:v>развёрнутая пара/статья, стр. 102; развёрнутая пара/статья, стр. 225</x:v>
      </x:c>
      <x:c r="AD684" s="28" t="n">
        <x:v>1</x:v>
      </x:c>
      <x:c r="AE684" s="28" t="n">
        <x:v>2</x:v>
      </x:c>
      <x:c r="AF684" s="28" t="n">
        <x:f>IF(Z684="Высокая",3,IF(Z684="Средняя",2,1))+AD684*2+MIN(AE684,3)</x:f>
        <x:v>6</x:v>
      </x:c>
    </x:row>
    <x:row r="685" ht="64" customHeight="1">
      <x:c r="A685" s="28" t="str">
        <x:v>VEG-0684</x:v>
      </x:c>
      <x:c r="B685" s="28" t="str">
        <x:v>свёкла</x:v>
      </x:c>
      <x:c r="C685" s="28" t="str">
        <x:v>Еда и соусы</x:v>
      </x:c>
      <x:c r="D685" s="28" t="str">
        <x:v>свёкла</x:v>
      </x:c>
      <x:c r="E685" s="28" t="str">
        <x:v>pan-fried beetroot</x:v>
      </x:c>
      <x:c r="F685" s="28" t="str">
        <x:v>Корнеплоды</x:v>
      </x:c>
      <x:c r="G685" s="28" t="str">
        <x:v>рыба</x:v>
      </x:c>
      <x:c r="H685" s="28" t="str">
        <x:v>fish</x:v>
      </x:c>
      <x:c r="I685" s="28" t="str">
        <x:v>Рыба и морепродукты</x:v>
      </x:c>
      <x:c r="J685" s="28" t="str">
        <x:v>землистый, сладкий, минеральный и слегка зелёный</x:v>
      </x:c>
      <x:c r="K685" s="28" t="str">
        <x:v>жирный, морской, умами</x:v>
      </x:c>
      <x:c r="L685" s="28" t="str">
        <x:v>геосмин, метоксипиразины, альдегиды, бетаин</x:v>
      </x:c>
      <x:c r="M685" s="28" t="str">
        <x:v>альдегиды, амины</x:v>
      </x:c>
      <x:c r="N685" s="28" t="str">
        <x:v>прямое пересечение семейств не подтверждено</x:v>
      </x:c>
      <x:c r="O685" s="28" t="str">
        <x:v>альдегиды</x:v>
      </x:c>
      <x:c r="P685" s="28" t="str">
        <x:v>общие характерные молекулы; умами и солёный контраст</x:v>
      </x:c>
      <x:c r="Q685" s="28" t="str">
        <x:v>Сладость и землистость балансируются кислотой, солью, горечью и умами; жир усиливает ощущение округлости.</x:v>
      </x:c>
      <x:c r="R685" s="28" t="str">
        <x:v>минимальный</x:v>
      </x:c>
      <x:c r="S685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8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5" s="28" t="str">
        <x:v>Свёкла имеет профиль «землистый, сладкий, минеральный и слегка зелёный». Партнёр «рыба»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85" s="28" t="str">
        <x:v>геосмин легко доминирует; беталаины отвечают за цвет, а не за запах; сильный нагрев снижает яркость цвета</x:v>
      </x:c>
      <x:c r="W685" s="28" t="str">
        <x:v>сливочное масло, соевый соус или тимьян</x:v>
      </x:c>
      <x:c r="X685" s="28" t="str">
        <x:v>сок, кордиал, гаспачо, салат, соус, маринад или коктейльный компонент с рыба</x:v>
      </x:c>
      <x:c r="Y685" s="28" t="str">
        <x:v>еда, соусы/маринады</x:v>
      </x:c>
      <x:c r="Z685" s="28" t="str">
        <x:v>Средняя</x:v>
      </x:c>
      <x:c r="AA685" s="28" t="str">
        <x:v>The Art &amp; Science of Foodpairing.pdf</x:v>
      </x:c>
      <x:c r="AB685" s="28" t="str">
        <x:v>The Art &amp; Science of Foodpairing.pdf: 104</x:v>
      </x:c>
      <x:c r="AC685" s="28" t="str">
        <x:v>связь из pairing grid, стр. 104</x:v>
      </x:c>
      <x:c r="AD685" s="28" t="n">
        <x:v>1</x:v>
      </x:c>
      <x:c r="AE685" s="28" t="n">
        <x:v>1</x:v>
      </x:c>
      <x:c r="AF685" s="28" t="n">
        <x:f>IF(Z685="Высокая",3,IF(Z685="Средняя",2,1))+AD685*2+MIN(AE685,3)</x:f>
        <x:v>5</x:v>
      </x:c>
    </x:row>
    <x:row r="686" ht="64" customHeight="1">
      <x:c r="A686" s="28" t="str">
        <x:v>VEG-0685</x:v>
      </x:c>
      <x:c r="B686" s="28" t="str">
        <x:v>свёкла</x:v>
      </x:c>
      <x:c r="C686" s="28" t="str">
        <x:v>Еда и соусы</x:v>
      </x:c>
      <x:c r="D686" s="28" t="str">
        <x:v>свёкла</x:v>
      </x:c>
      <x:c r="E686" s="28" t="str">
        <x:v>beetroot</x:v>
      </x:c>
      <x:c r="F686" s="28" t="str">
        <x:v>Корнеплоды</x:v>
      </x:c>
      <x:c r="G686" s="28" t="str">
        <x:v>свиная грудинка</x:v>
      </x:c>
      <x:c r="H686" s="28" t="str">
        <x:v>roast pork belly</x:v>
      </x:c>
      <x:c r="I686" s="28" t="str">
        <x:v>Мясо и птица</x:v>
      </x:c>
      <x:c r="J686" s="28" t="str">
        <x:v>землистый, сладкий, минеральный и слегка зелёный</x:v>
      </x:c>
      <x:c r="K686" s="28" t="str">
        <x:v>жареный, мясной и умами</x:v>
      </x:c>
      <x:c r="L686" s="28" t="str">
        <x:v>геосмин, метоксипиразины, альдегиды, бетаин</x:v>
      </x:c>
      <x:c r="M686" s="28" t="str">
        <x:v>пиразины, сернистые соединения</x:v>
      </x:c>
      <x:c r="N686" s="28" t="str">
        <x:v>прямое пересечение семейств не подтверждено</x:v>
      </x:c>
      <x:c r="O686" s="28" t="str">
        <x:v>надёжная общая ключевая молекула не установлена</x:v>
      </x:c>
      <x:c r="P686" s="28" t="str">
        <x:v>умами и солёный контраст</x:v>
      </x:c>
      <x:c r="Q686" s="28" t="str">
        <x:v>Сладость и землистость балансируются кислотой, солью, горечью и умами; жир усиливает ощущение округлости.</x:v>
      </x:c>
      <x:c r="R686" s="28" t="str">
        <x:v>минимальный</x:v>
      </x:c>
      <x:c r="S686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8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6" s="28" t="str">
        <x:v>Свёкла имеет профиль «землистый, сладкий, минеральный и слегка зелёный». Партнёр «свиная грудинка»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86" s="28" t="str">
        <x:v>геосмин легко доминирует; беталаины отвечают за цвет, а не за запах; сильный нагрев снижает яркость цвета</x:v>
      </x:c>
      <x:c r="W686" s="28" t="str">
        <x:v>сливочное масло, соевый соус или тимьян</x:v>
      </x:c>
      <x:c r="X686" s="28" t="str">
        <x:v>сок, кордиал, гаспачо, салат, соус, маринад или коктейльный компонент с свиная грудинка</x:v>
      </x:c>
      <x:c r="Y686" s="28" t="str">
        <x:v>еда, соусы/маринады</x:v>
      </x:c>
      <x:c r="Z686" s="28" t="str">
        <x:v>Средняя</x:v>
      </x:c>
      <x:c r="AA686" s="28" t="str">
        <x:v>The Art &amp; Science of Foodpairing.pdf</x:v>
      </x:c>
      <x:c r="AB686" s="28" t="str">
        <x:v>The Art &amp; Science of Foodpairing.pdf: 224</x:v>
      </x:c>
      <x:c r="AC686" s="28" t="str">
        <x:v>связь из pairing grid, стр. 224</x:v>
      </x:c>
      <x:c r="AD686" s="28" t="n">
        <x:v>1</x:v>
      </x:c>
      <x:c r="AE686" s="28" t="n">
        <x:v>1</x:v>
      </x:c>
      <x:c r="AF686" s="28" t="n">
        <x:f>IF(Z686="Высокая",3,IF(Z686="Средняя",2,1))+AD686*2+MIN(AE686,3)</x:f>
        <x:v>5</x:v>
      </x:c>
    </x:row>
    <x:row r="687" ht="64" customHeight="1">
      <x:c r="A687" s="28" t="str">
        <x:v>VEG-0686</x:v>
      </x:c>
      <x:c r="B687" s="28" t="str">
        <x:v>свёкла</x:v>
      </x:c>
      <x:c r="C687" s="28" t="str">
        <x:v>Еда и соусы</x:v>
      </x:c>
      <x:c r="D687" s="28" t="str">
        <x:v>свёкла</x:v>
      </x:c>
      <x:c r="E687" s="28" t="str">
        <x:v>Свекла | свекла</x:v>
      </x:c>
      <x:c r="F687" s="28" t="str">
        <x:v>Корнеплоды</x:v>
      </x:c>
      <x:c r="G687" s="28" t="str">
        <x:v>свинина</x:v>
      </x:c>
      <x:c r="H687" s="28" t="str">
        <x:v>Свинина | свинина</x:v>
      </x:c>
      <x:c r="I687" s="28" t="str">
        <x:v>Мясо и птица</x:v>
      </x:c>
      <x:c r="J687" s="28" t="str">
        <x:v>землистый, сладкий, минеральный и слегка зелёный</x:v>
      </x:c>
      <x:c r="K687" s="28" t="str">
        <x:v>жареный, мясной и умами</x:v>
      </x:c>
      <x:c r="L687" s="28" t="str">
        <x:v>геосмин, метоксипиразины, альдегиды, бетаин</x:v>
      </x:c>
      <x:c r="M687" s="28" t="str">
        <x:v>пиразины, сернистые соединения</x:v>
      </x:c>
      <x:c r="N687" s="28" t="str">
        <x:v>прямое пересечение семейств не подтверждено</x:v>
      </x:c>
      <x:c r="O687" s="28" t="str">
        <x:v>надёжная общая ключевая молекула не установлена</x:v>
      </x:c>
      <x:c r="P687" s="28" t="str">
        <x:v>умами и солёный контраст</x:v>
      </x:c>
      <x:c r="Q687" s="28" t="str">
        <x:v>Сладость и землистость балансируются кислотой, солью, горечью и умами; жир усиливает ощущение округлости.</x:v>
      </x:c>
      <x:c r="R687" s="28" t="str">
        <x:v>минимальный</x:v>
      </x:c>
      <x:c r="S687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8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7" s="28" t="str">
        <x:v>Свёкла имеет профиль «землистый, сладкий, минеральный и слегка зелёный».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87" s="28" t="str">
        <x:v>геосмин легко доминирует; беталаины отвечают за цвет, а не за запах; сильный нагрев снижает яркость цвета</x:v>
      </x:c>
      <x:c r="W687" s="28" t="str">
        <x:v>сливочное масло, соевый соус или тимьян</x:v>
      </x:c>
      <x:c r="X687" s="28" t="str">
        <x:v>сок, кордиал, гаспачо, салат, соус, маринад или коктейльный компонент с свинина</x:v>
      </x:c>
      <x:c r="Y687" s="28" t="str">
        <x:v>еда, соусы/маринады</x:v>
      </x:c>
      <x:c r="Z687" s="28" t="str">
        <x:v>Средняя</x:v>
      </x:c>
      <x:c r="AA687" s="28" t="str">
        <x:v>Тезариус вкусов (Ники Сегнит)(1).pdf</x:v>
      </x:c>
      <x:c r="AB687" s="28" t="str">
        <x:v>Тезариус вкусов (Ники Сегнит)(1).pdf: 87, 225</x:v>
      </x:c>
      <x:c r="AC687" s="28" t="str">
        <x:v>развёрнутая пара/статья, стр. 87; развёрнутая пара/статья, стр. 225</x:v>
      </x:c>
      <x:c r="AD687" s="28" t="n">
        <x:v>1</x:v>
      </x:c>
      <x:c r="AE687" s="28" t="n">
        <x:v>2</x:v>
      </x:c>
      <x:c r="AF687" s="28" t="n">
        <x:f>IF(Z687="Высокая",3,IF(Z687="Средняя",2,1))+AD687*2+MIN(AE687,3)</x:f>
        <x:v>6</x:v>
      </x:c>
    </x:row>
    <x:row r="688" ht="64" customHeight="1">
      <x:c r="A688" s="28" t="str">
        <x:v>VEG-0687</x:v>
      </x:c>
      <x:c r="B688" s="28" t="str">
        <x:v>свёкла</x:v>
      </x:c>
      <x:c r="C688" s="28" t="str">
        <x:v>Универсальные</x:v>
      </x:c>
      <x:c r="D688" s="28" t="str">
        <x:v>свёкла</x:v>
      </x:c>
      <x:c r="E688" s="28" t="str">
        <x:v>beetroot</x:v>
      </x:c>
      <x:c r="F688" s="28" t="str">
        <x:v>Корнеплоды</x:v>
      </x:c>
      <x:c r="G688" s="28" t="str">
        <x:v>сельдерей</x:v>
      </x:c>
      <x:c r="H688" s="28" t="str">
        <x:v>boiled celery</x:v>
      </x:c>
      <x:c r="I688" s="28" t="str">
        <x:v>Стеблевые овощи</x:v>
      </x:c>
      <x:c r="J688" s="28" t="str">
        <x:v>землистый, сладкий, минеральный и слегка зелёный</x:v>
      </x:c>
      <x:c r="K688" s="28" t="str">
        <x:v>зелёный, травянистый, пряный, слегка анисовый</x:v>
      </x:c>
      <x:c r="L688" s="28" t="str">
        <x:v>геосмин, метоксипиразины, альдегиды, бетаин</x:v>
      </x:c>
      <x:c r="M688" s="28" t="str">
        <x:v>3-н-бутилфталид, лимонен, селинен, фталиды</x:v>
      </x:c>
      <x:c r="N688" s="28" t="str">
        <x:v>зелёный</x:v>
      </x:c>
      <x:c r="O688" s="28" t="str">
        <x:v>надёжная общая ключевая молекула не установлена</x:v>
      </x:c>
      <x:c r="P688" s="28" t="str">
        <x:v>пересечение ароматических семейств</x:v>
      </x:c>
      <x:c r="Q688" s="28" t="str">
        <x:v>Сладость и землистость балансируются кислотой, солью, горечью и умами; жир усиливает ощущение округлости.</x:v>
      </x:c>
      <x:c r="R688" s="28" t="str">
        <x:v>минимальный</x:v>
      </x:c>
      <x:c r="S688" s="28" t="str">
        <x:v>водная сахаристая матрица с пигментами беталаинами</x:v>
      </x:c>
      <x:c r="T68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8" s="28" t="str">
        <x:v>Свёкла имеет профиль «землистый, сладкий, минеральный и слегка зелёный».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88" s="28" t="str">
        <x:v>геосмин легко доминирует; беталаины отвечают за цвет, а не за запах; сильный нагрев снижает яркость цвета</x:v>
      </x:c>
      <x:c r="W688" s="28" t="str">
        <x:v>соль, кислота или ароматический жир</x:v>
      </x:c>
      <x:c r="X688" s="28" t="str">
        <x:v>сок, кордиал, гаспачо, салат, соус, маринад или коктейльный компонент с сельдерей</x:v>
      </x:c>
      <x:c r="Y688" s="28" t="str">
        <x:v>универсальное</x:v>
      </x:c>
      <x:c r="Z688" s="28" t="str">
        <x:v>Средняя</x:v>
      </x:c>
      <x:c r="AA688" s="28" t="str">
        <x:v>The Art &amp; Science of Foodpairing.pdf</x:v>
      </x:c>
      <x:c r="AB688" s="28" t="str">
        <x:v>The Art &amp; Science of Foodpairing.pdf: 224</x:v>
      </x:c>
      <x:c r="AC688" s="28" t="str">
        <x:v>связь из pairing grid, стр. 224</x:v>
      </x:c>
      <x:c r="AD688" s="28" t="n">
        <x:v>1</x:v>
      </x:c>
      <x:c r="AE688" s="28" t="n">
        <x:v>1</x:v>
      </x:c>
      <x:c r="AF688" s="28" t="n">
        <x:f>IF(Z688="Высокая",3,IF(Z688="Средняя",2,1))+AD688*2+MIN(AE688,3)</x:f>
        <x:v>5</x:v>
      </x:c>
    </x:row>
    <x:row r="689" ht="64" customHeight="1">
      <x:c r="A689" s="28" t="str">
        <x:v>VEG-0688</x:v>
      </x:c>
      <x:c r="B689" s="28" t="str">
        <x:v>свёкла</x:v>
      </x:c>
      <x:c r="C689" s="28" t="str">
        <x:v>Универсальные</x:v>
      </x:c>
      <x:c r="D689" s="28" t="str">
        <x:v>свёкла</x:v>
      </x:c>
      <x:c r="E689" s="28" t="str">
        <x:v>boiled peeled beetroot</x:v>
      </x:c>
      <x:c r="F689" s="28" t="str">
        <x:v>Корнеплоды</x:v>
      </x:c>
      <x:c r="G689" s="28" t="str">
        <x:v>сельдерей корневой</x:v>
      </x:c>
      <x:c r="H689" s="28" t="str">
        <x:v>celeriac</x:v>
      </x:c>
      <x:c r="I689" s="28" t="str">
        <x:v>Корнеплоды</x:v>
      </x:c>
      <x:c r="J689" s="28" t="str">
        <x:v>землистый, сладкий, минеральный и слегка зелёный</x:v>
      </x:c>
      <x:c r="K689" s="28" t="str">
        <x:v>землистый, ореховый, сельдерейно-пряный и слегка грибной</x:v>
      </x:c>
      <x:c r="L689" s="28" t="str">
        <x:v>геосмин, метоксипиразины, альдегиды, бетаин</x:v>
      </x:c>
      <x:c r="M689" s="28" t="str">
        <x:v>лимонен, метиональ, селинен, фталиды</x:v>
      </x:c>
      <x:c r="N689" s="28" t="str">
        <x:v>землистый</x:v>
      </x:c>
      <x:c r="O689" s="28" t="str">
        <x:v>надёжная общая ключевая молекула не установлена</x:v>
      </x:c>
      <x:c r="P689" s="28" t="str">
        <x:v>пересечение ароматических семейств</x:v>
      </x:c>
      <x:c r="Q689" s="28" t="str">
        <x:v>Сладость и землистость балансируются кислотой, солью, горечью и умами; жир усиливает ощущение округлости.</x:v>
      </x:c>
      <x:c r="R689" s="28" t="str">
        <x:v>минимальный</x:v>
      </x:c>
      <x:c r="S689" s="28" t="str">
        <x:v>водная сахаристая матрица с пигментами беталаинами</x:v>
      </x:c>
      <x:c r="T68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89" s="28" t="str">
        <x:v>Свёкла имеет профиль «землистый, сладкий, минеральный и слегка зелёный».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землистый.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89" s="28" t="str">
        <x:v>геосмин легко доминирует; беталаины отвечают за цвет, а не за запах; сильный нагрев снижает яркость цвета</x:v>
      </x:c>
      <x:c r="W689" s="28" t="str">
        <x:v>соль, кислота или ароматический жир</x:v>
      </x:c>
      <x:c r="X689" s="28" t="str">
        <x:v>сок, кордиал, гаспачо, салат, соус, маринад или коктейльный компонент с сельдерей корневой</x:v>
      </x:c>
      <x:c r="Y689" s="28" t="str">
        <x:v>универсальное</x:v>
      </x:c>
      <x:c r="Z689" s="28" t="str">
        <x:v>Средняя</x:v>
      </x:c>
      <x:c r="AA689" s="28" t="str">
        <x:v>The Art &amp; Science of Foodpairing.pdf</x:v>
      </x:c>
      <x:c r="AB689" s="28" t="str">
        <x:v>The Art &amp; Science of Foodpairing.pdf: 52</x:v>
      </x:c>
      <x:c r="AC689" s="28" t="str">
        <x:v>связь из pairing grid, стр. 52</x:v>
      </x:c>
      <x:c r="AD689" s="28" t="n">
        <x:v>1</x:v>
      </x:c>
      <x:c r="AE689" s="28" t="n">
        <x:v>1</x:v>
      </x:c>
      <x:c r="AF689" s="28" t="n">
        <x:f>IF(Z689="Высокая",3,IF(Z689="Средняя",2,1))+AD689*2+MIN(AE689,3)</x:f>
        <x:v>5</x:v>
      </x:c>
    </x:row>
    <x:row r="690" ht="64" customHeight="1">
      <x:c r="A690" s="28" t="str">
        <x:v>VEG-0689</x:v>
      </x:c>
      <x:c r="B690" s="28" t="str">
        <x:v>свёкла</x:v>
      </x:c>
      <x:c r="C690" s="28" t="str">
        <x:v>Еда и соусы</x:v>
      </x:c>
      <x:c r="D690" s="28" t="str">
        <x:v>свёкла</x:v>
      </x:c>
      <x:c r="E690" s="28" t="str">
        <x:v>beetroot</x:v>
      </x:c>
      <x:c r="F690" s="28" t="str">
        <x:v>Корнеплоды</x:v>
      </x:c>
      <x:c r="G690" s="28" t="str">
        <x:v>скат</x:v>
      </x:c>
      <x:c r="H690" s="28" t="str">
        <x:v>poached ray wing</x:v>
      </x:c>
      <x:c r="I690" s="28" t="str">
        <x:v>Рыба и морепродукты</x:v>
      </x:c>
      <x:c r="J690" s="28" t="str">
        <x:v>землистый, сладкий, минеральный и слегка зелёный</x:v>
      </x:c>
      <x:c r="K690" s="28" t="str">
        <x:v>морской, солоноватый и умами</x:v>
      </x:c>
      <x:c r="L690" s="28" t="str">
        <x:v>геосмин, метоксипиразины, альдегиды, бетаин</x:v>
      </x:c>
      <x:c r="M690" s="28" t="str">
        <x:v>альдегиды, амины</x:v>
      </x:c>
      <x:c r="N690" s="28" t="str">
        <x:v>прямое пересечение семейств не подтверждено</x:v>
      </x:c>
      <x:c r="O690" s="28" t="str">
        <x:v>альдегиды</x:v>
      </x:c>
      <x:c r="P690" s="28" t="str">
        <x:v>общие характерные молекулы; умами и солёный контраст</x:v>
      </x:c>
      <x:c r="Q690" s="28" t="str">
        <x:v>Сладость и землистость балансируются кислотой, солью, горечью и умами; жир усиливает ощущение округлости.</x:v>
      </x:c>
      <x:c r="R690" s="28" t="str">
        <x:v>минимальный</x:v>
      </x:c>
      <x:c r="S690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9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0" s="28" t="str">
        <x:v>Свёкла имеет профиль «землистый, сладкий, минеральный и слегка зелёный». Партнёр «скат»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90" s="28" t="str">
        <x:v>геосмин легко доминирует; беталаины отвечают за цвет, а не за запах; сильный нагрев снижает яркость цвета</x:v>
      </x:c>
      <x:c r="W690" s="28" t="str">
        <x:v>сливочное масло, соевый соус или тимьян</x:v>
      </x:c>
      <x:c r="X690" s="28" t="str">
        <x:v>сок, кордиал, гаспачо, салат, соус, маринад или коктейльный компонент с скат</x:v>
      </x:c>
      <x:c r="Y690" s="28" t="str">
        <x:v>еда, соусы/маринады</x:v>
      </x:c>
      <x:c r="Z690" s="28" t="str">
        <x:v>Средняя</x:v>
      </x:c>
      <x:c r="AA690" s="28" t="str">
        <x:v>The Art &amp; Science of Foodpairing.pdf</x:v>
      </x:c>
      <x:c r="AB690" s="28" t="str">
        <x:v>The Art &amp; Science of Foodpairing.pdf: 224</x:v>
      </x:c>
      <x:c r="AC690" s="28" t="str">
        <x:v>связь из pairing grid, стр. 224</x:v>
      </x:c>
      <x:c r="AD690" s="28" t="n">
        <x:v>1</x:v>
      </x:c>
      <x:c r="AE690" s="28" t="n">
        <x:v>1</x:v>
      </x:c>
      <x:c r="AF690" s="28" t="n">
        <x:f>IF(Z690="Высокая",3,IF(Z690="Средняя",2,1))+AD690*2+MIN(AE690,3)</x:f>
        <x:v>5</x:v>
      </x:c>
    </x:row>
    <x:row r="691" ht="64" customHeight="1">
      <x:c r="A691" s="28" t="str">
        <x:v>VEG-0690</x:v>
      </x:c>
      <x:c r="B691" s="28" t="str">
        <x:v>свёкла</x:v>
      </x:c>
      <x:c r="C691" s="28" t="str">
        <x:v>Десерты и выпечка</x:v>
      </x:c>
      <x:c r="D691" s="28" t="str">
        <x:v>свёкла</x:v>
      </x:c>
      <x:c r="E691" s="28" t="str">
        <x:v>beetroot</x:v>
      </x:c>
      <x:c r="F691" s="28" t="str">
        <x:v>Корнеплоды</x:v>
      </x:c>
      <x:c r="G691" s="28" t="str">
        <x:v>сметана и лимон</x:v>
      </x:c>
      <x:c r="H691" s="28" t="str">
        <x:v>sour cream and a squeeze of lemon</x:v>
      </x:c>
      <x:c r="I691" s="28" t="str">
        <x:v>Фрукты и ягоды</x:v>
      </x:c>
      <x:c r="J691" s="28" t="str">
        <x:v>землистый, сладкий, минеральный и слегка зелёный</x:v>
      </x:c>
      <x:c r="K691" s="28" t="str">
        <x:v>кислый, свежий, цитрусовый</x:v>
      </x:c>
      <x:c r="L691" s="28" t="str">
        <x:v>геосмин, метоксипиразины, альдегиды, бетаин</x:v>
      </x:c>
      <x:c r="M691" s="28" t="str">
        <x:v>лимонен, цитраль</x:v>
      </x:c>
      <x:c r="N691" s="28" t="str">
        <x:v>прямое пересечение семейств не подтверждено</x:v>
      </x:c>
      <x:c r="O691" s="28" t="str">
        <x:v>надёжная общая ключевая молекула не установлена</x:v>
      </x:c>
      <x:c r="P691" s="28" t="str">
        <x:v>кислотно-сладкий баланс</x:v>
      </x:c>
      <x:c r="Q691" s="28" t="str">
        <x:v>Сладость и землистость балансируются кислотой, солью, горечью и умами; жир усиливает ощущение округлости.</x:v>
      </x:c>
      <x:c r="R691" s="28" t="str">
        <x:v>минимальный</x:v>
      </x:c>
      <x:c r="S691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69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1" s="28" t="str">
        <x:v>Свёкла имеет профиль «землистый, сладкий, минеральный и слегка зелёный». Партнёр «сметана и 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691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691" s="28" t="str">
        <x:v>цитрус, мёд или мягкая трава</x:v>
      </x:c>
      <x:c r="X691" s="28" t="str">
        <x:v>сок, кордиал, гаспачо, салат, соус, маринад или коктейльный компонент с сметана и лимон</x:v>
      </x:c>
      <x:c r="Y691" s="28" t="str">
        <x:v>десерты</x:v>
      </x:c>
      <x:c r="Z691" s="28" t="str">
        <x:v>Средняя</x:v>
      </x:c>
      <x:c r="AA691" s="28" t="str">
        <x:v>The Art &amp; Science of Foodpairing.pdf</x:v>
      </x:c>
      <x:c r="AB691" s="28" t="str">
        <x:v>The Art &amp; Science of Foodpairing.pdf: 224</x:v>
      </x:c>
      <x:c r="AC691" s="28" t="str">
        <x:v>связь из pairing grid, стр. 224</x:v>
      </x:c>
      <x:c r="AD691" s="28" t="n">
        <x:v>1</x:v>
      </x:c>
      <x:c r="AE691" s="28" t="n">
        <x:v>1</x:v>
      </x:c>
      <x:c r="AF691" s="28" t="n">
        <x:f>IF(Z691="Высокая",3,IF(Z691="Средняя",2,1))+AD691*2+MIN(AE691,3)</x:f>
        <x:v>5</x:v>
      </x:c>
    </x:row>
    <x:row r="692" ht="64" customHeight="1">
      <x:c r="A692" s="28" t="str">
        <x:v>VEG-0691</x:v>
      </x:c>
      <x:c r="B692" s="28" t="str">
        <x:v>свёкла</x:v>
      </x:c>
      <x:c r="C692" s="28" t="str">
        <x:v>Еда и соусы</x:v>
      </x:c>
      <x:c r="D692" s="28" t="str">
        <x:v>свёкла</x:v>
      </x:c>
      <x:c r="E692" s="28" t="str">
        <x:v>beetroot</x:v>
      </x:c>
      <x:c r="F692" s="28" t="str">
        <x:v>Корнеплоды</x:v>
      </x:c>
      <x:c r="G692" s="28" t="str">
        <x:v>соевый соус</x:v>
      </x:c>
      <x:c r="H692" s="28" t="str">
        <x:v>dark soy sauce</x:v>
      </x:c>
      <x:c r="I692" s="28" t="str">
        <x:v>Ферментированные продукты и соусы</x:v>
      </x:c>
      <x:c r="J692" s="28" t="str">
        <x:v>землистый, сладкий, минеральный и слегка зелёный</x:v>
      </x:c>
      <x:c r="K692" s="28" t="str">
        <x:v>жареный, умами, ферментированный</x:v>
      </x:c>
      <x:c r="L692" s="28" t="str">
        <x:v>геосмин, метоксипиразины, альдегиды, бетаин</x:v>
      </x:c>
      <x:c r="M692" s="28" t="str">
        <x:v>пиразины, фураны, эфиры</x:v>
      </x:c>
      <x:c r="N692" s="28" t="str">
        <x:v>прямое пересечение семейств не подтверждено</x:v>
      </x:c>
      <x:c r="O692" s="28" t="str">
        <x:v>надёжная общая ключевая молекула не установлена</x:v>
      </x:c>
      <x:c r="P692" s="28" t="str">
        <x:v>умами и солёный контраст</x:v>
      </x:c>
      <x:c r="Q692" s="28" t="str">
        <x:v>Сладость и землистость балансируются кислотой, солью, горечью и умами; жир усиливает ощущение округлости.</x:v>
      </x:c>
      <x:c r="R692" s="28" t="str">
        <x:v>минимальный</x:v>
      </x:c>
      <x:c r="S692" s="28" t="str">
        <x:v>водная сахаристая матрица с пигментами беталаинами</x:v>
      </x:c>
      <x:c r="T69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2" s="28" t="str">
        <x:v>Свёкла имеет профиль «землистый, сладкий, минеральный и слегка зелёный». Партнёр «соевый соус» относится к группе «Ферментированные продукты и соусы» и даёт жареный,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92" s="28" t="str">
        <x:v>геосмин легко доминирует; беталаины отвечают за цвет, а не за запах; сильный нагрев снижает яркость цвета</x:v>
      </x:c>
      <x:c r="W692" s="28" t="str">
        <x:v>имбирь, чеснок или кунжут</x:v>
      </x:c>
      <x:c r="X692" s="28" t="str">
        <x:v>сок, кордиал, гаспачо, салат, соус, маринад или коктейльный компонент с соевый соус</x:v>
      </x:c>
      <x:c r="Y692" s="28" t="str">
        <x:v>еда, соусы/маринады</x:v>
      </x:c>
      <x:c r="Z692" s="28" t="str">
        <x:v>Средняя</x:v>
      </x:c>
      <x:c r="AA692" s="28" t="str">
        <x:v>The Art &amp; Science of Foodpairing.pdf</x:v>
      </x:c>
      <x:c r="AB692" s="28" t="str">
        <x:v>The Art &amp; Science of Foodpairing.pdf: 224</x:v>
      </x:c>
      <x:c r="AC692" s="28" t="str">
        <x:v>связь из pairing grid, стр. 224</x:v>
      </x:c>
      <x:c r="AD692" s="28" t="n">
        <x:v>1</x:v>
      </x:c>
      <x:c r="AE692" s="28" t="n">
        <x:v>1</x:v>
      </x:c>
      <x:c r="AF692" s="28" t="n">
        <x:f>IF(Z692="Высокая",3,IF(Z692="Средняя",2,1))+AD692*2+MIN(AE692,3)</x:f>
        <x:v>5</x:v>
      </x:c>
    </x:row>
    <x:row r="693" ht="64" customHeight="1">
      <x:c r="A693" s="28" t="str">
        <x:v>VEG-0692</x:v>
      </x:c>
      <x:c r="B693" s="28" t="str">
        <x:v>свёкла</x:v>
      </x:c>
      <x:c r="C693" s="28" t="str">
        <x:v>Универсальные</x:v>
      </x:c>
      <x:c r="D693" s="28" t="str">
        <x:v>свёкла</x:v>
      </x:c>
      <x:c r="E693" s="28" t="str">
        <x:v>beetroot</x:v>
      </x:c>
      <x:c r="F693" s="28" t="str">
        <x:v>Корнеплоды</x:v>
      </x:c>
      <x:c r="G693" s="28" t="str">
        <x:v>спаржа</x:v>
      </x:c>
      <x:c r="H693" s="28" t="str">
        <x:v>grilled green asparagus</x:v>
      </x:c>
      <x:c r="I693" s="28" t="str">
        <x:v>Побеговые овощи</x:v>
      </x:c>
      <x:c r="J693" s="28" t="str">
        <x:v>землистый, сладкий, минеральный и слегка зелёный</x:v>
      </x:c>
      <x:c r="K693" s="28" t="str">
        <x:v>зелёный, сернистый, ореховый и слегка сладкий</x:v>
      </x:c>
      <x:c r="L693" s="28" t="str">
        <x:v>геосмин, метоксипиразины, альдегиды, бетаин</x:v>
      </x:c>
      <x:c r="M693" s="28" t="str">
        <x:v>аспарагусовая кислота, диметилсульфид, метантиол, пиразины</x:v>
      </x:c>
      <x:c r="N693" s="28" t="str">
        <x:v>зелёный</x:v>
      </x:c>
      <x:c r="O693" s="28" t="str">
        <x:v>надёжная общая ключевая молекула не установлена</x:v>
      </x:c>
      <x:c r="P693" s="28" t="str">
        <x:v>пересечение ароматических семейств</x:v>
      </x:c>
      <x:c r="Q693" s="28" t="str">
        <x:v>Сладость и землистость балансируются кислотой, солью, горечью и умами; жир усиливает ощущение округлости.</x:v>
      </x:c>
      <x:c r="R693" s="28" t="str">
        <x:v>минимальный</x:v>
      </x:c>
      <x:c r="S693" s="28" t="str">
        <x:v>водная сахаристая матрица с пигментами беталаинами</x:v>
      </x:c>
      <x:c r="T69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3" s="28" t="str">
        <x:v>Свёкла имеет профиль «землистый, сладкий, минеральный и слегка зелёный». Партнёр «спаржа» относится к группе «Побеговые овощи» и даёт зелёный, сернистый, ореховый и слегка сладкий.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93" s="28" t="str">
        <x:v>геосмин легко доминирует; беталаины отвечают за цвет, а не за запах; сильный нагрев снижает яркость цвета</x:v>
      </x:c>
      <x:c r="W693" s="28" t="str">
        <x:v>соль, кислота или ароматический жир</x:v>
      </x:c>
      <x:c r="X693" s="28" t="str">
        <x:v>сок, кордиал, гаспачо, салат, соус, маринад или коктейльный компонент с спаржа</x:v>
      </x:c>
      <x:c r="Y693" s="28" t="str">
        <x:v>универсальное</x:v>
      </x:c>
      <x:c r="Z693" s="28" t="str">
        <x:v>Средняя</x:v>
      </x:c>
      <x:c r="AA693" s="28" t="str">
        <x:v>The Art &amp; Science of Foodpairing.pdf</x:v>
      </x:c>
      <x:c r="AB693" s="28" t="str">
        <x:v>The Art &amp; Science of Foodpairing.pdf: 224</x:v>
      </x:c>
      <x:c r="AC693" s="28" t="str">
        <x:v>связь из pairing grid, стр. 224</x:v>
      </x:c>
      <x:c r="AD693" s="28" t="n">
        <x:v>1</x:v>
      </x:c>
      <x:c r="AE693" s="28" t="n">
        <x:v>1</x:v>
      </x:c>
      <x:c r="AF693" s="28" t="n">
        <x:f>IF(Z693="Высокая",3,IF(Z693="Средняя",2,1))+AD693*2+MIN(AE693,3)</x:f>
        <x:v>5</x:v>
      </x:c>
    </x:row>
    <x:row r="694" ht="64" customHeight="1">
      <x:c r="A694" s="28" t="str">
        <x:v>VEG-0693</x:v>
      </x:c>
      <x:c r="B694" s="28" t="str">
        <x:v>свёкла</x:v>
      </x:c>
      <x:c r="C694" s="28" t="str">
        <x:v>Десерты и выпечка</x:v>
      </x:c>
      <x:c r="D694" s="28" t="str">
        <x:v>свёкла</x:v>
      </x:c>
      <x:c r="E694" s="28" t="str">
        <x:v>beetroot</x:v>
      </x:c>
      <x:c r="F694" s="28" t="str">
        <x:v>Корнеплоды</x:v>
      </x:c>
      <x:c r="G694" s="28" t="str">
        <x:v>сыр</x:v>
      </x:c>
      <x:c r="H694" s="28" t="str">
        <x:v>Majorero Semicurado cheese | cottage cheese</x:v>
      </x:c>
      <x:c r="I694" s="28" t="str">
        <x:v>Молочные продукты и сыры</x:v>
      </x:c>
      <x:c r="J694" s="28" t="str">
        <x:v>землистый, сладкий, минеральный и слегка зелёный</x:v>
      </x:c>
      <x:c r="K694" s="28" t="str">
        <x:v>молочный, умами, ферментированный</x:v>
      </x:c>
      <x:c r="L694" s="28" t="str">
        <x:v>геосмин, метоксипиразины, альдегиды, бетаин</x:v>
      </x:c>
      <x:c r="M694" s="28" t="str">
        <x:v>диацетил, жирные кислоты</x:v>
      </x:c>
      <x:c r="N694" s="28" t="str">
        <x:v>прямое пересечение семейств не подтверждено</x:v>
      </x:c>
      <x:c r="O694" s="28" t="str">
        <x:v>надёжная общая ключевая молекула не установлена</x:v>
      </x:c>
      <x:c r="P694" s="28" t="str">
        <x:v>жировая матрица</x:v>
      </x:c>
      <x:c r="Q694" s="28" t="str">
        <x:v>Сладость и землистость балансируются кислотой, солью, горечью и умами; жир усиливает ощущение округлости.</x:v>
      </x:c>
      <x:c r="R694" s="28" t="str">
        <x:v>минимальный</x:v>
      </x:c>
      <x:c r="S694" s="28" t="str">
        <x:v>водная сахаристая матрица с пигментами беталаинами Жировая фаза удерживает гидрофобные молекулы, но может сделать вкус тяжёлым.</x:v>
      </x:c>
      <x:c r="T69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4" s="28" t="str">
        <x:v>Свёкла имеет профиль «землистый, сладкий, минеральный и слегка зелёный».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694" s="28" t="str">
        <x:v>геосмин легко доминирует; беталаины отвечают за цвет, а не за запах; сильный нагрев снижает яркость цвета; жир способен приглушить свежую зелёную ароматику</x:v>
      </x:c>
      <x:c r="W694" s="28" t="str">
        <x:v>кислота, зелень или жареный орех</x:v>
      </x:c>
      <x:c r="X694" s="28" t="str">
        <x:v>сок, кордиал, гаспачо, салат, соус, маринад или коктейльный компонент с сыр</x:v>
      </x:c>
      <x:c r="Y694" s="28" t="str">
        <x:v>десерты</x:v>
      </x:c>
      <x:c r="Z694" s="28" t="str">
        <x:v>Средняя</x:v>
      </x:c>
      <x:c r="AA694" s="28" t="str">
        <x:v>The Art &amp; Science of Foodpairing.pdf</x:v>
      </x:c>
      <x:c r="AB694" s="28" t="str">
        <x:v>The Art &amp; Science of Foodpairing.pdf: 224</x:v>
      </x:c>
      <x:c r="AC694" s="28" t="str">
        <x:v>связь из pairing grid, стр. 224; связь из pairing grid, стр. 224</x:v>
      </x:c>
      <x:c r="AD694" s="28" t="n">
        <x:v>1</x:v>
      </x:c>
      <x:c r="AE694" s="28" t="n">
        <x:v>2</x:v>
      </x:c>
      <x:c r="AF694" s="28" t="n">
        <x:f>IF(Z694="Высокая",3,IF(Z694="Средняя",2,1))+AD694*2+MIN(AE694,3)</x:f>
        <x:v>6</x:v>
      </x:c>
    </x:row>
    <x:row r="695" ht="64" customHeight="1">
      <x:c r="A695" s="28" t="str">
        <x:v>VEG-0694</x:v>
      </x:c>
      <x:c r="B695" s="28" t="str">
        <x:v>свёкла</x:v>
      </x:c>
      <x:c r="C695" s="28" t="str">
        <x:v>Универсальные</x:v>
      </x:c>
      <x:c r="D695" s="28" t="str">
        <x:v>свёкла</x:v>
      </x:c>
      <x:c r="E695" s="28" t="str">
        <x:v>beetroot</x:v>
      </x:c>
      <x:c r="F695" s="28" t="str">
        <x:v>Корнеплоды</x:v>
      </x:c>
      <x:c r="G695" s="28" t="str">
        <x:v>томат</x:v>
      </x:c>
      <x:c r="H695" s="28" t="str">
        <x:v>tomato | tomato and tomato puree</x:v>
      </x:c>
      <x:c r="I695" s="28" t="str">
        <x:v>Плодовые овощи</x:v>
      </x:c>
      <x:c r="J695" s="28" t="str">
        <x:v>землистый, сладкий, минеральный и слегка зелёный</x:v>
      </x:c>
      <x:c r="K695" s="28" t="str">
        <x:v>зелёный, фруктовый, листовой, сернистый и умами</x:v>
      </x:c>
      <x:c r="L695" s="28" t="str">
        <x:v>геосмин, метоксипиразины, альдегиды, бетаин</x:v>
      </x:c>
      <x:c r="M695" s="28" t="str">
        <x:v>β-ионон, гексаналь, глутамат, метиональ, цис-3-гексеналь</x:v>
      </x:c>
      <x:c r="N695" s="28" t="str">
        <x:v>зелёный</x:v>
      </x:c>
      <x:c r="O695" s="28" t="str">
        <x:v>надёжная общая ключевая молекула не установлена</x:v>
      </x:c>
      <x:c r="P695" s="28" t="str">
        <x:v>пересечение ароматических семейств</x:v>
      </x:c>
      <x:c r="Q695" s="28" t="str">
        <x:v>Сладость и землистость балансируются кислотой, солью, горечью и умами; жир усиливает ощущение округлости.</x:v>
      </x:c>
      <x:c r="R695" s="28" t="str">
        <x:v>минимальный</x:v>
      </x:c>
      <x:c r="S695" s="28" t="str">
        <x:v>водная сахаристая матрица с пигментами беталаинами</x:v>
      </x:c>
      <x:c r="T69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5" s="28" t="str">
        <x:v>Свёкла имеет профиль «землистый, сладкий, минеральный и слегка зелёный».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95" s="28" t="str">
        <x:v>геосмин легко доминирует; беталаины отвечают за цвет, а не за запах; сильный нагрев снижает яркость цвета</x:v>
      </x:c>
      <x:c r="W695" s="28" t="str">
        <x:v>соль, кислота или ароматический жир</x:v>
      </x:c>
      <x:c r="X695" s="28" t="str">
        <x:v>сок, кордиал, гаспачо, салат, соус, маринад или коктейльный компонент с томат</x:v>
      </x:c>
      <x:c r="Y695" s="28" t="str">
        <x:v>универсальное</x:v>
      </x:c>
      <x:c r="Z695" s="28" t="str">
        <x:v>Средняя</x:v>
      </x:c>
      <x:c r="AA695" s="28" t="str">
        <x:v>The Art &amp; Science of Foodpairing.pdf</x:v>
      </x:c>
      <x:c r="AB695" s="28" t="str">
        <x:v>The Art &amp; Science of Foodpairing.pdf: 161, 224</x:v>
      </x:c>
      <x:c r="AC695" s="28" t="str">
        <x:v>связь из pairing grid, стр. 161; связь из pairing grid, стр. 224</x:v>
      </x:c>
      <x:c r="AD695" s="28" t="n">
        <x:v>1</x:v>
      </x:c>
      <x:c r="AE695" s="28" t="n">
        <x:v>2</x:v>
      </x:c>
      <x:c r="AF695" s="28" t="n">
        <x:f>IF(Z695="Высокая",3,IF(Z695="Средняя",2,1))+AD695*2+MIN(AE695,3)</x:f>
        <x:v>6</x:v>
      </x:c>
    </x:row>
    <x:row r="696" ht="64" customHeight="1">
      <x:c r="A696" s="28" t="str">
        <x:v>VEG-0695</x:v>
      </x:c>
      <x:c r="B696" s="28" t="str">
        <x:v>свёкла</x:v>
      </x:c>
      <x:c r="C696" s="28" t="str">
        <x:v>Еда и соусы</x:v>
      </x:c>
      <x:c r="D696" s="28" t="str">
        <x:v>свёкла</x:v>
      </x:c>
      <x:c r="E696" s="28" t="str">
        <x:v>beetroot</x:v>
      </x:c>
      <x:c r="F696" s="28" t="str">
        <x:v>Корнеплоды</x:v>
      </x:c>
      <x:c r="G696" s="28" t="str">
        <x:v>томатильо</x:v>
      </x:c>
      <x:c r="H696" s="28" t="str">
        <x:v>boiled tomatillo</x:v>
      </x:c>
      <x:c r="I696" s="28" t="str">
        <x:v>Плодовые и тыквенные овощи</x:v>
      </x:c>
      <x:c r="J696" s="28" t="str">
        <x:v>землистый, сладкий, минеральный и слегка зелёный</x:v>
      </x:c>
      <x:c r="K696" s="28" t="str">
        <x:v>зелёный, фруктовый или водянистый</x:v>
      </x:c>
      <x:c r="L696" s="28" t="str">
        <x:v>геосмин, метоксипиразины, альдегиды, бетаин</x:v>
      </x:c>
      <x:c r="M696" s="28" t="str">
        <x:v>альдегиды, эфиры</x:v>
      </x:c>
      <x:c r="N696" s="28" t="str">
        <x:v>зелёный</x:v>
      </x:c>
      <x:c r="O696" s="28" t="str">
        <x:v>альдегиды</x:v>
      </x:c>
      <x:c r="P696" s="28" t="str">
        <x:v>общие характерные молекулы; пересечение ароматических семейств</x:v>
      </x:c>
      <x:c r="Q696" s="28" t="str">
        <x:v>Сладость и землистость балансируются кислотой, солью, горечью и умами; жир усиливает ощущение округлости.</x:v>
      </x:c>
      <x:c r="R696" s="28" t="str">
        <x:v>минимальный</x:v>
      </x:c>
      <x:c r="S696" s="28" t="str">
        <x:v>водная сахаристая матрица с пигментами беталаинами</x:v>
      </x:c>
      <x:c r="T69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6" s="28" t="str">
        <x:v>Свёкла имеет профиль «землистый, сладкий, минеральный и слегка зелёный». Партнёр «томатильо»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696" s="28" t="str">
        <x:v>геосмин легко доминирует; беталаины отвечают за цвет, а не за запах; сильный нагрев снижает яркость цвета</x:v>
      </x:c>
      <x:c r="W696" s="28" t="str">
        <x:v>соль, кислота или ароматический жир</x:v>
      </x:c>
      <x:c r="X696" s="28" t="str">
        <x:v>сок, кордиал, гаспачо, салат, соус, маринад или коктейльный компонент с томатильо</x:v>
      </x:c>
      <x:c r="Y696" s="28" t="str">
        <x:v>еда, соусы/маринады</x:v>
      </x:c>
      <x:c r="Z696" s="28" t="str">
        <x:v>Средняя</x:v>
      </x:c>
      <x:c r="AA696" s="28" t="str">
        <x:v>The Art &amp; Science of Foodpairing.pdf</x:v>
      </x:c>
      <x:c r="AB696" s="28" t="str">
        <x:v>The Art &amp; Science of Foodpairing.pdf: 224</x:v>
      </x:c>
      <x:c r="AC696" s="28" t="str">
        <x:v>связь из pairing grid, стр. 224</x:v>
      </x:c>
      <x:c r="AD696" s="28" t="n">
        <x:v>1</x:v>
      </x:c>
      <x:c r="AE696" s="28" t="n">
        <x:v>1</x:v>
      </x:c>
      <x:c r="AF696" s="28" t="n">
        <x:f>IF(Z696="Высокая",3,IF(Z696="Средняя",2,1))+AD696*2+MIN(AE696,3)</x:f>
        <x:v>5</x:v>
      </x:c>
    </x:row>
    <x:row r="697" ht="64" customHeight="1">
      <x:c r="A697" s="28" t="str">
        <x:v>VEG-0696</x:v>
      </x:c>
      <x:c r="B697" s="28" t="str">
        <x:v>свёкла</x:v>
      </x:c>
      <x:c r="C697" s="28" t="str">
        <x:v>Еда и соусы</x:v>
      </x:c>
      <x:c r="D697" s="28" t="str">
        <x:v>свёкла</x:v>
      </x:c>
      <x:c r="E697" s="28" t="str">
        <x:v>beetroot</x:v>
      </x:c>
      <x:c r="F697" s="28" t="str">
        <x:v>Корнеплоды</x:v>
      </x:c>
      <x:c r="G697" s="28" t="str">
        <x:v>трюфель</x:v>
      </x:c>
      <x:c r="H697" s="28" t="str">
        <x:v>truffle</x:v>
      </x:c>
      <x:c r="I697" s="28" t="str">
        <x:v>Грибы</x:v>
      </x:c>
      <x:c r="J697" s="28" t="str">
        <x:v>землистый, сладкий, минеральный и слегка зелёный</x:v>
      </x:c>
      <x:c r="K697" s="28" t="str">
        <x:v>землистый, грибной и умами</x:v>
      </x:c>
      <x:c r="L697" s="28" t="str">
        <x:v>геосмин, метоксипиразины, альдегиды, бетаин</x:v>
      </x:c>
      <x:c r="M697" s="28" t="str">
        <x:v>1-октен-3-ол, сернистые соединения</x:v>
      </x:c>
      <x:c r="N697" s="28" t="str">
        <x:v>землистый</x:v>
      </x:c>
      <x:c r="O697" s="28" t="str">
        <x:v>надёжная общая ключевая молекула не установлена</x:v>
      </x:c>
      <x:c r="P697" s="28" t="str">
        <x:v>пересечение ароматических семейств; умами и солёный контраст</x:v>
      </x:c>
      <x:c r="Q697" s="28" t="str">
        <x:v>Сладость и землистость балансируются кислотой, солью, горечью и умами; жир усиливает ощущение округлости.</x:v>
      </x:c>
      <x:c r="R697" s="28" t="str">
        <x:v>минимальный</x:v>
      </x:c>
      <x:c r="S697" s="28" t="str">
        <x:v>водная сахаристая матрица с пигментами беталаинами Белок и жир требуют контроля воды: для жареной ароматики поверхность должна подсохнуть.</x:v>
      </x:c>
      <x:c r="T69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7" s="28" t="str">
        <x:v>Свёкла имеет профиль «землистый, сладкий, минеральный и слегка зелёный». Партнёр «трюфель» относится к группе «Грибы» и даёт землистый, грибной и умами. Профили пересекаются в семействах: землистый.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697" s="28" t="str">
        <x:v>геосмин легко доминирует; беталаины отвечают за цвет, а не за запах; сильный нагрев снижает яркость цвета</x:v>
      </x:c>
      <x:c r="W697" s="28" t="str">
        <x:v>соль, кислота или ароматический жир</x:v>
      </x:c>
      <x:c r="X697" s="28" t="str">
        <x:v>сок, кордиал, гаспачо, салат, соус, маринад или коктейльный компонент с трюфель</x:v>
      </x:c>
      <x:c r="Y697" s="28" t="str">
        <x:v>еда, соусы/маринады</x:v>
      </x:c>
      <x:c r="Z697" s="28" t="str">
        <x:v>Средняя</x:v>
      </x:c>
      <x:c r="AA697" s="28" t="str">
        <x:v>The Art &amp; Science of Foodpairing.pdf</x:v>
      </x:c>
      <x:c r="AB697" s="28" t="str">
        <x:v>The Art &amp; Science of Foodpairing.pdf: 192</x:v>
      </x:c>
      <x:c r="AC697" s="28" t="str">
        <x:v>связь из pairing grid, стр. 192</x:v>
      </x:c>
      <x:c r="AD697" s="28" t="n">
        <x:v>1</x:v>
      </x:c>
      <x:c r="AE697" s="28" t="n">
        <x:v>1</x:v>
      </x:c>
      <x:c r="AF697" s="28" t="n">
        <x:f>IF(Z697="Высокая",3,IF(Z697="Средняя",2,1))+AD697*2+MIN(AE697,3)</x:f>
        <x:v>5</x:v>
      </x:c>
    </x:row>
    <x:row r="698" ht="64" customHeight="1">
      <x:c r="A698" s="28" t="str">
        <x:v>VEG-0697</x:v>
      </x:c>
      <x:c r="B698" s="28" t="str">
        <x:v>свёкла</x:v>
      </x:c>
      <x:c r="C698" s="28" t="str">
        <x:v>Универсальные</x:v>
      </x:c>
      <x:c r="D698" s="28" t="str">
        <x:v>свёкла</x:v>
      </x:c>
      <x:c r="E698" s="28" t="str">
        <x:v>Свекла | свекла</x:v>
      </x:c>
      <x:c r="F698" s="28" t="str">
        <x:v>Корнеплоды</x:v>
      </x:c>
      <x:c r="G698" s="28" t="str">
        <x:v>укроп</x:v>
      </x:c>
      <x:c r="H698" s="28" t="str">
        <x:v>Укроп | укроп</x:v>
      </x:c>
      <x:c r="I698" s="28" t="str">
        <x:v>Травы, цветы и листья</x:v>
      </x:c>
      <x:c r="J698" s="28" t="str">
        <x:v>землистый, сладкий, минеральный и слегка зелёный</x:v>
      </x:c>
      <x:c r="K698" s="28" t="str">
        <x:v>анисовый, зелёный</x:v>
      </x:c>
      <x:c r="L698" s="28" t="str">
        <x:v>геосмин, метоксипиразины, альдегиды, бетаин</x:v>
      </x:c>
      <x:c r="M698" s="28" t="str">
        <x:v>карвон, лимонен</x:v>
      </x:c>
      <x:c r="N698" s="28" t="str">
        <x:v>зелёный</x:v>
      </x:c>
      <x:c r="O698" s="28" t="str">
        <x:v>надёжная общая ключевая молекула не установлена</x:v>
      </x:c>
      <x:c r="P698" s="28" t="str">
        <x:v>пересечение ароматических семейств</x:v>
      </x:c>
      <x:c r="Q698" s="28" t="str">
        <x:v>Сладость и землистость балансируются кислотой, солью, горечью и умами; жир усиливает ощущение округлости.</x:v>
      </x:c>
      <x:c r="R698" s="28" t="str">
        <x:v>минимальный</x:v>
      </x:c>
      <x:c r="S698" s="28" t="str">
        <x:v>водная сахаристая матрица с пигментами беталаинами</x:v>
      </x:c>
      <x:c r="T69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8" s="28" t="str">
        <x:v>Свёкла имеет профиль «землистый, сладкий, минеральный и слегка зелёный». Партнёр «укроп» относится к группе «Травы, цветы и листья» и даёт анисовый, зелёный.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698" s="28" t="str">
        <x:v>геосмин легко доминирует; беталаины отвечают за цвет, а не за запах; сильный нагрев снижает яркость цвета; длительный нагрев уносит свежие терпены и зелёные альдегиды</x:v>
      </x:c>
      <x:c r="W698" s="28" t="str">
        <x:v>оливковое масло, лимон или сыр</x:v>
      </x:c>
      <x:c r="X698" s="28" t="str">
        <x:v>сок, кордиал, гаспачо, салат, соус, маринад или коктейльный компонент с укроп</x:v>
      </x:c>
      <x:c r="Y698" s="28" t="str">
        <x:v>универсальное</x:v>
      </x:c>
      <x:c r="Z698" s="28" t="str">
        <x:v>Средняя</x:v>
      </x:c>
      <x:c r="AA698" s="28" t="str">
        <x:v>Тезариус вкусов (Ники Сегнит)(1).pdf</x:v>
      </x:c>
      <x:c r="AB698" s="28" t="str">
        <x:v>Тезариус вкусов (Ники Сегнит)(1).pdf: 226, 505</x:v>
      </x:c>
      <x:c r="AC698" s="28" t="str">
        <x:v>развёрнутая пара/статья, стр. 226; развёрнутая пара/статья, стр. 505</x:v>
      </x:c>
      <x:c r="AD698" s="28" t="n">
        <x:v>1</x:v>
      </x:c>
      <x:c r="AE698" s="28" t="n">
        <x:v>2</x:v>
      </x:c>
      <x:c r="AF698" s="28" t="n">
        <x:f>IF(Z698="Высокая",3,IF(Z698="Средняя",2,1))+AD698*2+MIN(AE698,3)</x:f>
        <x:v>6</x:v>
      </x:c>
    </x:row>
    <x:row r="699" ht="64" customHeight="1">
      <x:c r="A699" s="28" t="str">
        <x:v>VEG-0698</x:v>
      </x:c>
      <x:c r="B699" s="28" t="str">
        <x:v>свёкла</x:v>
      </x:c>
      <x:c r="C699" s="28" t="str">
        <x:v>Десерты и выпечка</x:v>
      </x:c>
      <x:c r="D699" s="28" t="str">
        <x:v>свёкла</x:v>
      </x:c>
      <x:c r="E699" s="28" t="str">
        <x:v>pan-fried beetroot</x:v>
      </x:c>
      <x:c r="F699" s="28" t="str">
        <x:v>Корнеплоды</x:v>
      </x:c>
      <x:c r="G699" s="28" t="str">
        <x:v>фундук</x:v>
      </x:c>
      <x:c r="H699" s="28" t="str">
        <x:v>hazelnut</x:v>
      </x:c>
      <x:c r="I699" s="28" t="str">
        <x:v>Орехи и семена</x:v>
      </x:c>
      <x:c r="J699" s="28" t="str">
        <x:v>землистый, сладкий, минеральный и слегка зелёный</x:v>
      </x:c>
      <x:c r="K699" s="28" t="str">
        <x:v>жареный, какаовый, ореховый</x:v>
      </x:c>
      <x:c r="L699" s="28" t="str">
        <x:v>геосмин, метоксипиразины, альдегиды, бетаин</x:v>
      </x:c>
      <x:c r="M699" s="28" t="str">
        <x:v>пиразины, фильбертон</x:v>
      </x:c>
      <x:c r="N699" s="28" t="str">
        <x:v>прямое пересечение семейств не подтверждено</x:v>
      </x:c>
      <x:c r="O699" s="28" t="str">
        <x:v>надёжная общая ключевая молекула не установлена</x:v>
      </x:c>
      <x:c r="P699" s="28" t="str">
        <x:v>сенсорная комплементарность</x:v>
      </x:c>
      <x:c r="Q699" s="28" t="str">
        <x:v>Сладость и землистость балансируются кислотой, солью, горечью и умами; жир усиливает ощущение округлости.</x:v>
      </x:c>
      <x:c r="R699" s="28" t="str">
        <x:v>минимальный</x:v>
      </x:c>
      <x:c r="S699" s="28" t="str">
        <x:v>водная сахаристая матрица с пигментами беталаинами</x:v>
      </x:c>
      <x:c r="T69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699" s="28" t="str">
        <x:v>Свёкла имеет профиль «землистый, сладкий, минеральный и слегка зелёный».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699" s="28" t="str">
        <x:v>геосмин легко доминирует; беталаины отвечают за цвет, а не за запах; сильный нагрев снижает яркость цвета</x:v>
      </x:c>
      <x:c r="W699" s="28" t="str">
        <x:v>соль, кислота или ароматический жир</x:v>
      </x:c>
      <x:c r="X699" s="28" t="str">
        <x:v>сок, кордиал, гаспачо, салат, соус, маринад или коктейльный компонент с фундук</x:v>
      </x:c>
      <x:c r="Y699" s="28" t="str">
        <x:v>десерты</x:v>
      </x:c>
      <x:c r="Z699" s="28" t="str">
        <x:v>Средняя</x:v>
      </x:c>
      <x:c r="AA699" s="28" t="str">
        <x:v>The Art &amp; Science of Foodpairing.pdf</x:v>
      </x:c>
      <x:c r="AB699" s="28" t="str">
        <x:v>The Art &amp; Science of Foodpairing.pdf: 332</x:v>
      </x:c>
      <x:c r="AC699" s="28" t="str">
        <x:v>связь из pairing grid, стр. 332</x:v>
      </x:c>
      <x:c r="AD699" s="28" t="n">
        <x:v>1</x:v>
      </x:c>
      <x:c r="AE699" s="28" t="n">
        <x:v>1</x:v>
      </x:c>
      <x:c r="AF699" s="28" t="n">
        <x:f>IF(Z699="Высокая",3,IF(Z699="Средняя",2,1))+AD699*2+MIN(AE699,3)</x:f>
        <x:v>5</x:v>
      </x:c>
    </x:row>
    <x:row r="700" ht="64" customHeight="1">
      <x:c r="A700" s="28" t="str">
        <x:v>VEG-0699</x:v>
      </x:c>
      <x:c r="B700" s="28" t="str">
        <x:v>свёкла</x:v>
      </x:c>
      <x:c r="C700" s="28" t="str">
        <x:v>Универсальные</x:v>
      </x:c>
      <x:c r="D700" s="28" t="str">
        <x:v>свёкла</x:v>
      </x:c>
      <x:c r="E700" s="28" t="str">
        <x:v>Свекла | свекла</x:v>
      </x:c>
      <x:c r="F700" s="28" t="str">
        <x:v>Корнеплоды</x:v>
      </x:c>
      <x:c r="G700" s="28" t="str">
        <x:v>хрен</x:v>
      </x:c>
      <x:c r="H700" s="28" t="str">
        <x:v>Хрен | хрен</x:v>
      </x:c>
      <x:c r="I700" s="28" t="str">
        <x:v>Прочее</x:v>
      </x:c>
      <x:c r="J700" s="28" t="str">
        <x:v>землистый, сладкий, минеральный и слегка зелёный</x:v>
      </x:c>
      <x:c r="K700" s="28" t="str">
        <x:v>профиль зависит от конкретного продукта</x:v>
      </x:c>
      <x:c r="L700" s="28" t="str">
        <x:v>геосмин, метоксипиразины, альдегиды, бетаин</x:v>
      </x:c>
      <x:c r="M700" s="28" t="str">
        <x:v>конкретный молекулярный профиль не указан</x:v>
      </x:c>
      <x:c r="N700" s="28" t="str">
        <x:v>прямое пересечение семейств не подтверждено</x:v>
      </x:c>
      <x:c r="O700" s="28" t="str">
        <x:v>надёжная общая ключевая молекула не установлена</x:v>
      </x:c>
      <x:c r="P700" s="28" t="str">
        <x:v>сенсорная комплементарность</x:v>
      </x:c>
      <x:c r="Q700" s="28" t="str">
        <x:v>Сладость и землистость балансируются кислотой, солью, горечью и умами; жир усиливает ощущение округлости.</x:v>
      </x:c>
      <x:c r="R700" s="28" t="str">
        <x:v>минимальный</x:v>
      </x:c>
      <x:c r="S700" s="28" t="str">
        <x:v>водная сахаристая матрица с пигментами беталаинами</x:v>
      </x:c>
      <x:c r="T70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0" s="28" t="str">
        <x:v>Свёкла имеет профиль «землистый, сладкий, минеральный и слегка зелёный».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00" s="28" t="str">
        <x:v>геосмин легко доминирует; беталаины отвечают за цвет, а не за запах; сильный нагрев снижает яркость цвета</x:v>
      </x:c>
      <x:c r="W700" s="28" t="str">
        <x:v>соль, кислота или ароматический жир</x:v>
      </x:c>
      <x:c r="X700" s="28" t="str">
        <x:v>сок, кордиал, гаспачо, салат, соус, маринад или коктейльный компонент с хрен</x:v>
      </x:c>
      <x:c r="Y700" s="28" t="str">
        <x:v>универсальное</x:v>
      </x:c>
      <x:c r="Z700" s="28" t="str">
        <x:v>Средняя</x:v>
      </x:c>
      <x:c r="AA700" s="28" t="str">
        <x:v>Тезариус вкусов (Ники Сегнит)(1).pdf</x:v>
      </x:c>
      <x:c r="AB700" s="28" t="str">
        <x:v>Тезариус вкусов (Ники Сегнит)(1).pdf: 227, 275</x:v>
      </x:c>
      <x:c r="AC700" s="28" t="str">
        <x:v>развёрнутая пара/статья, стр. 227; развёрнутая пара/статья, стр. 275</x:v>
      </x:c>
      <x:c r="AD700" s="28" t="n">
        <x:v>1</x:v>
      </x:c>
      <x:c r="AE700" s="28" t="n">
        <x:v>2</x:v>
      </x:c>
      <x:c r="AF700" s="28" t="n">
        <x:f>IF(Z700="Высокая",3,IF(Z700="Средняя",2,1))+AD700*2+MIN(AE700,3)</x:f>
        <x:v>6</x:v>
      </x:c>
    </x:row>
    <x:row r="701" ht="64" customHeight="1">
      <x:c r="A701" s="28" t="str">
        <x:v>VEG-0700</x:v>
      </x:c>
      <x:c r="B701" s="28" t="str">
        <x:v>свёкла</x:v>
      </x:c>
      <x:c r="C701" s="28" t="str">
        <x:v>Еда и соусы</x:v>
      </x:c>
      <x:c r="D701" s="28" t="str">
        <x:v>свёкла</x:v>
      </x:c>
      <x:c r="E701" s="28" t="str">
        <x:v>beetroot</x:v>
      </x:c>
      <x:c r="F701" s="28" t="str">
        <x:v>Корнеплоды</x:v>
      </x:c>
      <x:c r="G701" s="28" t="str">
        <x:v>цветная капуста</x:v>
      </x:c>
      <x:c r="H701" s="28" t="str">
        <x:v>cauliflower</x:v>
      </x:c>
      <x:c r="I701" s="28" t="str">
        <x:v>Крестоцветные</x:v>
      </x:c>
      <x:c r="J701" s="28" t="str">
        <x:v>землистый, сладкий, минеральный и слегка зелёный</x:v>
      </x:c>
      <x:c r="K701" s="28" t="str">
        <x:v>мягко капустный, ореховый, сернистый и сливочный после запекания</x:v>
      </x:c>
      <x:c r="L701" s="28" t="str">
        <x:v>геосмин, метоксипиразины, альдегиды, бетаин</x:v>
      </x:c>
      <x:c r="M701" s="28" t="str">
        <x:v>диметилсульфид, изотиоцианаты, метантиол, пиразины</x:v>
      </x:c>
      <x:c r="N701" s="28" t="str">
        <x:v>прямое пересечение семейств не подтверждено</x:v>
      </x:c>
      <x:c r="O701" s="28" t="str">
        <x:v>надёжная общая ключевая молекула не установлена</x:v>
      </x:c>
      <x:c r="P701" s="28" t="str">
        <x:v>сенсорная комплементарность</x:v>
      </x:c>
      <x:c r="Q701" s="28" t="str">
        <x:v>Сладость и землистость балансируются кислотой, солью, горечью и умами; жир усиливает ощущение округлости.</x:v>
      </x:c>
      <x:c r="R701" s="28" t="str">
        <x:v>минимальный</x:v>
      </x:c>
      <x:c r="S701" s="28" t="str">
        <x:v>водная сахаристая матрица с пигментами беталаинами</x:v>
      </x:c>
      <x:c r="T70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1" s="28" t="str">
        <x:v>Свёкла имеет профиль «землистый, сладкий, минеральный и слегка зелёный». Партнёр «цветная капуста» относится к группе «Крестоцветные» и даёт мягко капустный, ореховый, сернистый и сливочный после запекания.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01" s="28" t="str">
        <x:v>геосмин легко доминирует; беталаины отвечают за цвет, а не за запах; сильный нагрев снижает яркость цвета</x:v>
      </x:c>
      <x:c r="W701" s="28" t="str">
        <x:v>соль, кислота или ароматический жир</x:v>
      </x:c>
      <x:c r="X701" s="28" t="str">
        <x:v>сок, кордиал, гаспачо, салат, соус, маринад или коктейльный компонент с цветная капуста</x:v>
      </x:c>
      <x:c r="Y701" s="28" t="str">
        <x:v>еда, соусы/маринады</x:v>
      </x:c>
      <x:c r="Z701" s="28" t="str">
        <x:v>Средняя</x:v>
      </x:c>
      <x:c r="AA701" s="28" t="str">
        <x:v>The Art &amp; Science of Foodpairing.pdf</x:v>
      </x:c>
      <x:c r="AB701" s="28" t="str">
        <x:v>The Art &amp; Science of Foodpairing.pdf: 224</x:v>
      </x:c>
      <x:c r="AC701" s="28" t="str">
        <x:v>связь из pairing grid, стр. 224</x:v>
      </x:c>
      <x:c r="AD701" s="28" t="n">
        <x:v>1</x:v>
      </x:c>
      <x:c r="AE701" s="28" t="n">
        <x:v>1</x:v>
      </x:c>
      <x:c r="AF701" s="28" t="n">
        <x:f>IF(Z701="Высокая",3,IF(Z701="Средняя",2,1))+AD701*2+MIN(AE701,3)</x:f>
        <x:v>5</x:v>
      </x:c>
    </x:row>
    <x:row r="702" ht="64" customHeight="1">
      <x:c r="A702" s="28" t="str">
        <x:v>VEG-0701</x:v>
      </x:c>
      <x:c r="B702" s="28" t="str">
        <x:v>свёкла</x:v>
      </x:c>
      <x:c r="C702" s="28" t="str">
        <x:v>Напитки</x:v>
      </x:c>
      <x:c r="D702" s="28" t="str">
        <x:v>свёкла</x:v>
      </x:c>
      <x:c r="E702" s="28" t="str">
        <x:v>beetroot</x:v>
      </x:c>
      <x:c r="F702" s="28" t="str">
        <x:v>Корнеплоды</x:v>
      </x:c>
      <x:c r="G702" s="28" t="str">
        <x:v>чай</x:v>
      </x:c>
      <x:c r="H702" s="28" t="str">
        <x:v>rooibos tea</x:v>
      </x:c>
      <x:c r="I702" s="28" t="str">
        <x:v>Чай</x:v>
      </x:c>
      <x:c r="J702" s="28" t="str">
        <x:v>землистый, сладкий, минеральный и слегка зелёный</x:v>
      </x:c>
      <x:c r="K702" s="28" t="str">
        <x:v>цветочный, древесный или зелёный</x:v>
      </x:c>
      <x:c r="L702" s="28" t="str">
        <x:v>геосмин, метоксипиразины, альдегиды, бетаин</x:v>
      </x:c>
      <x:c r="M702" s="28" t="str">
        <x:v>линалоол, полифенолы</x:v>
      </x:c>
      <x:c r="N702" s="28" t="str">
        <x:v>зелёный</x:v>
      </x:c>
      <x:c r="O702" s="28" t="str">
        <x:v>надёжная общая ключевая молекула не установлена</x:v>
      </x:c>
      <x:c r="P702" s="28" t="str">
        <x:v>пересечение ароматических семейств</x:v>
      </x:c>
      <x:c r="Q702" s="28" t="str">
        <x:v>Сладость и землистость балансируются кислотой, солью, горечью и умами; жир усиливает ощущение округлости.</x:v>
      </x:c>
      <x:c r="R702" s="28" t="str">
        <x:v>минимальный</x:v>
      </x:c>
      <x:c r="S702" s="28" t="str">
        <x:v>водная сахаристая матрица с пигментами беталаинами</x:v>
      </x:c>
      <x:c r="T70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2" s="28" t="str">
        <x:v>Свёкла имеет профиль «землистый, сладкий, минеральный и слегка зелёный». Партнёр «чай»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02" s="28" t="str">
        <x:v>геосмин легко доминирует; беталаины отвечают за цвет, а не за запах; сильный нагрев снижает яркость цвета</x:v>
      </x:c>
      <x:c r="W702" s="28" t="str">
        <x:v>соль, кислота или ароматический жир</x:v>
      </x:c>
      <x:c r="X702" s="28" t="str">
        <x:v>сок, кордиал, гаспачо, салат, соус, маринад или коктейльный компонент с чай</x:v>
      </x:c>
      <x:c r="Y702" s="28" t="str">
        <x:v>напитки</x:v>
      </x:c>
      <x:c r="Z702" s="28" t="str">
        <x:v>Средняя</x:v>
      </x:c>
      <x:c r="AA702" s="28" t="str">
        <x:v>The Art &amp; Science of Foodpairing.pdf</x:v>
      </x:c>
      <x:c r="AB702" s="28" t="str">
        <x:v>The Art &amp; Science of Foodpairing.pdf: 224</x:v>
      </x:c>
      <x:c r="AC702" s="28" t="str">
        <x:v>связь из pairing grid, стр. 224</x:v>
      </x:c>
      <x:c r="AD702" s="28" t="n">
        <x:v>1</x:v>
      </x:c>
      <x:c r="AE702" s="28" t="n">
        <x:v>1</x:v>
      </x:c>
      <x:c r="AF702" s="28" t="n">
        <x:f>IF(Z702="Высокая",3,IF(Z702="Средняя",2,1))+AD702*2+MIN(AE702,3)</x:f>
        <x:v>5</x:v>
      </x:c>
    </x:row>
    <x:row r="703" ht="64" customHeight="1">
      <x:c r="A703" s="28" t="str">
        <x:v>VEG-0702</x:v>
      </x:c>
      <x:c r="B703" s="28" t="str">
        <x:v>свёкла</x:v>
      </x:c>
      <x:c r="C703" s="28" t="str">
        <x:v>Еда и соусы</x:v>
      </x:c>
      <x:c r="D703" s="28" t="str">
        <x:v>свёкла</x:v>
      </x:c>
      <x:c r="E703" s="28" t="str">
        <x:v>beetroot | boiled peeled beetroot | pan-fried beetroot</x:v>
      </x:c>
      <x:c r="F703" s="28" t="str">
        <x:v>Корнеплоды</x:v>
      </x:c>
      <x:c r="G703" s="28" t="str">
        <x:v>чеснок</x:v>
      </x:c>
      <x:c r="H703" s="28" t="str">
        <x:v>garlic</x:v>
      </x:c>
      <x:c r="I703" s="28" t="str">
        <x:v>Луковые овощи</x:v>
      </x:c>
      <x:c r="J703" s="28" t="str">
        <x:v>землистый, сладкий, минеральный и слегка зелёный</x:v>
      </x:c>
      <x:c r="K703" s="28" t="str">
        <x:v>резкий сернистый, зелёный и мясной; после запекания — сладкий и ореховый</x:v>
      </x:c>
      <x:c r="L703" s="28" t="str">
        <x:v>геосмин, метоксипиразины, альдегиды, бетаин</x:v>
      </x:c>
      <x:c r="M703" s="28" t="str">
        <x:v>аллицин, диаллилдисульфид, диаллилтрисульфид, метантиол</x:v>
      </x:c>
      <x:c r="N703" s="28" t="str">
        <x:v>прямое пересечение семейств не подтверждено</x:v>
      </x:c>
      <x:c r="O703" s="28" t="str">
        <x:v>надёжная общая ключевая молекула не установлена</x:v>
      </x:c>
      <x:c r="P703" s="28" t="str">
        <x:v>сенсорная комплементарность</x:v>
      </x:c>
      <x:c r="Q703" s="28" t="str">
        <x:v>Сладость и землистость балансируются кислотой, солью, горечью и умами; жир усиливает ощущение округлости.</x:v>
      </x:c>
      <x:c r="R703" s="28" t="str">
        <x:v>минимальный</x:v>
      </x:c>
      <x:c r="S703" s="28" t="str">
        <x:v>водная сахаристая матрица с пигментами беталаинами</x:v>
      </x:c>
      <x:c r="T70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3" s="28" t="str">
        <x:v>Свёкла имеет профиль «землистый, сладкий, минеральный и слегка зелёный». Партнёр «чеснок» относится к группе «Луковые овощи» и даёт резкий сернистый, зелёный и мясной; после запекания — сладкий и ореховый.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03" s="28" t="str">
        <x:v>геосмин легко доминирует; беталаины отвечают за цвет, а не за запах; сильный нагрев снижает яркость цвета</x:v>
      </x:c>
      <x:c r="W703" s="28" t="str">
        <x:v>соль, кислота или ароматический жир</x:v>
      </x:c>
      <x:c r="X703" s="28" t="str">
        <x:v>сок, кордиал, гаспачо, салат, соус, маринад или коктейльный компонент с чеснок</x:v>
      </x:c>
      <x:c r="Y703" s="28" t="str">
        <x:v>еда, соусы/маринады</x:v>
      </x:c>
      <x:c r="Z703" s="28" t="str">
        <x:v>Средняя</x:v>
      </x:c>
      <x:c r="AA703" s="28" t="str">
        <x:v>The Art &amp; Science of Foodpairing.pdf</x:v>
      </x:c>
      <x:c r="AB703" s="28" t="str">
        <x:v>The Art &amp; Science of Foodpairing.pdf: 113, 114</x:v>
      </x:c>
      <x:c r="AC703" s="28" t="str">
        <x:v>связь из pairing grid, стр. 113; связь из pairing grid, стр. 113; связь из pairing grid, стр. 114; связь из pairing grid, стр. 114</x:v>
      </x:c>
      <x:c r="AD703" s="28" t="n">
        <x:v>1</x:v>
      </x:c>
      <x:c r="AE703" s="28" t="n">
        <x:v>4</x:v>
      </x:c>
      <x:c r="AF703" s="28" t="n">
        <x:f>IF(Z703="Высокая",3,IF(Z703="Средняя",2,1))+AD703*2+MIN(AE703,3)</x:f>
        <x:v>7</x:v>
      </x:c>
    </x:row>
    <x:row r="704" ht="64" customHeight="1">
      <x:c r="A704" s="28" t="str">
        <x:v>VEG-0703</x:v>
      </x:c>
      <x:c r="B704" s="28" t="str">
        <x:v>свёкла</x:v>
      </x:c>
      <x:c r="C704" s="28" t="str">
        <x:v>Универсальные</x:v>
      </x:c>
      <x:c r="D704" s="28" t="str">
        <x:v>свёкла</x:v>
      </x:c>
      <x:c r="E704" s="28" t="str">
        <x:v>boiled beetroot</x:v>
      </x:c>
      <x:c r="F704" s="28" t="str">
        <x:v>Корнеплоды</x:v>
      </x:c>
      <x:c r="G704" s="28" t="str">
        <x:v>чили</x:v>
      </x:c>
      <x:c r="H704" s="28" t="str">
        <x:v>chilli peppers</x:v>
      </x:c>
      <x:c r="I704" s="28" t="str">
        <x:v>Специи</x:v>
      </x:c>
      <x:c r="J704" s="28" t="str">
        <x:v>землистый, сладкий, минеральный и слегка зелёный</x:v>
      </x:c>
      <x:c r="K704" s="28" t="str">
        <x:v>пряный и древесный</x:v>
      </x:c>
      <x:c r="L704" s="28" t="str">
        <x:v>геосмин, метоксипиразины, альдегиды, бетаин</x:v>
      </x:c>
      <x:c r="M704" s="28" t="str">
        <x:v>терпены, фенилпропаноиды</x:v>
      </x:c>
      <x:c r="N704" s="28" t="str">
        <x:v>прямое пересечение семейств не подтверждено</x:v>
      </x:c>
      <x:c r="O704" s="28" t="str">
        <x:v>надёжная общая ключевая молекула не установлена</x:v>
      </x:c>
      <x:c r="P704" s="28" t="str">
        <x:v>сенсорная комплементарность</x:v>
      </x:c>
      <x:c r="Q704" s="28" t="str">
        <x:v>Сладость и землистость балансируются кислотой, солью, горечью и умами; жир усиливает ощущение округлости.</x:v>
      </x:c>
      <x:c r="R704" s="28" t="str">
        <x:v>минимальный</x:v>
      </x:c>
      <x:c r="S704" s="28" t="str">
        <x:v>водная сахаристая матрица с пигментами беталаинами</x:v>
      </x:c>
      <x:c r="T70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4" s="28" t="str">
        <x:v>Свёкла имеет профиль «землистый, сладкий, минеральный и слегка зелёный».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704" s="28" t="str">
        <x:v>геосмин легко доминирует; беталаины отвечают за цвет, а не за запах; сильный нагрев снижает яркость цвета</x:v>
      </x:c>
      <x:c r="W704" s="28" t="str">
        <x:v>цитрус, йогурт или мёд</x:v>
      </x:c>
      <x:c r="X704" s="28" t="str">
        <x:v>сок, кордиал, гаспачо, салат, соус, маринад или коктейльный компонент с чили</x:v>
      </x:c>
      <x:c r="Y704" s="28" t="str">
        <x:v>универсальное</x:v>
      </x:c>
      <x:c r="Z704" s="28" t="str">
        <x:v>Средняя</x:v>
      </x:c>
      <x:c r="AA704" s="28" t="str">
        <x:v>The Art &amp; Science of Foodpairing.pdf</x:v>
      </x:c>
      <x:c r="AB704" s="28" t="str">
        <x:v>The Art &amp; Science of Foodpairing.pdf: 94</x:v>
      </x:c>
      <x:c r="AC704" s="28" t="str">
        <x:v>связь из pairing grid, стр. 94</x:v>
      </x:c>
      <x:c r="AD704" s="28" t="n">
        <x:v>1</x:v>
      </x:c>
      <x:c r="AE704" s="28" t="n">
        <x:v>1</x:v>
      </x:c>
      <x:c r="AF704" s="28" t="n">
        <x:f>IF(Z704="Высокая",3,IF(Z704="Средняя",2,1))+AD704*2+MIN(AE704,3)</x:f>
        <x:v>5</x:v>
      </x:c>
    </x:row>
    <x:row r="705" ht="64" customHeight="1">
      <x:c r="A705" s="28" t="str">
        <x:v>VEG-0704</x:v>
      </x:c>
      <x:c r="B705" s="28" t="str">
        <x:v>свёкла</x:v>
      </x:c>
      <x:c r="C705" s="28" t="str">
        <x:v>Универсальные</x:v>
      </x:c>
      <x:c r="D705" s="28" t="str">
        <x:v>свёкла</x:v>
      </x:c>
      <x:c r="E705" s="28" t="str">
        <x:v>beetroot</x:v>
      </x:c>
      <x:c r="F705" s="28" t="str">
        <x:v>Корнеплоды</x:v>
      </x:c>
      <x:c r="G705" s="28" t="str">
        <x:v>чёрная оливка пикваль</x:v>
      </x:c>
      <x:c r="H705" s="28" t="str">
        <x:v>Picual black olive</x:v>
      </x:c>
      <x:c r="I705" s="28" t="str">
        <x:v>Прочее</x:v>
      </x:c>
      <x:c r="J705" s="28" t="str">
        <x:v>землистый, сладкий, минеральный и слегка зелёный</x:v>
      </x:c>
      <x:c r="K705" s="28" t="str">
        <x:v>профиль зависит от конкретного продукта</x:v>
      </x:c>
      <x:c r="L705" s="28" t="str">
        <x:v>геосмин, метоксипиразины, альдегиды, бетаин</x:v>
      </x:c>
      <x:c r="M705" s="28" t="str">
        <x:v>конкретный молекулярный профиль не указан</x:v>
      </x:c>
      <x:c r="N705" s="28" t="str">
        <x:v>прямое пересечение семейств не подтверждено</x:v>
      </x:c>
      <x:c r="O705" s="28" t="str">
        <x:v>надёжная общая ключевая молекула не установлена</x:v>
      </x:c>
      <x:c r="P705" s="28" t="str">
        <x:v>сенсорная комплементарность</x:v>
      </x:c>
      <x:c r="Q705" s="28" t="str">
        <x:v>Сладость и землистость балансируются кислотой, солью, горечью и умами; жир усиливает ощущение округлости.</x:v>
      </x:c>
      <x:c r="R705" s="28" t="str">
        <x:v>минимальный</x:v>
      </x:c>
      <x:c r="S705" s="28" t="str">
        <x:v>водная сахаристая матрица с пигментами беталаинами</x:v>
      </x:c>
      <x:c r="T70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5" s="28" t="str">
        <x:v>Свёкла имеет профиль «землистый, сладкий, минеральный и слегка зелёный». Партнёр «чёрная оливка пикваль»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05" s="28" t="str">
        <x:v>геосмин легко доминирует; беталаины отвечают за цвет, а не за запах; сильный нагрев снижает яркость цвета</x:v>
      </x:c>
      <x:c r="W705" s="28" t="str">
        <x:v>соль, кислота или ароматический жир</x:v>
      </x:c>
      <x:c r="X705" s="28" t="str">
        <x:v>сок, кордиал, гаспачо, салат, соус, маринад или коктейльный компонент с чёрная оливка пикваль</x:v>
      </x:c>
      <x:c r="Y705" s="28" t="str">
        <x:v>универсальное</x:v>
      </x:c>
      <x:c r="Z705" s="28" t="str">
        <x:v>Средняя</x:v>
      </x:c>
      <x:c r="AA705" s="28" t="str">
        <x:v>The Art &amp; Science of Foodpairing.pdf</x:v>
      </x:c>
      <x:c r="AB705" s="28" t="str">
        <x:v>The Art &amp; Science of Foodpairing.pdf: 224</x:v>
      </x:c>
      <x:c r="AC705" s="28" t="str">
        <x:v>связь из pairing grid, стр. 224</x:v>
      </x:c>
      <x:c r="AD705" s="28" t="n">
        <x:v>1</x:v>
      </x:c>
      <x:c r="AE705" s="28" t="n">
        <x:v>1</x:v>
      </x:c>
      <x:c r="AF705" s="28" t="n">
        <x:f>IF(Z705="Высокая",3,IF(Z705="Средняя",2,1))+AD705*2+MIN(AE705,3)</x:f>
        <x:v>5</x:v>
      </x:c>
    </x:row>
    <x:row r="706" ht="64" customHeight="1">
      <x:c r="A706" s="28" t="str">
        <x:v>VEG-0705</x:v>
      </x:c>
      <x:c r="B706" s="28" t="str">
        <x:v>свёкла</x:v>
      </x:c>
      <x:c r="C706" s="28" t="str">
        <x:v>Десерты и выпечка</x:v>
      </x:c>
      <x:c r="D706" s="28" t="str">
        <x:v>свёкла</x:v>
      </x:c>
      <x:c r="E706" s="28" t="str">
        <x:v>beetroot</x:v>
      </x:c>
      <x:c r="F706" s="28" t="str">
        <x:v>Корнеплоды</x:v>
      </x:c>
      <x:c r="G706" s="28" t="str">
        <x:v>чёрная смородина</x:v>
      </x:c>
      <x:c r="H706" s="28" t="str">
        <x:v>blackcurrant</x:v>
      </x:c>
      <x:c r="I706" s="28" t="str">
        <x:v>Фрукты и ягоды</x:v>
      </x:c>
      <x:c r="J706" s="28" t="str">
        <x:v>землистый, сладкий, минеральный и слегка зелёный</x:v>
      </x:c>
      <x:c r="K706" s="28" t="str">
        <x:v>фруктовый, цветочный и свежий</x:v>
      </x:c>
      <x:c r="L706" s="28" t="str">
        <x:v>геосмин, метоксипиразины, альдегиды, бетаин</x:v>
      </x:c>
      <x:c r="M706" s="28" t="str">
        <x:v>альдегиды, эфиры</x:v>
      </x:c>
      <x:c r="N706" s="28" t="str">
        <x:v>прямое пересечение семейств не подтверждено</x:v>
      </x:c>
      <x:c r="O706" s="28" t="str">
        <x:v>альдегиды</x:v>
      </x:c>
      <x:c r="P706" s="28" t="str">
        <x:v>общие характерные молекулы; кислотно-сладкий баланс</x:v>
      </x:c>
      <x:c r="Q706" s="28" t="str">
        <x:v>Сладость и землистость балансируются кислотой, солью, горечью и умами; жир усиливает ощущение округлости.</x:v>
      </x:c>
      <x:c r="R706" s="28" t="str">
        <x:v>минимальный</x:v>
      </x:c>
      <x:c r="S706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70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6" s="28" t="str">
        <x:v>Свёкла имеет профиль «землистый, сладкий, минеральный и слегка зелёный». Партнёр «чёрная смородина»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706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706" s="28" t="str">
        <x:v>цитрус, мёд или мягкая трава</x:v>
      </x:c>
      <x:c r="X706" s="28" t="str">
        <x:v>сок, кордиал, гаспачо, салат, соус, маринад или коктейльный компонент с чёрная смородина</x:v>
      </x:c>
      <x:c r="Y706" s="28" t="str">
        <x:v>десерты</x:v>
      </x:c>
      <x:c r="Z706" s="28" t="str">
        <x:v>Средняя</x:v>
      </x:c>
      <x:c r="AA706" s="28" t="str">
        <x:v>The Art &amp; Science of Foodpairing.pdf</x:v>
      </x:c>
      <x:c r="AB706" s="28" t="str">
        <x:v>The Art &amp; Science of Foodpairing.pdf: 224</x:v>
      </x:c>
      <x:c r="AC706" s="28" t="str">
        <x:v>связь из pairing grid, стр. 224</x:v>
      </x:c>
      <x:c r="AD706" s="28" t="n">
        <x:v>1</x:v>
      </x:c>
      <x:c r="AE706" s="28" t="n">
        <x:v>1</x:v>
      </x:c>
      <x:c r="AF706" s="28" t="n">
        <x:f>IF(Z706="Высокая",3,IF(Z706="Средняя",2,1))+AD706*2+MIN(AE706,3)</x:f>
        <x:v>5</x:v>
      </x:c>
    </x:row>
    <x:row r="707" ht="64" customHeight="1">
      <x:c r="A707" s="28" t="str">
        <x:v>VEG-0706</x:v>
      </x:c>
      <x:c r="B707" s="28" t="str">
        <x:v>свёкла</x:v>
      </x:c>
      <x:c r="C707" s="28" t="str">
        <x:v>Универсальные</x:v>
      </x:c>
      <x:c r="D707" s="28" t="str">
        <x:v>свёкла</x:v>
      </x:c>
      <x:c r="E707" s="28" t="str">
        <x:v>beetroot | boiled beetroot</x:v>
      </x:c>
      <x:c r="F707" s="28" t="str">
        <x:v>Корнеплоды</x:v>
      </x:c>
      <x:c r="G707" s="28" t="str">
        <x:v>чёрный перец</x:v>
      </x:c>
      <x:c r="H707" s="28" t="str">
        <x:v>peppercorns</x:v>
      </x:c>
      <x:c r="I707" s="28" t="str">
        <x:v>Специи</x:v>
      </x:c>
      <x:c r="J707" s="28" t="str">
        <x:v>землистый, сладкий, минеральный и слегка зелёный</x:v>
      </x:c>
      <x:c r="K707" s="28" t="str">
        <x:v>древесный, пряный, цитрусовый</x:v>
      </x:c>
      <x:c r="L707" s="28" t="str">
        <x:v>геосмин, метоксипиразины, альдегиды, бетаин</x:v>
      </x:c>
      <x:c r="M707" s="28" t="str">
        <x:v>лимонен, пинен, пиперин</x:v>
      </x:c>
      <x:c r="N707" s="28" t="str">
        <x:v>прямое пересечение семейств не подтверждено</x:v>
      </x:c>
      <x:c r="O707" s="28" t="str">
        <x:v>надёжная общая ключевая молекула не установлена</x:v>
      </x:c>
      <x:c r="P707" s="28" t="str">
        <x:v>сенсорная комплементарность</x:v>
      </x:c>
      <x:c r="Q707" s="28" t="str">
        <x:v>Сладость и землистость балансируются кислотой, солью, горечью и умами; жир усиливает ощущение округлости.</x:v>
      </x:c>
      <x:c r="R707" s="28" t="str">
        <x:v>минимальный</x:v>
      </x:c>
      <x:c r="S707" s="28" t="str">
        <x:v>водная сахаристая матрица с пигментами беталаинами</x:v>
      </x:c>
      <x:c r="T70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7" s="28" t="str">
        <x:v>Свёкла имеет профиль «землистый, сладкий, минеральный и слегка зелёный».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707" s="28" t="str">
        <x:v>геосмин легко доминирует; беталаины отвечают за цвет, а не за запах; сильный нагрев снижает яркость цвета</x:v>
      </x:c>
      <x:c r="W707" s="28" t="str">
        <x:v>цитрус, йогурт или мёд</x:v>
      </x:c>
      <x:c r="X707" s="28" t="str">
        <x:v>сок, кордиал, гаспачо, салат, соус, маринад или коктейльный компонент с чёрный перец</x:v>
      </x:c>
      <x:c r="Y707" s="28" t="str">
        <x:v>универсальное</x:v>
      </x:c>
      <x:c r="Z707" s="28" t="str">
        <x:v>Средняя</x:v>
      </x:c>
      <x:c r="AA707" s="28" t="str">
        <x:v>The Art &amp; Science of Foodpairing.pdf</x:v>
      </x:c>
      <x:c r="AB707" s="28" t="str">
        <x:v>The Art &amp; Science of Foodpairing.pdf: 273, 274</x:v>
      </x:c>
      <x:c r="AC707" s="28" t="str">
        <x:v>связь из pairing grid, стр. 273; связь из pairing grid, стр. 274</x:v>
      </x:c>
      <x:c r="AD707" s="28" t="n">
        <x:v>1</x:v>
      </x:c>
      <x:c r="AE707" s="28" t="n">
        <x:v>2</x:v>
      </x:c>
      <x:c r="AF707" s="28" t="n">
        <x:f>IF(Z707="Высокая",3,IF(Z707="Средняя",2,1))+AD707*2+MIN(AE707,3)</x:f>
        <x:v>6</x:v>
      </x:c>
    </x:row>
    <x:row r="708" ht="64" customHeight="1">
      <x:c r="A708" s="28" t="str">
        <x:v>VEG-0707</x:v>
      </x:c>
      <x:c r="B708" s="28" t="str">
        <x:v>свёкла</x:v>
      </x:c>
      <x:c r="C708" s="28" t="str">
        <x:v>Универсальные</x:v>
      </x:c>
      <x:c r="D708" s="28" t="str">
        <x:v>свёкла</x:v>
      </x:c>
      <x:c r="E708" s="28" t="str">
        <x:v>beetroot</x:v>
      </x:c>
      <x:c r="F708" s="28" t="str">
        <x:v>Корнеплоды</x:v>
      </x:c>
      <x:c r="G708" s="28" t="str">
        <x:v>шисо</x:v>
      </x:c>
      <x:c r="H708" s="28" t="str">
        <x:v>shiso leaf</x:v>
      </x:c>
      <x:c r="I708" s="28" t="str">
        <x:v>Прочее</x:v>
      </x:c>
      <x:c r="J708" s="28" t="str">
        <x:v>землистый, сладкий, минеральный и слегка зелёный</x:v>
      </x:c>
      <x:c r="K708" s="28" t="str">
        <x:v>профиль зависит от конкретного продукта</x:v>
      </x:c>
      <x:c r="L708" s="28" t="str">
        <x:v>геосмин, метоксипиразины, альдегиды, бетаин</x:v>
      </x:c>
      <x:c r="M708" s="28" t="str">
        <x:v>конкретный молекулярный профиль не указан</x:v>
      </x:c>
      <x:c r="N708" s="28" t="str">
        <x:v>прямое пересечение семейств не подтверждено</x:v>
      </x:c>
      <x:c r="O708" s="28" t="str">
        <x:v>надёжная общая ключевая молекула не установлена</x:v>
      </x:c>
      <x:c r="P708" s="28" t="str">
        <x:v>сенсорная комплементарность</x:v>
      </x:c>
      <x:c r="Q708" s="28" t="str">
        <x:v>Сладость и землистость балансируются кислотой, солью, горечью и умами; жир усиливает ощущение округлости.</x:v>
      </x:c>
      <x:c r="R708" s="28" t="str">
        <x:v>минимальный</x:v>
      </x:c>
      <x:c r="S708" s="28" t="str">
        <x:v>водная сахаристая матрица с пигментами беталаинами</x:v>
      </x:c>
      <x:c r="T70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8" s="28" t="str">
        <x:v>Свёкла имеет профиль «землистый, сладкий, минеральный и слегка зелёный». Партнёр «шисо»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08" s="28" t="str">
        <x:v>геосмин легко доминирует; беталаины отвечают за цвет, а не за запах; сильный нагрев снижает яркость цвета</x:v>
      </x:c>
      <x:c r="W708" s="28" t="str">
        <x:v>соль, кислота или ароматический жир</x:v>
      </x:c>
      <x:c r="X708" s="28" t="str">
        <x:v>сок, кордиал, гаспачо, салат, соус, маринад или коктейльный компонент с шисо</x:v>
      </x:c>
      <x:c r="Y708" s="28" t="str">
        <x:v>универсальное</x:v>
      </x:c>
      <x:c r="Z708" s="28" t="str">
        <x:v>Средняя</x:v>
      </x:c>
      <x:c r="AA708" s="28" t="str">
        <x:v>The Art &amp; Science of Foodpairing.pdf</x:v>
      </x:c>
      <x:c r="AB708" s="28" t="str">
        <x:v>The Art &amp; Science of Foodpairing.pdf: 224</x:v>
      </x:c>
      <x:c r="AC708" s="28" t="str">
        <x:v>связь из pairing grid, стр. 224</x:v>
      </x:c>
      <x:c r="AD708" s="28" t="n">
        <x:v>1</x:v>
      </x:c>
      <x:c r="AE708" s="28" t="n">
        <x:v>1</x:v>
      </x:c>
      <x:c r="AF708" s="28" t="n">
        <x:f>IF(Z708="Высокая",3,IF(Z708="Средняя",2,1))+AD708*2+MIN(AE708,3)</x:f>
        <x:v>5</x:v>
      </x:c>
    </x:row>
    <x:row r="709" ht="64" customHeight="1">
      <x:c r="A709" s="28" t="str">
        <x:v>VEG-0708</x:v>
      </x:c>
      <x:c r="B709" s="28" t="str">
        <x:v>свёкла</x:v>
      </x:c>
      <x:c r="C709" s="28" t="str">
        <x:v>Десерты и выпечка</x:v>
      </x:c>
      <x:c r="D709" s="28" t="str">
        <x:v>свёкла</x:v>
      </x:c>
      <x:c r="E709" s="28" t="str">
        <x:v>roasted beetroot | Свекла | свекла</x:v>
      </x:c>
      <x:c r="F709" s="28" t="str">
        <x:v>Корнеплоды</x:v>
      </x:c>
      <x:c r="G709" s="28" t="str">
        <x:v>шоколад</x:v>
      </x:c>
      <x:c r="H709" s="28" t="str">
        <x:v>chocolate | Шоколад | шоколад</x:v>
      </x:c>
      <x:c r="I709" s="28" t="str">
        <x:v>Какао и шоколад</x:v>
      </x:c>
      <x:c r="J709" s="28" t="str">
        <x:v>землистый, сладкий, минеральный и слегка зелёный</x:v>
      </x:c>
      <x:c r="K709" s="28" t="str">
        <x:v>жареный, какаовый, карамельный</x:v>
      </x:c>
      <x:c r="L709" s="28" t="str">
        <x:v>геосмин, метоксипиразины, альдегиды, бетаин</x:v>
      </x:c>
      <x:c r="M709" s="28" t="str">
        <x:v>пиразины, фураны</x:v>
      </x:c>
      <x:c r="N709" s="28" t="str">
        <x:v>прямое пересечение семейств не подтверждено</x:v>
      </x:c>
      <x:c r="O709" s="28" t="str">
        <x:v>надёжная общая ключевая молекула не установлена</x:v>
      </x:c>
      <x:c r="P709" s="28" t="str">
        <x:v>сенсорная комплементарность</x:v>
      </x:c>
      <x:c r="Q709" s="28" t="str">
        <x:v>Сладость и землистость балансируются кислотой, солью, горечью и умами; жир усиливает ощущение округлости.</x:v>
      </x:c>
      <x:c r="R709" s="28" t="str">
        <x:v>минимальный</x:v>
      </x:c>
      <x:c r="S709" s="28" t="str">
        <x:v>водная сахаристая матрица с пигментами беталаинами</x:v>
      </x:c>
      <x:c r="T70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09" s="28" t="str">
        <x:v>Свёкла имеет профиль «землистый, сладкий, минеральный и слегка зелёный».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709" s="28" t="str">
        <x:v>геосмин легко доминирует; беталаины отвечают за цвет, а не за запах; сильный нагрев снижает яркость цвета; жареная горечь легко маскирует нежный овощной аромат</x:v>
      </x:c>
      <x:c r="W709" s="28" t="str">
        <x:v>сливки, орех или карамель</x:v>
      </x:c>
      <x:c r="X709" s="28" t="str">
        <x:v>сок, кордиал, гаспачо, салат, соус, маринад или коктейльный компонент с шоколад</x:v>
      </x:c>
      <x:c r="Y709" s="28" t="str">
        <x:v>десерты</x:v>
      </x:c>
      <x:c r="Z709" s="28" t="str">
        <x:v>Высокая</x:v>
      </x:c>
      <x:c r="AA709" s="28" t="str">
        <x:v>The Art &amp; Science of Foodpairing.pdf | Тезариус вкусов (Ники Сегнит)(1).pdf</x:v>
      </x:c>
      <x:c r="AB709" s="28" t="str">
        <x:v>Тезариус вкусов (Ники Сегнит)(1).pdf: 35, 227; The Art &amp; Science of Foodpairing.pdf: 62</x:v>
      </x:c>
      <x:c r="AC709" s="28" t="str">
        <x:v>развёрнутая пара/статья, стр. 35; развёрнутая пара/статья, стр. 227; связь из pairing grid, стр. 62</x:v>
      </x:c>
      <x:c r="AD709" s="28" t="n">
        <x:v>2</x:v>
      </x:c>
      <x:c r="AE709" s="28" t="n">
        <x:v>3</x:v>
      </x:c>
      <x:c r="AF709" s="28" t="n">
        <x:f>IF(Z709="Высокая",3,IF(Z709="Средняя",2,1))+AD709*2+MIN(AE709,3)</x:f>
        <x:v>10</x:v>
      </x:c>
    </x:row>
    <x:row r="710" ht="64" customHeight="1">
      <x:c r="A710" s="28" t="str">
        <x:v>VEG-0709</x:v>
      </x:c>
      <x:c r="B710" s="28" t="str">
        <x:v>свёкла</x:v>
      </x:c>
      <x:c r="C710" s="28" t="str">
        <x:v>Десерты и выпечка</x:v>
      </x:c>
      <x:c r="D710" s="28" t="str">
        <x:v>свёкла</x:v>
      </x:c>
      <x:c r="E710" s="28" t="str">
        <x:v>beetroot | Свекла | свекла</x:v>
      </x:c>
      <x:c r="F710" s="28" t="str">
        <x:v>Корнеплоды</x:v>
      </x:c>
      <x:c r="G710" s="28" t="str">
        <x:v>яблоко</x:v>
      </x:c>
      <x:c r="H710" s="28" t="str">
        <x:v>apple | Яблоко | яблоко</x:v>
      </x:c>
      <x:c r="I710" s="28" t="str">
        <x:v>Фрукты и ягоды</x:v>
      </x:c>
      <x:c r="J710" s="28" t="str">
        <x:v>землистый, сладкий, минеральный и слегка зелёный</x:v>
      </x:c>
      <x:c r="K710" s="28" t="str">
        <x:v>зелёный, свежий, фруктовый</x:v>
      </x:c>
      <x:c r="L710" s="28" t="str">
        <x:v>геосмин, метоксипиразины, альдегиды, бетаин</x:v>
      </x:c>
      <x:c r="M710" s="28" t="str">
        <x:v>гексаналь, гексилацетат</x:v>
      </x:c>
      <x:c r="N710" s="28" t="str">
        <x:v>зелёный</x:v>
      </x:c>
      <x:c r="O710" s="28" t="str">
        <x:v>надёжная общая ключевая молекула не установлена</x:v>
      </x:c>
      <x:c r="P710" s="28" t="str">
        <x:v>пересечение ароматических семейств; кислотно-сладкий баланс</x:v>
      </x:c>
      <x:c r="Q710" s="28" t="str">
        <x:v>Сладость и землистость балансируются кислотой, солью, горечью и умами; жир усиливает ощущение округлости.</x:v>
      </x:c>
      <x:c r="R710" s="28" t="str">
        <x:v>минимальный</x:v>
      </x:c>
      <x:c r="S710" s="28" t="str">
        <x:v>водная сахаристая матрица с пигментами беталаинами Водная кислая фаза усиливает свежесть, но может разжижать пюре и нарушать молочную эмульсию.</x:v>
      </x:c>
      <x:c r="T71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10" s="28" t="str">
        <x:v>Свёкла имеет профиль «землистый, сладкий, минеральный и слегка зелёный».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710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W710" s="28" t="str">
        <x:v>цитрус, мёд или мягкая трава</x:v>
      </x:c>
      <x:c r="X710" s="28" t="str">
        <x:v>сок, кордиал, гаспачо, салат, соус, маринад или коктейльный компонент с яблоко</x:v>
      </x:c>
      <x:c r="Y710" s="28" t="str">
        <x:v>десерты</x:v>
      </x:c>
      <x:c r="Z710" s="28" t="str">
        <x:v>Высокая</x:v>
      </x:c>
      <x:c r="AA710" s="28" t="str">
        <x:v>The Art &amp; Science of Foodpairing.pdf | Тезариус вкусов (Ники Сегнит)(1).pdf</x:v>
      </x:c>
      <x:c r="AB710" s="28" t="str">
        <x:v>Тезариус вкусов (Ники Сегнит)(1).pdf: 228, 714; The Art &amp; Science of Foodpairing.pdf: 224</x:v>
      </x:c>
      <x:c r="AC710" s="28" t="str">
        <x:v>развёрнутая пара/статья, стр. 228; развёрнутая пара/статья, стр. 714; связь из pairing grid, стр. 224</x:v>
      </x:c>
      <x:c r="AD710" s="28" t="n">
        <x:v>2</x:v>
      </x:c>
      <x:c r="AE710" s="28" t="n">
        <x:v>3</x:v>
      </x:c>
      <x:c r="AF710" s="28" t="n">
        <x:f>IF(Z710="Высокая",3,IF(Z710="Средняя",2,1))+AD710*2+MIN(AE710,3)</x:f>
        <x:v>10</x:v>
      </x:c>
    </x:row>
    <x:row r="711" ht="64" customHeight="1">
      <x:c r="A711" s="28" t="str">
        <x:v>VEG-0710</x:v>
      </x:c>
      <x:c r="B711" s="28" t="str">
        <x:v>свёкла</x:v>
      </x:c>
      <x:c r="C711" s="28" t="str">
        <x:v>Еда и соусы</x:v>
      </x:c>
      <x:c r="D711" s="28" t="str">
        <x:v>свёкла</x:v>
      </x:c>
      <x:c r="E711" s="28" t="str">
        <x:v>beetroot</x:v>
      </x:c>
      <x:c r="F711" s="28" t="str">
        <x:v>Корнеплоды</x:v>
      </x:c>
      <x:c r="G711" s="28" t="str">
        <x:v>яичница</x:v>
      </x:c>
      <x:c r="H711" s="28" t="str">
        <x:v>scrambled egg</x:v>
      </x:c>
      <x:c r="I711" s="28" t="str">
        <x:v>Яйца</x:v>
      </x:c>
      <x:c r="J711" s="28" t="str">
        <x:v>землистый, сладкий, минеральный и слегка зелёный</x:v>
      </x:c>
      <x:c r="K711" s="28" t="str">
        <x:v>сливочный, сернистый и умами</x:v>
      </x:c>
      <x:c r="L711" s="28" t="str">
        <x:v>геосмин, метоксипиразины, альдегиды, бетаин</x:v>
      </x:c>
      <x:c r="M711" s="28" t="str">
        <x:v>жирные кислоты, сернистые соединения</x:v>
      </x:c>
      <x:c r="N711" s="28" t="str">
        <x:v>прямое пересечение семейств не подтверждено</x:v>
      </x:c>
      <x:c r="O711" s="28" t="str">
        <x:v>надёжная общая ключевая молекула не установлена</x:v>
      </x:c>
      <x:c r="P711" s="28" t="str">
        <x:v>сенсорная комплементарность</x:v>
      </x:c>
      <x:c r="Q711" s="28" t="str">
        <x:v>Сладость и землистость балансируются кислотой, солью, горечью и умами; жир усиливает ощущение округлости.</x:v>
      </x:c>
      <x:c r="R711" s="28" t="str">
        <x:v>минимальный</x:v>
      </x:c>
      <x:c r="S711" s="28" t="str">
        <x:v>водная сахаристая матрица с пигментами беталаинами</x:v>
      </x:c>
      <x:c r="T71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11" s="28" t="str">
        <x:v>Свёкла имеет профиль «землистый, сладкий, минеральный и слегка зелёный». Партнёр «яичница» относится к группе «Яйца» и даёт сливочный,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11" s="28" t="str">
        <x:v>геосмин легко доминирует; беталаины отвечают за цвет, а не за запах; сильный нагрев снижает яркость цвета</x:v>
      </x:c>
      <x:c r="W711" s="28" t="str">
        <x:v>соль, кислота или ароматический жир</x:v>
      </x:c>
      <x:c r="X711" s="28" t="str">
        <x:v>сок, кордиал, гаспачо, салат, соус, маринад или коктейльный компонент с яичница</x:v>
      </x:c>
      <x:c r="Y711" s="28" t="str">
        <x:v>еда, соусы/маринады</x:v>
      </x:c>
      <x:c r="Z711" s="28" t="str">
        <x:v>Средняя</x:v>
      </x:c>
      <x:c r="AA711" s="28" t="str">
        <x:v>The Art &amp; Science of Foodpairing.pdf</x:v>
      </x:c>
      <x:c r="AB711" s="28" t="str">
        <x:v>The Art &amp; Science of Foodpairing.pdf: 224</x:v>
      </x:c>
      <x:c r="AC711" s="28" t="str">
        <x:v>связь из pairing grid, стр. 224</x:v>
      </x:c>
      <x:c r="AD711" s="28" t="n">
        <x:v>1</x:v>
      </x:c>
      <x:c r="AE711" s="28" t="n">
        <x:v>1</x:v>
      </x:c>
      <x:c r="AF711" s="28" t="n">
        <x:f>IF(Z711="Высокая",3,IF(Z711="Средняя",2,1))+AD711*2+MIN(AE711,3)</x:f>
        <x:v>5</x:v>
      </x:c>
    </x:row>
    <x:row r="712" ht="64" customHeight="1">
      <x:c r="A712" s="28" t="str">
        <x:v>VEG-0711</x:v>
      </x:c>
      <x:c r="B712" s="28" t="str">
        <x:v>свёкла</x:v>
      </x:c>
      <x:c r="C712" s="28" t="str">
        <x:v>Универсальные</x:v>
      </x:c>
      <x:c r="D712" s="28" t="str">
        <x:v>свёкла</x:v>
      </x:c>
      <x:c r="E712" s="28" t="str">
        <x:v>Свекла | свекла</x:v>
      </x:c>
      <x:c r="F712" s="28" t="str">
        <x:v>Корнеплоды</x:v>
      </x:c>
      <x:c r="G712" s="28" t="str">
        <x:v>яйца</x:v>
      </x:c>
      <x:c r="H712" s="28" t="str">
        <x:v>Яйца | яйца</x:v>
      </x:c>
      <x:c r="I712" s="28" t="str">
        <x:v>Прочее</x:v>
      </x:c>
      <x:c r="J712" s="28" t="str">
        <x:v>землистый, сладкий, минеральный и слегка зелёный</x:v>
      </x:c>
      <x:c r="K712" s="28" t="str">
        <x:v>профиль зависит от конкретного продукта</x:v>
      </x:c>
      <x:c r="L712" s="28" t="str">
        <x:v>геосмин, метоксипиразины, альдегиды, бетаин</x:v>
      </x:c>
      <x:c r="M712" s="28" t="str">
        <x:v>конкретный молекулярный профиль не указан</x:v>
      </x:c>
      <x:c r="N712" s="28" t="str">
        <x:v>прямое пересечение семейств не подтверждено</x:v>
      </x:c>
      <x:c r="O712" s="28" t="str">
        <x:v>надёжная общая ключевая молекула не установлена</x:v>
      </x:c>
      <x:c r="P712" s="28" t="str">
        <x:v>сенсорная комплементарность</x:v>
      </x:c>
      <x:c r="Q712" s="28" t="str">
        <x:v>Сладость и землистость балансируются кислотой, солью, горечью и умами; жир усиливает ощущение округлости.</x:v>
      </x:c>
      <x:c r="R712" s="28" t="str">
        <x:v>минимальный</x:v>
      </x:c>
      <x:c r="S712" s="28" t="str">
        <x:v>водная сахаристая матрица с пигментами беталаинами</x:v>
      </x:c>
      <x:c r="T71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U712" s="28" t="str">
        <x:v>Свёкла имеет профиль «землистый, сладкий, минеральный и слегка зелёный».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712" s="28" t="str">
        <x:v>геосмин легко доминирует; беталаины отвечают за цвет, а не за запах; сильный нагрев снижает яркость цвета</x:v>
      </x:c>
      <x:c r="W712" s="28" t="str">
        <x:v>соль, кислота или ароматический жир</x:v>
      </x:c>
      <x:c r="X712" s="28" t="str">
        <x:v>сок, кордиал, гаспачо, салат, соус, маринад или коктейльный компонент с яйца</x:v>
      </x:c>
      <x:c r="Y712" s="28" t="str">
        <x:v>универсальное</x:v>
      </x:c>
      <x:c r="Z712" s="28" t="str">
        <x:v>Средняя</x:v>
      </x:c>
      <x:c r="AA712" s="28" t="str">
        <x:v>Тезариус вкусов (Ники Сегнит)(1).pdf</x:v>
      </x:c>
      <x:c r="AB712" s="28" t="str">
        <x:v>Тезариус вкусов (Ники Сегнит)(1).pdf: 228, 358</x:v>
      </x:c>
      <x:c r="AC712" s="28" t="str">
        <x:v>развёрнутая пара/статья, стр. 228; развёрнутая пара/статья, стр. 358</x:v>
      </x:c>
      <x:c r="AD712" s="28" t="n">
        <x:v>1</x:v>
      </x:c>
      <x:c r="AE712" s="28" t="n">
        <x:v>2</x:v>
      </x:c>
      <x:c r="AF712" s="28" t="n">
        <x:f>IF(Z712="Высокая",3,IF(Z712="Средняя",2,1))+AD712*2+MIN(AE712,3)</x:f>
        <x:v>6</x:v>
      </x:c>
    </x:row>
    <x:row r="713" ht="64" customHeight="1">
      <x:c r="A713" s="28" t="str">
        <x:v>VEG-0712</x:v>
      </x:c>
      <x:c r="B713" s="28" t="str">
        <x:v>сельдерей</x:v>
      </x:c>
      <x:c r="C713" s="28" t="str">
        <x:v>Универсальные</x:v>
      </x:c>
      <x:c r="D713" s="28" t="str">
        <x:v>сельдерей</x:v>
      </x:c>
      <x:c r="E713" s="28" t="str">
        <x:v>сельдерей</x:v>
      </x:c>
      <x:c r="F713" s="28" t="str">
        <x:v>Стеблевые овощи</x:v>
      </x:c>
      <x:c r="G713" s="28" t="str">
        <x:v>агава</x:v>
      </x:c>
      <x:c r="H713" s="28" t="str">
        <x:v>Агава</x:v>
      </x:c>
      <x:c r="I713" s="28" t="str">
        <x:v>Прочее</x:v>
      </x:c>
      <x:c r="J713" s="28" t="str">
        <x:v>зелёный, травянистый, пряный, слегка анисовый</x:v>
      </x:c>
      <x:c r="K713" s="28" t="str">
        <x:v>профиль зависит от конкретного продукта</x:v>
      </x:c>
      <x:c r="L713" s="28" t="str">
        <x:v>фталиды, лимонен, селинен, 3-н-бутилфталид</x:v>
      </x:c>
      <x:c r="M713" s="28" t="str">
        <x:v>конкретный молекулярный профиль не указан</x:v>
      </x:c>
      <x:c r="N713" s="28" t="str">
        <x:v>прямое пересечение семейств не подтверждено</x:v>
      </x:c>
      <x:c r="O713" s="28" t="str">
        <x:v>надёжная общая ключевая молекула не установлена</x:v>
      </x:c>
      <x:c r="P713" s="28" t="str">
        <x:v>сенсорная комплементарность</x:v>
      </x:c>
      <x:c r="Q71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13" s="28" t="str">
        <x:v>свежее прохладно-зелёное ощущение</x:v>
      </x:c>
      <x:c r="S713" s="28" t="str">
        <x:v>водная волокнистая матрица с ароматическим маслом</x:v>
      </x:c>
      <x:c r="T713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13" s="28" t="str">
        <x:v>Сельдерей имеет профиль «зелёный, травянистый, пряный, слегка анисовый». Партнёр «агава»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13" s="28" t="str">
        <x:v>быстро становится доминирующим и горьким; волокна требуют фильтрации в напитках</x:v>
      </x:c>
      <x:c r="W713" s="28" t="str">
        <x:v>соль, кислота или ароматический жир</x:v>
      </x:c>
      <x:c r="X713" s="28" t="str">
        <x:v>сок, кордиал, гаспачо, салат, соус, маринад или коктейльный компонент с агава</x:v>
      </x:c>
      <x:c r="Y713" s="28" t="str">
        <x:v>универсальное</x:v>
      </x:c>
      <x:c r="Z713" s="28" t="str">
        <x:v>Гипотеза / практическая</x:v>
      </x:c>
      <x:c r="AA713" s="28" t="str">
        <x:v>Таблица сочетания(1).pdf</x:v>
      </x:c>
      <x:c r="AB713" s="28" t="str">
        <x:v>Таблица сочетания(1).pdf: 1</x:v>
      </x:c>
      <x:c r="AC713" s="28" t="str">
        <x:v>рекомендация таблицы, стр. 1</x:v>
      </x:c>
      <x:c r="AD713" s="28" t="n">
        <x:v>1</x:v>
      </x:c>
      <x:c r="AE713" s="28" t="n">
        <x:v>1</x:v>
      </x:c>
      <x:c r="AF713" s="28" t="n">
        <x:f>IF(Z713="Высокая",3,IF(Z713="Средняя",2,1))+AD713*2+MIN(AE713,3)</x:f>
        <x:v>4</x:v>
      </x:c>
    </x:row>
    <x:row r="714" ht="64" customHeight="1">
      <x:c r="A714" s="28" t="str">
        <x:v>VEG-0713</x:v>
      </x:c>
      <x:c r="B714" s="28" t="str">
        <x:v>сельдерей</x:v>
      </x:c>
      <x:c r="C714" s="28" t="str">
        <x:v>Десерты и выпечка</x:v>
      </x:c>
      <x:c r="D714" s="28" t="str">
        <x:v>сельдерей</x:v>
      </x:c>
      <x:c r="E714" s="28" t="str">
        <x:v>Сельдерей | сельдерей</x:v>
      </x:c>
      <x:c r="F714" s="28" t="str">
        <x:v>Стеблевые овощи</x:v>
      </x:c>
      <x:c r="G714" s="28" t="str">
        <x:v>арахис</x:v>
      </x:c>
      <x:c r="H714" s="28" t="str">
        <x:v>Арахис | арахис</x:v>
      </x:c>
      <x:c r="I714" s="28" t="str">
        <x:v>Орехи и семена</x:v>
      </x:c>
      <x:c r="J714" s="28" t="str">
        <x:v>зелёный, травянистый, пряный, слегка анисовый</x:v>
      </x:c>
      <x:c r="K714" s="28" t="str">
        <x:v>ореховый, жареный и жирный</x:v>
      </x:c>
      <x:c r="L714" s="28" t="str">
        <x:v>фталиды, лимонен, селинен, 3-н-бутилфталид</x:v>
      </x:c>
      <x:c r="M714" s="28" t="str">
        <x:v>альдегиды, пиразины, фураны</x:v>
      </x:c>
      <x:c r="N714" s="28" t="str">
        <x:v>прямое пересечение семейств не подтверждено</x:v>
      </x:c>
      <x:c r="O714" s="28" t="str">
        <x:v>надёжная общая ключевая молекула не установлена</x:v>
      </x:c>
      <x:c r="P714" s="28" t="str">
        <x:v>сенсорная комплементарность</x:v>
      </x:c>
      <x:c r="Q71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14" s="28" t="str">
        <x:v>свежее прохладно-зелёное ощущение</x:v>
      </x:c>
      <x:c r="S714" s="28" t="str">
        <x:v>водная волокнистая матрица с ароматическим маслом</x:v>
      </x:c>
      <x:c r="T714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14" s="28" t="str">
        <x:v>Сельдерей имеет профиль «зелёный, травянистый, пряный, слегка анисовый».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714" s="28" t="str">
        <x:v>быстро становится доминирующим и горьким; волокна требуют фильтрации в напитках</x:v>
      </x:c>
      <x:c r="W714" s="28" t="str">
        <x:v>соль, кислота или ароматический жир</x:v>
      </x:c>
      <x:c r="X714" s="28" t="str">
        <x:v>сок, кордиал, гаспачо, салат, соус, маринад или коктейльный компонент с арахис</x:v>
      </x:c>
      <x:c r="Y714" s="28" t="str">
        <x:v>десерты</x:v>
      </x:c>
      <x:c r="Z714" s="28" t="str">
        <x:v>Средняя</x:v>
      </x:c>
      <x:c r="AA714" s="28" t="str">
        <x:v>Тезариус вкусов (Ники Сегнит)(1).pdf</x:v>
      </x:c>
      <x:c r="AB714" s="28" t="str">
        <x:v>Тезариус вкусов (Ники Сегнит)(1).pdf: 56, 248</x:v>
      </x:c>
      <x:c r="AC714" s="28" t="str">
        <x:v>развёрнутая пара/статья, стр. 56; развёрнутая пара/статья, стр. 248</x:v>
      </x:c>
      <x:c r="AD714" s="28" t="n">
        <x:v>1</x:v>
      </x:c>
      <x:c r="AE714" s="28" t="n">
        <x:v>2</x:v>
      </x:c>
      <x:c r="AF714" s="28" t="n">
        <x:f>IF(Z714="Высокая",3,IF(Z714="Средняя",2,1))+AD714*2+MIN(AE714,3)</x:f>
        <x:v>6</x:v>
      </x:c>
    </x:row>
    <x:row r="715" ht="64" customHeight="1">
      <x:c r="A715" s="28" t="str">
        <x:v>VEG-0714</x:v>
      </x:c>
      <x:c r="B715" s="28" t="str">
        <x:v>сельдерей</x:v>
      </x:c>
      <x:c r="C715" s="28" t="str">
        <x:v>Еда и соусы</x:v>
      </x:c>
      <x:c r="D715" s="28" t="str">
        <x:v>сельдерей</x:v>
      </x:c>
      <x:c r="E715" s="28" t="str">
        <x:v>Сельдерей | сельдерей</x:v>
      </x:c>
      <x:c r="F715" s="28" t="str">
        <x:v>Стеблевые овощи</x:v>
      </x:c>
      <x:c r="G715" s="28" t="str">
        <x:v>баранина</x:v>
      </x:c>
      <x:c r="H715" s="28" t="str">
        <x:v>Баранина | баранина</x:v>
      </x:c>
      <x:c r="I715" s="28" t="str">
        <x:v>Мясо и птица</x:v>
      </x:c>
      <x:c r="J715" s="28" t="str">
        <x:v>зелёный, травянистый, пряный, слегка анисовый</x:v>
      </x:c>
      <x:c r="K715" s="28" t="str">
        <x:v>жареный, мясной и умами</x:v>
      </x:c>
      <x:c r="L715" s="28" t="str">
        <x:v>фталиды, лимонен, селинен, 3-н-бутилфталид</x:v>
      </x:c>
      <x:c r="M715" s="28" t="str">
        <x:v>пиразины, сернистые соединения</x:v>
      </x:c>
      <x:c r="N715" s="28" t="str">
        <x:v>прямое пересечение семейств не подтверждено</x:v>
      </x:c>
      <x:c r="O715" s="28" t="str">
        <x:v>надёжная общая ключевая молекула не установлена</x:v>
      </x:c>
      <x:c r="P715" s="28" t="str">
        <x:v>умами и солёный контраст</x:v>
      </x:c>
      <x:c r="Q71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15" s="28" t="str">
        <x:v>свежее прохладно-зелёное ощущение</x:v>
      </x:c>
      <x:c r="S715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15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15" s="28" t="str">
        <x:v>Сельдерей имеет профиль «зелёный, травянистый, пряный, слегка анисовый».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15" s="28" t="str">
        <x:v>быстро становится доминирующим и горьким; волокна требуют фильтрации в напитках</x:v>
      </x:c>
      <x:c r="W715" s="28" t="str">
        <x:v>сливочное масло, соевый соус или тимьян</x:v>
      </x:c>
      <x:c r="X715" s="28" t="str">
        <x:v>сок, кордиал, гаспачо, салат, соус, маринад или коктейльный компонент с баранина</x:v>
      </x:c>
      <x:c r="Y715" s="28" t="str">
        <x:v>еда, соусы/маринады</x:v>
      </x:c>
      <x:c r="Z715" s="28" t="str">
        <x:v>Средняя</x:v>
      </x:c>
      <x:c r="AA715" s="28" t="str">
        <x:v>Тезариус вкусов (Ники Сегнит)(1).pdf</x:v>
      </x:c>
      <x:c r="AB715" s="28" t="str">
        <x:v>Тезариус вкусов (Ники Сегнит)(1).pdf: 133, 249</x:v>
      </x:c>
      <x:c r="AC715" s="28" t="str">
        <x:v>развёрнутая пара/статья, стр. 133; развёрнутая пара/статья, стр. 249</x:v>
      </x:c>
      <x:c r="AD715" s="28" t="n">
        <x:v>1</x:v>
      </x:c>
      <x:c r="AE715" s="28" t="n">
        <x:v>2</x:v>
      </x:c>
      <x:c r="AF715" s="28" t="n">
        <x:f>IF(Z715="Высокая",3,IF(Z715="Средняя",2,1))+AD715*2+MIN(AE715,3)</x:f>
        <x:v>6</x:v>
      </x:c>
    </x:row>
    <x:row r="716" ht="64" customHeight="1">
      <x:c r="A716" s="28" t="str">
        <x:v>VEG-0715</x:v>
      </x:c>
      <x:c r="B716" s="28" t="str">
        <x:v>сельдерей</x:v>
      </x:c>
      <x:c r="C716" s="28" t="str">
        <x:v>Еда и соусы</x:v>
      </x:c>
      <x:c r="D716" s="28" t="str">
        <x:v>сельдерей</x:v>
      </x:c>
      <x:c r="E716" s="28" t="str">
        <x:v>Сельдерей | сельдерей</x:v>
      </x:c>
      <x:c r="F716" s="28" t="str">
        <x:v>Стеблевые овощи</x:v>
      </x:c>
      <x:c r="G716" s="28" t="str">
        <x:v>белая рыба</x:v>
      </x:c>
      <x:c r="H716" s="28" t="str">
        <x:v>Белая рыба | белая рыба</x:v>
      </x:c>
      <x:c r="I716" s="28" t="str">
        <x:v>Рыба и морепродукты</x:v>
      </x:c>
      <x:c r="J716" s="28" t="str">
        <x:v>зелёный, травянистый, пряный, слегка анисовый</x:v>
      </x:c>
      <x:c r="K716" s="28" t="str">
        <x:v>жирный, морской, умами</x:v>
      </x:c>
      <x:c r="L716" s="28" t="str">
        <x:v>фталиды, лимонен, селинен, 3-н-бутилфталид</x:v>
      </x:c>
      <x:c r="M716" s="28" t="str">
        <x:v>альдегиды, амины</x:v>
      </x:c>
      <x:c r="N716" s="28" t="str">
        <x:v>прямое пересечение семейств не подтверждено</x:v>
      </x:c>
      <x:c r="O716" s="28" t="str">
        <x:v>надёжная общая ключевая молекула не установлена</x:v>
      </x:c>
      <x:c r="P716" s="28" t="str">
        <x:v>умами и солёный контраст</x:v>
      </x:c>
      <x:c r="Q71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16" s="28" t="str">
        <x:v>свежее прохладно-зелёное ощущение</x:v>
      </x:c>
      <x:c r="S716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1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16" s="28" t="str">
        <x:v>Сельдерей имеет профиль «зелёный, травянистый, пряный, слегка анисовый».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16" s="28" t="str">
        <x:v>быстро становится доминирующим и горьким; волокна требуют фильтрации в напитках</x:v>
      </x:c>
      <x:c r="W716" s="28" t="str">
        <x:v>сливочное масло, соевый соус или тимьян</x:v>
      </x:c>
      <x:c r="X716" s="28" t="str">
        <x:v>сок, кордиал, гаспачо, салат, соус, маринад или коктейльный компонент с белая рыба</x:v>
      </x:c>
      <x:c r="Y716" s="28" t="str">
        <x:v>еда, соусы/маринады</x:v>
      </x:c>
      <x:c r="Z716" s="28" t="str">
        <x:v>Средняя</x:v>
      </x:c>
      <x:c r="AA716" s="28" t="str">
        <x:v>Тезариус вкусов (Ники Сегнит)(1).pdf</x:v>
      </x:c>
      <x:c r="AB716" s="28" t="str">
        <x:v>Тезариус вкусов (Ники Сегнит)(1).pdf: 249, 388</x:v>
      </x:c>
      <x:c r="AC716" s="28" t="str">
        <x:v>развёрнутая пара/статья, стр. 249; развёрнутая пара/статья, стр. 388</x:v>
      </x:c>
      <x:c r="AD716" s="28" t="n">
        <x:v>1</x:v>
      </x:c>
      <x:c r="AE716" s="28" t="n">
        <x:v>2</x:v>
      </x:c>
      <x:c r="AF716" s="28" t="n">
        <x:f>IF(Z716="Высокая",3,IF(Z716="Средняя",2,1))+AD716*2+MIN(AE716,3)</x:f>
        <x:v>6</x:v>
      </x:c>
    </x:row>
    <x:row r="717" ht="64" customHeight="1">
      <x:c r="A717" s="28" t="str">
        <x:v>VEG-0716</x:v>
      </x:c>
      <x:c r="B717" s="28" t="str">
        <x:v>сельдерей</x:v>
      </x:c>
      <x:c r="C717" s="28" t="str">
        <x:v>Универсальные</x:v>
      </x:c>
      <x:c r="D717" s="28" t="str">
        <x:v>сельдерей</x:v>
      </x:c>
      <x:c r="E717" s="28" t="str">
        <x:v>celery leaves</x:v>
      </x:c>
      <x:c r="F717" s="28" t="str">
        <x:v>Стеблевые овощи</x:v>
      </x:c>
      <x:c r="G717" s="28" t="str">
        <x:v>болгарский перец</x:v>
      </x:c>
      <x:c r="H717" s="28" t="str">
        <x:v>red bell pepper and paprika</x:v>
      </x:c>
      <x:c r="I717" s="28" t="str">
        <x:v>Плодовые овощи</x:v>
      </x:c>
      <x:c r="J717" s="28" t="str">
        <x:v>зелёный, травянистый, пряный, слегка анисовый</x:v>
      </x:c>
      <x:c r="K717" s="28" t="str">
        <x:v>зелёный, травянистый, фруктовый; у красного — сладкий и жареный</x:v>
      </x:c>
      <x:c r="L717" s="28" t="str">
        <x:v>фталиды, лимонен, селинен, 3-н-бутилфталид</x:v>
      </x:c>
      <x:c r="M717" s="28" t="str">
        <x:v>2-изобутил-3-метоксипиразин, гексаналь, лимонен, эфиры</x:v>
      </x:c>
      <x:c r="N717" s="28" t="str">
        <x:v>зелёный</x:v>
      </x:c>
      <x:c r="O717" s="28" t="str">
        <x:v>лимонен</x:v>
      </x:c>
      <x:c r="P717" s="28" t="str">
        <x:v>общие характерные молекулы; пересечение ароматических семейств</x:v>
      </x:c>
      <x:c r="Q71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17" s="28" t="str">
        <x:v>свежее прохладно-зелёное ощущение</x:v>
      </x:c>
      <x:c r="S717" s="28" t="str">
        <x:v>водная волокнистая матрица с ароматическим маслом</x:v>
      </x:c>
      <x:c r="T717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17" s="28" t="str">
        <x:v>Сельдерей имеет профиль «зелёный, травянистый, пряный, слегка анисовый». Партнёр «болгарский перец» относится к группе «Плодовые овощи» и даёт зелёный, травянистый, фруктовый; у красного — сладкий и жареный. Вероятный молекулярный мост: лимонен. Совместимость формируется за счёт баланса сладости, кислотности, горечи, умами и текстуры.</x:v>
      </x:c>
      <x:c r="V717" s="28" t="str">
        <x:v>быстро становится доминирующим и горьким; волокна требуют фильтрации в напитках</x:v>
      </x:c>
      <x:c r="W717" s="28" t="str">
        <x:v>соль, кислота или ароматический жир</x:v>
      </x:c>
      <x:c r="X717" s="28" t="str">
        <x:v>сок, кордиал, гаспачо, салат, соус, маринад или коктейльный компонент с болгарский перец</x:v>
      </x:c>
      <x:c r="Y717" s="28" t="str">
        <x:v>универсальное</x:v>
      </x:c>
      <x:c r="Z717" s="28" t="str">
        <x:v>Средняя</x:v>
      </x:c>
      <x:c r="AA717" s="28" t="str">
        <x:v>The Art &amp; Science of Foodpairing.pdf</x:v>
      </x:c>
      <x:c r="AB717" s="28" t="str">
        <x:v>The Art &amp; Science of Foodpairing.pdf: 108</x:v>
      </x:c>
      <x:c r="AC717" s="28" t="str">
        <x:v>связь из pairing grid, стр. 108</x:v>
      </x:c>
      <x:c r="AD717" s="28" t="n">
        <x:v>1</x:v>
      </x:c>
      <x:c r="AE717" s="28" t="n">
        <x:v>1</x:v>
      </x:c>
      <x:c r="AF717" s="28" t="n">
        <x:f>IF(Z717="Высокая",3,IF(Z717="Средняя",2,1))+AD717*2+MIN(AE717,3)</x:f>
        <x:v>5</x:v>
      </x:c>
    </x:row>
    <x:row r="718" ht="64" customHeight="1">
      <x:c r="A718" s="28" t="str">
        <x:v>VEG-0717</x:v>
      </x:c>
      <x:c r="B718" s="28" t="str">
        <x:v>сельдерей</x:v>
      </x:c>
      <x:c r="C718" s="28" t="str">
        <x:v>Еда и соусы</x:v>
      </x:c>
      <x:c r="D718" s="28" t="str">
        <x:v>сельдерей</x:v>
      </x:c>
      <x:c r="E718" s="28" t="str">
        <x:v>Сельдерей | сельдерей</x:v>
      </x:c>
      <x:c r="F718" s="28" t="str">
        <x:v>Стеблевые овощи</x:v>
      </x:c>
      <x:c r="G718" s="28" t="str">
        <x:v>говядина</x:v>
      </x:c>
      <x:c r="H718" s="28" t="str">
        <x:v>Говядина | говядина</x:v>
      </x:c>
      <x:c r="I718" s="28" t="str">
        <x:v>Мясо и птица</x:v>
      </x:c>
      <x:c r="J718" s="28" t="str">
        <x:v>зелёный, травянистый, пряный, слегка анисовый</x:v>
      </x:c>
      <x:c r="K718" s="28" t="str">
        <x:v>жареный, мясной и умами</x:v>
      </x:c>
      <x:c r="L718" s="28" t="str">
        <x:v>фталиды, лимонен, селинен, 3-н-бутилфталид</x:v>
      </x:c>
      <x:c r="M718" s="28" t="str">
        <x:v>пиразины, сернистые соединения</x:v>
      </x:c>
      <x:c r="N718" s="28" t="str">
        <x:v>прямое пересечение семейств не подтверждено</x:v>
      </x:c>
      <x:c r="O718" s="28" t="str">
        <x:v>надёжная общая ключевая молекула не установлена</x:v>
      </x:c>
      <x:c r="P718" s="28" t="str">
        <x:v>умами и солёный контраст</x:v>
      </x:c>
      <x:c r="Q71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18" s="28" t="str">
        <x:v>свежее прохладно-зелёное ощущение</x:v>
      </x:c>
      <x:c r="S718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18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18" s="28" t="str">
        <x:v>Сельдерей имеет профиль «зелёный, травянистый, пряный, слегка анисовый».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18" s="28" t="str">
        <x:v>быстро становится доминирующим и горьким; волокна требуют фильтрации в напитках</x:v>
      </x:c>
      <x:c r="W718" s="28" t="str">
        <x:v>сливочное масло, соевый соус или тимьян</x:v>
      </x:c>
      <x:c r="X718" s="28" t="str">
        <x:v>сок, кордиал, гаспачо, салат, соус, маринад или коктейльный компонент с говядина</x:v>
      </x:c>
      <x:c r="Y718" s="28" t="str">
        <x:v>еда, соусы/маринады</x:v>
      </x:c>
      <x:c r="Z718" s="28" t="str">
        <x:v>Средняя</x:v>
      </x:c>
      <x:c r="AA718" s="28" t="str">
        <x:v>Тезариус вкусов (Ники Сегнит)(1).pdf</x:v>
      </x:c>
      <x:c r="AB718" s="28" t="str">
        <x:v>Тезариус вкусов (Ники Сегнит)(1).pdf: 118, 250</x:v>
      </x:c>
      <x:c r="AC718" s="28" t="str">
        <x:v>развёрнутая пара/статья, стр. 118; развёрнутая пара/статья, стр. 250</x:v>
      </x:c>
      <x:c r="AD718" s="28" t="n">
        <x:v>1</x:v>
      </x:c>
      <x:c r="AE718" s="28" t="n">
        <x:v>2</x:v>
      </x:c>
      <x:c r="AF718" s="28" t="n">
        <x:f>IF(Z718="Высокая",3,IF(Z718="Средняя",2,1))+AD718*2+MIN(AE718,3)</x:f>
        <x:v>6</x:v>
      </x:c>
    </x:row>
    <x:row r="719" ht="64" customHeight="1">
      <x:c r="A719" s="28" t="str">
        <x:v>VEG-0718</x:v>
      </x:c>
      <x:c r="B719" s="28" t="str">
        <x:v>сельдерей</x:v>
      </x:c>
      <x:c r="C719" s="28" t="str">
        <x:v>Десерты и выпечка</x:v>
      </x:c>
      <x:c r="D719" s="28" t="str">
        <x:v>сельдерей</x:v>
      </x:c>
      <x:c r="E719" s="28" t="str">
        <x:v>Сельдерей | сельдерей</x:v>
      </x:c>
      <x:c r="F719" s="28" t="str">
        <x:v>Стеблевые овощи</x:v>
      </x:c>
      <x:c r="G719" s="28" t="str">
        <x:v>голубой сыр</x:v>
      </x:c>
      <x:c r="H719" s="28" t="str">
        <x:v>Голубой сыр | голубой сыр</x:v>
      </x:c>
      <x:c r="I719" s="28" t="str">
        <x:v>Молочные продукты и сыры</x:v>
      </x:c>
      <x:c r="J719" s="28" t="str">
        <x:v>зелёный, травянистый, пряный, слегка анисовый</x:v>
      </x:c>
      <x:c r="K719" s="28" t="str">
        <x:v>молочный, умами, ферментированный</x:v>
      </x:c>
      <x:c r="L719" s="28" t="str">
        <x:v>фталиды, лимонен, селинен, 3-н-бутилфталид</x:v>
      </x:c>
      <x:c r="M719" s="28" t="str">
        <x:v>диацетил, жирные кислоты</x:v>
      </x:c>
      <x:c r="N719" s="28" t="str">
        <x:v>прямое пересечение семейств не подтверждено</x:v>
      </x:c>
      <x:c r="O719" s="28" t="str">
        <x:v>надёжная общая ключевая молекула не установлена</x:v>
      </x:c>
      <x:c r="P719" s="28" t="str">
        <x:v>жировая матрица</x:v>
      </x:c>
      <x:c r="Q71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19" s="28" t="str">
        <x:v>свежее прохладно-зелёное ощущение</x:v>
      </x:c>
      <x:c r="S719" s="28" t="str">
        <x:v>водная волокнистая матрица с ароматическим маслом Жировая фаза удерживает гидрофобные молекулы, но может сделать вкус тяжёлым.</x:v>
      </x:c>
      <x:c r="T719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19" s="28" t="str">
        <x:v>Сельдерей имеет профиль «зелёный, травянистый, пряный, слегка анисовый».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719" s="28" t="str">
        <x:v>быстро становится доминирующим и горьким; волокна требуют фильтрации в напитках; жир способен приглушить свежую зелёную ароматику</x:v>
      </x:c>
      <x:c r="W719" s="28" t="str">
        <x:v>кислота, зелень или жареный орех</x:v>
      </x:c>
      <x:c r="X719" s="28" t="str">
        <x:v>сок, кордиал, гаспачо, салат, соус, маринад или коктейльный компонент с голубой сыр</x:v>
      </x:c>
      <x:c r="Y719" s="28" t="str">
        <x:v>десерты</x:v>
      </x:c>
      <x:c r="Z719" s="28" t="str">
        <x:v>Средняя</x:v>
      </x:c>
      <x:c r="AA719" s="28" t="str">
        <x:v>Тезариус вкусов (Ники Сегнит)(1).pdf</x:v>
      </x:c>
      <x:c r="AB719" s="28" t="str">
        <x:v>Тезариус вкусов (Ники Сегнит)(1).pdf: 160, 250</x:v>
      </x:c>
      <x:c r="AC719" s="28" t="str">
        <x:v>развёрнутая пара/статья, стр. 160; развёрнутая пара/статья, стр. 250</x:v>
      </x:c>
      <x:c r="AD719" s="28" t="n">
        <x:v>1</x:v>
      </x:c>
      <x:c r="AE719" s="28" t="n">
        <x:v>2</x:v>
      </x:c>
      <x:c r="AF719" s="28" t="n">
        <x:f>IF(Z719="Высокая",3,IF(Z719="Средняя",2,1))+AD719*2+MIN(AE719,3)</x:f>
        <x:v>6</x:v>
      </x:c>
    </x:row>
    <x:row r="720" ht="64" customHeight="1">
      <x:c r="A720" s="28" t="str">
        <x:v>VEG-0719</x:v>
      </x:c>
      <x:c r="B720" s="28" t="str">
        <x:v>сельдерей</x:v>
      </x:c>
      <x:c r="C720" s="28" t="str">
        <x:v>Десерты и выпечка</x:v>
      </x:c>
      <x:c r="D720" s="28" t="str">
        <x:v>сельдерей</x:v>
      </x:c>
      <x:c r="E720" s="28" t="str">
        <x:v>Сельдерей | сельдерей</x:v>
      </x:c>
      <x:c r="F720" s="28" t="str">
        <x:v>Стеблевые овощи</x:v>
      </x:c>
      <x:c r="G720" s="28" t="str">
        <x:v>грецкий орех</x:v>
      </x:c>
      <x:c r="H720" s="28" t="str">
        <x:v>Грецкий орех | грецкий орех</x:v>
      </x:c>
      <x:c r="I720" s="28" t="str">
        <x:v>Орехи и семена</x:v>
      </x:c>
      <x:c r="J720" s="28" t="str">
        <x:v>зелёный, травянистый, пряный, слегка анисовый</x:v>
      </x:c>
      <x:c r="K720" s="28" t="str">
        <x:v>древесный, землистый, ореховый</x:v>
      </x:c>
      <x:c r="L720" s="28" t="str">
        <x:v>фталиды, лимонен, селинен, 3-н-бутилфталид</x:v>
      </x:c>
      <x:c r="M720" s="28" t="str">
        <x:v>альдегиды, пиразины</x:v>
      </x:c>
      <x:c r="N720" s="28" t="str">
        <x:v>прямое пересечение семейств не подтверждено</x:v>
      </x:c>
      <x:c r="O720" s="28" t="str">
        <x:v>надёжная общая ключевая молекула не установлена</x:v>
      </x:c>
      <x:c r="P720" s="28" t="str">
        <x:v>сенсорная комплементарность</x:v>
      </x:c>
      <x:c r="Q72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0" s="28" t="str">
        <x:v>свежее прохладно-зелёное ощущение</x:v>
      </x:c>
      <x:c r="S720" s="28" t="str">
        <x:v>водная волокнистая матрица с ароматическим маслом</x:v>
      </x:c>
      <x:c r="T720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0" s="28" t="str">
        <x:v>Сельдерей имеет профиль «зелёный, травянистый, пряный, слегка анисовый». Партнёр «грецкий орех» относится к группе «Орехи и семена» и даёт древесный, землистый,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720" s="28" t="str">
        <x:v>быстро становится доминирующим и горьким; волокна требуют фильтрации в напитках</x:v>
      </x:c>
      <x:c r="W720" s="28" t="str">
        <x:v>соль, кислота или ароматический жир</x:v>
      </x:c>
      <x:c r="X720" s="28" t="str">
        <x:v>сок, кордиал, гаспачо, салат, соус, маринад или коктейльный компонент с грецкий орех</x:v>
      </x:c>
      <x:c r="Y720" s="28" t="str">
        <x:v>десерты</x:v>
      </x:c>
      <x:c r="Z720" s="28" t="str">
        <x:v>Средняя</x:v>
      </x:c>
      <x:c r="AA720" s="28" t="str">
        <x:v>Тезариус вкусов (Ники Сегнит)(1).pdf</x:v>
      </x:c>
      <x:c r="AB720" s="28" t="str">
        <x:v>Тезариус вкусов (Ники Сегнит)(1).pdf: 251, 628</x:v>
      </x:c>
      <x:c r="AC720" s="28" t="str">
        <x:v>развёрнутая пара/статья, стр. 251; развёрнутая пара/статья, стр. 628</x:v>
      </x:c>
      <x:c r="AD720" s="28" t="n">
        <x:v>1</x:v>
      </x:c>
      <x:c r="AE720" s="28" t="n">
        <x:v>2</x:v>
      </x:c>
      <x:c r="AF720" s="28" t="n">
        <x:f>IF(Z720="Высокая",3,IF(Z720="Средняя",2,1))+AD720*2+MIN(AE720,3)</x:f>
        <x:v>6</x:v>
      </x:c>
    </x:row>
    <x:row r="721" ht="64" customHeight="1">
      <x:c r="A721" s="28" t="str">
        <x:v>VEG-0720</x:v>
      </x:c>
      <x:c r="B721" s="28" t="str">
        <x:v>сельдерей</x:v>
      </x:c>
      <x:c r="C721" s="28" t="str">
        <x:v>Десерты и выпечка</x:v>
      </x:c>
      <x:c r="D721" s="28" t="str">
        <x:v>сельдерей</x:v>
      </x:c>
      <x:c r="E721" s="28" t="str">
        <x:v>dried celery seeds</x:v>
      </x:c>
      <x:c r="F721" s="28" t="str">
        <x:v>Стеблевые овощи</x:v>
      </x:c>
      <x:c r="G721" s="28" t="str">
        <x:v>груша</x:v>
      </x:c>
      <x:c r="H721" s="28" t="str">
        <x:v>pear</x:v>
      </x:c>
      <x:c r="I721" s="28" t="str">
        <x:v>Фрукты и ягоды</x:v>
      </x:c>
      <x:c r="J721" s="28" t="str">
        <x:v>зелёный, травянистый, пряный, слегка анисовый</x:v>
      </x:c>
      <x:c r="K721" s="28" t="str">
        <x:v>сладкий, фруктовый, цветочный</x:v>
      </x:c>
      <x:c r="L721" s="28" t="str">
        <x:v>фталиды, лимонен, селинен, 3-н-бутилфталид</x:v>
      </x:c>
      <x:c r="M721" s="28" t="str">
        <x:v>линалоол, эфиры</x:v>
      </x:c>
      <x:c r="N721" s="28" t="str">
        <x:v>прямое пересечение семейств не подтверждено</x:v>
      </x:c>
      <x:c r="O721" s="28" t="str">
        <x:v>надёжная общая ключевая молекула не установлена</x:v>
      </x:c>
      <x:c r="P721" s="28" t="str">
        <x:v>кислотно-сладкий баланс</x:v>
      </x:c>
      <x:c r="Q72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1" s="28" t="str">
        <x:v>свежее прохладно-зелёное ощущение</x:v>
      </x:c>
      <x:c r="S721" s="28" t="str">
        <x:v>водная волокнистая матрица с ароматическим маслом Водная кислая фаза усиливает свежесть, но может разжижать пюре и нарушать молочную эмульсию.</x:v>
      </x:c>
      <x:c r="T721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1" s="28" t="str">
        <x:v>Сельдерей имеет профиль «зелёный, травянистый, пряный, слегка анисовый». Партнёр «груша» относится к группе «Фрукты и ягоды» и даёт сладкий, фруктовый, цветочный.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21" s="28" t="str">
        <x:v>быстро становится доминирующим и горьким; волокна требуют фильтрации в напитках; избыток кислоты или воды может сделать овощной вкус тонким и разрушить сливочную эмульсию</x:v>
      </x:c>
      <x:c r="W721" s="28" t="str">
        <x:v>цитрус, мёд или мягкая трава</x:v>
      </x:c>
      <x:c r="X721" s="28" t="str">
        <x:v>сок, кордиал, гаспачо, салат, соус, маринад или коктейльный компонент с груша</x:v>
      </x:c>
      <x:c r="Y721" s="28" t="str">
        <x:v>десерты</x:v>
      </x:c>
      <x:c r="Z721" s="28" t="str">
        <x:v>Средняя</x:v>
      </x:c>
      <x:c r="AA721" s="28" t="str">
        <x:v>The Art &amp; Science of Foodpairing.pdf</x:v>
      </x:c>
      <x:c r="AB721" s="28" t="str">
        <x:v>The Art &amp; Science of Foodpairing.pdf: 350</x:v>
      </x:c>
      <x:c r="AC721" s="28" t="str">
        <x:v>связь из pairing grid, стр. 350</x:v>
      </x:c>
      <x:c r="AD721" s="28" t="n">
        <x:v>1</x:v>
      </x:c>
      <x:c r="AE721" s="28" t="n">
        <x:v>1</x:v>
      </x:c>
      <x:c r="AF721" s="28" t="n">
        <x:f>IF(Z721="Высокая",3,IF(Z721="Средняя",2,1))+AD721*2+MIN(AE721,3)</x:f>
        <x:v>5</x:v>
      </x:c>
    </x:row>
    <x:row r="722" ht="64" customHeight="1">
      <x:c r="A722" s="28" t="str">
        <x:v>VEG-0721</x:v>
      </x:c>
      <x:c r="B722" s="28" t="str">
        <x:v>сельдерей</x:v>
      </x:c>
      <x:c r="C722" s="28" t="str">
        <x:v>Универсальные</x:v>
      </x:c>
      <x:c r="D722" s="28" t="str">
        <x:v>сельдерей</x:v>
      </x:c>
      <x:c r="E722" s="28" t="str">
        <x:v>celery leaves</x:v>
      </x:c>
      <x:c r="F722" s="28" t="str">
        <x:v>Стеблевые овощи</x:v>
      </x:c>
      <x:c r="G722" s="28" t="str">
        <x:v>кардамон</x:v>
      </x:c>
      <x:c r="H722" s="28" t="str">
        <x:v>cardamom</x:v>
      </x:c>
      <x:c r="I722" s="28" t="str">
        <x:v>Специи</x:v>
      </x:c>
      <x:c r="J722" s="28" t="str">
        <x:v>зелёный, травянистый, пряный, слегка анисовый</x:v>
      </x:c>
      <x:c r="K722" s="28" t="str">
        <x:v>камфорный, цветочный, цитрусовый</x:v>
      </x:c>
      <x:c r="L722" s="28" t="str">
        <x:v>фталиды, лимонен, селинен, 3-н-бутилфталид</x:v>
      </x:c>
      <x:c r="M722" s="28" t="str">
        <x:v>1,8-цинеол, линалоол</x:v>
      </x:c>
      <x:c r="N722" s="28" t="str">
        <x:v>прямое пересечение семейств не подтверждено</x:v>
      </x:c>
      <x:c r="O722" s="28" t="str">
        <x:v>надёжная общая ключевая молекула не установлена</x:v>
      </x:c>
      <x:c r="P722" s="28" t="str">
        <x:v>сенсорная комплементарность</x:v>
      </x:c>
      <x:c r="Q72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2" s="28" t="str">
        <x:v>свежее прохладно-зелёное ощущение</x:v>
      </x:c>
      <x:c r="S722" s="28" t="str">
        <x:v>водная волокнистая матрица с ароматическим маслом</x:v>
      </x:c>
      <x:c r="T722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2" s="28" t="str">
        <x:v>Сельдерей имеет профиль «зелёный, травянистый, пряный, слегка анисовый».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722" s="28" t="str">
        <x:v>быстро становится доминирующим и горьким; волокна требуют фильтрации в напитках</x:v>
      </x:c>
      <x:c r="W722" s="28" t="str">
        <x:v>цитрус, йогурт или мёд</x:v>
      </x:c>
      <x:c r="X722" s="28" t="str">
        <x:v>сок, кордиал, гаспачо, салат, соус, маринад или коктейльный компонент с кардамон</x:v>
      </x:c>
      <x:c r="Y722" s="28" t="str">
        <x:v>универсальное</x:v>
      </x:c>
      <x:c r="Z722" s="28" t="str">
        <x:v>Средняя</x:v>
      </x:c>
      <x:c r="AA722" s="28" t="str">
        <x:v>The Art &amp; Science of Foodpairing.pdf</x:v>
      </x:c>
      <x:c r="AB722" s="28" t="str">
        <x:v>The Art &amp; Science of Foodpairing.pdf: 256</x:v>
      </x:c>
      <x:c r="AC722" s="28" t="str">
        <x:v>связь из pairing grid, стр. 256</x:v>
      </x:c>
      <x:c r="AD722" s="28" t="n">
        <x:v>1</x:v>
      </x:c>
      <x:c r="AE722" s="28" t="n">
        <x:v>1</x:v>
      </x:c>
      <x:c r="AF722" s="28" t="n">
        <x:f>IF(Z722="Высокая",3,IF(Z722="Средняя",2,1))+AD722*2+MIN(AE722,3)</x:f>
        <x:v>5</x:v>
      </x:c>
    </x:row>
    <x:row r="723" ht="64" customHeight="1">
      <x:c r="A723" s="28" t="str">
        <x:v>VEG-0722</x:v>
      </x:c>
      <x:c r="B723" s="28" t="str">
        <x:v>сельдерей</x:v>
      </x:c>
      <x:c r="C723" s="28" t="str">
        <x:v>Десерты и выпечка</x:v>
      </x:c>
      <x:c r="D723" s="28" t="str">
        <x:v>сельдерей</x:v>
      </x:c>
      <x:c r="E723" s="28" t="str">
        <x:v>Сельдерей | сельдерей</x:v>
      </x:c>
      <x:c r="F723" s="28" t="str">
        <x:v>Стеблевые овощи</x:v>
      </x:c>
      <x:c r="G723" s="28" t="str">
        <x:v>каштаны</x:v>
      </x:c>
      <x:c r="H723" s="28" t="str">
        <x:v>Каштаны | каштаны</x:v>
      </x:c>
      <x:c r="I723" s="28" t="str">
        <x:v>Орехи и семена</x:v>
      </x:c>
      <x:c r="J723" s="28" t="str">
        <x:v>зелёный, травянистый, пряный, слегка анисовый</x:v>
      </x:c>
      <x:c r="K723" s="28" t="str">
        <x:v>ореховый, жареный и жирный</x:v>
      </x:c>
      <x:c r="L723" s="28" t="str">
        <x:v>фталиды, лимонен, селинен, 3-н-бутилфталид</x:v>
      </x:c>
      <x:c r="M723" s="28" t="str">
        <x:v>альдегиды, пиразины, фураны</x:v>
      </x:c>
      <x:c r="N723" s="28" t="str">
        <x:v>прямое пересечение семейств не подтверждено</x:v>
      </x:c>
      <x:c r="O723" s="28" t="str">
        <x:v>надёжная общая ключевая молекула не установлена</x:v>
      </x:c>
      <x:c r="P723" s="28" t="str">
        <x:v>сенсорная комплементарность</x:v>
      </x:c>
      <x:c r="Q72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3" s="28" t="str">
        <x:v>свежее прохладно-зелёное ощущение</x:v>
      </x:c>
      <x:c r="S723" s="28" t="str">
        <x:v>водная волокнистая матрица с ароматическим маслом</x:v>
      </x:c>
      <x:c r="T723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3" s="28" t="str">
        <x:v>Сельдерей имеет профиль «зелёный, травянистый, пряный, слегка анисовый». Партнёр «каштаны»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723" s="28" t="str">
        <x:v>быстро становится доминирующим и горьким; волокна требуют фильтрации в напитках</x:v>
      </x:c>
      <x:c r="W723" s="28" t="str">
        <x:v>соль, кислота или ароматический жир</x:v>
      </x:c>
      <x:c r="X723" s="28" t="str">
        <x:v>сок, кордиал, гаспачо, салат, соус, маринад или коктейльный компонент с каштаны</x:v>
      </x:c>
      <x:c r="Y723" s="28" t="str">
        <x:v>десерты</x:v>
      </x:c>
      <x:c r="Z723" s="28" t="str">
        <x:v>Средняя</x:v>
      </x:c>
      <x:c r="AA723" s="28" t="str">
        <x:v>Тезариус вкусов (Ники Сегнит)(1).pdf</x:v>
      </x:c>
      <x:c r="AB723" s="28" t="str">
        <x:v>Тезариус вкусов (Ники Сегнит)(1).pdf: 251, 620</x:v>
      </x:c>
      <x:c r="AC723" s="28" t="str">
        <x:v>развёрнутая пара/статья, стр. 251; развёрнутая пара/статья, стр. 620</x:v>
      </x:c>
      <x:c r="AD723" s="28" t="n">
        <x:v>1</x:v>
      </x:c>
      <x:c r="AE723" s="28" t="n">
        <x:v>2</x:v>
      </x:c>
      <x:c r="AF723" s="28" t="n">
        <x:f>IF(Z723="Высокая",3,IF(Z723="Средняя",2,1))+AD723*2+MIN(AE723,3)</x:f>
        <x:v>6</x:v>
      </x:c>
    </x:row>
    <x:row r="724" ht="64" customHeight="1">
      <x:c r="A724" s="28" t="str">
        <x:v>VEG-0723</x:v>
      </x:c>
      <x:c r="B724" s="28" t="str">
        <x:v>сельдерей</x:v>
      </x:c>
      <x:c r="C724" s="28" t="str">
        <x:v>Еда и соусы</x:v>
      </x:c>
      <x:c r="D724" s="28" t="str">
        <x:v>сельдерей</x:v>
      </x:c>
      <x:c r="E724" s="28" t="str">
        <x:v>Сельдерей | сельдерей</x:v>
      </x:c>
      <x:c r="F724" s="28" t="str">
        <x:v>Стеблевые овощи</x:v>
      </x:c>
      <x:c r="G724" s="28" t="str">
        <x:v>лук</x:v>
      </x:c>
      <x:c r="H724" s="28" t="str">
        <x:v>Лук | лук</x:v>
      </x:c>
      <x:c r="I724" s="28" t="str">
        <x:v>Луковые овощи</x:v>
      </x:c>
      <x:c r="J724" s="28" t="str">
        <x:v>зелёный, травянистый, пряный, слегка анисовый</x:v>
      </x:c>
      <x:c r="K724" s="28" t="str">
        <x:v>сернистый, сладкий, зелёный; после жарки — карамельный и мясной</x:v>
      </x:c>
      <x:c r="L724" s="28" t="str">
        <x:v>фталиды, лимонен, селинен, 3-н-бутилфталид</x:v>
      </x:c>
      <x:c r="M724" s="28" t="str">
        <x:v>диаллилдисульфид, пропантиаль-S-оксид, тиосульфинаты, фураны</x:v>
      </x:c>
      <x:c r="N724" s="28" t="str">
        <x:v>прямое пересечение семейств не подтверждено</x:v>
      </x:c>
      <x:c r="O724" s="28" t="str">
        <x:v>надёжная общая ключевая молекула не установлена</x:v>
      </x:c>
      <x:c r="P724" s="28" t="str">
        <x:v>сенсорная комплементарность</x:v>
      </x:c>
      <x:c r="Q72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4" s="28" t="str">
        <x:v>свежее прохладно-зелёное ощущение</x:v>
      </x:c>
      <x:c r="S724" s="28" t="str">
        <x:v>водная волокнистая матрица с ароматическим маслом</x:v>
      </x:c>
      <x:c r="T724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4" s="28" t="str">
        <x:v>Сельдерей имеет профиль «зелёный, травянистый, пряный, слегка анисовый». Партнёр «лук» относится к группе «Луковые овощи» и даёт сернистый, сладкий, зелёный; после жарки — карамельный и мясной.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24" s="28" t="str">
        <x:v>быстро становится доминирующим и горьким; волокна требуют фильтрации в напитках</x:v>
      </x:c>
      <x:c r="W724" s="28" t="str">
        <x:v>соль, кислота или ароматический жир</x:v>
      </x:c>
      <x:c r="X724" s="28" t="str">
        <x:v>сок, кордиал, гаспачо, салат, соус, маринад или коктейльный компонент с лук</x:v>
      </x:c>
      <x:c r="Y724" s="28" t="str">
        <x:v>еда, соусы/маринады</x:v>
      </x:c>
      <x:c r="Z724" s="28" t="str">
        <x:v>Средняя</x:v>
      </x:c>
      <x:c r="AA724" s="28" t="str">
        <x:v>Тезариус вкусов (Ники Сегнит)(1).pdf</x:v>
      </x:c>
      <x:c r="AB724" s="28" t="str">
        <x:v>Тезариус вкусов (Ники Сегнит)(1).pdf: 251, 287</x:v>
      </x:c>
      <x:c r="AC724" s="28" t="str">
        <x:v>развёрнутая пара/статья, стр. 251; развёрнутая пара/статья, стр. 287</x:v>
      </x:c>
      <x:c r="AD724" s="28" t="n">
        <x:v>1</x:v>
      </x:c>
      <x:c r="AE724" s="28" t="n">
        <x:v>2</x:v>
      </x:c>
      <x:c r="AF724" s="28" t="n">
        <x:f>IF(Z724="Высокая",3,IF(Z724="Средняя",2,1))+AD724*2+MIN(AE724,3)</x:f>
        <x:v>6</x:v>
      </x:c>
    </x:row>
    <x:row r="725" ht="64" customHeight="1">
      <x:c r="A725" s="28" t="str">
        <x:v>VEG-0724</x:v>
      </x:c>
      <x:c r="B725" s="28" t="str">
        <x:v>сельдерей</x:v>
      </x:c>
      <x:c r="C725" s="28" t="str">
        <x:v>Еда и соусы</x:v>
      </x:c>
      <x:c r="D725" s="28" t="str">
        <x:v>сельдерей</x:v>
      </x:c>
      <x:c r="E725" s="28" t="str">
        <x:v>Сельдерей | сельдерей</x:v>
      </x:c>
      <x:c r="F725" s="28" t="str">
        <x:v>Стеблевые овощи</x:v>
      </x:c>
      <x:c r="G725" s="28" t="str">
        <x:v>моллюски</x:v>
      </x:c>
      <x:c r="H725" s="28" t="str">
        <x:v>Моллюски | моллюски</x:v>
      </x:c>
      <x:c r="I725" s="28" t="str">
        <x:v>Рыба и морепродукты</x:v>
      </x:c>
      <x:c r="J725" s="28" t="str">
        <x:v>зелёный, травянистый, пряный, слегка анисовый</x:v>
      </x:c>
      <x:c r="K725" s="28" t="str">
        <x:v>морской, солоноватый и умами</x:v>
      </x:c>
      <x:c r="L725" s="28" t="str">
        <x:v>фталиды, лимонен, селинен, 3-н-бутилфталид</x:v>
      </x:c>
      <x:c r="M725" s="28" t="str">
        <x:v>альдегиды, амины</x:v>
      </x:c>
      <x:c r="N725" s="28" t="str">
        <x:v>прямое пересечение семейств не подтверждено</x:v>
      </x:c>
      <x:c r="O725" s="28" t="str">
        <x:v>надёжная общая ключевая молекула не установлена</x:v>
      </x:c>
      <x:c r="P725" s="28" t="str">
        <x:v>умами и солёный контраст</x:v>
      </x:c>
      <x:c r="Q72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5" s="28" t="str">
        <x:v>свежее прохладно-зелёное ощущение</x:v>
      </x:c>
      <x:c r="S725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25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5" s="28" t="str">
        <x:v>Сельдерей имеет профиль «зелёный, травянистый, пряный, слегка анисовый».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25" s="28" t="str">
        <x:v>быстро становится доминирующим и горьким; волокна требуют фильтрации в напитках</x:v>
      </x:c>
      <x:c r="W725" s="28" t="str">
        <x:v>сливочное масло, соевый соус или тимьян</x:v>
      </x:c>
      <x:c r="X725" s="28" t="str">
        <x:v>сок, кордиал, гаспачо, салат, соус, маринад или коктейльный компонент с моллюски</x:v>
      </x:c>
      <x:c r="Y725" s="28" t="str">
        <x:v>еда, соусы/маринады</x:v>
      </x:c>
      <x:c r="Z725" s="28" t="str">
        <x:v>Средняя</x:v>
      </x:c>
      <x:c r="AA725" s="28" t="str">
        <x:v>Тезариус вкусов (Ники Сегнит)(1).pdf</x:v>
      </x:c>
      <x:c r="AB725" s="28" t="str">
        <x:v>Тезариус вкусов (Ники Сегнит)(1).pdf: 251, 375</x:v>
      </x:c>
      <x:c r="AC725" s="28" t="str">
        <x:v>развёрнутая пара/статья, стр. 251; развёрнутая пара/статья, стр. 375</x:v>
      </x:c>
      <x:c r="AD725" s="28" t="n">
        <x:v>1</x:v>
      </x:c>
      <x:c r="AE725" s="28" t="n">
        <x:v>2</x:v>
      </x:c>
      <x:c r="AF725" s="28" t="n">
        <x:f>IF(Z725="Высокая",3,IF(Z725="Средняя",2,1))+AD725*2+MIN(AE725,3)</x:f>
        <x:v>6</x:v>
      </x:c>
    </x:row>
    <x:row r="726" ht="64" customHeight="1">
      <x:c r="A726" s="28" t="str">
        <x:v>VEG-0725</x:v>
      </x:c>
      <x:c r="B726" s="28" t="str">
        <x:v>сельдерей</x:v>
      </x:c>
      <x:c r="C726" s="28" t="str">
        <x:v>Универсальные</x:v>
      </x:c>
      <x:c r="D726" s="28" t="str">
        <x:v>сельдерей</x:v>
      </x:c>
      <x:c r="E726" s="28" t="str">
        <x:v>Сельдерей | сельдерей</x:v>
      </x:c>
      <x:c r="F726" s="28" t="str">
        <x:v>Стеблевые овощи</x:v>
      </x:c>
      <x:c r="G726" s="28" t="str">
        <x:v>морковь</x:v>
      </x:c>
      <x:c r="H726" s="28" t="str">
        <x:v>Морковь | морковь</x:v>
      </x:c>
      <x:c r="I726" s="28" t="str">
        <x:v>Корнеплоды</x:v>
      </x:c>
      <x:c r="J726" s="28" t="str">
        <x:v>зелёный, травянистый, пряный, слегка анисовый</x:v>
      </x:c>
      <x:c r="K726" s="28" t="str">
        <x:v>сладкий, землистый, древесный и слегка цитрусовый</x:v>
      </x:c>
      <x:c r="L726" s="28" t="str">
        <x:v>фталиды, лимонен, селинен, 3-н-бутилфталид</x:v>
      </x:c>
      <x:c r="M726" s="28" t="str">
        <x:v>β-ионон, каротол, пинены, терпинолен</x:v>
      </x:c>
      <x:c r="N726" s="28" t="str">
        <x:v>прямое пересечение семейств не подтверждено</x:v>
      </x:c>
      <x:c r="O726" s="28" t="str">
        <x:v>надёжная общая ключевая молекула не установлена</x:v>
      </x:c>
      <x:c r="P726" s="28" t="str">
        <x:v>сенсорная комплементарность</x:v>
      </x:c>
      <x:c r="Q72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6" s="28" t="str">
        <x:v>свежее прохладно-зелёное ощущение</x:v>
      </x:c>
      <x:c r="S726" s="28" t="str">
        <x:v>водная волокнистая матрица с ароматическим маслом</x:v>
      </x:c>
      <x:c r="T72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6" s="28" t="str">
        <x:v>Сельдерей имеет профиль «зелёный, травянистый, пряный, слегка анисовый». Партнёр «морковь» относится к группе «Корнеплоды» и даёт сладкий, землистый, древесный и слегка цитрусовый.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26" s="28" t="str">
        <x:v>быстро становится доминирующим и горьким; волокна требуют фильтрации в напитках</x:v>
      </x:c>
      <x:c r="W726" s="28" t="str">
        <x:v>соль, кислота или ароматический жир</x:v>
      </x:c>
      <x:c r="X726" s="28" t="str">
        <x:v>сок, кордиал, гаспачо, салат, соус, маринад или коктейльный компонент с морковь</x:v>
      </x:c>
      <x:c r="Y726" s="28" t="str">
        <x:v>универсальное</x:v>
      </x:c>
      <x:c r="Z726" s="28" t="str">
        <x:v>Высокая</x:v>
      </x:c>
      <x:c r="AA726" s="28" t="str">
        <x:v>Таблица сочетания(1).pdf | Тезариус вкусов (Ники Сегнит)(1).pdf</x:v>
      </x:c>
      <x:c r="AB726" s="28" t="str">
        <x:v>Таблица сочетания(1).pdf: 4; Тезариус вкусов (Ники Сегнит)(1).pdf: 253, 606</x:v>
      </x:c>
      <x:c r="AC726" s="28" t="str">
        <x:v>развёрнутая пара/статья, стр. 253; развёрнутая пара/статья, стр. 606; рекомендация таблицы, стр. 4</x:v>
      </x:c>
      <x:c r="AD726" s="28" t="n">
        <x:v>2</x:v>
      </x:c>
      <x:c r="AE726" s="28" t="n">
        <x:v>3</x:v>
      </x:c>
      <x:c r="AF726" s="28" t="n">
        <x:f>IF(Z726="Высокая",3,IF(Z726="Средняя",2,1))+AD726*2+MIN(AE726,3)</x:f>
        <x:v>10</x:v>
      </x:c>
    </x:row>
    <x:row r="727" ht="64" customHeight="1">
      <x:c r="A727" s="28" t="str">
        <x:v>VEG-0726</x:v>
      </x:c>
      <x:c r="B727" s="28" t="str">
        <x:v>сельдерей</x:v>
      </x:c>
      <x:c r="C727" s="28" t="str">
        <x:v>Еда и соусы</x:v>
      </x:c>
      <x:c r="D727" s="28" t="str">
        <x:v>сельдерей</x:v>
      </x:c>
      <x:c r="E727" s="28" t="str">
        <x:v>Сельдерей | сельдерей</x:v>
      </x:c>
      <x:c r="F727" s="28" t="str">
        <x:v>Стеблевые овощи</x:v>
      </x:c>
      <x:c r="G727" s="28" t="str">
        <x:v>мускатный орех</x:v>
      </x:c>
      <x:c r="H727" s="28" t="str">
        <x:v>Мускатный орех | мускатный орех</x:v>
      </x:c>
      <x:c r="I727" s="28" t="str">
        <x:v>Рыба и морепродукты</x:v>
      </x:c>
      <x:c r="J727" s="28" t="str">
        <x:v>зелёный, травянистый, пряный, слегка анисовый</x:v>
      </x:c>
      <x:c r="K727" s="28" t="str">
        <x:v>камфорный, ореховый, пряный</x:v>
      </x:c>
      <x:c r="L727" s="28" t="str">
        <x:v>фталиды, лимонен, селинен, 3-н-бутилфталид</x:v>
      </x:c>
      <x:c r="M727" s="28" t="str">
        <x:v>пинены, сабинен</x:v>
      </x:c>
      <x:c r="N727" s="28" t="str">
        <x:v>пряный</x:v>
      </x:c>
      <x:c r="O727" s="28" t="str">
        <x:v>надёжная общая ключевая молекула не установлена</x:v>
      </x:c>
      <x:c r="P727" s="28" t="str">
        <x:v>пересечение ароматических семейств; умами и солёный контраст</x:v>
      </x:c>
      <x:c r="Q72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7" s="28" t="str">
        <x:v>свежее прохладно-зелёное ощущение</x:v>
      </x:c>
      <x:c r="S727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27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7" s="28" t="str">
        <x:v>Сельдерей имеет профиль «зелёный, травянистый, пряный, слегка анисовый». Партнёр «мускатный орех» относится к группе «Рыба и морепродукты» и даёт камфорный, ореховый, пряный. Профили пересекаются в семействах: пряный. Умами, соль и нуклеотиды усиливают savoury-профиль, а жарка формирует общую систему пиразинов, фуранов и сернистых молекул.</x:v>
      </x:c>
      <x:c r="V727" s="28" t="str">
        <x:v>быстро становится доминирующим и горьким; волокна требуют фильтрации в напитках</x:v>
      </x:c>
      <x:c r="W727" s="28" t="str">
        <x:v>сливочное масло, соевый соус или тимьян</x:v>
      </x:c>
      <x:c r="X727" s="28" t="str">
        <x:v>сок, кордиал, гаспачо, салат, соус, маринад или коктейльный компонент с мускатный орех</x:v>
      </x:c>
      <x:c r="Y727" s="28" t="str">
        <x:v>еда, соусы/маринады</x:v>
      </x:c>
      <x:c r="Z727" s="28" t="str">
        <x:v>Средняя</x:v>
      </x:c>
      <x:c r="AA727" s="28" t="str">
        <x:v>Тезариус вкусов (Ники Сегнит)(1).pdf</x:v>
      </x:c>
      <x:c r="AB727" s="28" t="str">
        <x:v>Тезариус вкусов (Ники Сегнит)(1).pdf: 253, 589</x:v>
      </x:c>
      <x:c r="AC727" s="28" t="str">
        <x:v>развёрнутая пара/статья, стр. 253; развёрнутая пара/статья, стр. 589</x:v>
      </x:c>
      <x:c r="AD727" s="28" t="n">
        <x:v>1</x:v>
      </x:c>
      <x:c r="AE727" s="28" t="n">
        <x:v>2</x:v>
      </x:c>
      <x:c r="AF727" s="28" t="n">
        <x:f>IF(Z727="Высокая",3,IF(Z727="Средняя",2,1))+AD727*2+MIN(AE727,3)</x:f>
        <x:v>6</x:v>
      </x:c>
    </x:row>
    <x:row r="728" ht="64" customHeight="1">
      <x:c r="A728" s="28" t="str">
        <x:v>VEG-0727</x:v>
      </x:c>
      <x:c r="B728" s="28" t="str">
        <x:v>сельдерей</x:v>
      </x:c>
      <x:c r="C728" s="28" t="str">
        <x:v>Десерты и выпечка</x:v>
      </x:c>
      <x:c r="D728" s="28" t="str">
        <x:v>сельдерей</x:v>
      </x:c>
      <x:c r="E728" s="28" t="str">
        <x:v>Сельдерей | сельдерей</x:v>
      </x:c>
      <x:c r="F728" s="28" t="str">
        <x:v>Стеблевые овощи</x:v>
      </x:c>
      <x:c r="G728" s="28" t="str">
        <x:v>мягкий сыр</x:v>
      </x:c>
      <x:c r="H728" s="28" t="str">
        <x:v>Мягкий сыр | мягкий сыр</x:v>
      </x:c>
      <x:c r="I728" s="28" t="str">
        <x:v>Молочные продукты и сыры</x:v>
      </x:c>
      <x:c r="J728" s="28" t="str">
        <x:v>зелёный, травянистый, пряный, слегка анисовый</x:v>
      </x:c>
      <x:c r="K728" s="28" t="str">
        <x:v>молочный, умами, ферментированный</x:v>
      </x:c>
      <x:c r="L728" s="28" t="str">
        <x:v>фталиды, лимонен, селинен, 3-н-бутилфталид</x:v>
      </x:c>
      <x:c r="M728" s="28" t="str">
        <x:v>диацетил, жирные кислоты</x:v>
      </x:c>
      <x:c r="N728" s="28" t="str">
        <x:v>прямое пересечение семейств не подтверждено</x:v>
      </x:c>
      <x:c r="O728" s="28" t="str">
        <x:v>надёжная общая ключевая молекула не установлена</x:v>
      </x:c>
      <x:c r="P728" s="28" t="str">
        <x:v>жировая матрица</x:v>
      </x:c>
      <x:c r="Q72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8" s="28" t="str">
        <x:v>свежее прохладно-зелёное ощущение</x:v>
      </x:c>
      <x:c r="S728" s="28" t="str">
        <x:v>водная волокнистая матрица с ароматическим маслом Жировая фаза удерживает гидрофобные молекулы, но может сделать вкус тяжёлым.</x:v>
      </x:c>
      <x:c r="T728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8" s="28" t="str">
        <x:v>Сельдерей имеет профиль «зелёный, травянистый, пряный, слегка анисовый».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728" s="28" t="str">
        <x:v>быстро становится доминирующим и горьким; волокна требуют фильтрации в напитках; жир способен приглушить свежую зелёную ароматику</x:v>
      </x:c>
      <x:c r="W728" s="28" t="str">
        <x:v>кислота, зелень или жареный орех</x:v>
      </x:c>
      <x:c r="X728" s="28" t="str">
        <x:v>сок, кордиал, гаспачо, салат, соус, маринад или коктейльный компонент с мягкий сыр</x:v>
      </x:c>
      <x:c r="Y728" s="28" t="str">
        <x:v>десерты</x:v>
      </x:c>
      <x:c r="Z728" s="28" t="str">
        <x:v>Средняя</x:v>
      </x:c>
      <x:c r="AA728" s="28" t="str">
        <x:v>Тезариус вкусов (Ники Сегнит)(1).pdf</x:v>
      </x:c>
      <x:c r="AB728" s="28" t="str">
        <x:v>Тезариус вкусов (Ники Сегнит)(1).pdf: 186, 253</x:v>
      </x:c>
      <x:c r="AC728" s="28" t="str">
        <x:v>развёрнутая пара/статья, стр. 186; развёрнутая пара/статья, стр. 253</x:v>
      </x:c>
      <x:c r="AD728" s="28" t="n">
        <x:v>1</x:v>
      </x:c>
      <x:c r="AE728" s="28" t="n">
        <x:v>2</x:v>
      </x:c>
      <x:c r="AF728" s="28" t="n">
        <x:f>IF(Z728="Высокая",3,IF(Z728="Средняя",2,1))+AD728*2+MIN(AE728,3)</x:f>
        <x:v>6</x:v>
      </x:c>
    </x:row>
    <x:row r="729" ht="64" customHeight="1">
      <x:c r="A729" s="28" t="str">
        <x:v>VEG-0728</x:v>
      </x:c>
      <x:c r="B729" s="28" t="str">
        <x:v>сельдерей</x:v>
      </x:c>
      <x:c r="C729" s="28" t="str">
        <x:v>Еда и соусы</x:v>
      </x:c>
      <x:c r="D729" s="28" t="str">
        <x:v>сельдерей</x:v>
      </x:c>
      <x:c r="E729" s="28" t="str">
        <x:v>Сельдерей | сельдерей</x:v>
      </x:c>
      <x:c r="F729" s="28" t="str">
        <x:v>Стеблевые овощи</x:v>
      </x:c>
      <x:c r="G729" s="28" t="str">
        <x:v>прошутто</x:v>
      </x:c>
      <x:c r="H729" s="28" t="str">
        <x:v>Прошутто | прошутто</x:v>
      </x:c>
      <x:c r="I729" s="28" t="str">
        <x:v>Мясо и птица</x:v>
      </x:c>
      <x:c r="J729" s="28" t="str">
        <x:v>зелёный, травянистый, пряный, слегка анисовый</x:v>
      </x:c>
      <x:c r="K729" s="28" t="str">
        <x:v>жареный, мясной и умами</x:v>
      </x:c>
      <x:c r="L729" s="28" t="str">
        <x:v>фталиды, лимонен, селинен, 3-н-бутилфталид</x:v>
      </x:c>
      <x:c r="M729" s="28" t="str">
        <x:v>пиразины, сернистые соединения</x:v>
      </x:c>
      <x:c r="N729" s="28" t="str">
        <x:v>прямое пересечение семейств не подтверждено</x:v>
      </x:c>
      <x:c r="O729" s="28" t="str">
        <x:v>надёжная общая ключевая молекула не установлена</x:v>
      </x:c>
      <x:c r="P729" s="28" t="str">
        <x:v>умами и солёный контраст</x:v>
      </x:c>
      <x:c r="Q72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29" s="28" t="str">
        <x:v>свежее прохладно-зелёное ощущение</x:v>
      </x:c>
      <x:c r="S729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29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29" s="28" t="str">
        <x:v>Сельдерей имеет профиль «зелёный, травянистый, пряный, слегка анисовый».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29" s="28" t="str">
        <x:v>быстро становится доминирующим и горьким; волокна требуют фильтрации в напитках</x:v>
      </x:c>
      <x:c r="W729" s="28" t="str">
        <x:v>сливочное масло, соевый соус или тимьян</x:v>
      </x:c>
      <x:c r="X729" s="28" t="str">
        <x:v>сок, кордиал, гаспачо, салат, соус, маринад или коктейльный компонент с прошутто</x:v>
      </x:c>
      <x:c r="Y729" s="28" t="str">
        <x:v>еда, соусы/маринады</x:v>
      </x:c>
      <x:c r="Z729" s="28" t="str">
        <x:v>Средняя</x:v>
      </x:c>
      <x:c r="AA729" s="28" t="str">
        <x:v>Тезариус вкусов (Ники Сегнит)(1).pdf</x:v>
      </x:c>
      <x:c r="AB729" s="28" t="str">
        <x:v>Тезариус вкусов (Ники Сегнит)(1).pdf: 253, 459</x:v>
      </x:c>
      <x:c r="AC729" s="28" t="str">
        <x:v>развёрнутая пара/статья, стр. 253; развёрнутая пара/статья, стр. 459</x:v>
      </x:c>
      <x:c r="AD729" s="28" t="n">
        <x:v>1</x:v>
      </x:c>
      <x:c r="AE729" s="28" t="n">
        <x:v>2</x:v>
      </x:c>
      <x:c r="AF729" s="28" t="n">
        <x:f>IF(Z729="Высокая",3,IF(Z729="Средняя",2,1))+AD729*2+MIN(AE729,3)</x:f>
        <x:v>6</x:v>
      </x:c>
    </x:row>
    <x:row r="730" ht="64" customHeight="1">
      <x:c r="A730" s="28" t="str">
        <x:v>VEG-0729</x:v>
      </x:c>
      <x:c r="B730" s="28" t="str">
        <x:v>сельдерей</x:v>
      </x:c>
      <x:c r="C730" s="28" t="str">
        <x:v>Еда и соусы</x:v>
      </x:c>
      <x:c r="D730" s="28" t="str">
        <x:v>сельдерей</x:v>
      </x:c>
      <x:c r="E730" s="28" t="str">
        <x:v>Сельдерей | сельдерей</x:v>
      </x:c>
      <x:c r="F730" s="28" t="str">
        <x:v>Стеблевые овощи</x:v>
      </x:c>
      <x:c r="G730" s="28" t="str">
        <x:v>свинина</x:v>
      </x:c>
      <x:c r="H730" s="28" t="str">
        <x:v>Свинина | свинина</x:v>
      </x:c>
      <x:c r="I730" s="28" t="str">
        <x:v>Мясо и птица</x:v>
      </x:c>
      <x:c r="J730" s="28" t="str">
        <x:v>зелёный, травянистый, пряный, слегка анисовый</x:v>
      </x:c>
      <x:c r="K730" s="28" t="str">
        <x:v>жареный, мясной и умами</x:v>
      </x:c>
      <x:c r="L730" s="28" t="str">
        <x:v>фталиды, лимонен, селинен, 3-н-бутилфталид</x:v>
      </x:c>
      <x:c r="M730" s="28" t="str">
        <x:v>пиразины, сернистые соединения</x:v>
      </x:c>
      <x:c r="N730" s="28" t="str">
        <x:v>прямое пересечение семейств не подтверждено</x:v>
      </x:c>
      <x:c r="O730" s="28" t="str">
        <x:v>надёжная общая ключевая молекула не установлена</x:v>
      </x:c>
      <x:c r="P730" s="28" t="str">
        <x:v>умами и солёный контраст</x:v>
      </x:c>
      <x:c r="Q73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0" s="28" t="str">
        <x:v>свежее прохладно-зелёное ощущение</x:v>
      </x:c>
      <x:c r="S730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30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30" s="28" t="str">
        <x:v>Сельдерей имеет профиль «зелёный, травянистый, пряный, слегка анисовый».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30" s="28" t="str">
        <x:v>быстро становится доминирующим и горьким; волокна требуют фильтрации в напитках</x:v>
      </x:c>
      <x:c r="W730" s="28" t="str">
        <x:v>сливочное масло, соевый соус или тимьян</x:v>
      </x:c>
      <x:c r="X730" s="28" t="str">
        <x:v>сок, кордиал, гаспачо, салат, соус, маринад или коктейльный компонент с свинина</x:v>
      </x:c>
      <x:c r="Y730" s="28" t="str">
        <x:v>еда, соусы/маринады</x:v>
      </x:c>
      <x:c r="Z730" s="28" t="str">
        <x:v>Средняя</x:v>
      </x:c>
      <x:c r="AA730" s="28" t="str">
        <x:v>Тезариус вкусов (Ники Сегнит)(1).pdf</x:v>
      </x:c>
      <x:c r="AB730" s="28" t="str">
        <x:v>Тезариус вкусов (Ники Сегнит)(1).pdf: 87, 253</x:v>
      </x:c>
      <x:c r="AC730" s="28" t="str">
        <x:v>развёрнутая пара/статья, стр. 87; развёрнутая пара/статья, стр. 253</x:v>
      </x:c>
      <x:c r="AD730" s="28" t="n">
        <x:v>1</x:v>
      </x:c>
      <x:c r="AE730" s="28" t="n">
        <x:v>2</x:v>
      </x:c>
      <x:c r="AF730" s="28" t="n">
        <x:f>IF(Z730="Высокая",3,IF(Z730="Средняя",2,1))+AD730*2+MIN(AE730,3)</x:f>
        <x:v>6</x:v>
      </x:c>
    </x:row>
    <x:row r="731" ht="64" customHeight="1">
      <x:c r="A731" s="28" t="str">
        <x:v>VEG-0730</x:v>
      </x:c>
      <x:c r="B731" s="28" t="str">
        <x:v>сельдерей</x:v>
      </x:c>
      <x:c r="C731" s="28" t="str">
        <x:v>Универсальные</x:v>
      </x:c>
      <x:c r="D731" s="28" t="str">
        <x:v>сельдерей</x:v>
      </x:c>
      <x:c r="E731" s="28" t="str">
        <x:v>celery | сельдерей</x:v>
      </x:c>
      <x:c r="F731" s="28" t="str">
        <x:v>Стеблевые овощи</x:v>
      </x:c>
      <x:c r="G731" s="28" t="str">
        <x:v>томат</x:v>
      </x:c>
      <x:c r="H731" s="28" t="str">
        <x:v>tomato and tomato puree | Томат</x:v>
      </x:c>
      <x:c r="I731" s="28" t="str">
        <x:v>Плодовые овощи</x:v>
      </x:c>
      <x:c r="J731" s="28" t="str">
        <x:v>зелёный, травянистый, пряный, слегка анисовый</x:v>
      </x:c>
      <x:c r="K731" s="28" t="str">
        <x:v>зелёный, фруктовый, листовой, сернистый и умами</x:v>
      </x:c>
      <x:c r="L731" s="28" t="str">
        <x:v>фталиды, лимонен, селинен, 3-н-бутилфталид</x:v>
      </x:c>
      <x:c r="M731" s="28" t="str">
        <x:v>β-ионон, гексаналь, глутамат, метиональ, цис-3-гексеналь</x:v>
      </x:c>
      <x:c r="N731" s="28" t="str">
        <x:v>зелёный</x:v>
      </x:c>
      <x:c r="O731" s="28" t="str">
        <x:v>надёжная общая ключевая молекула не установлена</x:v>
      </x:c>
      <x:c r="P731" s="28" t="str">
        <x:v>пересечение ароматических семейств</x:v>
      </x:c>
      <x:c r="Q73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1" s="28" t="str">
        <x:v>свежее прохладно-зелёное ощущение</x:v>
      </x:c>
      <x:c r="S731" s="28" t="str">
        <x:v>водная волокнистая матрица с ароматическим маслом</x:v>
      </x:c>
      <x:c r="T731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31" s="28" t="str">
        <x:v>Сельдерей имеет профиль «зелёный, травянистый, пряный, слегка анисовый».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V731" s="28" t="str">
        <x:v>быстро становится доминирующим и горьким; волокна требуют фильтрации в напитках</x:v>
      </x:c>
      <x:c r="W731" s="28" t="str">
        <x:v>соль, кислота или ароматический жир</x:v>
      </x:c>
      <x:c r="X731" s="28" t="str">
        <x:v>сок, кордиал, гаспачо, салат, соус, маринад или коктейльный компонент с томат</x:v>
      </x:c>
      <x:c r="Y731" s="28" t="str">
        <x:v>универсальное</x:v>
      </x:c>
      <x:c r="Z731" s="28" t="str">
        <x:v>Высокая</x:v>
      </x:c>
      <x:c r="AA731" s="28" t="str">
        <x:v>The Art &amp; Science of Foodpairing.pdf | Таблица сочетания(1).pdf</x:v>
      </x:c>
      <x:c r="AB731" s="28" t="str">
        <x:v>Таблица сочетания(1).pdf: 21; The Art &amp; Science of Foodpairing.pdf: 161</x:v>
      </x:c>
      <x:c r="AC731" s="28" t="str">
        <x:v>связь из pairing grid, стр. 161; рекомендация таблицы, стр. 21</x:v>
      </x:c>
      <x:c r="AD731" s="28" t="n">
        <x:v>2</x:v>
      </x:c>
      <x:c r="AE731" s="28" t="n">
        <x:v>2</x:v>
      </x:c>
      <x:c r="AF731" s="28" t="n">
        <x:f>IF(Z731="Высокая",3,IF(Z731="Средняя",2,1))+AD731*2+MIN(AE731,3)</x:f>
        <x:v>9</x:v>
      </x:c>
    </x:row>
    <x:row r="732" ht="64" customHeight="1">
      <x:c r="A732" s="28" t="str">
        <x:v>VEG-0731</x:v>
      </x:c>
      <x:c r="B732" s="28" t="str">
        <x:v>сельдерей</x:v>
      </x:c>
      <x:c r="C732" s="28" t="str">
        <x:v>Еда и соусы</x:v>
      </x:c>
      <x:c r="D732" s="28" t="str">
        <x:v>сельдерей</x:v>
      </x:c>
      <x:c r="E732" s="28" t="str">
        <x:v>Сельдерей | сельдерей</x:v>
      </x:c>
      <x:c r="F732" s="28" t="str">
        <x:v>Стеблевые овощи</x:v>
      </x:c>
      <x:c r="G732" s="28" t="str">
        <x:v>трюфель</x:v>
      </x:c>
      <x:c r="H732" s="28" t="str">
        <x:v>Трюфель | трюфель</x:v>
      </x:c>
      <x:c r="I732" s="28" t="str">
        <x:v>Грибы</x:v>
      </x:c>
      <x:c r="J732" s="28" t="str">
        <x:v>зелёный, травянистый, пряный, слегка анисовый</x:v>
      </x:c>
      <x:c r="K732" s="28" t="str">
        <x:v>землистый, грибной и умами</x:v>
      </x:c>
      <x:c r="L732" s="28" t="str">
        <x:v>фталиды, лимонен, селинен, 3-н-бутилфталид</x:v>
      </x:c>
      <x:c r="M732" s="28" t="str">
        <x:v>1-октен-3-ол, сернистые соединения</x:v>
      </x:c>
      <x:c r="N732" s="28" t="str">
        <x:v>прямое пересечение семейств не подтверждено</x:v>
      </x:c>
      <x:c r="O732" s="28" t="str">
        <x:v>надёжная общая ключевая молекула не установлена</x:v>
      </x:c>
      <x:c r="P732" s="28" t="str">
        <x:v>умами и солёный контраст</x:v>
      </x:c>
      <x:c r="Q73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2" s="28" t="str">
        <x:v>свежее прохладно-зелёное ощущение</x:v>
      </x:c>
      <x:c r="S732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32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32" s="28" t="str">
        <x:v>Сельдерей имеет профиль «зелёный, травянистый, пряный, слегка анисовый».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32" s="28" t="str">
        <x:v>быстро становится доминирующим и горьким; волокна требуют фильтрации в напитках</x:v>
      </x:c>
      <x:c r="W732" s="28" t="str">
        <x:v>соль, кислота или ароматический жир</x:v>
      </x:c>
      <x:c r="X732" s="28" t="str">
        <x:v>сок, кордиал, гаспачо, салат, соус, маринад или коктейльный компонент с трюфель</x:v>
      </x:c>
      <x:c r="Y732" s="28" t="str">
        <x:v>еда, соусы/маринады</x:v>
      </x:c>
      <x:c r="Z732" s="28" t="str">
        <x:v>Средняя</x:v>
      </x:c>
      <x:c r="AA732" s="28" t="str">
        <x:v>Тезариус вкусов (Ники Сегнит)(1).pdf</x:v>
      </x:c>
      <x:c r="AB732" s="28" t="str">
        <x:v>Тезариус вкусов (Ники Сегнит)(1).pdf: 251, 253, 305</x:v>
      </x:c>
      <x:c r="AC732" s="28" t="str">
        <x:v>развёрнутая пара/статья, стр. 251; развёрнутая пара/статья, стр. 253; развёрнутая пара/статья, стр. 305</x:v>
      </x:c>
      <x:c r="AD732" s="28" t="n">
        <x:v>1</x:v>
      </x:c>
      <x:c r="AE732" s="28" t="n">
        <x:v>3</x:v>
      </x:c>
      <x:c r="AF732" s="28" t="n">
        <x:f>IF(Z732="Высокая",3,IF(Z732="Средняя",2,1))+AD732*2+MIN(AE732,3)</x:f>
        <x:v>7</x:v>
      </x:c>
    </x:row>
    <x:row r="733" ht="64" customHeight="1">
      <x:c r="A733" s="28" t="str">
        <x:v>VEG-0732</x:v>
      </x:c>
      <x:c r="B733" s="28" t="str">
        <x:v>сельдерей</x:v>
      </x:c>
      <x:c r="C733" s="28" t="str">
        <x:v>Еда и соусы</x:v>
      </x:c>
      <x:c r="D733" s="28" t="str">
        <x:v>сельдерей</x:v>
      </x:c>
      <x:c r="E733" s="28" t="str">
        <x:v>Сельдерей | сельдерей</x:v>
      </x:c>
      <x:c r="F733" s="28" t="str">
        <x:v>Стеблевые овощи</x:v>
      </x:c>
      <x:c r="G733" s="28" t="str">
        <x:v>устрицы</x:v>
      </x:c>
      <x:c r="H733" s="28" t="str">
        <x:v>Устрицы | устрицы</x:v>
      </x:c>
      <x:c r="I733" s="28" t="str">
        <x:v>Рыба и морепродукты</x:v>
      </x:c>
      <x:c r="J733" s="28" t="str">
        <x:v>зелёный, травянистый, пряный, слегка анисовый</x:v>
      </x:c>
      <x:c r="K733" s="28" t="str">
        <x:v>морской, солоноватый и умами</x:v>
      </x:c>
      <x:c r="L733" s="28" t="str">
        <x:v>фталиды, лимонен, селинен, 3-н-бутилфталид</x:v>
      </x:c>
      <x:c r="M733" s="28" t="str">
        <x:v>альдегиды, амины</x:v>
      </x:c>
      <x:c r="N733" s="28" t="str">
        <x:v>прямое пересечение семейств не подтверждено</x:v>
      </x:c>
      <x:c r="O733" s="28" t="str">
        <x:v>надёжная общая ключевая молекула не установлена</x:v>
      </x:c>
      <x:c r="P733" s="28" t="str">
        <x:v>умами и солёный контраст</x:v>
      </x:c>
      <x:c r="Q73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3" s="28" t="str">
        <x:v>свежее прохладно-зелёное ощущение</x:v>
      </x:c>
      <x:c r="S733" s="28" t="str">
        <x:v>водная волокнистая матрица с ароматическим маслом Белок и жир требуют контроля воды: для жареной ароматики поверхность должна подсохнуть.</x:v>
      </x:c>
      <x:c r="T733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33" s="28" t="str">
        <x:v>Сельдерей имеет профиль «зелёный, травянистый, пряный, слегка анисовый».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33" s="28" t="str">
        <x:v>быстро становится доминирующим и горьким; волокна требуют фильтрации в напитках</x:v>
      </x:c>
      <x:c r="W733" s="28" t="str">
        <x:v>сливочное масло, соевый соус или тимьян</x:v>
      </x:c>
      <x:c r="X733" s="28" t="str">
        <x:v>сок, кордиал, гаспачо, салат, соус, маринад или коктейльный компонент с устрицы</x:v>
      </x:c>
      <x:c r="Y733" s="28" t="str">
        <x:v>еда, соусы/маринады</x:v>
      </x:c>
      <x:c r="Z733" s="28" t="str">
        <x:v>Средняя</x:v>
      </x:c>
      <x:c r="AA733" s="28" t="str">
        <x:v>Тезариус вкусов (Ники Сегнит)(1).pdf</x:v>
      </x:c>
      <x:c r="AB733" s="28" t="str">
        <x:v>Тезариус вкусов (Ники Сегнит)(1).pdf: 253, 400</x:v>
      </x:c>
      <x:c r="AC733" s="28" t="str">
        <x:v>развёрнутая пара/статья, стр. 253; развёрнутая пара/статья, стр. 400</x:v>
      </x:c>
      <x:c r="AD733" s="28" t="n">
        <x:v>1</x:v>
      </x:c>
      <x:c r="AE733" s="28" t="n">
        <x:v>2</x:v>
      </x:c>
      <x:c r="AF733" s="28" t="n">
        <x:f>IF(Z733="Высокая",3,IF(Z733="Средняя",2,1))+AD733*2+MIN(AE733,3)</x:f>
        <x:v>6</x:v>
      </x:c>
    </x:row>
    <x:row r="734" ht="64" customHeight="1">
      <x:c r="A734" s="28" t="str">
        <x:v>VEG-0733</x:v>
      </x:c>
      <x:c r="B734" s="28" t="str">
        <x:v>сельдерей</x:v>
      </x:c>
      <x:c r="C734" s="28" t="str">
        <x:v>Универсальные</x:v>
      </x:c>
      <x:c r="D734" s="28" t="str">
        <x:v>сельдерей</x:v>
      </x:c>
      <x:c r="E734" s="28" t="str">
        <x:v>Сельдерей | сельдерей</x:v>
      </x:c>
      <x:c r="F734" s="28" t="str">
        <x:v>Стеблевые овощи</x:v>
      </x:c>
      <x:c r="G734" s="28" t="str">
        <x:v>хрен</x:v>
      </x:c>
      <x:c r="H734" s="28" t="str">
        <x:v>Хрен | хрен</x:v>
      </x:c>
      <x:c r="I734" s="28" t="str">
        <x:v>Прочее</x:v>
      </x:c>
      <x:c r="J734" s="28" t="str">
        <x:v>зелёный, травянистый, пряный, слегка анисовый</x:v>
      </x:c>
      <x:c r="K734" s="28" t="str">
        <x:v>профиль зависит от конкретного продукта</x:v>
      </x:c>
      <x:c r="L734" s="28" t="str">
        <x:v>фталиды, лимонен, селинен, 3-н-бутилфталид</x:v>
      </x:c>
      <x:c r="M734" s="28" t="str">
        <x:v>конкретный молекулярный профиль не указан</x:v>
      </x:c>
      <x:c r="N734" s="28" t="str">
        <x:v>прямое пересечение семейств не подтверждено</x:v>
      </x:c>
      <x:c r="O734" s="28" t="str">
        <x:v>надёжная общая ключевая молекула не установлена</x:v>
      </x:c>
      <x:c r="P734" s="28" t="str">
        <x:v>сенсорная комплементарность</x:v>
      </x:c>
      <x:c r="Q73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4" s="28" t="str">
        <x:v>свежее прохладно-зелёное ощущение</x:v>
      </x:c>
      <x:c r="S734" s="28" t="str">
        <x:v>водная волокнистая матрица с ароматическим маслом</x:v>
      </x:c>
      <x:c r="T734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34" s="28" t="str">
        <x:v>Сельдерей имеет профиль «зелёный, травянистый, пряный, слегка анисовый».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34" s="28" t="str">
        <x:v>быстро становится доминирующим и горьким; волокна требуют фильтрации в напитках</x:v>
      </x:c>
      <x:c r="W734" s="28" t="str">
        <x:v>соль, кислота или ароматический жир</x:v>
      </x:c>
      <x:c r="X734" s="28" t="str">
        <x:v>сок, кордиал, гаспачо, салат, соус, маринад или коктейльный компонент с хрен</x:v>
      </x:c>
      <x:c r="Y734" s="28" t="str">
        <x:v>универсальное</x:v>
      </x:c>
      <x:c r="Z734" s="28" t="str">
        <x:v>Средняя</x:v>
      </x:c>
      <x:c r="AA734" s="28" t="str">
        <x:v>Тезариус вкусов (Ники Сегнит)(1).pdf</x:v>
      </x:c>
      <x:c r="AB734" s="28" t="str">
        <x:v>Тезариус вкусов (Ники Сегнит)(1).pdf: 253, 275</x:v>
      </x:c>
      <x:c r="AC734" s="28" t="str">
        <x:v>развёрнутая пара/статья, стр. 253; развёрнутая пара/статья, стр. 275</x:v>
      </x:c>
      <x:c r="AD734" s="28" t="n">
        <x:v>1</x:v>
      </x:c>
      <x:c r="AE734" s="28" t="n">
        <x:v>2</x:v>
      </x:c>
      <x:c r="AF734" s="28" t="n">
        <x:f>IF(Z734="Высокая",3,IF(Z734="Средняя",2,1))+AD734*2+MIN(AE734,3)</x:f>
        <x:v>6</x:v>
      </x:c>
    </x:row>
    <x:row r="735" ht="64" customHeight="1">
      <x:c r="A735" s="28" t="str">
        <x:v>VEG-0734</x:v>
      </x:c>
      <x:c r="B735" s="28" t="str">
        <x:v>сельдерей</x:v>
      </x:c>
      <x:c r="C735" s="28" t="str">
        <x:v>Универсальные</x:v>
      </x:c>
      <x:c r="D735" s="28" t="str">
        <x:v>сельдерей</x:v>
      </x:c>
      <x:c r="E735" s="28" t="str">
        <x:v>Сельдерей | сельдерей</x:v>
      </x:c>
      <x:c r="F735" s="28" t="str">
        <x:v>Стеблевые овощи</x:v>
      </x:c>
      <x:c r="G735" s="28" t="str">
        <x:v>цыпленок</x:v>
      </x:c>
      <x:c r="H735" s="28" t="str">
        <x:v>Цыпленок | цыпленок</x:v>
      </x:c>
      <x:c r="I735" s="28" t="str">
        <x:v>Прочее</x:v>
      </x:c>
      <x:c r="J735" s="28" t="str">
        <x:v>зелёный, травянистый, пряный, слегка анисовый</x:v>
      </x:c>
      <x:c r="K735" s="28" t="str">
        <x:v>профиль зависит от конкретного продукта</x:v>
      </x:c>
      <x:c r="L735" s="28" t="str">
        <x:v>фталиды, лимонен, селинен, 3-н-бутилфталид</x:v>
      </x:c>
      <x:c r="M735" s="28" t="str">
        <x:v>конкретный молекулярный профиль не указан</x:v>
      </x:c>
      <x:c r="N735" s="28" t="str">
        <x:v>прямое пересечение семейств не подтверждено</x:v>
      </x:c>
      <x:c r="O735" s="28" t="str">
        <x:v>надёжная общая ключевая молекула не установлена</x:v>
      </x:c>
      <x:c r="P735" s="28" t="str">
        <x:v>сенсорная комплементарность</x:v>
      </x:c>
      <x:c r="Q73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5" s="28" t="str">
        <x:v>свежее прохладно-зелёное ощущение</x:v>
      </x:c>
      <x:c r="S735" s="28" t="str">
        <x:v>водная волокнистая матрица с ароматическим маслом</x:v>
      </x:c>
      <x:c r="T735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35" s="28" t="str">
        <x:v>Сельдерей имеет профиль «зелёный, травянистый, пряный, слегка анисовый».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35" s="28" t="str">
        <x:v>быстро становится доминирующим и горьким; волокна требуют фильтрации в напитках</x:v>
      </x:c>
      <x:c r="W735" s="28" t="str">
        <x:v>соль, кислота или ароматический жир</x:v>
      </x:c>
      <x:c r="X735" s="28" t="str">
        <x:v>сок, кордиал, гаспачо, салат, соус, маринад или коктейльный компонент с цыпленок</x:v>
      </x:c>
      <x:c r="Y735" s="28" t="str">
        <x:v>универсальное</x:v>
      </x:c>
      <x:c r="Z735" s="28" t="str">
        <x:v>Средняя</x:v>
      </x:c>
      <x:c r="AA735" s="28" t="str">
        <x:v>Тезариус вкусов (Ники Сегнит)(1).pdf</x:v>
      </x:c>
      <x:c r="AB735" s="28" t="str">
        <x:v>Тезариус вкусов (Ники Сегнит)(1).pdf: 71, 254, 590</x:v>
      </x:c>
      <x:c r="AC735" s="28" t="str">
        <x:v>развёрнутая пара/статья, стр. 71; развёрнутая пара/статья, стр. 254; развёрнутая пара/статья, стр. 590</x:v>
      </x:c>
      <x:c r="AD735" s="28" t="n">
        <x:v>1</x:v>
      </x:c>
      <x:c r="AE735" s="28" t="n">
        <x:v>3</x:v>
      </x:c>
      <x:c r="AF735" s="28" t="n">
        <x:f>IF(Z735="Высокая",3,IF(Z735="Средняя",2,1))+AD735*2+MIN(AE735,3)</x:f>
        <x:v>7</x:v>
      </x:c>
    </x:row>
    <x:row r="736" ht="64" customHeight="1">
      <x:c r="A736" s="28" t="str">
        <x:v>VEG-0735</x:v>
      </x:c>
      <x:c r="B736" s="28" t="str">
        <x:v>сельдерей</x:v>
      </x:c>
      <x:c r="C736" s="28" t="str">
        <x:v>Десерты и выпечка</x:v>
      </x:c>
      <x:c r="D736" s="28" t="str">
        <x:v>сельдерей</x:v>
      </x:c>
      <x:c r="E736" s="28" t="str">
        <x:v>Сельдерей | сельдерей</x:v>
      </x:c>
      <x:c r="F736" s="28" t="str">
        <x:v>Стеблевые овощи</x:v>
      </x:c>
      <x:c r="G736" s="28" t="str">
        <x:v>яблоко</x:v>
      </x:c>
      <x:c r="H736" s="28" t="str">
        <x:v>Яблоко | яблоко</x:v>
      </x:c>
      <x:c r="I736" s="28" t="str">
        <x:v>Фрукты и ягоды</x:v>
      </x:c>
      <x:c r="J736" s="28" t="str">
        <x:v>зелёный, травянистый, пряный, слегка анисовый</x:v>
      </x:c>
      <x:c r="K736" s="28" t="str">
        <x:v>зелёный, свежий, фруктовый</x:v>
      </x:c>
      <x:c r="L736" s="28" t="str">
        <x:v>фталиды, лимонен, селинен, 3-н-бутилфталид</x:v>
      </x:c>
      <x:c r="M736" s="28" t="str">
        <x:v>гексаналь, гексилацетат</x:v>
      </x:c>
      <x:c r="N736" s="28" t="str">
        <x:v>зелёный</x:v>
      </x:c>
      <x:c r="O736" s="28" t="str">
        <x:v>надёжная общая ключевая молекула не установлена</x:v>
      </x:c>
      <x:c r="P736" s="28" t="str">
        <x:v>пересечение ароматических семейств; кислотно-сладкий баланс</x:v>
      </x:c>
      <x:c r="Q73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6" s="28" t="str">
        <x:v>свежее прохладно-зелёное ощущение</x:v>
      </x:c>
      <x:c r="S736" s="28" t="str">
        <x:v>водная волокнистая матрица с ароматическим маслом Водная кислая фаза усиливает свежесть, но может разжижать пюре и нарушать молочную эмульсию.</x:v>
      </x:c>
      <x:c r="T73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36" s="28" t="str">
        <x:v>Сельдерей имеет профиль «зелёный, травянистый, пряный, слегка анисовый».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36" s="28" t="str">
        <x:v>быстро становится доминирующим и горьким; волокна требуют фильтрации в напитках; избыток кислоты или воды может сделать овощной вкус тонким и разрушить сливочную эмульсию</x:v>
      </x:c>
      <x:c r="W736" s="28" t="str">
        <x:v>цитрус, мёд или мягкая трава</x:v>
      </x:c>
      <x:c r="X736" s="28" t="str">
        <x:v>сок, кордиал, гаспачо, салат, соус, маринад или коктейльный компонент с яблоко</x:v>
      </x:c>
      <x:c r="Y736" s="28" t="str">
        <x:v>десерты</x:v>
      </x:c>
      <x:c r="Z736" s="28" t="str">
        <x:v>Средняя</x:v>
      </x:c>
      <x:c r="AA736" s="28" t="str">
        <x:v>Тезариус вкусов (Ники Сегнит)(1).pdf</x:v>
      </x:c>
      <x:c r="AB736" s="28" t="str">
        <x:v>Тезариус вкусов (Ники Сегнит)(1).pdf: 254, 716</x:v>
      </x:c>
      <x:c r="AC736" s="28" t="str">
        <x:v>развёрнутая пара/статья, стр. 254; развёрнутая пара/статья, стр. 716</x:v>
      </x:c>
      <x:c r="AD736" s="28" t="n">
        <x:v>1</x:v>
      </x:c>
      <x:c r="AE736" s="28" t="n">
        <x:v>2</x:v>
      </x:c>
      <x:c r="AF736" s="28" t="n">
        <x:f>IF(Z736="Высокая",3,IF(Z736="Средняя",2,1))+AD736*2+MIN(AE736,3)</x:f>
        <x:v>6</x:v>
      </x:c>
    </x:row>
    <x:row r="737" ht="64" customHeight="1">
      <x:c r="A737" s="28" t="str">
        <x:v>VEG-0736</x:v>
      </x:c>
      <x:c r="B737" s="28" t="str">
        <x:v>сельдерей</x:v>
      </x:c>
      <x:c r="C737" s="28" t="str">
        <x:v>Универсальные</x:v>
      </x:c>
      <x:c r="D737" s="28" t="str">
        <x:v>сельдерей</x:v>
      </x:c>
      <x:c r="E737" s="28" t="str">
        <x:v>Сельдерей | сельдерей</x:v>
      </x:c>
      <x:c r="F737" s="28" t="str">
        <x:v>Стеблевые овощи</x:v>
      </x:c>
      <x:c r="G737" s="28" t="str">
        <x:v>яйца</x:v>
      </x:c>
      <x:c r="H737" s="28" t="str">
        <x:v>Яйца | яйца</x:v>
      </x:c>
      <x:c r="I737" s="28" t="str">
        <x:v>Прочее</x:v>
      </x:c>
      <x:c r="J737" s="28" t="str">
        <x:v>зелёный, травянистый, пряный, слегка анисовый</x:v>
      </x:c>
      <x:c r="K737" s="28" t="str">
        <x:v>профиль зависит от конкретного продукта</x:v>
      </x:c>
      <x:c r="L737" s="28" t="str">
        <x:v>фталиды, лимонен, селинен, 3-н-бутилфталид</x:v>
      </x:c>
      <x:c r="M737" s="28" t="str">
        <x:v>конкретный молекулярный профиль не указан</x:v>
      </x:c>
      <x:c r="N737" s="28" t="str">
        <x:v>прямое пересечение семейств не подтверждено</x:v>
      </x:c>
      <x:c r="O737" s="28" t="str">
        <x:v>надёжная общая ключевая молекула не установлена</x:v>
      </x:c>
      <x:c r="P737" s="28" t="str">
        <x:v>сенсорная комплементарность</x:v>
      </x:c>
      <x:c r="Q73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7" s="28" t="str">
        <x:v>свежее прохладно-зелёное ощущение</x:v>
      </x:c>
      <x:c r="S737" s="28" t="str">
        <x:v>водная волокнистая матрица с ароматическим маслом</x:v>
      </x:c>
      <x:c r="T737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U737" s="28" t="str">
        <x:v>Сельдерей имеет профиль «зелёный, травянистый, пряный, слегка анисовый».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37" s="28" t="str">
        <x:v>быстро становится доминирующим и горьким; волокна требуют фильтрации в напитках</x:v>
      </x:c>
      <x:c r="W737" s="28" t="str">
        <x:v>соль, кислота или ароматический жир</x:v>
      </x:c>
      <x:c r="X737" s="28" t="str">
        <x:v>сок, кордиал, гаспачо, салат, соус, маринад или коктейльный компонент с яйца</x:v>
      </x:c>
      <x:c r="Y737" s="28" t="str">
        <x:v>универсальное</x:v>
      </x:c>
      <x:c r="Z737" s="28" t="str">
        <x:v>Средняя</x:v>
      </x:c>
      <x:c r="AA737" s="28" t="str">
        <x:v>Тезариус вкусов (Ники Сегнит)(1).pdf</x:v>
      </x:c>
      <x:c r="AB737" s="28" t="str">
        <x:v>Тезариус вкусов (Ники Сегнит)(1).pdf: 255, 359</x:v>
      </x:c>
      <x:c r="AC737" s="28" t="str">
        <x:v>развёрнутая пара/статья, стр. 255; развёрнутая пара/статья, стр. 359</x:v>
      </x:c>
      <x:c r="AD737" s="28" t="n">
        <x:v>1</x:v>
      </x:c>
      <x:c r="AE737" s="28" t="n">
        <x:v>2</x:v>
      </x:c>
      <x:c r="AF737" s="28" t="n">
        <x:f>IF(Z737="Высокая",3,IF(Z737="Средняя",2,1))+AD737*2+MIN(AE737,3)</x:f>
        <x:v>6</x:v>
      </x:c>
    </x:row>
    <x:row r="738" ht="64" customHeight="1">
      <x:c r="A738" s="28" t="str">
        <x:v>VEG-0737</x:v>
      </x:c>
      <x:c r="B738" s="28" t="str">
        <x:v>сельдерей корневой</x:v>
      </x:c>
      <x:c r="C738" s="28" t="str">
        <x:v>Универсальные</x:v>
      </x:c>
      <x:c r="D738" s="28" t="str">
        <x:v>сельдерей корневой</x:v>
      </x:c>
      <x:c r="E738" s="28" t="str">
        <x:v>celeriac</x:v>
      </x:c>
      <x:c r="F738" s="28" t="str">
        <x:v>Корнеплоды</x:v>
      </x:c>
      <x:c r="G738" s="28" t="str">
        <x:v>анис</x:v>
      </x:c>
      <x:c r="H738" s="28" t="str">
        <x:v>aniseed</x:v>
      </x:c>
      <x:c r="I738" s="28" t="str">
        <x:v>Прочее</x:v>
      </x:c>
      <x:c r="J738" s="28" t="str">
        <x:v>землистый, ореховый, сельдерейно-пряный и слегка грибной</x:v>
      </x:c>
      <x:c r="K738" s="28" t="str">
        <x:v>профиль зависит от конкретного продукта</x:v>
      </x:c>
      <x:c r="L738" s="28" t="str">
        <x:v>фталиды, селинен, лимонен, метиональ</x:v>
      </x:c>
      <x:c r="M738" s="28" t="str">
        <x:v>конкретный молекулярный профиль не указан</x:v>
      </x:c>
      <x:c r="N738" s="28" t="str">
        <x:v>прямое пересечение семейств не подтверждено</x:v>
      </x:c>
      <x:c r="O738" s="28" t="str">
        <x:v>надёжная общая ключевая молекула не установлена</x:v>
      </x:c>
      <x:c r="P738" s="28" t="str">
        <x:v>сенсорная комплементарность</x:v>
      </x:c>
      <x:c r="Q73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8" s="28" t="str">
        <x:v>минимальный</x:v>
      </x:c>
      <x:c r="S738" s="28" t="str">
        <x:v>плотная крахмалисто-волокнистая матрица</x:v>
      </x:c>
      <x:c r="T73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38" s="28" t="str">
        <x:v>Сельдерей корневой имеет профиль «землистый, ореховый, сельдерейно-пряный и слегка грибной».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38" s="28" t="str">
        <x:v>быстро окисляется после нарезки; избыток сельдерейных фталидов даёт аптечную ноту</x:v>
      </x:c>
      <x:c r="W738" s="28" t="str">
        <x:v>соль, кислота или ароматический жир</x:v>
      </x:c>
      <x:c r="X738" s="28" t="str">
        <x:v>пюре, суп, запекание, крем, гарнир, соус или десертная разработка с анис</x:v>
      </x:c>
      <x:c r="Y738" s="28" t="str">
        <x:v>универсальное</x:v>
      </x:c>
      <x:c r="Z738" s="28" t="str">
        <x:v>Средняя</x:v>
      </x:c>
      <x:c r="AA738" s="28" t="str">
        <x:v>The Art &amp; Science of Foodpairing.pdf</x:v>
      </x:c>
      <x:c r="AB738" s="28" t="str">
        <x:v>The Art &amp; Science of Foodpairing.pdf: 52</x:v>
      </x:c>
      <x:c r="AC738" s="28" t="str">
        <x:v>связь из pairing grid, стр. 52</x:v>
      </x:c>
      <x:c r="AD738" s="28" t="n">
        <x:v>1</x:v>
      </x:c>
      <x:c r="AE738" s="28" t="n">
        <x:v>1</x:v>
      </x:c>
      <x:c r="AF738" s="28" t="n">
        <x:f>IF(Z738="Высокая",3,IF(Z738="Средняя",2,1))+AD738*2+MIN(AE738,3)</x:f>
        <x:v>5</x:v>
      </x:c>
    </x:row>
    <x:row r="739" ht="64" customHeight="1">
      <x:c r="A739" s="28" t="str">
        <x:v>VEG-0738</x:v>
      </x:c>
      <x:c r="B739" s="28" t="str">
        <x:v>сельдерей корневой</x:v>
      </x:c>
      <x:c r="C739" s="28" t="str">
        <x:v>Универсальные</x:v>
      </x:c>
      <x:c r="D739" s="28" t="str">
        <x:v>сельдерей корневой</x:v>
      </x:c>
      <x:c r="E739" s="28" t="str">
        <x:v>celeriac</x:v>
      </x:c>
      <x:c r="F739" s="28" t="str">
        <x:v>Корнеплоды</x:v>
      </x:c>
      <x:c r="G739" s="28" t="str">
        <x:v>ваниль</x:v>
      </x:c>
      <x:c r="H739" s="28" t="str">
        <x:v>vanilla</x:v>
      </x:c>
      <x:c r="I739" s="28" t="str">
        <x:v>Специи</x:v>
      </x:c>
      <x:c r="J739" s="28" t="str">
        <x:v>землистый, ореховый, сельдерейно-пряный и слегка грибной</x:v>
      </x:c>
      <x:c r="K739" s="28" t="str">
        <x:v>ванильный, древесный, цветочный</x:v>
      </x:c>
      <x:c r="L739" s="28" t="str">
        <x:v>фталиды, селинен, лимонен, метиональ</x:v>
      </x:c>
      <x:c r="M739" s="28" t="str">
        <x:v>ванилин</x:v>
      </x:c>
      <x:c r="N739" s="28" t="str">
        <x:v>прямое пересечение семейств не подтверждено</x:v>
      </x:c>
      <x:c r="O739" s="28" t="str">
        <x:v>надёжная общая ключевая молекула не установлена</x:v>
      </x:c>
      <x:c r="P739" s="28" t="str">
        <x:v>сенсорная комплементарность</x:v>
      </x:c>
      <x:c r="Q73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39" s="28" t="str">
        <x:v>минимальный</x:v>
      </x:c>
      <x:c r="S739" s="28" t="str">
        <x:v>плотная крахмалисто-волокнистая матрица</x:v>
      </x:c>
      <x:c r="T73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39" s="28" t="str">
        <x:v>Сельдерей корневой имеет профиль «землистый, ореховый, сельдерейно-пряный и слегка грибной».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739" s="28" t="str">
        <x:v>быстро окисляется после нарезки; избыток сельдерейных фталидов даёт аптечную ноту</x:v>
      </x:c>
      <x:c r="W739" s="28" t="str">
        <x:v>цитрус, йогурт или мёд</x:v>
      </x:c>
      <x:c r="X739" s="28" t="str">
        <x:v>пюре, суп, запекание, крем, гарнир, соус или десертная разработка с ваниль</x:v>
      </x:c>
      <x:c r="Y739" s="28" t="str">
        <x:v>универсальное</x:v>
      </x:c>
      <x:c r="Z739" s="28" t="str">
        <x:v>Высокая</x:v>
      </x:c>
      <x:c r="AA739" s="28" t="str">
        <x:v>The Art &amp; Science of Foodpairing.pdf</x:v>
      </x:c>
      <x:c r="AB739" s="28" t="str">
        <x:v>The Art &amp; Science of Foodpairing.pdf: 53</x:v>
      </x:c>
      <x:c r="AC739" s="28" t="str">
        <x:v>прямая Potential pairing, стр. 53</x:v>
      </x:c>
      <x:c r="AD739" s="28" t="n">
        <x:v>1</x:v>
      </x:c>
      <x:c r="AE739" s="28" t="n">
        <x:v>1</x:v>
      </x:c>
      <x:c r="AF739" s="28" t="n">
        <x:f>IF(Z739="Высокая",3,IF(Z739="Средняя",2,1))+AD739*2+MIN(AE739,3)</x:f>
        <x:v>6</x:v>
      </x:c>
    </x:row>
    <x:row r="740" ht="64" customHeight="1">
      <x:c r="A740" s="28" t="str">
        <x:v>VEG-0739</x:v>
      </x:c>
      <x:c r="B740" s="28" t="str">
        <x:v>сельдерей корневой</x:v>
      </x:c>
      <x:c r="C740" s="28" t="str">
        <x:v>Универсальные</x:v>
      </x:c>
      <x:c r="D740" s="28" t="str">
        <x:v>сельдерей корневой</x:v>
      </x:c>
      <x:c r="E740" s="28" t="str">
        <x:v>celeriac</x:v>
      </x:c>
      <x:c r="F740" s="28" t="str">
        <x:v>Корнеплоды</x:v>
      </x:c>
      <x:c r="G740" s="28" t="str">
        <x:v>гамбургер</x:v>
      </x:c>
      <x:c r="H740" s="28" t="str">
        <x:v>oven-baked hamburger</x:v>
      </x:c>
      <x:c r="I740" s="28" t="str">
        <x:v>Прочее</x:v>
      </x:c>
      <x:c r="J740" s="28" t="str">
        <x:v>землистый, ореховый, сельдерейно-пряный и слегка грибной</x:v>
      </x:c>
      <x:c r="K740" s="28" t="str">
        <x:v>профиль зависит от конкретного продукта</x:v>
      </x:c>
      <x:c r="L740" s="28" t="str">
        <x:v>фталиды, селинен, лимонен, метиональ</x:v>
      </x:c>
      <x:c r="M740" s="28" t="str">
        <x:v>конкретный молекулярный профиль не указан</x:v>
      </x:c>
      <x:c r="N740" s="28" t="str">
        <x:v>прямое пересечение семейств не подтверждено</x:v>
      </x:c>
      <x:c r="O740" s="28" t="str">
        <x:v>надёжная общая ключевая молекула не установлена</x:v>
      </x:c>
      <x:c r="P740" s="28" t="str">
        <x:v>сенсорная комплементарность</x:v>
      </x:c>
      <x:c r="Q74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0" s="28" t="str">
        <x:v>минимальный</x:v>
      </x:c>
      <x:c r="S740" s="28" t="str">
        <x:v>плотная крахмалисто-волокнистая матрица</x:v>
      </x:c>
      <x:c r="T74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0" s="28" t="str">
        <x:v>Сельдерей корневой имеет профиль «землистый, ореховый, сельдерейно-пряный и слегка грибной». Партнёр «гамбургер»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40" s="28" t="str">
        <x:v>быстро окисляется после нарезки; избыток сельдерейных фталидов даёт аптечную ноту</x:v>
      </x:c>
      <x:c r="W740" s="28" t="str">
        <x:v>соль, кислота или ароматический жир</x:v>
      </x:c>
      <x:c r="X740" s="28" t="str">
        <x:v>пюре, суп, запекание, крем, гарнир, соус или десертная разработка с гамбургер</x:v>
      </x:c>
      <x:c r="Y740" s="28" t="str">
        <x:v>универсальное</x:v>
      </x:c>
      <x:c r="Z740" s="28" t="str">
        <x:v>Средняя</x:v>
      </x:c>
      <x:c r="AA740" s="28" t="str">
        <x:v>The Art &amp; Science of Foodpairing.pdf</x:v>
      </x:c>
      <x:c r="AB740" s="28" t="str">
        <x:v>The Art &amp; Science of Foodpairing.pdf: 52</x:v>
      </x:c>
      <x:c r="AC740" s="28" t="str">
        <x:v>связь из pairing grid, стр. 52</x:v>
      </x:c>
      <x:c r="AD740" s="28" t="n">
        <x:v>1</x:v>
      </x:c>
      <x:c r="AE740" s="28" t="n">
        <x:v>1</x:v>
      </x:c>
      <x:c r="AF740" s="28" t="n">
        <x:f>IF(Z740="Высокая",3,IF(Z740="Средняя",2,1))+AD740*2+MIN(AE740,3)</x:f>
        <x:v>5</x:v>
      </x:c>
    </x:row>
    <x:row r="741" ht="64" customHeight="1">
      <x:c r="A741" s="28" t="str">
        <x:v>VEG-0740</x:v>
      </x:c>
      <x:c r="B741" s="28" t="str">
        <x:v>сельдерей корневой</x:v>
      </x:c>
      <x:c r="C741" s="28" t="str">
        <x:v>Универсальные</x:v>
      </x:c>
      <x:c r="D741" s="28" t="str">
        <x:v>сельдерей корневой</x:v>
      </x:c>
      <x:c r="E741" s="28" t="str">
        <x:v>celeriac</x:v>
      </x:c>
      <x:c r="F741" s="28" t="str">
        <x:v>Корнеплоды</x:v>
      </x:c>
      <x:c r="G741" s="28" t="str">
        <x:v>гибискус</x:v>
      </x:c>
      <x:c r="H741" s="28" t="str">
        <x:v>hibiscus flower</x:v>
      </x:c>
      <x:c r="I741" s="28" t="str">
        <x:v>Прочее</x:v>
      </x:c>
      <x:c r="J741" s="28" t="str">
        <x:v>землистый, ореховый, сельдерейно-пряный и слегка грибной</x:v>
      </x:c>
      <x:c r="K741" s="28" t="str">
        <x:v>профиль зависит от конкретного продукта</x:v>
      </x:c>
      <x:c r="L741" s="28" t="str">
        <x:v>фталиды, селинен, лимонен, метиональ</x:v>
      </x:c>
      <x:c r="M741" s="28" t="str">
        <x:v>конкретный молекулярный профиль не указан</x:v>
      </x:c>
      <x:c r="N741" s="28" t="str">
        <x:v>прямое пересечение семейств не подтверждено</x:v>
      </x:c>
      <x:c r="O741" s="28" t="str">
        <x:v>надёжная общая ключевая молекула не установлена</x:v>
      </x:c>
      <x:c r="P741" s="28" t="str">
        <x:v>сенсорная комплементарность</x:v>
      </x:c>
      <x:c r="Q74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1" s="28" t="str">
        <x:v>минимальный</x:v>
      </x:c>
      <x:c r="S741" s="28" t="str">
        <x:v>плотная крахмалисто-волокнистая матрица</x:v>
      </x:c>
      <x:c r="T74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1" s="28" t="str">
        <x:v>Сельдерей корневой имеет профиль «землистый, ореховый, сельдерейно-пряный и слегка грибной».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41" s="28" t="str">
        <x:v>быстро окисляется после нарезки; избыток сельдерейных фталидов даёт аптечную ноту</x:v>
      </x:c>
      <x:c r="W741" s="28" t="str">
        <x:v>соль, кислота или ароматический жир</x:v>
      </x:c>
      <x:c r="X741" s="28" t="str">
        <x:v>пюре, суп, запекание, крем, гарнир, соус или десертная разработка с гибискус</x:v>
      </x:c>
      <x:c r="Y741" s="28" t="str">
        <x:v>универсальное</x:v>
      </x:c>
      <x:c r="Z741" s="28" t="str">
        <x:v>Средняя</x:v>
      </x:c>
      <x:c r="AA741" s="28" t="str">
        <x:v>The Art &amp; Science of Foodpairing.pdf</x:v>
      </x:c>
      <x:c r="AB741" s="28" t="str">
        <x:v>The Art &amp; Science of Foodpairing.pdf: 52</x:v>
      </x:c>
      <x:c r="AC741" s="28" t="str">
        <x:v>связь из pairing grid, стр. 52</x:v>
      </x:c>
      <x:c r="AD741" s="28" t="n">
        <x:v>1</x:v>
      </x:c>
      <x:c r="AE741" s="28" t="n">
        <x:v>1</x:v>
      </x:c>
      <x:c r="AF741" s="28" t="n">
        <x:f>IF(Z741="Высокая",3,IF(Z741="Средняя",2,1))+AD741*2+MIN(AE741,3)</x:f>
        <x:v>5</x:v>
      </x:c>
    </x:row>
    <x:row r="742" ht="64" customHeight="1">
      <x:c r="A742" s="28" t="str">
        <x:v>VEG-0741</x:v>
      </x:c>
      <x:c r="B742" s="28" t="str">
        <x:v>сельдерей корневой</x:v>
      </x:c>
      <x:c r="C742" s="28" t="str">
        <x:v>Еда и соусы</x:v>
      </x:c>
      <x:c r="D742" s="28" t="str">
        <x:v>сельдерей корневой</x:v>
      </x:c>
      <x:c r="E742" s="28" t="str">
        <x:v>celeriac</x:v>
      </x:c>
      <x:c r="F742" s="28" t="str">
        <x:v>Корнеплоды</x:v>
      </x:c>
      <x:c r="G742" s="28" t="str">
        <x:v>говядина</x:v>
      </x:c>
      <x:c r="H742" s="28" t="str">
        <x:v>boiled beef</x:v>
      </x:c>
      <x:c r="I742" s="28" t="str">
        <x:v>Мясо и птица</x:v>
      </x:c>
      <x:c r="J742" s="28" t="str">
        <x:v>землистый, ореховый, сельдерейно-пряный и слегка грибной</x:v>
      </x:c>
      <x:c r="K742" s="28" t="str">
        <x:v>жареный, мясной и умами</x:v>
      </x:c>
      <x:c r="L742" s="28" t="str">
        <x:v>фталиды, селинен, лимонен, метиональ</x:v>
      </x:c>
      <x:c r="M742" s="28" t="str">
        <x:v>пиразины, сернистые соединения</x:v>
      </x:c>
      <x:c r="N742" s="28" t="str">
        <x:v>прямое пересечение семейств не подтверждено</x:v>
      </x:c>
      <x:c r="O742" s="28" t="str">
        <x:v>надёжная общая ключевая молекула не установлена</x:v>
      </x:c>
      <x:c r="P742" s="28" t="str">
        <x:v>умами и солёный контраст</x:v>
      </x:c>
      <x:c r="Q74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2" s="28" t="str">
        <x:v>минимальный</x:v>
      </x:c>
      <x:c r="S742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4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2" s="28" t="str">
        <x:v>Сельдерей корневой имеет профиль «землистый, ореховый, сельдерейно-пряный и слегка грибной».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42" s="28" t="str">
        <x:v>быстро окисляется после нарезки; избыток сельдерейных фталидов даёт аптечную ноту</x:v>
      </x:c>
      <x:c r="W742" s="28" t="str">
        <x:v>сливочное масло, соевый соус или тимьян</x:v>
      </x:c>
      <x:c r="X742" s="28" t="str">
        <x:v>пюре, суп, запекание, крем, гарнир, соус или десертная разработка с говядина</x:v>
      </x:c>
      <x:c r="Y742" s="28" t="str">
        <x:v>еда, соусы/маринады</x:v>
      </x:c>
      <x:c r="Z742" s="28" t="str">
        <x:v>Средняя</x:v>
      </x:c>
      <x:c r="AA742" s="28" t="str">
        <x:v>The Art &amp; Science of Foodpairing.pdf</x:v>
      </x:c>
      <x:c r="AB742" s="28" t="str">
        <x:v>The Art &amp; Science of Foodpairing.pdf: 52</x:v>
      </x:c>
      <x:c r="AC742" s="28" t="str">
        <x:v>связь из pairing grid, стр. 52</x:v>
      </x:c>
      <x:c r="AD742" s="28" t="n">
        <x:v>1</x:v>
      </x:c>
      <x:c r="AE742" s="28" t="n">
        <x:v>1</x:v>
      </x:c>
      <x:c r="AF742" s="28" t="n">
        <x:f>IF(Z742="Высокая",3,IF(Z742="Средняя",2,1))+AD742*2+MIN(AE742,3)</x:f>
        <x:v>5</x:v>
      </x:c>
    </x:row>
    <x:row r="743" ht="64" customHeight="1">
      <x:c r="A743" s="28" t="str">
        <x:v>VEG-0742</x:v>
      </x:c>
      <x:c r="B743" s="28" t="str">
        <x:v>сельдерей корневой</x:v>
      </x:c>
      <x:c r="C743" s="28" t="str">
        <x:v>Универсальные</x:v>
      </x:c>
      <x:c r="D743" s="28" t="str">
        <x:v>сельдерей корневой</x:v>
      </x:c>
      <x:c r="E743" s="28" t="str">
        <x:v>celeriac</x:v>
      </x:c>
      <x:c r="F743" s="28" t="str">
        <x:v>Корнеплоды</x:v>
      </x:c>
      <x:c r="G743" s="28" t="str">
        <x:v>говяжья вырезка</x:v>
      </x:c>
      <x:c r="H743" s="28" t="str">
        <x:v>beef sirloin</x:v>
      </x:c>
      <x:c r="I743" s="28" t="str">
        <x:v>Прочее</x:v>
      </x:c>
      <x:c r="J743" s="28" t="str">
        <x:v>землистый, ореховый, сельдерейно-пряный и слегка грибной</x:v>
      </x:c>
      <x:c r="K743" s="28" t="str">
        <x:v>профиль зависит от конкретного продукта</x:v>
      </x:c>
      <x:c r="L743" s="28" t="str">
        <x:v>фталиды, селинен, лимонен, метиональ</x:v>
      </x:c>
      <x:c r="M743" s="28" t="str">
        <x:v>конкретный молекулярный профиль не указан</x:v>
      </x:c>
      <x:c r="N743" s="28" t="str">
        <x:v>прямое пересечение семейств не подтверждено</x:v>
      </x:c>
      <x:c r="O743" s="28" t="str">
        <x:v>надёжная общая ключевая молекула не установлена</x:v>
      </x:c>
      <x:c r="P743" s="28" t="str">
        <x:v>сенсорная комплементарность</x:v>
      </x:c>
      <x:c r="Q74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3" s="28" t="str">
        <x:v>минимальный</x:v>
      </x:c>
      <x:c r="S743" s="28" t="str">
        <x:v>плотная крахмалисто-волокнистая матрица</x:v>
      </x:c>
      <x:c r="T74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3" s="28" t="str">
        <x:v>Сельдерей корневой имеет профиль «землистый, ореховый, сельдерейно-пряный и слегка грибной». Партнёр «говяжья вырезка»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43" s="28" t="str">
        <x:v>быстро окисляется после нарезки; избыток сельдерейных фталидов даёт аптечную ноту</x:v>
      </x:c>
      <x:c r="W743" s="28" t="str">
        <x:v>соль, кислота или ароматический жир</x:v>
      </x:c>
      <x:c r="X743" s="28" t="str">
        <x:v>пюре, суп, запекание, крем, гарнир, соус или десертная разработка с говяжья вырезка</x:v>
      </x:c>
      <x:c r="Y743" s="28" t="str">
        <x:v>универсальное</x:v>
      </x:c>
      <x:c r="Z743" s="28" t="str">
        <x:v>Средняя</x:v>
      </x:c>
      <x:c r="AA743" s="28" t="str">
        <x:v>The Art &amp; Science of Foodpairing.pdf</x:v>
      </x:c>
      <x:c r="AB743" s="28" t="str">
        <x:v>The Art &amp; Science of Foodpairing.pdf: 52</x:v>
      </x:c>
      <x:c r="AC743" s="28" t="str">
        <x:v>связь из pairing grid, стр. 52</x:v>
      </x:c>
      <x:c r="AD743" s="28" t="n">
        <x:v>1</x:v>
      </x:c>
      <x:c r="AE743" s="28" t="n">
        <x:v>1</x:v>
      </x:c>
      <x:c r="AF743" s="28" t="n">
        <x:f>IF(Z743="Высокая",3,IF(Z743="Средняя",2,1))+AD743*2+MIN(AE743,3)</x:f>
        <x:v>5</x:v>
      </x:c>
    </x:row>
    <x:row r="744" ht="64" customHeight="1">
      <x:c r="A744" s="28" t="str">
        <x:v>VEG-0743</x:v>
      </x:c>
      <x:c r="B744" s="28" t="str">
        <x:v>сельдерей корневой</x:v>
      </x:c>
      <x:c r="C744" s="28" t="str">
        <x:v>Десерты и выпечка</x:v>
      </x:c>
      <x:c r="D744" s="28" t="str">
        <x:v>сельдерей корневой</x:v>
      </x:c>
      <x:c r="E744" s="28" t="str">
        <x:v>celeriac</x:v>
      </x:c>
      <x:c r="F744" s="28" t="str">
        <x:v>Корнеплоды</x:v>
      </x:c>
      <x:c r="G744" s="28" t="str">
        <x:v>гуава</x:v>
      </x:c>
      <x:c r="H744" s="28" t="str">
        <x:v>CattJey guava | guava</x:v>
      </x:c>
      <x:c r="I744" s="28" t="str">
        <x:v>Фрукты и ягоды</x:v>
      </x:c>
      <x:c r="J744" s="28" t="str">
        <x:v>землистый, ореховый, сельдерейно-пряный и слегка грибной</x:v>
      </x:c>
      <x:c r="K744" s="28" t="str">
        <x:v>фруктовый, цветочный и свежий</x:v>
      </x:c>
      <x:c r="L744" s="28" t="str">
        <x:v>фталиды, селинен, лимонен, метиональ</x:v>
      </x:c>
      <x:c r="M744" s="28" t="str">
        <x:v>альдегиды, эфиры</x:v>
      </x:c>
      <x:c r="N744" s="28" t="str">
        <x:v>прямое пересечение семейств не подтверждено</x:v>
      </x:c>
      <x:c r="O744" s="28" t="str">
        <x:v>надёжная общая ключевая молекула не установлена</x:v>
      </x:c>
      <x:c r="P744" s="28" t="str">
        <x:v>кислотно-сладкий баланс</x:v>
      </x:c>
      <x:c r="Q74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4" s="28" t="str">
        <x:v>минимальный</x:v>
      </x:c>
      <x:c r="S744" s="28" t="str">
        <x:v>плотная крахмалисто-волокнистая матрица Водная кислая фаза усиливает свежесть, но может разжижать пюре и нарушать молочную эмульсию.</x:v>
      </x:c>
      <x:c r="T74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4" s="28" t="str">
        <x:v>Сельдерей корневой имеет профиль «землистый, ореховый, сельдерейно-пряный и слегка грибной». Партнёр «гуава»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44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W744" s="28" t="str">
        <x:v>цитрус, мёд или мягкая трава</x:v>
      </x:c>
      <x:c r="X744" s="28" t="str">
        <x:v>пюре, суп, запекание, крем, гарнир, соус или десертная разработка с гуава</x:v>
      </x:c>
      <x:c r="Y744" s="28" t="str">
        <x:v>десерты</x:v>
      </x:c>
      <x:c r="Z744" s="28" t="str">
        <x:v>Средняя</x:v>
      </x:c>
      <x:c r="AA744" s="28" t="str">
        <x:v>The Art &amp; Science of Foodpairing.pdf</x:v>
      </x:c>
      <x:c r="AB744" s="28" t="str">
        <x:v>The Art &amp; Science of Foodpairing.pdf: 52</x:v>
      </x:c>
      <x:c r="AC744" s="28" t="str">
        <x:v>связь из pairing grid, стр. 52; связь из pairing grid, стр. 52</x:v>
      </x:c>
      <x:c r="AD744" s="28" t="n">
        <x:v>1</x:v>
      </x:c>
      <x:c r="AE744" s="28" t="n">
        <x:v>2</x:v>
      </x:c>
      <x:c r="AF744" s="28" t="n">
        <x:f>IF(Z744="Высокая",3,IF(Z744="Средняя",2,1))+AD744*2+MIN(AE744,3)</x:f>
        <x:v>6</x:v>
      </x:c>
    </x:row>
    <x:row r="745" ht="64" customHeight="1">
      <x:c r="A745" s="28" t="str">
        <x:v>VEG-0744</x:v>
      </x:c>
      <x:c r="B745" s="28" t="str">
        <x:v>сельдерей корневой</x:v>
      </x:c>
      <x:c r="C745" s="28" t="str">
        <x:v>Универсальные</x:v>
      </x:c>
      <x:c r="D745" s="28" t="str">
        <x:v>сельдерей корневой</x:v>
      </x:c>
      <x:c r="E745" s="28" t="str">
        <x:v>celeriac</x:v>
      </x:c>
      <x:c r="F745" s="28" t="str">
        <x:v>Корнеплоды</x:v>
      </x:c>
      <x:c r="G745" s="28" t="str">
        <x:v>дикий голубь</x:v>
      </x:c>
      <x:c r="H745" s="28" t="str">
        <x:v>pan-fried wild woodpigeon</x:v>
      </x:c>
      <x:c r="I745" s="28" t="str">
        <x:v>Прочее</x:v>
      </x:c>
      <x:c r="J745" s="28" t="str">
        <x:v>землистый, ореховый, сельдерейно-пряный и слегка грибной</x:v>
      </x:c>
      <x:c r="K745" s="28" t="str">
        <x:v>профиль зависит от конкретного продукта</x:v>
      </x:c>
      <x:c r="L745" s="28" t="str">
        <x:v>фталиды, селинен, лимонен, метиональ</x:v>
      </x:c>
      <x:c r="M745" s="28" t="str">
        <x:v>конкретный молекулярный профиль не указан</x:v>
      </x:c>
      <x:c r="N745" s="28" t="str">
        <x:v>прямое пересечение семейств не подтверждено</x:v>
      </x:c>
      <x:c r="O745" s="28" t="str">
        <x:v>надёжная общая ключевая молекула не установлена</x:v>
      </x:c>
      <x:c r="P745" s="28" t="str">
        <x:v>сенсорная комплементарность</x:v>
      </x:c>
      <x:c r="Q74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5" s="28" t="str">
        <x:v>минимальный</x:v>
      </x:c>
      <x:c r="S745" s="28" t="str">
        <x:v>плотная крахмалисто-волокнистая матрица</x:v>
      </x:c>
      <x:c r="T74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5" s="28" t="str">
        <x:v>Сельдерей корневой имеет профиль «землистый, ореховый, сельдерейно-пряный и слегка грибной». Партнёр «дикий голубь»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45" s="28" t="str">
        <x:v>быстро окисляется после нарезки; избыток сельдерейных фталидов даёт аптечную ноту</x:v>
      </x:c>
      <x:c r="W745" s="28" t="str">
        <x:v>соль, кислота или ароматический жир</x:v>
      </x:c>
      <x:c r="X745" s="28" t="str">
        <x:v>пюре, суп, запекание, крем, гарнир, соус или десертная разработка с дикий голубь</x:v>
      </x:c>
      <x:c r="Y745" s="28" t="str">
        <x:v>универсальное</x:v>
      </x:c>
      <x:c r="Z745" s="28" t="str">
        <x:v>Средняя</x:v>
      </x:c>
      <x:c r="AA745" s="28" t="str">
        <x:v>The Art &amp; Science of Foodpairing.pdf</x:v>
      </x:c>
      <x:c r="AB745" s="28" t="str">
        <x:v>The Art &amp; Science of Foodpairing.pdf: 52</x:v>
      </x:c>
      <x:c r="AC745" s="28" t="str">
        <x:v>связь из pairing grid, стр. 52</x:v>
      </x:c>
      <x:c r="AD745" s="28" t="n">
        <x:v>1</x:v>
      </x:c>
      <x:c r="AE745" s="28" t="n">
        <x:v>1</x:v>
      </x:c>
      <x:c r="AF745" s="28" t="n">
        <x:f>IF(Z745="Высокая",3,IF(Z745="Средняя",2,1))+AD745*2+MIN(AE745,3)</x:f>
        <x:v>5</x:v>
      </x:c>
    </x:row>
    <x:row r="746" ht="64" customHeight="1">
      <x:c r="A746" s="28" t="str">
        <x:v>VEG-0745</x:v>
      </x:c>
      <x:c r="B746" s="28" t="str">
        <x:v>сельдерей корневой</x:v>
      </x:c>
      <x:c r="C746" s="28" t="str">
        <x:v>Универсальные</x:v>
      </x:c>
      <x:c r="D746" s="28" t="str">
        <x:v>сельдерей корневой</x:v>
      </x:c>
      <x:c r="E746" s="28" t="str">
        <x:v>celeriac</x:v>
      </x:c>
      <x:c r="F746" s="28" t="str">
        <x:v>Корнеплоды</x:v>
      </x:c>
      <x:c r="G746" s="28" t="str">
        <x:v>дикий гусь</x:v>
      </x:c>
      <x:c r="H746" s="28" t="str">
        <x:v>roast wild goose</x:v>
      </x:c>
      <x:c r="I746" s="28" t="str">
        <x:v>Прочее</x:v>
      </x:c>
      <x:c r="J746" s="28" t="str">
        <x:v>землистый, ореховый, сельдерейно-пряный и слегка грибной</x:v>
      </x:c>
      <x:c r="K746" s="28" t="str">
        <x:v>профиль зависит от конкретного продукта</x:v>
      </x:c>
      <x:c r="L746" s="28" t="str">
        <x:v>фталиды, селинен, лимонен, метиональ</x:v>
      </x:c>
      <x:c r="M746" s="28" t="str">
        <x:v>конкретный молекулярный профиль не указан</x:v>
      </x:c>
      <x:c r="N746" s="28" t="str">
        <x:v>прямое пересечение семейств не подтверждено</x:v>
      </x:c>
      <x:c r="O746" s="28" t="str">
        <x:v>надёжная общая ключевая молекула не установлена</x:v>
      </x:c>
      <x:c r="P746" s="28" t="str">
        <x:v>сенсорная комплементарность</x:v>
      </x:c>
      <x:c r="Q74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6" s="28" t="str">
        <x:v>минимальный</x:v>
      </x:c>
      <x:c r="S746" s="28" t="str">
        <x:v>плотная крахмалисто-волокнистая матрица</x:v>
      </x:c>
      <x:c r="T74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6" s="28" t="str">
        <x:v>Сельдерей корневой имеет профиль «землистый, ореховый, сельдерейно-пряный и слегка грибной». Партнёр «дикий гусь»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46" s="28" t="str">
        <x:v>быстро окисляется после нарезки; избыток сельдерейных фталидов даёт аптечную ноту</x:v>
      </x:c>
      <x:c r="W746" s="28" t="str">
        <x:v>соль, кислота или ароматический жир</x:v>
      </x:c>
      <x:c r="X746" s="28" t="str">
        <x:v>пюре, суп, запекание, крем, гарнир, соус или десертная разработка с дикий гусь</x:v>
      </x:c>
      <x:c r="Y746" s="28" t="str">
        <x:v>универсальное</x:v>
      </x:c>
      <x:c r="Z746" s="28" t="str">
        <x:v>Средняя</x:v>
      </x:c>
      <x:c r="AA746" s="28" t="str">
        <x:v>The Art &amp; Science of Foodpairing.pdf</x:v>
      </x:c>
      <x:c r="AB746" s="28" t="str">
        <x:v>The Art &amp; Science of Foodpairing.pdf: 52</x:v>
      </x:c>
      <x:c r="AC746" s="28" t="str">
        <x:v>связь из pairing grid, стр. 52</x:v>
      </x:c>
      <x:c r="AD746" s="28" t="n">
        <x:v>1</x:v>
      </x:c>
      <x:c r="AE746" s="28" t="n">
        <x:v>1</x:v>
      </x:c>
      <x:c r="AF746" s="28" t="n">
        <x:f>IF(Z746="Высокая",3,IF(Z746="Средняя",2,1))+AD746*2+MIN(AE746,3)</x:f>
        <x:v>5</x:v>
      </x:c>
    </x:row>
    <x:row r="747" ht="64" customHeight="1">
      <x:c r="A747" s="28" t="str">
        <x:v>VEG-0746</x:v>
      </x:c>
      <x:c r="B747" s="28" t="str">
        <x:v>сельдерей корневой</x:v>
      </x:c>
      <x:c r="C747" s="28" t="str">
        <x:v>Десерты и выпечка</x:v>
      </x:c>
      <x:c r="D747" s="28" t="str">
        <x:v>сельдерей корневой</x:v>
      </x:c>
      <x:c r="E747" s="28" t="str">
        <x:v>celeriac</x:v>
      </x:c>
      <x:c r="F747" s="28" t="str">
        <x:v>Корнеплоды</x:v>
      </x:c>
      <x:c r="G747" s="28" t="str">
        <x:v>дикий рис</x:v>
      </x:c>
      <x:c r="H747" s="28" t="str">
        <x:v>cooked wild rice</x:v>
      </x:c>
      <x:c r="I747" s="28" t="str">
        <x:v>Выпечка, крупы, сахара и десерты</x:v>
      </x:c>
      <x:c r="J747" s="28" t="str">
        <x:v>землистый, ореховый, сельдерейно-пряный и слегка грибной</x:v>
      </x:c>
      <x:c r="K747" s="28" t="str">
        <x:v>сладкий, карамельный и жареный</x:v>
      </x:c>
      <x:c r="L747" s="28" t="str">
        <x:v>фталиды, селинен, лимонен, метиональ</x:v>
      </x:c>
      <x:c r="M747" s="28" t="str">
        <x:v>мальтол, пиразины, фураны</x:v>
      </x:c>
      <x:c r="N747" s="28" t="str">
        <x:v>прямое пересечение семейств не подтверждено</x:v>
      </x:c>
      <x:c r="O747" s="28" t="str">
        <x:v>надёжная общая ключевая молекула не установлена</x:v>
      </x:c>
      <x:c r="P747" s="28" t="str">
        <x:v>сенсорная комплементарность</x:v>
      </x:c>
      <x:c r="Q74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7" s="28" t="str">
        <x:v>минимальный</x:v>
      </x:c>
      <x:c r="S747" s="28" t="str">
        <x:v>плотная крахмалисто-волокнистая матрица</x:v>
      </x:c>
      <x:c r="T74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7" s="28" t="str">
        <x:v>Сельдерей корневой имеет профиль «землистый, ореховый, сельдерейно-пряный и слегка грибной». Партнёр «дикий рис»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747" s="28" t="str">
        <x:v>быстро окисляется после нарезки; избыток сельдерейных фталидов даёт аптечную ноту</x:v>
      </x:c>
      <x:c r="W747" s="28" t="str">
        <x:v>соль, кислота или ароматический жир</x:v>
      </x:c>
      <x:c r="X747" s="28" t="str">
        <x:v>пюре, суп, запекание, крем, гарнир, соус или десертная разработка с дикий рис</x:v>
      </x:c>
      <x:c r="Y747" s="28" t="str">
        <x:v>десерты</x:v>
      </x:c>
      <x:c r="Z747" s="28" t="str">
        <x:v>Средняя</x:v>
      </x:c>
      <x:c r="AA747" s="28" t="str">
        <x:v>The Art &amp; Science of Foodpairing.pdf</x:v>
      </x:c>
      <x:c r="AB747" s="28" t="str">
        <x:v>The Art &amp; Science of Foodpairing.pdf: 52</x:v>
      </x:c>
      <x:c r="AC747" s="28" t="str">
        <x:v>связь из pairing grid, стр. 52; связь из pairing grid, стр. 52</x:v>
      </x:c>
      <x:c r="AD747" s="28" t="n">
        <x:v>1</x:v>
      </x:c>
      <x:c r="AE747" s="28" t="n">
        <x:v>2</x:v>
      </x:c>
      <x:c r="AF747" s="28" t="n">
        <x:f>IF(Z747="Высокая",3,IF(Z747="Средняя",2,1))+AD747*2+MIN(AE747,3)</x:f>
        <x:v>6</x:v>
      </x:c>
    </x:row>
    <x:row r="748" ht="64" customHeight="1">
      <x:c r="A748" s="28" t="str">
        <x:v>VEG-0747</x:v>
      </x:c>
      <x:c r="B748" s="28" t="str">
        <x:v>сельдерей корневой</x:v>
      </x:c>
      <x:c r="C748" s="28" t="str">
        <x:v>Десерты и выпечка</x:v>
      </x:c>
      <x:c r="D748" s="28" t="str">
        <x:v>сельдерей корневой</x:v>
      </x:c>
      <x:c r="E748" s="28" t="str">
        <x:v>celeriac</x:v>
      </x:c>
      <x:c r="F748" s="28" t="str">
        <x:v>Корнеплоды</x:v>
      </x:c>
      <x:c r="G748" s="28" t="str">
        <x:v>длиннозёрный рис</x:v>
      </x:c>
      <x:c r="H748" s="28" t="str">
        <x:v>cooked long-grain rice</x:v>
      </x:c>
      <x:c r="I748" s="28" t="str">
        <x:v>Выпечка, крупы, сахара и десерты</x:v>
      </x:c>
      <x:c r="J748" s="28" t="str">
        <x:v>землистый, ореховый, сельдерейно-пряный и слегка грибной</x:v>
      </x:c>
      <x:c r="K748" s="28" t="str">
        <x:v>сладкий, карамельный и жареный</x:v>
      </x:c>
      <x:c r="L748" s="28" t="str">
        <x:v>фталиды, селинен, лимонен, метиональ</x:v>
      </x:c>
      <x:c r="M748" s="28" t="str">
        <x:v>мальтол, пиразины, фураны</x:v>
      </x:c>
      <x:c r="N748" s="28" t="str">
        <x:v>прямое пересечение семейств не подтверждено</x:v>
      </x:c>
      <x:c r="O748" s="28" t="str">
        <x:v>надёжная общая ключевая молекула не установлена</x:v>
      </x:c>
      <x:c r="P748" s="28" t="str">
        <x:v>сенсорная комплементарность</x:v>
      </x:c>
      <x:c r="Q74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8" s="28" t="str">
        <x:v>минимальный</x:v>
      </x:c>
      <x:c r="S748" s="28" t="str">
        <x:v>плотная крахмалисто-волокнистая матрица</x:v>
      </x:c>
      <x:c r="T74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8" s="28" t="str">
        <x:v>Сельдерей корневой имеет профиль «землистый, ореховый, сельдерейно-пряный и слегка грибной». Партнёр «длиннозёрный рис»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748" s="28" t="str">
        <x:v>быстро окисляется после нарезки; избыток сельдерейных фталидов даёт аптечную ноту</x:v>
      </x:c>
      <x:c r="W748" s="28" t="str">
        <x:v>соль, кислота или ароматический жир</x:v>
      </x:c>
      <x:c r="X748" s="28" t="str">
        <x:v>пюре, суп, запекание, крем, гарнир, соус или десертная разработка с длиннозёрный рис</x:v>
      </x:c>
      <x:c r="Y748" s="28" t="str">
        <x:v>десерты</x:v>
      </x:c>
      <x:c r="Z748" s="28" t="str">
        <x:v>Средняя</x:v>
      </x:c>
      <x:c r="AA748" s="28" t="str">
        <x:v>The Art &amp; Science of Foodpairing.pdf</x:v>
      </x:c>
      <x:c r="AB748" s="28" t="str">
        <x:v>The Art &amp; Science of Foodpairing.pdf: 52</x:v>
      </x:c>
      <x:c r="AC748" s="28" t="str">
        <x:v>связь из pairing grid, стр. 52</x:v>
      </x:c>
      <x:c r="AD748" s="28" t="n">
        <x:v>1</x:v>
      </x:c>
      <x:c r="AE748" s="28" t="n">
        <x:v>1</x:v>
      </x:c>
      <x:c r="AF748" s="28" t="n">
        <x:f>IF(Z748="Высокая",3,IF(Z748="Средняя",2,1))+AD748*2+MIN(AE748,3)</x:f>
        <x:v>5</x:v>
      </x:c>
    </x:row>
    <x:row r="749" ht="64" customHeight="1">
      <x:c r="A749" s="28" t="str">
        <x:v>VEG-0748</x:v>
      </x:c>
      <x:c r="B749" s="28" t="str">
        <x:v>сельдерей корневой</x:v>
      </x:c>
      <x:c r="C749" s="28" t="str">
        <x:v>Универсальные</x:v>
      </x:c>
      <x:c r="D749" s="28" t="str">
        <x:v>сельдерей корневой</x:v>
      </x:c>
      <x:c r="E749" s="28" t="str">
        <x:v>celeriac</x:v>
      </x:c>
      <x:c r="F749" s="28" t="str">
        <x:v>Корнеплоды</x:v>
      </x:c>
      <x:c r="G749" s="28" t="str">
        <x:v>душистый перец</x:v>
      </x:c>
      <x:c r="H749" s="28" t="str">
        <x:v>allspice</x:v>
      </x:c>
      <x:c r="I749" s="28" t="str">
        <x:v>Специи</x:v>
      </x:c>
      <x:c r="J749" s="28" t="str">
        <x:v>землистый, ореховый, сельдерейно-пряный и слегка грибной</x:v>
      </x:c>
      <x:c r="K749" s="28" t="str">
        <x:v>пряный и древесный</x:v>
      </x:c>
      <x:c r="L749" s="28" t="str">
        <x:v>фталиды, селинен, лимонен, метиональ</x:v>
      </x:c>
      <x:c r="M749" s="28" t="str">
        <x:v>терпены, фенилпропаноиды</x:v>
      </x:c>
      <x:c r="N749" s="28" t="str">
        <x:v>пряный</x:v>
      </x:c>
      <x:c r="O749" s="28" t="str">
        <x:v>надёжная общая ключевая молекула не установлена</x:v>
      </x:c>
      <x:c r="P749" s="28" t="str">
        <x:v>пересечение ароматических семейств</x:v>
      </x:c>
      <x:c r="Q74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49" s="28" t="str">
        <x:v>минимальный</x:v>
      </x:c>
      <x:c r="S749" s="28" t="str">
        <x:v>плотная крахмалисто-волокнистая матрица</x:v>
      </x:c>
      <x:c r="T74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49" s="28" t="str">
        <x:v>Сельдерей корневой имеет профиль «землистый, ореховый, сельдерейно-пряный и слегка грибной». Партнёр «душистый перец» относится к группе «Специи» и даёт пряный и древесный. Профили пересекаются в семействах: пряный.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749" s="28" t="str">
        <x:v>быстро окисляется после нарезки; избыток сельдерейных фталидов даёт аптечную ноту</x:v>
      </x:c>
      <x:c r="W749" s="28" t="str">
        <x:v>цитрус, йогурт или мёд</x:v>
      </x:c>
      <x:c r="X749" s="28" t="str">
        <x:v>пюре, суп, запекание, крем, гарнир, соус или десертная разработка с душистый перец</x:v>
      </x:c>
      <x:c r="Y749" s="28" t="str">
        <x:v>универсальное</x:v>
      </x:c>
      <x:c r="Z749" s="28" t="str">
        <x:v>Средняя</x:v>
      </x:c>
      <x:c r="AA749" s="28" t="str">
        <x:v>The Art &amp; Science of Foodpairing.pdf</x:v>
      </x:c>
      <x:c r="AB749" s="28" t="str">
        <x:v>The Art &amp; Science of Foodpairing.pdf: 52</x:v>
      </x:c>
      <x:c r="AC749" s="28" t="str">
        <x:v>связь из pairing grid, стр. 52</x:v>
      </x:c>
      <x:c r="AD749" s="28" t="n">
        <x:v>1</x:v>
      </x:c>
      <x:c r="AE749" s="28" t="n">
        <x:v>1</x:v>
      </x:c>
      <x:c r="AF749" s="28" t="n">
        <x:f>IF(Z749="Высокая",3,IF(Z749="Средняя",2,1))+AD749*2+MIN(AE749,3)</x:f>
        <x:v>5</x:v>
      </x:c>
    </x:row>
    <x:row r="750" ht="64" customHeight="1">
      <x:c r="A750" s="28" t="str">
        <x:v>VEG-0749</x:v>
      </x:c>
      <x:c r="B750" s="28" t="str">
        <x:v>сельдерей корневой</x:v>
      </x:c>
      <x:c r="C750" s="28" t="str">
        <x:v>Еда и соусы</x:v>
      </x:c>
      <x:c r="D750" s="28" t="str">
        <x:v>сельдерей корневой</x:v>
      </x:c>
      <x:c r="E750" s="28" t="str">
        <x:v>celeriac</x:v>
      </x:c>
      <x:c r="F750" s="28" t="str">
        <x:v>Корнеплоды</x:v>
      </x:c>
      <x:c r="G750" s="28" t="str">
        <x:v>зелёная фасоль</x:v>
      </x:c>
      <x:c r="H750" s="28" t="str">
        <x:v>green beans</x:v>
      </x:c>
      <x:c r="I750" s="28" t="str">
        <x:v>Бобовые</x:v>
      </x:c>
      <x:c r="J750" s="28" t="str">
        <x:v>землистый, ореховый, сельдерейно-пряный и слегка грибной</x:v>
      </x:c>
      <x:c r="K750" s="28" t="str">
        <x:v>зелёный, травянистый, бобовый и слегка ореховый</x:v>
      </x:c>
      <x:c r="L750" s="28" t="str">
        <x:v>фталиды, селинен, лимонен, метиональ</x:v>
      </x:c>
      <x:c r="M750" s="28" t="str">
        <x:v>гексаналь, метоксипиразины, цис-3-гексенол</x:v>
      </x:c>
      <x:c r="N750" s="28" t="str">
        <x:v>ореховый</x:v>
      </x:c>
      <x:c r="O750" s="28" t="str">
        <x:v>надёжная общая ключевая молекула не установлена</x:v>
      </x:c>
      <x:c r="P750" s="28" t="str">
        <x:v>пересечение ароматических семейств</x:v>
      </x:c>
      <x:c r="Q75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0" s="28" t="str">
        <x:v>минимальный</x:v>
      </x:c>
      <x:c r="S750" s="28" t="str">
        <x:v>плотная крахмалисто-волокнистая матрица</x:v>
      </x:c>
      <x:c r="T75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0" s="28" t="str">
        <x:v>Сельдерей корневой имеет профиль «землистый, ореховый, сельдерейно-пряный и слегка грибной». Партнёр «зелёная фасоль» относится к группе «Бобовые» и даёт зелёный, травянистый, бобовый и слегка ореховый. Профили пересекаются в семействах: ореховый. Совместимость формируется за счёт баланса сладости, кислотности, горечи, умами и текстуры.</x:v>
      </x:c>
      <x:c r="V750" s="28" t="str">
        <x:v>быстро окисляется после нарезки; избыток сельдерейных фталидов даёт аптечную ноту</x:v>
      </x:c>
      <x:c r="W750" s="28" t="str">
        <x:v>соль, кислота или ароматический жир</x:v>
      </x:c>
      <x:c r="X750" s="28" t="str">
        <x:v>пюре, суп, запекание, крем, гарнир, соус или десертная разработка с зелёная фасоль</x:v>
      </x:c>
      <x:c r="Y750" s="28" t="str">
        <x:v>еда, соусы/маринады</x:v>
      </x:c>
      <x:c r="Z750" s="28" t="str">
        <x:v>Средняя</x:v>
      </x:c>
      <x:c r="AA750" s="28" t="str">
        <x:v>The Art &amp; Science of Foodpairing.pdf</x:v>
      </x:c>
      <x:c r="AB750" s="28" t="str">
        <x:v>The Art &amp; Science of Foodpairing.pdf: 52</x:v>
      </x:c>
      <x:c r="AC750" s="28" t="str">
        <x:v>связь из pairing grid, стр. 52</x:v>
      </x:c>
      <x:c r="AD750" s="28" t="n">
        <x:v>1</x:v>
      </x:c>
      <x:c r="AE750" s="28" t="n">
        <x:v>1</x:v>
      </x:c>
      <x:c r="AF750" s="28" t="n">
        <x:f>IF(Z750="Высокая",3,IF(Z750="Средняя",2,1))+AD750*2+MIN(AE750,3)</x:f>
        <x:v>5</x:v>
      </x:c>
    </x:row>
    <x:row r="751" ht="64" customHeight="1">
      <x:c r="A751" s="28" t="str">
        <x:v>VEG-0750</x:v>
      </x:c>
      <x:c r="B751" s="28" t="str">
        <x:v>сельдерей корневой</x:v>
      </x:c>
      <x:c r="C751" s="28" t="str">
        <x:v>Десерты и выпечка</x:v>
      </x:c>
      <x:c r="D751" s="28" t="str">
        <x:v>сельдерей корневой</x:v>
      </x:c>
      <x:c r="E751" s="28" t="str">
        <x:v>celeriac</x:v>
      </x:c>
      <x:c r="F751" s="28" t="str">
        <x:v>Корнеплоды</x:v>
      </x:c>
      <x:c r="G751" s="28" t="str">
        <x:v>инжир</x:v>
      </x:c>
      <x:c r="H751" s="28" t="str">
        <x:v>dried fig</x:v>
      </x:c>
      <x:c r="I751" s="28" t="str">
        <x:v>Фрукты и ягоды</x:v>
      </x:c>
      <x:c r="J751" s="28" t="str">
        <x:v>землистый, ореховый, сельдерейно-пряный и слегка грибной</x:v>
      </x:c>
      <x:c r="K751" s="28" t="str">
        <x:v>фруктовый, цветочный и свежий</x:v>
      </x:c>
      <x:c r="L751" s="28" t="str">
        <x:v>фталиды, селинен, лимонен, метиональ</x:v>
      </x:c>
      <x:c r="M751" s="28" t="str">
        <x:v>альдегиды, эфиры</x:v>
      </x:c>
      <x:c r="N751" s="28" t="str">
        <x:v>прямое пересечение семейств не подтверждено</x:v>
      </x:c>
      <x:c r="O751" s="28" t="str">
        <x:v>надёжная общая ключевая молекула не установлена</x:v>
      </x:c>
      <x:c r="P751" s="28" t="str">
        <x:v>кислотно-сладкий баланс</x:v>
      </x:c>
      <x:c r="Q75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1" s="28" t="str">
        <x:v>минимальный</x:v>
      </x:c>
      <x:c r="S751" s="28" t="str">
        <x:v>плотная крахмалисто-волокнистая матрица Водная кислая фаза усиливает свежесть, но может разжижать пюре и нарушать молочную эмульсию.</x:v>
      </x:c>
      <x:c r="T75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1" s="28" t="str">
        <x:v>Сельдерей корневой имеет профиль «землистый, ореховый, сельдерейно-пряный и слегка грибной». Партнёр «инжир»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51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W751" s="28" t="str">
        <x:v>цитрус, мёд или мягкая трава</x:v>
      </x:c>
      <x:c r="X751" s="28" t="str">
        <x:v>пюре, суп, запекание, крем, гарнир, соус или десертная разработка с инжир</x:v>
      </x:c>
      <x:c r="Y751" s="28" t="str">
        <x:v>десерты</x:v>
      </x:c>
      <x:c r="Z751" s="28" t="str">
        <x:v>Средняя</x:v>
      </x:c>
      <x:c r="AA751" s="28" t="str">
        <x:v>The Art &amp; Science of Foodpairing.pdf</x:v>
      </x:c>
      <x:c r="AB751" s="28" t="str">
        <x:v>The Art &amp; Science of Foodpairing.pdf: 52</x:v>
      </x:c>
      <x:c r="AC751" s="28" t="str">
        <x:v>связь из pairing grid, стр. 52</x:v>
      </x:c>
      <x:c r="AD751" s="28" t="n">
        <x:v>1</x:v>
      </x:c>
      <x:c r="AE751" s="28" t="n">
        <x:v>1</x:v>
      </x:c>
      <x:c r="AF751" s="28" t="n">
        <x:f>IF(Z751="Высокая",3,IF(Z751="Средняя",2,1))+AD751*2+MIN(AE751,3)</x:f>
        <x:v>5</x:v>
      </x:c>
    </x:row>
    <x:row r="752" ht="64" customHeight="1">
      <x:c r="A752" s="28" t="str">
        <x:v>VEG-0751</x:v>
      </x:c>
      <x:c r="B752" s="28" t="str">
        <x:v>сельдерей корневой</x:v>
      </x:c>
      <x:c r="C752" s="28" t="str">
        <x:v>Универсальные</x:v>
      </x:c>
      <x:c r="D752" s="28" t="str">
        <x:v>сельдерей корневой</x:v>
      </x:c>
      <x:c r="E752" s="28" t="str">
        <x:v>celeriac</x:v>
      </x:c>
      <x:c r="F752" s="28" t="str">
        <x:v>Корнеплоды</x:v>
      </x:c>
      <x:c r="G752" s="28" t="str">
        <x:v>кабан</x:v>
      </x:c>
      <x:c r="H752" s="28" t="str">
        <x:v>roast wild boar</x:v>
      </x:c>
      <x:c r="I752" s="28" t="str">
        <x:v>Прочее</x:v>
      </x:c>
      <x:c r="J752" s="28" t="str">
        <x:v>землистый, ореховый, сельдерейно-пряный и слегка грибной</x:v>
      </x:c>
      <x:c r="K752" s="28" t="str">
        <x:v>профиль зависит от конкретного продукта</x:v>
      </x:c>
      <x:c r="L752" s="28" t="str">
        <x:v>фталиды, селинен, лимонен, метиональ</x:v>
      </x:c>
      <x:c r="M752" s="28" t="str">
        <x:v>конкретный молекулярный профиль не указан</x:v>
      </x:c>
      <x:c r="N752" s="28" t="str">
        <x:v>прямое пересечение семейств не подтверждено</x:v>
      </x:c>
      <x:c r="O752" s="28" t="str">
        <x:v>надёжная общая ключевая молекула не установлена</x:v>
      </x:c>
      <x:c r="P752" s="28" t="str">
        <x:v>сенсорная комплементарность</x:v>
      </x:c>
      <x:c r="Q75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2" s="28" t="str">
        <x:v>минимальный</x:v>
      </x:c>
      <x:c r="S752" s="28" t="str">
        <x:v>плотная крахмалисто-волокнистая матрица</x:v>
      </x:c>
      <x:c r="T75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2" s="28" t="str">
        <x:v>Сельдерей корневой имеет профиль «землистый, ореховый, сельдерейно-пряный и слегка грибной». Партнёр «кабан»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52" s="28" t="str">
        <x:v>быстро окисляется после нарезки; избыток сельдерейных фталидов даёт аптечную ноту</x:v>
      </x:c>
      <x:c r="W752" s="28" t="str">
        <x:v>соль, кислота или ароматический жир</x:v>
      </x:c>
      <x:c r="X752" s="28" t="str">
        <x:v>пюре, суп, запекание, крем, гарнир, соус или десертная разработка с кабан</x:v>
      </x:c>
      <x:c r="Y752" s="28" t="str">
        <x:v>универсальное</x:v>
      </x:c>
      <x:c r="Z752" s="28" t="str">
        <x:v>Средняя</x:v>
      </x:c>
      <x:c r="AA752" s="28" t="str">
        <x:v>The Art &amp; Science of Foodpairing.pdf</x:v>
      </x:c>
      <x:c r="AB752" s="28" t="str">
        <x:v>The Art &amp; Science of Foodpairing.pdf: 52</x:v>
      </x:c>
      <x:c r="AC752" s="28" t="str">
        <x:v>связь из pairing grid, стр. 52</x:v>
      </x:c>
      <x:c r="AD752" s="28" t="n">
        <x:v>1</x:v>
      </x:c>
      <x:c r="AE752" s="28" t="n">
        <x:v>1</x:v>
      </x:c>
      <x:c r="AF752" s="28" t="n">
        <x:f>IF(Z752="Высокая",3,IF(Z752="Средняя",2,1))+AD752*2+MIN(AE752,3)</x:f>
        <x:v>5</x:v>
      </x:c>
    </x:row>
    <x:row r="753" ht="64" customHeight="1">
      <x:c r="A753" s="28" t="str">
        <x:v>VEG-0752</x:v>
      </x:c>
      <x:c r="B753" s="28" t="str">
        <x:v>сельдерей корневой</x:v>
      </x:c>
      <x:c r="C753" s="28" t="str">
        <x:v>Универсальные</x:v>
      </x:c>
      <x:c r="D753" s="28" t="str">
        <x:v>сельдерей корневой</x:v>
      </x:c>
      <x:c r="E753" s="28" t="str">
        <x:v>celeriac</x:v>
      </x:c>
      <x:c r="F753" s="28" t="str">
        <x:v>Корнеплоды</x:v>
      </x:c>
      <x:c r="G753" s="28" t="str">
        <x:v>камбала</x:v>
      </x:c>
      <x:c r="H753" s="28" t="str">
        <x:v>baked plaice</x:v>
      </x:c>
      <x:c r="I753" s="28" t="str">
        <x:v>Прочее</x:v>
      </x:c>
      <x:c r="J753" s="28" t="str">
        <x:v>землистый, ореховый, сельдерейно-пряный и слегка грибной</x:v>
      </x:c>
      <x:c r="K753" s="28" t="str">
        <x:v>профиль зависит от конкретного продукта</x:v>
      </x:c>
      <x:c r="L753" s="28" t="str">
        <x:v>фталиды, селинен, лимонен, метиональ</x:v>
      </x:c>
      <x:c r="M753" s="28" t="str">
        <x:v>конкретный молекулярный профиль не указан</x:v>
      </x:c>
      <x:c r="N753" s="28" t="str">
        <x:v>прямое пересечение семейств не подтверждено</x:v>
      </x:c>
      <x:c r="O753" s="28" t="str">
        <x:v>надёжная общая ключевая молекула не установлена</x:v>
      </x:c>
      <x:c r="P753" s="28" t="str">
        <x:v>сенсорная комплементарность</x:v>
      </x:c>
      <x:c r="Q75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3" s="28" t="str">
        <x:v>минимальный</x:v>
      </x:c>
      <x:c r="S753" s="28" t="str">
        <x:v>плотная крахмалисто-волокнистая матрица</x:v>
      </x:c>
      <x:c r="T75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3" s="28" t="str">
        <x:v>Сельдерей корневой имеет профиль «землистый, ореховый, сельдерейно-пряный и слегка грибной». Партнёр «камбала»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53" s="28" t="str">
        <x:v>быстро окисляется после нарезки; избыток сельдерейных фталидов даёт аптечную ноту</x:v>
      </x:c>
      <x:c r="W753" s="28" t="str">
        <x:v>соль, кислота или ароматический жир</x:v>
      </x:c>
      <x:c r="X753" s="28" t="str">
        <x:v>пюре, суп, запекание, крем, гарнир, соус или десертная разработка с камбала</x:v>
      </x:c>
      <x:c r="Y753" s="28" t="str">
        <x:v>универсальное</x:v>
      </x:c>
      <x:c r="Z753" s="28" t="str">
        <x:v>Средняя</x:v>
      </x:c>
      <x:c r="AA753" s="28" t="str">
        <x:v>The Art &amp; Science of Foodpairing.pdf</x:v>
      </x:c>
      <x:c r="AB753" s="28" t="str">
        <x:v>The Art &amp; Science of Foodpairing.pdf: 52</x:v>
      </x:c>
      <x:c r="AC753" s="28" t="str">
        <x:v>связь из pairing grid, стр. 52</x:v>
      </x:c>
      <x:c r="AD753" s="28" t="n">
        <x:v>1</x:v>
      </x:c>
      <x:c r="AE753" s="28" t="n">
        <x:v>1</x:v>
      </x:c>
      <x:c r="AF753" s="28" t="n">
        <x:f>IF(Z753="Высокая",3,IF(Z753="Средняя",2,1))+AD753*2+MIN(AE753,3)</x:f>
        <x:v>5</x:v>
      </x:c>
    </x:row>
    <x:row r="754" ht="64" customHeight="1">
      <x:c r="A754" s="28" t="str">
        <x:v>VEG-0753</x:v>
      </x:c>
      <x:c r="B754" s="28" t="str">
        <x:v>сельдерей корневой</x:v>
      </x:c>
      <x:c r="C754" s="28" t="str">
        <x:v>Еда и соусы</x:v>
      </x:c>
      <x:c r="D754" s="28" t="str">
        <x:v>сельдерей корневой</x:v>
      </x:c>
      <x:c r="E754" s="28" t="str">
        <x:v>celeriac</x:v>
      </x:c>
      <x:c r="F754" s="28" t="str">
        <x:v>Корнеплоды</x:v>
      </x:c>
      <x:c r="G754" s="28" t="str">
        <x:v>капуста</x:v>
      </x:c>
      <x:c r="H754" s="28" t="str">
        <x:v>cooked green cabbage</x:v>
      </x:c>
      <x:c r="I754" s="28" t="str">
        <x:v>Крестоцветные</x:v>
      </x:c>
      <x:c r="J754" s="28" t="str">
        <x:v>землистый, ореховый, сельдерейно-пряный и слегка грибной</x:v>
      </x:c>
      <x:c r="K754" s="28" t="str">
        <x:v>зелёный, горчичный, сернистый и сладковатый после приготовления</x:v>
      </x:c>
      <x:c r="L754" s="28" t="str">
        <x:v>фталиды, селинен, лимонен, метиональ</x:v>
      </x:c>
      <x:c r="M754" s="28" t="str">
        <x:v>глюкозинолаты, диметилсульфид, изотиоцианаты, метантиол</x:v>
      </x:c>
      <x:c r="N754" s="28" t="str">
        <x:v>прямое пересечение семейств не подтверждено</x:v>
      </x:c>
      <x:c r="O754" s="28" t="str">
        <x:v>надёжная общая ключевая молекула не установлена</x:v>
      </x:c>
      <x:c r="P754" s="28" t="str">
        <x:v>сенсорная комплементарность</x:v>
      </x:c>
      <x:c r="Q75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4" s="28" t="str">
        <x:v>минимальный</x:v>
      </x:c>
      <x:c r="S754" s="28" t="str">
        <x:v>плотная крахмалисто-волокнистая матрица</x:v>
      </x:c>
      <x:c r="T75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4" s="28" t="str">
        <x:v>Сельдерей корневой имеет профиль «землистый, ореховый, сельдерейно-пряный и слегка грибной». Партнёр «капуста» относится к группе «Крестоцветные» и даёт зелёный, горчичный, сернистый и сладковатый после приготовления.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54" s="28" t="str">
        <x:v>быстро окисляется после нарезки; избыток сельдерейных фталидов даёт аптечную ноту</x:v>
      </x:c>
      <x:c r="W754" s="28" t="str">
        <x:v>соль, кислота или ароматический жир</x:v>
      </x:c>
      <x:c r="X754" s="28" t="str">
        <x:v>пюре, суп, запекание, крем, гарнир, соус или десертная разработка с капуста</x:v>
      </x:c>
      <x:c r="Y754" s="28" t="str">
        <x:v>еда, соусы/маринады</x:v>
      </x:c>
      <x:c r="Z754" s="28" t="str">
        <x:v>Средняя</x:v>
      </x:c>
      <x:c r="AA754" s="28" t="str">
        <x:v>The Art &amp; Science of Foodpairing.pdf</x:v>
      </x:c>
      <x:c r="AB754" s="28" t="str">
        <x:v>The Art &amp; Science of Foodpairing.pdf: 52</x:v>
      </x:c>
      <x:c r="AC754" s="28" t="str">
        <x:v>связь из pairing grid, стр. 52</x:v>
      </x:c>
      <x:c r="AD754" s="28" t="n">
        <x:v>1</x:v>
      </x:c>
      <x:c r="AE754" s="28" t="n">
        <x:v>1</x:v>
      </x:c>
      <x:c r="AF754" s="28" t="n">
        <x:f>IF(Z754="Высокая",3,IF(Z754="Средняя",2,1))+AD754*2+MIN(AE754,3)</x:f>
        <x:v>5</x:v>
      </x:c>
    </x:row>
    <x:row r="755" ht="64" customHeight="1">
      <x:c r="A755" s="28" t="str">
        <x:v>VEG-0754</x:v>
      </x:c>
      <x:c r="B755" s="28" t="str">
        <x:v>сельдерей корневой</x:v>
      </x:c>
      <x:c r="C755" s="28" t="str">
        <x:v>Универсальные</x:v>
      </x:c>
      <x:c r="D755" s="28" t="str">
        <x:v>сельдерей корневой</x:v>
      </x:c>
      <x:c r="E755" s="28" t="str">
        <x:v>boiled celeriac</x:v>
      </x:c>
      <x:c r="F755" s="28" t="str">
        <x:v>Корнеплоды</x:v>
      </x:c>
      <x:c r="G755" s="28" t="str">
        <x:v>кардамон</x:v>
      </x:c>
      <x:c r="H755" s="28" t="str">
        <x:v>cardamom</x:v>
      </x:c>
      <x:c r="I755" s="28" t="str">
        <x:v>Специи</x:v>
      </x:c>
      <x:c r="J755" s="28" t="str">
        <x:v>землистый, ореховый, сельдерейно-пряный и слегка грибной</x:v>
      </x:c>
      <x:c r="K755" s="28" t="str">
        <x:v>камфорный, цветочный, цитрусовый</x:v>
      </x:c>
      <x:c r="L755" s="28" t="str">
        <x:v>фталиды, селинен, лимонен, метиональ</x:v>
      </x:c>
      <x:c r="M755" s="28" t="str">
        <x:v>1,8-цинеол, линалоол</x:v>
      </x:c>
      <x:c r="N755" s="28" t="str">
        <x:v>прямое пересечение семейств не подтверждено</x:v>
      </x:c>
      <x:c r="O755" s="28" t="str">
        <x:v>надёжная общая ключевая молекула не установлена</x:v>
      </x:c>
      <x:c r="P755" s="28" t="str">
        <x:v>сенсорная комплементарность</x:v>
      </x:c>
      <x:c r="Q75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5" s="28" t="str">
        <x:v>минимальный</x:v>
      </x:c>
      <x:c r="S755" s="28" t="str">
        <x:v>плотная крахмалисто-волокнистая матрица</x:v>
      </x:c>
      <x:c r="T75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5" s="28" t="str">
        <x:v>Сельдерей корневой имеет профиль «землистый, ореховый, сельдерейно-пряный и слегка грибной».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755" s="28" t="str">
        <x:v>быстро окисляется после нарезки; избыток сельдерейных фталидов даёт аптечную ноту</x:v>
      </x:c>
      <x:c r="W755" s="28" t="str">
        <x:v>цитрус, йогурт или мёд</x:v>
      </x:c>
      <x:c r="X755" s="28" t="str">
        <x:v>пюре, суп, запекание, крем, гарнир, соус или десертная разработка с кардамон</x:v>
      </x:c>
      <x:c r="Y755" s="28" t="str">
        <x:v>универсальное</x:v>
      </x:c>
      <x:c r="Z755" s="28" t="str">
        <x:v>Средняя</x:v>
      </x:c>
      <x:c r="AA755" s="28" t="str">
        <x:v>The Art &amp; Science of Foodpairing.pdf</x:v>
      </x:c>
      <x:c r="AB755" s="28" t="str">
        <x:v>The Art &amp; Science of Foodpairing.pdf: 256</x:v>
      </x:c>
      <x:c r="AC755" s="28" t="str">
        <x:v>связь из pairing grid, стр. 256</x:v>
      </x:c>
      <x:c r="AD755" s="28" t="n">
        <x:v>1</x:v>
      </x:c>
      <x:c r="AE755" s="28" t="n">
        <x:v>1</x:v>
      </x:c>
      <x:c r="AF755" s="28" t="n">
        <x:f>IF(Z755="Высокая",3,IF(Z755="Средняя",2,1))+AD755*2+MIN(AE755,3)</x:f>
        <x:v>5</x:v>
      </x:c>
    </x:row>
    <x:row r="756" ht="64" customHeight="1">
      <x:c r="A756" s="28" t="str">
        <x:v>VEG-0755</x:v>
      </x:c>
      <x:c r="B756" s="28" t="str">
        <x:v>сельдерей корневой</x:v>
      </x:c>
      <x:c r="C756" s="28" t="str">
        <x:v>Универсальные</x:v>
      </x:c>
      <x:c r="D756" s="28" t="str">
        <x:v>сельдерей корневой</x:v>
      </x:c>
      <x:c r="E756" s="28" t="str">
        <x:v>celeriac</x:v>
      </x:c>
      <x:c r="F756" s="28" t="str">
        <x:v>Корнеплоды</x:v>
      </x:c>
      <x:c r="G756" s="28" t="str">
        <x:v>кешью</x:v>
      </x:c>
      <x:c r="H756" s="28" t="str">
        <x:v>roasted cashew nut</x:v>
      </x:c>
      <x:c r="I756" s="28" t="str">
        <x:v>Прочее</x:v>
      </x:c>
      <x:c r="J756" s="28" t="str">
        <x:v>землистый, ореховый, сельдерейно-пряный и слегка грибной</x:v>
      </x:c>
      <x:c r="K756" s="28" t="str">
        <x:v>профиль зависит от конкретного продукта</x:v>
      </x:c>
      <x:c r="L756" s="28" t="str">
        <x:v>фталиды, селинен, лимонен, метиональ</x:v>
      </x:c>
      <x:c r="M756" s="28" t="str">
        <x:v>конкретный молекулярный профиль не указан</x:v>
      </x:c>
      <x:c r="N756" s="28" t="str">
        <x:v>прямое пересечение семейств не подтверждено</x:v>
      </x:c>
      <x:c r="O756" s="28" t="str">
        <x:v>надёжная общая ключевая молекула не установлена</x:v>
      </x:c>
      <x:c r="P756" s="28" t="str">
        <x:v>сенсорная комплементарность</x:v>
      </x:c>
      <x:c r="Q75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6" s="28" t="str">
        <x:v>минимальный</x:v>
      </x:c>
      <x:c r="S756" s="28" t="str">
        <x:v>плотная крахмалисто-волокнистая матрица</x:v>
      </x:c>
      <x:c r="T75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6" s="28" t="str">
        <x:v>Сельдерей корневой имеет профиль «землистый, ореховый, сельдерейно-пряный и слегка грибной». Партнёр «кешью»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56" s="28" t="str">
        <x:v>быстро окисляется после нарезки; избыток сельдерейных фталидов даёт аптечную ноту</x:v>
      </x:c>
      <x:c r="W756" s="28" t="str">
        <x:v>соль, кислота или ароматический жир</x:v>
      </x:c>
      <x:c r="X756" s="28" t="str">
        <x:v>пюре, суп, запекание, крем, гарнир, соус или десертная разработка с кешью</x:v>
      </x:c>
      <x:c r="Y756" s="28" t="str">
        <x:v>универсальное</x:v>
      </x:c>
      <x:c r="Z756" s="28" t="str">
        <x:v>Средняя</x:v>
      </x:c>
      <x:c r="AA756" s="28" t="str">
        <x:v>The Art &amp; Science of Foodpairing.pdf</x:v>
      </x:c>
      <x:c r="AB756" s="28" t="str">
        <x:v>The Art &amp; Science of Foodpairing.pdf: 52</x:v>
      </x:c>
      <x:c r="AC756" s="28" t="str">
        <x:v>связь из pairing grid, стр. 52</x:v>
      </x:c>
      <x:c r="AD756" s="28" t="n">
        <x:v>1</x:v>
      </x:c>
      <x:c r="AE756" s="28" t="n">
        <x:v>1</x:v>
      </x:c>
      <x:c r="AF756" s="28" t="n">
        <x:f>IF(Z756="Высокая",3,IF(Z756="Средняя",2,1))+AD756*2+MIN(AE756,3)</x:f>
        <x:v>5</x:v>
      </x:c>
    </x:row>
    <x:row r="757" ht="64" customHeight="1">
      <x:c r="A757" s="28" t="str">
        <x:v>VEG-0756</x:v>
      </x:c>
      <x:c r="B757" s="28" t="str">
        <x:v>сельдерей корневой</x:v>
      </x:c>
      <x:c r="C757" s="28" t="str">
        <x:v>Универсальные</x:v>
      </x:c>
      <x:c r="D757" s="28" t="str">
        <x:v>сельдерей корневой</x:v>
      </x:c>
      <x:c r="E757" s="28" t="str">
        <x:v>celeriac</x:v>
      </x:c>
      <x:c r="F757" s="28" t="str">
        <x:v>Корнеплоды</x:v>
      </x:c>
      <x:c r="G757" s="28" t="str">
        <x:v>костный мозг</x:v>
      </x:c>
      <x:c r="H757" s="28" t="str">
        <x:v>roast bone marrow</x:v>
      </x:c>
      <x:c r="I757" s="28" t="str">
        <x:v>Прочее</x:v>
      </x:c>
      <x:c r="J757" s="28" t="str">
        <x:v>землистый, ореховый, сельдерейно-пряный и слегка грибной</x:v>
      </x:c>
      <x:c r="K757" s="28" t="str">
        <x:v>профиль зависит от конкретного продукта</x:v>
      </x:c>
      <x:c r="L757" s="28" t="str">
        <x:v>фталиды, селинен, лимонен, метиональ</x:v>
      </x:c>
      <x:c r="M757" s="28" t="str">
        <x:v>конкретный молекулярный профиль не указан</x:v>
      </x:c>
      <x:c r="N757" s="28" t="str">
        <x:v>прямое пересечение семейств не подтверждено</x:v>
      </x:c>
      <x:c r="O757" s="28" t="str">
        <x:v>надёжная общая ключевая молекула не установлена</x:v>
      </x:c>
      <x:c r="P757" s="28" t="str">
        <x:v>сенсорная комплементарность</x:v>
      </x:c>
      <x:c r="Q75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7" s="28" t="str">
        <x:v>минимальный</x:v>
      </x:c>
      <x:c r="S757" s="28" t="str">
        <x:v>плотная крахмалисто-волокнистая матрица</x:v>
      </x:c>
      <x:c r="T75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7" s="28" t="str">
        <x:v>Сельдерей корневой имеет профиль «землистый, ореховый, сельдерейно-пряный и слегка грибной». Партнёр «костный мозг»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57" s="28" t="str">
        <x:v>быстро окисляется после нарезки; избыток сельдерейных фталидов даёт аптечную ноту</x:v>
      </x:c>
      <x:c r="W757" s="28" t="str">
        <x:v>соль, кислота или ароматический жир</x:v>
      </x:c>
      <x:c r="X757" s="28" t="str">
        <x:v>пюре, суп, запекание, крем, гарнир, соус или десертная разработка с костный мозг</x:v>
      </x:c>
      <x:c r="Y757" s="28" t="str">
        <x:v>универсальное</x:v>
      </x:c>
      <x:c r="Z757" s="28" t="str">
        <x:v>Средняя</x:v>
      </x:c>
      <x:c r="AA757" s="28" t="str">
        <x:v>The Art &amp; Science of Foodpairing.pdf</x:v>
      </x:c>
      <x:c r="AB757" s="28" t="str">
        <x:v>The Art &amp; Science of Foodpairing.pdf: 52</x:v>
      </x:c>
      <x:c r="AC757" s="28" t="str">
        <x:v>связь из pairing grid, стр. 52</x:v>
      </x:c>
      <x:c r="AD757" s="28" t="n">
        <x:v>1</x:v>
      </x:c>
      <x:c r="AE757" s="28" t="n">
        <x:v>1</x:v>
      </x:c>
      <x:c r="AF757" s="28" t="n">
        <x:f>IF(Z757="Высокая",3,IF(Z757="Средняя",2,1))+AD757*2+MIN(AE757,3)</x:f>
        <x:v>5</x:v>
      </x:c>
    </x:row>
    <x:row r="758" ht="64" customHeight="1">
      <x:c r="A758" s="28" t="str">
        <x:v>VEG-0757</x:v>
      </x:c>
      <x:c r="B758" s="28" t="str">
        <x:v>сельдерей корневой</x:v>
      </x:c>
      <x:c r="C758" s="28" t="str">
        <x:v>Еда и соусы</x:v>
      </x:c>
      <x:c r="D758" s="28" t="str">
        <x:v>сельдерей корневой</x:v>
      </x:c>
      <x:c r="E758" s="28" t="str">
        <x:v>celeriac</x:v>
      </x:c>
      <x:c r="F758" s="28" t="str">
        <x:v>Корнеплоды</x:v>
      </x:c>
      <x:c r="G758" s="28" t="str">
        <x:v>краб</x:v>
      </x:c>
      <x:c r="H758" s="28" t="str">
        <x:v>(Liocarcinus Holsatus) | baked flying crab</x:v>
      </x:c>
      <x:c r="I758" s="28" t="str">
        <x:v>Рыба и морепродукты</x:v>
      </x:c>
      <x:c r="J758" s="28" t="str">
        <x:v>землистый, ореховый, сельдерейно-пряный и слегка грибной</x:v>
      </x:c>
      <x:c r="K758" s="28" t="str">
        <x:v>морской, солоноватый и умами</x:v>
      </x:c>
      <x:c r="L758" s="28" t="str">
        <x:v>фталиды, селинен, лимонен, метиональ</x:v>
      </x:c>
      <x:c r="M758" s="28" t="str">
        <x:v>альдегиды, амины</x:v>
      </x:c>
      <x:c r="N758" s="28" t="str">
        <x:v>прямое пересечение семейств не подтверждено</x:v>
      </x:c>
      <x:c r="O758" s="28" t="str">
        <x:v>надёжная общая ключевая молекула не установлена</x:v>
      </x:c>
      <x:c r="P758" s="28" t="str">
        <x:v>умами и солёный контраст</x:v>
      </x:c>
      <x:c r="Q75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8" s="28" t="str">
        <x:v>минимальный</x:v>
      </x:c>
      <x:c r="S758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5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8" s="28" t="str">
        <x:v>Сельдерей корневой имеет профиль «землистый, ореховый, сельдерейно-пряный и слегка грибной». Партнёр «краб»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58" s="28" t="str">
        <x:v>быстро окисляется после нарезки; избыток сельдерейных фталидов даёт аптечную ноту</x:v>
      </x:c>
      <x:c r="W758" s="28" t="str">
        <x:v>сливочное масло, соевый соус или тимьян</x:v>
      </x:c>
      <x:c r="X758" s="28" t="str">
        <x:v>пюре, суп, запекание, крем, гарнир, соус или десертная разработка с краб</x:v>
      </x:c>
      <x:c r="Y758" s="28" t="str">
        <x:v>еда, соусы/маринады</x:v>
      </x:c>
      <x:c r="Z758" s="28" t="str">
        <x:v>Средняя</x:v>
      </x:c>
      <x:c r="AA758" s="28" t="str">
        <x:v>The Art &amp; Science of Foodpairing.pdf</x:v>
      </x:c>
      <x:c r="AB758" s="28" t="str">
        <x:v>The Art &amp; Science of Foodpairing.pdf: 52</x:v>
      </x:c>
      <x:c r="AC758" s="28" t="str">
        <x:v>связь из pairing grid, стр. 52; связь из pairing grid, стр. 52</x:v>
      </x:c>
      <x:c r="AD758" s="28" t="n">
        <x:v>1</x:v>
      </x:c>
      <x:c r="AE758" s="28" t="n">
        <x:v>2</x:v>
      </x:c>
      <x:c r="AF758" s="28" t="n">
        <x:f>IF(Z758="Высокая",3,IF(Z758="Средняя",2,1))+AD758*2+MIN(AE758,3)</x:f>
        <x:v>6</x:v>
      </x:c>
    </x:row>
    <x:row r="759" ht="64" customHeight="1">
      <x:c r="A759" s="28" t="str">
        <x:v>VEG-0758</x:v>
      </x:c>
      <x:c r="B759" s="28" t="str">
        <x:v>сельдерей корневой</x:v>
      </x:c>
      <x:c r="C759" s="28" t="str">
        <x:v>Еда и соусы</x:v>
      </x:c>
      <x:c r="D759" s="28" t="str">
        <x:v>сельдерей корневой</x:v>
      </x:c>
      <x:c r="E759" s="28" t="str">
        <x:v>celeriac</x:v>
      </x:c>
      <x:c r="F759" s="28" t="str">
        <x:v>Корнеплоды</x:v>
      </x:c>
      <x:c r="G759" s="28" t="str">
        <x:v>креветка</x:v>
      </x:c>
      <x:c r="H759" s="28" t="str">
        <x:v>pan-fried king prawn</x:v>
      </x:c>
      <x:c r="I759" s="28" t="str">
        <x:v>Рыба и морепродукты</x:v>
      </x:c>
      <x:c r="J759" s="28" t="str">
        <x:v>землистый, ореховый, сельдерейно-пряный и слегка грибной</x:v>
      </x:c>
      <x:c r="K759" s="28" t="str">
        <x:v>морской, солоноватый и умами</x:v>
      </x:c>
      <x:c r="L759" s="28" t="str">
        <x:v>фталиды, селинен, лимонен, метиональ</x:v>
      </x:c>
      <x:c r="M759" s="28" t="str">
        <x:v>альдегиды, амины</x:v>
      </x:c>
      <x:c r="N759" s="28" t="str">
        <x:v>прямое пересечение семейств не подтверждено</x:v>
      </x:c>
      <x:c r="O759" s="28" t="str">
        <x:v>надёжная общая ключевая молекула не установлена</x:v>
      </x:c>
      <x:c r="P759" s="28" t="str">
        <x:v>умами и солёный контраст</x:v>
      </x:c>
      <x:c r="Q75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59" s="28" t="str">
        <x:v>минимальный</x:v>
      </x:c>
      <x:c r="S759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5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59" s="28" t="str">
        <x:v>Сельдерей корневой имеет профиль «землистый, ореховый, сельдерейно-пряный и слегка грибной». Партнёр «креветка»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59" s="28" t="str">
        <x:v>быстро окисляется после нарезки; избыток сельдерейных фталидов даёт аптечную ноту</x:v>
      </x:c>
      <x:c r="W759" s="28" t="str">
        <x:v>сливочное масло, соевый соус или тимьян</x:v>
      </x:c>
      <x:c r="X759" s="28" t="str">
        <x:v>пюре, суп, запекание, крем, гарнир, соус или десертная разработка с креветка</x:v>
      </x:c>
      <x:c r="Y759" s="28" t="str">
        <x:v>еда, соусы/маринады</x:v>
      </x:c>
      <x:c r="Z759" s="28" t="str">
        <x:v>Средняя</x:v>
      </x:c>
      <x:c r="AA759" s="28" t="str">
        <x:v>The Art &amp; Science of Foodpairing.pdf</x:v>
      </x:c>
      <x:c r="AB759" s="28" t="str">
        <x:v>The Art &amp; Science of Foodpairing.pdf: 52</x:v>
      </x:c>
      <x:c r="AC759" s="28" t="str">
        <x:v>связь из pairing grid, стр. 52</x:v>
      </x:c>
      <x:c r="AD759" s="28" t="n">
        <x:v>1</x:v>
      </x:c>
      <x:c r="AE759" s="28" t="n">
        <x:v>1</x:v>
      </x:c>
      <x:c r="AF759" s="28" t="n">
        <x:f>IF(Z759="Высокая",3,IF(Z759="Средняя",2,1))+AD759*2+MIN(AE759,3)</x:f>
        <x:v>5</x:v>
      </x:c>
    </x:row>
    <x:row r="760" ht="64" customHeight="1">
      <x:c r="A760" s="28" t="str">
        <x:v>VEG-0759</x:v>
      </x:c>
      <x:c r="B760" s="28" t="str">
        <x:v>сельдерей корневой</x:v>
      </x:c>
      <x:c r="C760" s="28" t="str">
        <x:v>Еда и соусы</x:v>
      </x:c>
      <x:c r="D760" s="28" t="str">
        <x:v>сельдерей корневой</x:v>
      </x:c>
      <x:c r="E760" s="28" t="str">
        <x:v>celeriac | raw celeriac</x:v>
      </x:c>
      <x:c r="F760" s="28" t="str">
        <x:v>Корнеплоды</x:v>
      </x:c>
      <x:c r="G760" s="28" t="str">
        <x:v>креветки</x:v>
      </x:c>
      <x:c r="H760" s="28" t="str">
        <x:v>brown shrimp | roasted brown shrimp</x:v>
      </x:c>
      <x:c r="I760" s="28" t="str">
        <x:v>Рыба и морепродукты</x:v>
      </x:c>
      <x:c r="J760" s="28" t="str">
        <x:v>землистый, ореховый, сельдерейно-пряный и слегка грибной</x:v>
      </x:c>
      <x:c r="K760" s="28" t="str">
        <x:v>морской, солоноватый и умами</x:v>
      </x:c>
      <x:c r="L760" s="28" t="str">
        <x:v>фталиды, селинен, лимонен, метиональ</x:v>
      </x:c>
      <x:c r="M760" s="28" t="str">
        <x:v>альдегиды, амины</x:v>
      </x:c>
      <x:c r="N760" s="28" t="str">
        <x:v>прямое пересечение семейств не подтверждено</x:v>
      </x:c>
      <x:c r="O760" s="28" t="str">
        <x:v>надёжная общая ключевая молекула не установлена</x:v>
      </x:c>
      <x:c r="P760" s="28" t="str">
        <x:v>умами и солёный контраст</x:v>
      </x:c>
      <x:c r="Q76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0" s="28" t="str">
        <x:v>минимальный</x:v>
      </x:c>
      <x:c r="S760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6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0" s="28" t="str">
        <x:v>Сельдерей корневой имеет профиль «землистый, ореховый, сельдерейно-пряный и слегка грибной». Партнёр «креветки»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60" s="28" t="str">
        <x:v>быстро окисляется после нарезки; избыток сельдерейных фталидов даёт аптечную ноту</x:v>
      </x:c>
      <x:c r="W760" s="28" t="str">
        <x:v>сливочное масло, соевый соус или тимьян</x:v>
      </x:c>
      <x:c r="X760" s="28" t="str">
        <x:v>пюре, суп, запекание, крем, гарнир, соус или десертная разработка с креветки</x:v>
      </x:c>
      <x:c r="Y760" s="28" t="str">
        <x:v>еда, соусы/маринады</x:v>
      </x:c>
      <x:c r="Z760" s="28" t="str">
        <x:v>Высокая</x:v>
      </x:c>
      <x:c r="AA760" s="28" t="str">
        <x:v>The Art &amp; Science of Foodpairing.pdf</x:v>
      </x:c>
      <x:c r="AB760" s="28" t="str">
        <x:v>The Art &amp; Science of Foodpairing.pdf: 52</x:v>
      </x:c>
      <x:c r="AC760" s="28" t="str">
        <x:v>прямая Potential pairing, стр. 52; связь из pairing grid, стр. 52</x:v>
      </x:c>
      <x:c r="AD760" s="28" t="n">
        <x:v>1</x:v>
      </x:c>
      <x:c r="AE760" s="28" t="n">
        <x:v>2</x:v>
      </x:c>
      <x:c r="AF760" s="28" t="n">
        <x:f>IF(Z760="Высокая",3,IF(Z760="Средняя",2,1))+AD760*2+MIN(AE760,3)</x:f>
        <x:v>7</x:v>
      </x:c>
    </x:row>
    <x:row r="761" ht="64" customHeight="1">
      <x:c r="A761" s="28" t="str">
        <x:v>VEG-0760</x:v>
      </x:c>
      <x:c r="B761" s="28" t="str">
        <x:v>сельдерей корневой</x:v>
      </x:c>
      <x:c r="C761" s="28" t="str">
        <x:v>Универсальные</x:v>
      </x:c>
      <x:c r="D761" s="28" t="str">
        <x:v>сельдерей корневой</x:v>
      </x:c>
      <x:c r="E761" s="28" t="str">
        <x:v>celeriac</x:v>
      </x:c>
      <x:c r="F761" s="28" t="str">
        <x:v>Корнеплоды</x:v>
      </x:c>
      <x:c r="G761" s="28" t="str">
        <x:v>куркума</x:v>
      </x:c>
      <x:c r="H761" s="28" t="str">
        <x:v>turmeric</x:v>
      </x:c>
      <x:c r="I761" s="28" t="str">
        <x:v>Прочее</x:v>
      </x:c>
      <x:c r="J761" s="28" t="str">
        <x:v>землистый, ореховый, сельдерейно-пряный и слегка грибной</x:v>
      </x:c>
      <x:c r="K761" s="28" t="str">
        <x:v>профиль зависит от конкретного продукта</x:v>
      </x:c>
      <x:c r="L761" s="28" t="str">
        <x:v>фталиды, селинен, лимонен, метиональ</x:v>
      </x:c>
      <x:c r="M761" s="28" t="str">
        <x:v>конкретный молекулярный профиль не указан</x:v>
      </x:c>
      <x:c r="N761" s="28" t="str">
        <x:v>прямое пересечение семейств не подтверждено</x:v>
      </x:c>
      <x:c r="O761" s="28" t="str">
        <x:v>надёжная общая ключевая молекула не установлена</x:v>
      </x:c>
      <x:c r="P761" s="28" t="str">
        <x:v>сенсорная комплементарность</x:v>
      </x:c>
      <x:c r="Q76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1" s="28" t="str">
        <x:v>минимальный</x:v>
      </x:c>
      <x:c r="S761" s="28" t="str">
        <x:v>плотная крахмалисто-волокнистая матрица</x:v>
      </x:c>
      <x:c r="T76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1" s="28" t="str">
        <x:v>Сельдерей корневой имеет профиль «землистый, ореховый, сельдерейно-пряный и слегка грибной».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61" s="28" t="str">
        <x:v>быстро окисляется после нарезки; избыток сельдерейных фталидов даёт аптечную ноту</x:v>
      </x:c>
      <x:c r="W761" s="28" t="str">
        <x:v>соль, кислота или ароматический жир</x:v>
      </x:c>
      <x:c r="X761" s="28" t="str">
        <x:v>пюре, суп, запекание, крем, гарнир, соус или десертная разработка с куркума</x:v>
      </x:c>
      <x:c r="Y761" s="28" t="str">
        <x:v>универсальное</x:v>
      </x:c>
      <x:c r="Z761" s="28" t="str">
        <x:v>Средняя</x:v>
      </x:c>
      <x:c r="AA761" s="28" t="str">
        <x:v>The Art &amp; Science of Foodpairing.pdf</x:v>
      </x:c>
      <x:c r="AB761" s="28" t="str">
        <x:v>The Art &amp; Science of Foodpairing.pdf: 52</x:v>
      </x:c>
      <x:c r="AC761" s="28" t="str">
        <x:v>связь из pairing grid, стр. 52</x:v>
      </x:c>
      <x:c r="AD761" s="28" t="n">
        <x:v>1</x:v>
      </x:c>
      <x:c r="AE761" s="28" t="n">
        <x:v>1</x:v>
      </x:c>
      <x:c r="AF761" s="28" t="n">
        <x:f>IF(Z761="Высокая",3,IF(Z761="Средняя",2,1))+AD761*2+MIN(AE761,3)</x:f>
        <x:v>5</x:v>
      </x:c>
    </x:row>
    <x:row r="762" ht="64" customHeight="1">
      <x:c r="A762" s="28" t="str">
        <x:v>VEG-0761</x:v>
      </x:c>
      <x:c r="B762" s="28" t="str">
        <x:v>сельдерей корневой</x:v>
      </x:c>
      <x:c r="C762" s="28" t="str">
        <x:v>Универсальные</x:v>
      </x:c>
      <x:c r="D762" s="28" t="str">
        <x:v>сельдерей корневой</x:v>
      </x:c>
      <x:c r="E762" s="28" t="str">
        <x:v>celeriac</x:v>
      </x:c>
      <x:c r="F762" s="28" t="str">
        <x:v>Корнеплоды</x:v>
      </x:c>
      <x:c r="G762" s="28" t="str">
        <x:v>лаванда</x:v>
      </x:c>
      <x:c r="H762" s="28" t="str">
        <x:v>lavender</x:v>
      </x:c>
      <x:c r="I762" s="28" t="str">
        <x:v>Прочее</x:v>
      </x:c>
      <x:c r="J762" s="28" t="str">
        <x:v>землистый, ореховый, сельдерейно-пряный и слегка грибной</x:v>
      </x:c>
      <x:c r="K762" s="28" t="str">
        <x:v>профиль зависит от конкретного продукта</x:v>
      </x:c>
      <x:c r="L762" s="28" t="str">
        <x:v>фталиды, селинен, лимонен, метиональ</x:v>
      </x:c>
      <x:c r="M762" s="28" t="str">
        <x:v>конкретный молекулярный профиль не указан</x:v>
      </x:c>
      <x:c r="N762" s="28" t="str">
        <x:v>прямое пересечение семейств не подтверждено</x:v>
      </x:c>
      <x:c r="O762" s="28" t="str">
        <x:v>надёжная общая ключевая молекула не установлена</x:v>
      </x:c>
      <x:c r="P762" s="28" t="str">
        <x:v>сенсорная комплементарность</x:v>
      </x:c>
      <x:c r="Q76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2" s="28" t="str">
        <x:v>минимальный</x:v>
      </x:c>
      <x:c r="S762" s="28" t="str">
        <x:v>плотная крахмалисто-волокнистая матрица</x:v>
      </x:c>
      <x:c r="T76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2" s="28" t="str">
        <x:v>Сельдерей корневой имеет профиль «землистый, ореховый, сельдерейно-пряный и слегка грибной». Партнёр «лаванда»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62" s="28" t="str">
        <x:v>быстро окисляется после нарезки; избыток сельдерейных фталидов даёт аптечную ноту</x:v>
      </x:c>
      <x:c r="W762" s="28" t="str">
        <x:v>соль, кислота или ароматический жир</x:v>
      </x:c>
      <x:c r="X762" s="28" t="str">
        <x:v>пюре, суп, запекание, крем, гарнир, соус или десертная разработка с лаванда</x:v>
      </x:c>
      <x:c r="Y762" s="28" t="str">
        <x:v>универсальное</x:v>
      </x:c>
      <x:c r="Z762" s="28" t="str">
        <x:v>Высокая</x:v>
      </x:c>
      <x:c r="AA762" s="28" t="str">
        <x:v>The Art &amp; Science of Foodpairing.pdf</x:v>
      </x:c>
      <x:c r="AB762" s="28" t="str">
        <x:v>The Art &amp; Science of Foodpairing.pdf: 53</x:v>
      </x:c>
      <x:c r="AC762" s="28" t="str">
        <x:v>прямая Potential pairing, стр. 53</x:v>
      </x:c>
      <x:c r="AD762" s="28" t="n">
        <x:v>1</x:v>
      </x:c>
      <x:c r="AE762" s="28" t="n">
        <x:v>1</x:v>
      </x:c>
      <x:c r="AF762" s="28" t="n">
        <x:f>IF(Z762="Высокая",3,IF(Z762="Средняя",2,1))+AD762*2+MIN(AE762,3)</x:f>
        <x:v>6</x:v>
      </x:c>
    </x:row>
    <x:row r="763" ht="64" customHeight="1">
      <x:c r="A763" s="28" t="str">
        <x:v>VEG-0762</x:v>
      </x:c>
      <x:c r="B763" s="28" t="str">
        <x:v>сельдерей корневой</x:v>
      </x:c>
      <x:c r="C763" s="28" t="str">
        <x:v>Универсальные</x:v>
      </x:c>
      <x:c r="D763" s="28" t="str">
        <x:v>сельдерей корневой</x:v>
      </x:c>
      <x:c r="E763" s="28" t="str">
        <x:v>celeriac</x:v>
      </x:c>
      <x:c r="F763" s="28" t="str">
        <x:v>Корнеплоды</x:v>
      </x:c>
      <x:c r="G763" s="28" t="str">
        <x:v>листья кориандра</x:v>
      </x:c>
      <x:c r="H763" s="28" t="str">
        <x:v>coriander leaves</x:v>
      </x:c>
      <x:c r="I763" s="28" t="str">
        <x:v>Травы, цветы и листья</x:v>
      </x:c>
      <x:c r="J763" s="28" t="str">
        <x:v>землистый, ореховый, сельдерейно-пряный и слегка грибной</x:v>
      </x:c>
      <x:c r="K763" s="28" t="str">
        <x:v>зелёный, цветочный и терпеновый</x:v>
      </x:c>
      <x:c r="L763" s="28" t="str">
        <x:v>фталиды, селинен, лимонен, метиональ</x:v>
      </x:c>
      <x:c r="M763" s="28" t="str">
        <x:v>линалоол, терпены</x:v>
      </x:c>
      <x:c r="N763" s="28" t="str">
        <x:v>прямое пересечение семейств не подтверждено</x:v>
      </x:c>
      <x:c r="O763" s="28" t="str">
        <x:v>надёжная общая ключевая молекула не установлена</x:v>
      </x:c>
      <x:c r="P763" s="28" t="str">
        <x:v>сенсорная комплементарность</x:v>
      </x:c>
      <x:c r="Q76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3" s="28" t="str">
        <x:v>минимальный</x:v>
      </x:c>
      <x:c r="S763" s="28" t="str">
        <x:v>плотная крахмалисто-волокнистая матрица</x:v>
      </x:c>
      <x:c r="T76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3" s="28" t="str">
        <x:v>Сельдерей корневой имеет профиль «землистый, ореховый, сельдерейно-пряный и слегка грибной».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763" s="28" t="str">
        <x:v>быстро окисляется после нарезки; избыток сельдерейных фталидов даёт аптечную ноту; длительный нагрев уносит свежие терпены и зелёные альдегиды</x:v>
      </x:c>
      <x:c r="W763" s="28" t="str">
        <x:v>оливковое масло, лимон или сыр</x:v>
      </x:c>
      <x:c r="X763" s="28" t="str">
        <x:v>пюре, суп, запекание, крем, гарнир, соус или десертная разработка с листья кориандра</x:v>
      </x:c>
      <x:c r="Y763" s="28" t="str">
        <x:v>универсальное</x:v>
      </x:c>
      <x:c r="Z763" s="28" t="str">
        <x:v>Средняя</x:v>
      </x:c>
      <x:c r="AA763" s="28" t="str">
        <x:v>The Art &amp; Science of Foodpairing.pdf</x:v>
      </x:c>
      <x:c r="AB763" s="28" t="str">
        <x:v>The Art &amp; Science of Foodpairing.pdf: 52</x:v>
      </x:c>
      <x:c r="AC763" s="28" t="str">
        <x:v>связь из pairing grid, стр. 52</x:v>
      </x:c>
      <x:c r="AD763" s="28" t="n">
        <x:v>1</x:v>
      </x:c>
      <x:c r="AE763" s="28" t="n">
        <x:v>1</x:v>
      </x:c>
      <x:c r="AF763" s="28" t="n">
        <x:f>IF(Z763="Высокая",3,IF(Z763="Средняя",2,1))+AD763*2+MIN(AE763,3)</x:f>
        <x:v>5</x:v>
      </x:c>
    </x:row>
    <x:row r="764" ht="64" customHeight="1">
      <x:c r="A764" s="28" t="str">
        <x:v>VEG-0763</x:v>
      </x:c>
      <x:c r="B764" s="28" t="str">
        <x:v>сельдерей корневой</x:v>
      </x:c>
      <x:c r="C764" s="28" t="str">
        <x:v>Универсальные</x:v>
      </x:c>
      <x:c r="D764" s="28" t="str">
        <x:v>сельдерей корневой</x:v>
      </x:c>
      <x:c r="E764" s="28" t="str">
        <x:v>celeriac</x:v>
      </x:c>
      <x:c r="F764" s="28" t="str">
        <x:v>Корнеплоды</x:v>
      </x:c>
      <x:c r="G764" s="28" t="str">
        <x:v>листья тмина</x:v>
      </x:c>
      <x:c r="H764" s="28" t="str">
        <x:v>dried caraway leaves</x:v>
      </x:c>
      <x:c r="I764" s="28" t="str">
        <x:v>Прочее</x:v>
      </x:c>
      <x:c r="J764" s="28" t="str">
        <x:v>землистый, ореховый, сельдерейно-пряный и слегка грибной</x:v>
      </x:c>
      <x:c r="K764" s="28" t="str">
        <x:v>профиль зависит от конкретного продукта</x:v>
      </x:c>
      <x:c r="L764" s="28" t="str">
        <x:v>фталиды, селинен, лимонен, метиональ</x:v>
      </x:c>
      <x:c r="M764" s="28" t="str">
        <x:v>конкретный молекулярный профиль не указан</x:v>
      </x:c>
      <x:c r="N764" s="28" t="str">
        <x:v>прямое пересечение семейств не подтверждено</x:v>
      </x:c>
      <x:c r="O764" s="28" t="str">
        <x:v>надёжная общая ключевая молекула не установлена</x:v>
      </x:c>
      <x:c r="P764" s="28" t="str">
        <x:v>сенсорная комплементарность</x:v>
      </x:c>
      <x:c r="Q76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4" s="28" t="str">
        <x:v>минимальный</x:v>
      </x:c>
      <x:c r="S764" s="28" t="str">
        <x:v>плотная крахмалисто-волокнистая матрица</x:v>
      </x:c>
      <x:c r="T76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4" s="28" t="str">
        <x:v>Сельдерей корневой имеет профиль «землистый, ореховый, сельдерейно-пряный и слегка грибной». Партнёр «листья тмина»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64" s="28" t="str">
        <x:v>быстро окисляется после нарезки; избыток сельдерейных фталидов даёт аптечную ноту</x:v>
      </x:c>
      <x:c r="W764" s="28" t="str">
        <x:v>соль, кислота или ароматический жир</x:v>
      </x:c>
      <x:c r="X764" s="28" t="str">
        <x:v>пюре, суп, запекание, крем, гарнир, соус или десертная разработка с листья тмина</x:v>
      </x:c>
      <x:c r="Y764" s="28" t="str">
        <x:v>универсальное</x:v>
      </x:c>
      <x:c r="Z764" s="28" t="str">
        <x:v>Средняя</x:v>
      </x:c>
      <x:c r="AA764" s="28" t="str">
        <x:v>The Art &amp; Science of Foodpairing.pdf</x:v>
      </x:c>
      <x:c r="AB764" s="28" t="str">
        <x:v>The Art &amp; Science of Foodpairing.pdf: 52</x:v>
      </x:c>
      <x:c r="AC764" s="28" t="str">
        <x:v>связь из pairing grid, стр. 52; связь из pairing grid, стр. 52</x:v>
      </x:c>
      <x:c r="AD764" s="28" t="n">
        <x:v>1</x:v>
      </x:c>
      <x:c r="AE764" s="28" t="n">
        <x:v>2</x:v>
      </x:c>
      <x:c r="AF764" s="28" t="n">
        <x:f>IF(Z764="Высокая",3,IF(Z764="Средняя",2,1))+AD764*2+MIN(AE764,3)</x:f>
        <x:v>6</x:v>
      </x:c>
    </x:row>
    <x:row r="765" ht="64" customHeight="1">
      <x:c r="A765" s="28" t="str">
        <x:v>VEG-0764</x:v>
      </x:c>
      <x:c r="B765" s="28" t="str">
        <x:v>сельдерей корневой</x:v>
      </x:c>
      <x:c r="C765" s="28" t="str">
        <x:v>Универсальные</x:v>
      </x:c>
      <x:c r="D765" s="28" t="str">
        <x:v>сельдерей корневой</x:v>
      </x:c>
      <x:c r="E765" s="28" t="str">
        <x:v>celeriac</x:v>
      </x:c>
      <x:c r="F765" s="28" t="str">
        <x:v>Корнеплоды</x:v>
      </x:c>
      <x:c r="G765" s="28" t="str">
        <x:v>листья эвкалипта</x:v>
      </x:c>
      <x:c r="H765" s="28" t="str">
        <x:v>dried eucalyptus leaves</x:v>
      </x:c>
      <x:c r="I765" s="28" t="str">
        <x:v>Прочее</x:v>
      </x:c>
      <x:c r="J765" s="28" t="str">
        <x:v>землистый, ореховый, сельдерейно-пряный и слегка грибной</x:v>
      </x:c>
      <x:c r="K765" s="28" t="str">
        <x:v>профиль зависит от конкретного продукта</x:v>
      </x:c>
      <x:c r="L765" s="28" t="str">
        <x:v>фталиды, селинен, лимонен, метиональ</x:v>
      </x:c>
      <x:c r="M765" s="28" t="str">
        <x:v>конкретный молекулярный профиль не указан</x:v>
      </x:c>
      <x:c r="N765" s="28" t="str">
        <x:v>прямое пересечение семейств не подтверждено</x:v>
      </x:c>
      <x:c r="O765" s="28" t="str">
        <x:v>надёжная общая ключевая молекула не установлена</x:v>
      </x:c>
      <x:c r="P765" s="28" t="str">
        <x:v>сенсорная комплементарность</x:v>
      </x:c>
      <x:c r="Q76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5" s="28" t="str">
        <x:v>минимальный</x:v>
      </x:c>
      <x:c r="S765" s="28" t="str">
        <x:v>плотная крахмалисто-волокнистая матрица</x:v>
      </x:c>
      <x:c r="T76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5" s="28" t="str">
        <x:v>Сельдерей корневой имеет профиль «землистый, ореховый, сельдерейно-пряный и слегка грибной». Партнёр «листья эвкалипта»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65" s="28" t="str">
        <x:v>быстро окисляется после нарезки; избыток сельдерейных фталидов даёт аптечную ноту</x:v>
      </x:c>
      <x:c r="W765" s="28" t="str">
        <x:v>соль, кислота или ароматический жир</x:v>
      </x:c>
      <x:c r="X765" s="28" t="str">
        <x:v>пюре, суп, запекание, крем, гарнир, соус или десертная разработка с листья эвкалипта</x:v>
      </x:c>
      <x:c r="Y765" s="28" t="str">
        <x:v>универсальное</x:v>
      </x:c>
      <x:c r="Z765" s="28" t="str">
        <x:v>Средняя</x:v>
      </x:c>
      <x:c r="AA765" s="28" t="str">
        <x:v>The Art &amp; Science of Foodpairing.pdf</x:v>
      </x:c>
      <x:c r="AB765" s="28" t="str">
        <x:v>The Art &amp; Science of Foodpairing.pdf: 52</x:v>
      </x:c>
      <x:c r="AC765" s="28" t="str">
        <x:v>связь из pairing grid, стр. 52</x:v>
      </x:c>
      <x:c r="AD765" s="28" t="n">
        <x:v>1</x:v>
      </x:c>
      <x:c r="AE765" s="28" t="n">
        <x:v>1</x:v>
      </x:c>
      <x:c r="AF765" s="28" t="n">
        <x:f>IF(Z765="Высокая",3,IF(Z765="Средняя",2,1))+AD765*2+MIN(AE765,3)</x:f>
        <x:v>5</x:v>
      </x:c>
    </x:row>
    <x:row r="766" ht="64" customHeight="1">
      <x:c r="A766" s="28" t="str">
        <x:v>VEG-0765</x:v>
      </x:c>
      <x:c r="B766" s="28" t="str">
        <x:v>сельдерей корневой</x:v>
      </x:c>
      <x:c r="C766" s="28" t="str">
        <x:v>Десерты и выпечка</x:v>
      </x:c>
      <x:c r="D766" s="28" t="str">
        <x:v>сельдерей корневой</x:v>
      </x:c>
      <x:c r="E766" s="28" t="str">
        <x:v>celeriac</x:v>
      </x:c>
      <x:c r="F766" s="28" t="str">
        <x:v>Корнеплоды</x:v>
      </x:c>
      <x:c r="G766" s="28" t="str">
        <x:v>мангостин</x:v>
      </x:c>
      <x:c r="H766" s="28" t="str">
        <x:v>mangosteen</x:v>
      </x:c>
      <x:c r="I766" s="28" t="str">
        <x:v>Фрукты и ягоды</x:v>
      </x:c>
      <x:c r="J766" s="28" t="str">
        <x:v>землистый, ореховый, сельдерейно-пряный и слегка грибной</x:v>
      </x:c>
      <x:c r="K766" s="28" t="str">
        <x:v>фруктовый, цветочный и свежий</x:v>
      </x:c>
      <x:c r="L766" s="28" t="str">
        <x:v>фталиды, селинен, лимонен, метиональ</x:v>
      </x:c>
      <x:c r="M766" s="28" t="str">
        <x:v>альдегиды, эфиры</x:v>
      </x:c>
      <x:c r="N766" s="28" t="str">
        <x:v>прямое пересечение семейств не подтверждено</x:v>
      </x:c>
      <x:c r="O766" s="28" t="str">
        <x:v>надёжная общая ключевая молекула не установлена</x:v>
      </x:c>
      <x:c r="P766" s="28" t="str">
        <x:v>кислотно-сладкий баланс</x:v>
      </x:c>
      <x:c r="Q76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6" s="28" t="str">
        <x:v>минимальный</x:v>
      </x:c>
      <x:c r="S766" s="28" t="str">
        <x:v>плотная крахмалисто-волокнистая матрица Водная кислая фаза усиливает свежесть, но может разжижать пюре и нарушать молочную эмульсию.</x:v>
      </x:c>
      <x:c r="T76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6" s="28" t="str">
        <x:v>Сельдерей корневой имеет профиль «землистый, ореховый, сельдерейно-пряный и слегка грибной». Партнёр «мангостин»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66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W766" s="28" t="str">
        <x:v>цитрус, мёд или мягкая трава</x:v>
      </x:c>
      <x:c r="X766" s="28" t="str">
        <x:v>пюре, суп, запекание, крем, гарнир, соус или десертная разработка с мангостин</x:v>
      </x:c>
      <x:c r="Y766" s="28" t="str">
        <x:v>десерты</x:v>
      </x:c>
      <x:c r="Z766" s="28" t="str">
        <x:v>Средняя</x:v>
      </x:c>
      <x:c r="AA766" s="28" t="str">
        <x:v>The Art &amp; Science of Foodpairing.pdf</x:v>
      </x:c>
      <x:c r="AB766" s="28" t="str">
        <x:v>The Art &amp; Science of Foodpairing.pdf: 52</x:v>
      </x:c>
      <x:c r="AC766" s="28" t="str">
        <x:v>связь из pairing grid, стр. 52</x:v>
      </x:c>
      <x:c r="AD766" s="28" t="n">
        <x:v>1</x:v>
      </x:c>
      <x:c r="AE766" s="28" t="n">
        <x:v>1</x:v>
      </x:c>
      <x:c r="AF766" s="28" t="n">
        <x:f>IF(Z766="Высокая",3,IF(Z766="Средняя",2,1))+AD766*2+MIN(AE766,3)</x:f>
        <x:v>5</x:v>
      </x:c>
    </x:row>
    <x:row r="767" ht="64" customHeight="1">
      <x:c r="A767" s="28" t="str">
        <x:v>VEG-0766</x:v>
      </x:c>
      <x:c r="B767" s="28" t="str">
        <x:v>сельдерей корневой</x:v>
      </x:c>
      <x:c r="C767" s="28" t="str">
        <x:v>Универсальные</x:v>
      </x:c>
      <x:c r="D767" s="28" t="str">
        <x:v>сельдерей корневой</x:v>
      </x:c>
      <x:c r="E767" s="28" t="str">
        <x:v>celeriac</x:v>
      </x:c>
      <x:c r="F767" s="28" t="str">
        <x:v>Корнеплоды</x:v>
      </x:c>
      <x:c r="G767" s="28" t="str">
        <x:v>мандарин</x:v>
      </x:c>
      <x:c r="H767" s="28" t="str">
        <x:v>tangerine</x:v>
      </x:c>
      <x:c r="I767" s="28" t="str">
        <x:v>Прочее</x:v>
      </x:c>
      <x:c r="J767" s="28" t="str">
        <x:v>землистый, ореховый, сельдерейно-пряный и слегка грибной</x:v>
      </x:c>
      <x:c r="K767" s="28" t="str">
        <x:v>профиль зависит от конкретного продукта</x:v>
      </x:c>
      <x:c r="L767" s="28" t="str">
        <x:v>фталиды, селинен, лимонен, метиональ</x:v>
      </x:c>
      <x:c r="M767" s="28" t="str">
        <x:v>конкретный молекулярный профиль не указан</x:v>
      </x:c>
      <x:c r="N767" s="28" t="str">
        <x:v>прямое пересечение семейств не подтверждено</x:v>
      </x:c>
      <x:c r="O767" s="28" t="str">
        <x:v>надёжная общая ключевая молекула не установлена</x:v>
      </x:c>
      <x:c r="P767" s="28" t="str">
        <x:v>сенсорная комплементарность</x:v>
      </x:c>
      <x:c r="Q76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7" s="28" t="str">
        <x:v>минимальный</x:v>
      </x:c>
      <x:c r="S767" s="28" t="str">
        <x:v>плотная крахмалисто-волокнистая матрица</x:v>
      </x:c>
      <x:c r="T76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7" s="28" t="str">
        <x:v>Сельдерей корневой имеет профиль «землистый, ореховый, сельдерейно-пряный и слегка грибной». Партнёр «мандарин»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67" s="28" t="str">
        <x:v>быстро окисляется после нарезки; избыток сельдерейных фталидов даёт аптечную ноту</x:v>
      </x:c>
      <x:c r="W767" s="28" t="str">
        <x:v>соль, кислота или ароматический жир</x:v>
      </x:c>
      <x:c r="X767" s="28" t="str">
        <x:v>пюре, суп, запекание, крем, гарнир, соус или десертная разработка с мандарин</x:v>
      </x:c>
      <x:c r="Y767" s="28" t="str">
        <x:v>универсальное</x:v>
      </x:c>
      <x:c r="Z767" s="28" t="str">
        <x:v>Средняя</x:v>
      </x:c>
      <x:c r="AA767" s="28" t="str">
        <x:v>The Art &amp; Science of Foodpairing.pdf</x:v>
      </x:c>
      <x:c r="AB767" s="28" t="str">
        <x:v>The Art &amp; Science of Foodpairing.pdf: 52</x:v>
      </x:c>
      <x:c r="AC767" s="28" t="str">
        <x:v>связь из pairing grid, стр. 52</x:v>
      </x:c>
      <x:c r="AD767" s="28" t="n">
        <x:v>1</x:v>
      </x:c>
      <x:c r="AE767" s="28" t="n">
        <x:v>1</x:v>
      </x:c>
      <x:c r="AF767" s="28" t="n">
        <x:f>IF(Z767="Высокая",3,IF(Z767="Средняя",2,1))+AD767*2+MIN(AE767,3)</x:f>
        <x:v>5</x:v>
      </x:c>
    </x:row>
    <x:row r="768" ht="64" customHeight="1">
      <x:c r="A768" s="28" t="str">
        <x:v>VEG-0767</x:v>
      </x:c>
      <x:c r="B768" s="28" t="str">
        <x:v>сельдерей корневой</x:v>
      </x:c>
      <x:c r="C768" s="28" t="str">
        <x:v>Универсальные</x:v>
      </x:c>
      <x:c r="D768" s="28" t="str">
        <x:v>сельдерей корневой</x:v>
      </x:c>
      <x:c r="E768" s="28" t="str">
        <x:v>celeriac</x:v>
      </x:c>
      <x:c r="F768" s="28" t="str">
        <x:v>Корнеплоды</x:v>
      </x:c>
      <x:c r="G768" s="28" t="str">
        <x:v>мелисса</x:v>
      </x:c>
      <x:c r="H768" s="28" t="str">
        <x:v>lemon balm</x:v>
      </x:c>
      <x:c r="I768" s="28" t="str">
        <x:v>Прочее</x:v>
      </x:c>
      <x:c r="J768" s="28" t="str">
        <x:v>землистый, ореховый, сельдерейно-пряный и слегка грибной</x:v>
      </x:c>
      <x:c r="K768" s="28" t="str">
        <x:v>профиль зависит от конкретного продукта</x:v>
      </x:c>
      <x:c r="L768" s="28" t="str">
        <x:v>фталиды, селинен, лимонен, метиональ</x:v>
      </x:c>
      <x:c r="M768" s="28" t="str">
        <x:v>конкретный молекулярный профиль не указан</x:v>
      </x:c>
      <x:c r="N768" s="28" t="str">
        <x:v>прямое пересечение семейств не подтверждено</x:v>
      </x:c>
      <x:c r="O768" s="28" t="str">
        <x:v>надёжная общая ключевая молекула не установлена</x:v>
      </x:c>
      <x:c r="P768" s="28" t="str">
        <x:v>сенсорная комплементарность</x:v>
      </x:c>
      <x:c r="Q76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8" s="28" t="str">
        <x:v>минимальный</x:v>
      </x:c>
      <x:c r="S768" s="28" t="str">
        <x:v>плотная крахмалисто-волокнистая матрица</x:v>
      </x:c>
      <x:c r="T76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8" s="28" t="str">
        <x:v>Сельдерей корневой имеет профиль «землистый, ореховый, сельдерейно-пряный и слегка грибной». Партнёр «мелисса»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68" s="28" t="str">
        <x:v>быстро окисляется после нарезки; избыток сельдерейных фталидов даёт аптечную ноту</x:v>
      </x:c>
      <x:c r="W768" s="28" t="str">
        <x:v>соль, кислота или ароматический жир</x:v>
      </x:c>
      <x:c r="X768" s="28" t="str">
        <x:v>пюре, суп, запекание, крем, гарнир, соус или десертная разработка с мелисса</x:v>
      </x:c>
      <x:c r="Y768" s="28" t="str">
        <x:v>универсальное</x:v>
      </x:c>
      <x:c r="Z768" s="28" t="str">
        <x:v>Средняя</x:v>
      </x:c>
      <x:c r="AA768" s="28" t="str">
        <x:v>The Art &amp; Science of Foodpairing.pdf</x:v>
      </x:c>
      <x:c r="AB768" s="28" t="str">
        <x:v>The Art &amp; Science of Foodpairing.pdf: 52</x:v>
      </x:c>
      <x:c r="AC768" s="28" t="str">
        <x:v>связь из pairing grid, стр. 52</x:v>
      </x:c>
      <x:c r="AD768" s="28" t="n">
        <x:v>1</x:v>
      </x:c>
      <x:c r="AE768" s="28" t="n">
        <x:v>1</x:v>
      </x:c>
      <x:c r="AF768" s="28" t="n">
        <x:f>IF(Z768="Высокая",3,IF(Z768="Средняя",2,1))+AD768*2+MIN(AE768,3)</x:f>
        <x:v>5</x:v>
      </x:c>
    </x:row>
    <x:row r="769" ht="64" customHeight="1">
      <x:c r="A769" s="28" t="str">
        <x:v>VEG-0768</x:v>
      </x:c>
      <x:c r="B769" s="28" t="str">
        <x:v>сельдерей корневой</x:v>
      </x:c>
      <x:c r="C769" s="28" t="str">
        <x:v>Универсальные</x:v>
      </x:c>
      <x:c r="D769" s="28" t="str">
        <x:v>сельдерей корневой</x:v>
      </x:c>
      <x:c r="E769" s="28" t="str">
        <x:v>celeriac</x:v>
      </x:c>
      <x:c r="F769" s="28" t="str">
        <x:v>Корнеплоды</x:v>
      </x:c>
      <x:c r="G769" s="28" t="str">
        <x:v>мольва</x:v>
      </x:c>
      <x:c r="H769" s="28" t="str">
        <x:v>braised ling</x:v>
      </x:c>
      <x:c r="I769" s="28" t="str">
        <x:v>Прочее</x:v>
      </x:c>
      <x:c r="J769" s="28" t="str">
        <x:v>землистый, ореховый, сельдерейно-пряный и слегка грибной</x:v>
      </x:c>
      <x:c r="K769" s="28" t="str">
        <x:v>профиль зависит от конкретного продукта</x:v>
      </x:c>
      <x:c r="L769" s="28" t="str">
        <x:v>фталиды, селинен, лимонен, метиональ</x:v>
      </x:c>
      <x:c r="M769" s="28" t="str">
        <x:v>конкретный молекулярный профиль не указан</x:v>
      </x:c>
      <x:c r="N769" s="28" t="str">
        <x:v>прямое пересечение семейств не подтверждено</x:v>
      </x:c>
      <x:c r="O769" s="28" t="str">
        <x:v>надёжная общая ключевая молекула не установлена</x:v>
      </x:c>
      <x:c r="P769" s="28" t="str">
        <x:v>сенсорная комплементарность</x:v>
      </x:c>
      <x:c r="Q76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69" s="28" t="str">
        <x:v>минимальный</x:v>
      </x:c>
      <x:c r="S769" s="28" t="str">
        <x:v>плотная крахмалисто-волокнистая матрица</x:v>
      </x:c>
      <x:c r="T76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69" s="28" t="str">
        <x:v>Сельдерей корневой имеет профиль «землистый, ореховый, сельдерейно-пряный и слегка грибной». Партнёр «мольва»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69" s="28" t="str">
        <x:v>быстро окисляется после нарезки; избыток сельдерейных фталидов даёт аптечную ноту</x:v>
      </x:c>
      <x:c r="W769" s="28" t="str">
        <x:v>соль, кислота или ароматический жир</x:v>
      </x:c>
      <x:c r="X769" s="28" t="str">
        <x:v>пюре, суп, запекание, крем, гарнир, соус или десертная разработка с мольва</x:v>
      </x:c>
      <x:c r="Y769" s="28" t="str">
        <x:v>универсальное</x:v>
      </x:c>
      <x:c r="Z769" s="28" t="str">
        <x:v>Средняя</x:v>
      </x:c>
      <x:c r="AA769" s="28" t="str">
        <x:v>The Art &amp; Science of Foodpairing.pdf</x:v>
      </x:c>
      <x:c r="AB769" s="28" t="str">
        <x:v>The Art &amp; Science of Foodpairing.pdf: 52</x:v>
      </x:c>
      <x:c r="AC769" s="28" t="str">
        <x:v>связь из pairing grid, стр. 52</x:v>
      </x:c>
      <x:c r="AD769" s="28" t="n">
        <x:v>1</x:v>
      </x:c>
      <x:c r="AE769" s="28" t="n">
        <x:v>1</x:v>
      </x:c>
      <x:c r="AF769" s="28" t="n">
        <x:f>IF(Z769="Высокая",3,IF(Z769="Средняя",2,1))+AD769*2+MIN(AE769,3)</x:f>
        <x:v>5</x:v>
      </x:c>
    </x:row>
    <x:row r="770" ht="64" customHeight="1">
      <x:c r="A770" s="28" t="str">
        <x:v>VEG-0769</x:v>
      </x:c>
      <x:c r="B770" s="28" t="str">
        <x:v>сельдерей корневой</x:v>
      </x:c>
      <x:c r="C770" s="28" t="str">
        <x:v>Универсальные</x:v>
      </x:c>
      <x:c r="D770" s="28" t="str">
        <x:v>сельдерей корневой</x:v>
      </x:c>
      <x:c r="E770" s="28" t="str">
        <x:v>celeriac</x:v>
      </x:c>
      <x:c r="F770" s="28" t="str">
        <x:v>Корнеплоды</x:v>
      </x:c>
      <x:c r="G770" s="28" t="str">
        <x:v>морковь</x:v>
      </x:c>
      <x:c r="H770" s="28" t="str">
        <x:v>carrot</x:v>
      </x:c>
      <x:c r="I770" s="28" t="str">
        <x:v>Корнеплоды</x:v>
      </x:c>
      <x:c r="J770" s="28" t="str">
        <x:v>землистый, ореховый, сельдерейно-пряный и слегка грибной</x:v>
      </x:c>
      <x:c r="K770" s="28" t="str">
        <x:v>сладкий, землистый, древесный и слегка цитрусовый</x:v>
      </x:c>
      <x:c r="L770" s="28" t="str">
        <x:v>фталиды, селинен, лимонен, метиональ</x:v>
      </x:c>
      <x:c r="M770" s="28" t="str">
        <x:v>β-ионон, каротол, пинены, терпинолен</x:v>
      </x:c>
      <x:c r="N770" s="28" t="str">
        <x:v>землистый</x:v>
      </x:c>
      <x:c r="O770" s="28" t="str">
        <x:v>надёжная общая ключевая молекула не установлена</x:v>
      </x:c>
      <x:c r="P770" s="28" t="str">
        <x:v>пересечение ароматических семейств</x:v>
      </x:c>
      <x:c r="Q77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0" s="28" t="str">
        <x:v>минимальный</x:v>
      </x:c>
      <x:c r="S770" s="28" t="str">
        <x:v>плотная крахмалисто-волокнистая матрица</x:v>
      </x:c>
      <x:c r="T77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0" s="28" t="str">
        <x:v>Сельдерей корневой имеет профиль «землистый, ореховый, сельдерейно-пряный и слегка грибной».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V770" s="28" t="str">
        <x:v>быстро окисляется после нарезки; избыток сельдерейных фталидов даёт аптечную ноту</x:v>
      </x:c>
      <x:c r="W770" s="28" t="str">
        <x:v>соль, кислота или ароматический жир</x:v>
      </x:c>
      <x:c r="X770" s="28" t="str">
        <x:v>пюре, суп, запекание, крем, гарнир, соус или десертная разработка с морковь</x:v>
      </x:c>
      <x:c r="Y770" s="28" t="str">
        <x:v>универсальное</x:v>
      </x:c>
      <x:c r="Z770" s="28" t="str">
        <x:v>Средняя</x:v>
      </x:c>
      <x:c r="AA770" s="28" t="str">
        <x:v>The Art &amp; Science of Foodpairing.pdf</x:v>
      </x:c>
      <x:c r="AB770" s="28" t="str">
        <x:v>The Art &amp; Science of Foodpairing.pdf: 52</x:v>
      </x:c>
      <x:c r="AC770" s="28" t="str">
        <x:v>связь из pairing grid, стр. 52</x:v>
      </x:c>
      <x:c r="AD770" s="28" t="n">
        <x:v>1</x:v>
      </x:c>
      <x:c r="AE770" s="28" t="n">
        <x:v>1</x:v>
      </x:c>
      <x:c r="AF770" s="28" t="n">
        <x:f>IF(Z770="Высокая",3,IF(Z770="Средняя",2,1))+AD770*2+MIN(AE770,3)</x:f>
        <x:v>5</x:v>
      </x:c>
    </x:row>
    <x:row r="771" ht="64" customHeight="1">
      <x:c r="A771" s="28" t="str">
        <x:v>VEG-0770</x:v>
      </x:c>
      <x:c r="B771" s="28" t="str">
        <x:v>сельдерей корневой</x:v>
      </x:c>
      <x:c r="C771" s="28" t="str">
        <x:v>Еда и соусы</x:v>
      </x:c>
      <x:c r="D771" s="28" t="str">
        <x:v>сельдерей корневой</x:v>
      </x:c>
      <x:c r="E771" s="28" t="str">
        <x:v>celeriac</x:v>
      </x:c>
      <x:c r="F771" s="28" t="str">
        <x:v>Корнеплоды</x:v>
      </x:c>
      <x:c r="G771" s="28" t="str">
        <x:v>морской язык</x:v>
      </x:c>
      <x:c r="H771" s="28" t="str">
        <x:v>baked Dover sole</x:v>
      </x:c>
      <x:c r="I771" s="28" t="str">
        <x:v>Рыба и морепродукты</x:v>
      </x:c>
      <x:c r="J771" s="28" t="str">
        <x:v>землистый, ореховый, сельдерейно-пряный и слегка грибной</x:v>
      </x:c>
      <x:c r="K771" s="28" t="str">
        <x:v>морской, солоноватый и умами</x:v>
      </x:c>
      <x:c r="L771" s="28" t="str">
        <x:v>фталиды, селинен, лимонен, метиональ</x:v>
      </x:c>
      <x:c r="M771" s="28" t="str">
        <x:v>альдегиды, амины</x:v>
      </x:c>
      <x:c r="N771" s="28" t="str">
        <x:v>прямое пересечение семейств не подтверждено</x:v>
      </x:c>
      <x:c r="O771" s="28" t="str">
        <x:v>надёжная общая ключевая молекула не установлена</x:v>
      </x:c>
      <x:c r="P771" s="28" t="str">
        <x:v>умами и солёный контраст</x:v>
      </x:c>
      <x:c r="Q77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1" s="28" t="str">
        <x:v>минимальный</x:v>
      </x:c>
      <x:c r="S771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7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1" s="28" t="str">
        <x:v>Сельдерей корневой имеет профиль «землистый, ореховый, сельдерейно-пряный и слегка грибной». Партнёр «морской язык»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71" s="28" t="str">
        <x:v>быстро окисляется после нарезки; избыток сельдерейных фталидов даёт аптечную ноту</x:v>
      </x:c>
      <x:c r="W771" s="28" t="str">
        <x:v>сливочное масло, соевый соус или тимьян</x:v>
      </x:c>
      <x:c r="X771" s="28" t="str">
        <x:v>пюре, суп, запекание, крем, гарнир, соус или десертная разработка с морской язык</x:v>
      </x:c>
      <x:c r="Y771" s="28" t="str">
        <x:v>еда, соусы/маринады</x:v>
      </x:c>
      <x:c r="Z771" s="28" t="str">
        <x:v>Средняя</x:v>
      </x:c>
      <x:c r="AA771" s="28" t="str">
        <x:v>The Art &amp; Science of Foodpairing.pdf</x:v>
      </x:c>
      <x:c r="AB771" s="28" t="str">
        <x:v>The Art &amp; Science of Foodpairing.pdf: 52</x:v>
      </x:c>
      <x:c r="AC771" s="28" t="str">
        <x:v>связь из pairing grid, стр. 52</x:v>
      </x:c>
      <x:c r="AD771" s="28" t="n">
        <x:v>1</x:v>
      </x:c>
      <x:c r="AE771" s="28" t="n">
        <x:v>1</x:v>
      </x:c>
      <x:c r="AF771" s="28" t="n">
        <x:f>IF(Z771="Высокая",3,IF(Z771="Средняя",2,1))+AD771*2+MIN(AE771,3)</x:f>
        <x:v>5</x:v>
      </x:c>
    </x:row>
    <x:row r="772" ht="64" customHeight="1">
      <x:c r="A772" s="28" t="str">
        <x:v>VEG-0771</x:v>
      </x:c>
      <x:c r="B772" s="28" t="str">
        <x:v>сельдерей корневой</x:v>
      </x:c>
      <x:c r="C772" s="28" t="str">
        <x:v>Универсальные</x:v>
      </x:c>
      <x:c r="D772" s="28" t="str">
        <x:v>сельдерей корневой</x:v>
      </x:c>
      <x:c r="E772" s="28" t="str">
        <x:v>celeriac</x:v>
      </x:c>
      <x:c r="F772" s="28" t="str">
        <x:v>Корнеплоды</x:v>
      </x:c>
      <x:c r="G772" s="28" t="str">
        <x:v>морской ёж</x:v>
      </x:c>
      <x:c r="H772" s="28" t="str">
        <x:v>sea urchin</x:v>
      </x:c>
      <x:c r="I772" s="28" t="str">
        <x:v>Прочее</x:v>
      </x:c>
      <x:c r="J772" s="28" t="str">
        <x:v>землистый, ореховый, сельдерейно-пряный и слегка грибной</x:v>
      </x:c>
      <x:c r="K772" s="28" t="str">
        <x:v>профиль зависит от конкретного продукта</x:v>
      </x:c>
      <x:c r="L772" s="28" t="str">
        <x:v>фталиды, селинен, лимонен, метиональ</x:v>
      </x:c>
      <x:c r="M772" s="28" t="str">
        <x:v>конкретный молекулярный профиль не указан</x:v>
      </x:c>
      <x:c r="N772" s="28" t="str">
        <x:v>прямое пересечение семейств не подтверждено</x:v>
      </x:c>
      <x:c r="O772" s="28" t="str">
        <x:v>надёжная общая ключевая молекула не установлена</x:v>
      </x:c>
      <x:c r="P772" s="28" t="str">
        <x:v>сенсорная комплементарность</x:v>
      </x:c>
      <x:c r="Q77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2" s="28" t="str">
        <x:v>минимальный</x:v>
      </x:c>
      <x:c r="S772" s="28" t="str">
        <x:v>плотная крахмалисто-волокнистая матрица</x:v>
      </x:c>
      <x:c r="T77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2" s="28" t="str">
        <x:v>Сельдерей корневой имеет профиль «землистый, ореховый, сельдерейно-пряный и слегка грибной». Партнёр «морской ёж»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72" s="28" t="str">
        <x:v>быстро окисляется после нарезки; избыток сельдерейных фталидов даёт аптечную ноту</x:v>
      </x:c>
      <x:c r="W772" s="28" t="str">
        <x:v>соль, кислота или ароматический жир</x:v>
      </x:c>
      <x:c r="X772" s="28" t="str">
        <x:v>пюре, суп, запекание, крем, гарнир, соус или десертная разработка с морской ёж</x:v>
      </x:c>
      <x:c r="Y772" s="28" t="str">
        <x:v>универсальное</x:v>
      </x:c>
      <x:c r="Z772" s="28" t="str">
        <x:v>Средняя</x:v>
      </x:c>
      <x:c r="AA772" s="28" t="str">
        <x:v>The Art &amp; Science of Foodpairing.pdf</x:v>
      </x:c>
      <x:c r="AB772" s="28" t="str">
        <x:v>The Art &amp; Science of Foodpairing.pdf: 52</x:v>
      </x:c>
      <x:c r="AC772" s="28" t="str">
        <x:v>связь из pairing grid, стр. 52</x:v>
      </x:c>
      <x:c r="AD772" s="28" t="n">
        <x:v>1</x:v>
      </x:c>
      <x:c r="AE772" s="28" t="n">
        <x:v>1</x:v>
      </x:c>
      <x:c r="AF772" s="28" t="n">
        <x:f>IF(Z772="Высокая",3,IF(Z772="Средняя",2,1))+AD772*2+MIN(AE772,3)</x:f>
        <x:v>5</x:v>
      </x:c>
    </x:row>
    <x:row r="773" ht="64" customHeight="1">
      <x:c r="A773" s="28" t="str">
        <x:v>VEG-0772</x:v>
      </x:c>
      <x:c r="B773" s="28" t="str">
        <x:v>сельдерей корневой</x:v>
      </x:c>
      <x:c r="C773" s="28" t="str">
        <x:v>Универсальные</x:v>
      </x:c>
      <x:c r="D773" s="28" t="str">
        <x:v>сельдерей корневой</x:v>
      </x:c>
      <x:c r="E773" s="28" t="str">
        <x:v>celeriac</x:v>
      </x:c>
      <x:c r="F773" s="28" t="str">
        <x:v>Корнеплоды</x:v>
      </x:c>
      <x:c r="G773" s="28" t="str">
        <x:v>мята колосистая</x:v>
      </x:c>
      <x:c r="H773" s="28" t="str">
        <x:v>spearmint</x:v>
      </x:c>
      <x:c r="I773" s="28" t="str">
        <x:v>Травы, цветы и листья</x:v>
      </x:c>
      <x:c r="J773" s="28" t="str">
        <x:v>землистый, ореховый, сельдерейно-пряный и слегка грибной</x:v>
      </x:c>
      <x:c r="K773" s="28" t="str">
        <x:v>зелёный, холодящий</x:v>
      </x:c>
      <x:c r="L773" s="28" t="str">
        <x:v>фталиды, селинен, лимонен, метиональ</x:v>
      </x:c>
      <x:c r="M773" s="28" t="str">
        <x:v>ментол</x:v>
      </x:c>
      <x:c r="N773" s="28" t="str">
        <x:v>прямое пересечение семейств не подтверждено</x:v>
      </x:c>
      <x:c r="O773" s="28" t="str">
        <x:v>надёжная общая ключевая молекула не установлена</x:v>
      </x:c>
      <x:c r="P773" s="28" t="str">
        <x:v>сенсорная комплементарность</x:v>
      </x:c>
      <x:c r="Q77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3" s="28" t="str">
        <x:v>минимальный</x:v>
      </x:c>
      <x:c r="S773" s="28" t="str">
        <x:v>плотная крахмалисто-волокнистая матрица</x:v>
      </x:c>
      <x:c r="T77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3" s="28" t="str">
        <x:v>Сельдерей корневой имеет профиль «землистый, ореховый, сельдерейно-пряный и слегка грибной». Партнёр «мята колосистая»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773" s="28" t="str">
        <x:v>быстро окисляется после нарезки; избыток сельдерейных фталидов даёт аптечную ноту; длительный нагрев уносит свежие терпены и зелёные альдегиды</x:v>
      </x:c>
      <x:c r="W773" s="28" t="str">
        <x:v>оливковое масло, лимон или сыр</x:v>
      </x:c>
      <x:c r="X773" s="28" t="str">
        <x:v>пюре, суп, запекание, крем, гарнир, соус или десертная разработка с мята колосистая</x:v>
      </x:c>
      <x:c r="Y773" s="28" t="str">
        <x:v>универсальное</x:v>
      </x:c>
      <x:c r="Z773" s="28" t="str">
        <x:v>Средняя</x:v>
      </x:c>
      <x:c r="AA773" s="28" t="str">
        <x:v>The Art &amp; Science of Foodpairing.pdf</x:v>
      </x:c>
      <x:c r="AB773" s="28" t="str">
        <x:v>The Art &amp; Science of Foodpairing.pdf: 52</x:v>
      </x:c>
      <x:c r="AC773" s="28" t="str">
        <x:v>связь из pairing grid, стр. 52</x:v>
      </x:c>
      <x:c r="AD773" s="28" t="n">
        <x:v>1</x:v>
      </x:c>
      <x:c r="AE773" s="28" t="n">
        <x:v>1</x:v>
      </x:c>
      <x:c r="AF773" s="28" t="n">
        <x:f>IF(Z773="Высокая",3,IF(Z773="Средняя",2,1))+AD773*2+MIN(AE773,3)</x:f>
        <x:v>5</x:v>
      </x:c>
    </x:row>
    <x:row r="774" ht="64" customHeight="1">
      <x:c r="A774" s="28" t="str">
        <x:v>VEG-0773</x:v>
      </x:c>
      <x:c r="B774" s="28" t="str">
        <x:v>сельдерей корневой</x:v>
      </x:c>
      <x:c r="C774" s="28" t="str">
        <x:v>Универсальные</x:v>
      </x:c>
      <x:c r="D774" s="28" t="str">
        <x:v>сельдерей корневой</x:v>
      </x:c>
      <x:c r="E774" s="28" t="str">
        <x:v>celeriac</x:v>
      </x:c>
      <x:c r="F774" s="28" t="str">
        <x:v>Корнеплоды</x:v>
      </x:c>
      <x:c r="G774" s="28" t="str">
        <x:v>оливковое масло мансанилья</x:v>
      </x:c>
      <x:c r="H774" s="28" t="str">
        <x:v>Manzanilla virgin olive oil</x:v>
      </x:c>
      <x:c r="I774" s="28" t="str">
        <x:v>Масла и жиры</x:v>
      </x:c>
      <x:c r="J774" s="28" t="str">
        <x:v>землистый, ореховый, сельдерейно-пряный и слегка грибной</x:v>
      </x:c>
      <x:c r="K774" s="28" t="str">
        <x:v>жирный и мягкий</x:v>
      </x:c>
      <x:c r="L774" s="28" t="str">
        <x:v>фталиды, селинен, лимонен, метиональ</x:v>
      </x:c>
      <x:c r="M774" s="28" t="str">
        <x:v>альдегиды, лактоны</x:v>
      </x:c>
      <x:c r="N774" s="28" t="str">
        <x:v>прямое пересечение семейств не подтверждено</x:v>
      </x:c>
      <x:c r="O774" s="28" t="str">
        <x:v>надёжная общая ключевая молекула не установлена</x:v>
      </x:c>
      <x:c r="P774" s="28" t="str">
        <x:v>жировая матрица</x:v>
      </x:c>
      <x:c r="Q77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4" s="28" t="str">
        <x:v>минимальный</x:v>
      </x:c>
      <x:c r="S774" s="28" t="str">
        <x:v>плотная крахмалисто-волокнистая матрица Жировая фаза удерживает гидрофобные молекулы, но может сделать вкус тяжёлым.</x:v>
      </x:c>
      <x:c r="T77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4" s="28" t="str">
        <x:v>Сельдерей корневой имеет профиль «землистый, ореховый, сельдерейно-пряный и слегка грибной». Партнёр «оливковое масло мансанилья»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774" s="28" t="str">
        <x:v>быстро окисляется после нарезки; избыток сельдерейных фталидов даёт аптечную ноту; жир способен приглушить свежую зелёную ароматику</x:v>
      </x:c>
      <x:c r="W774" s="28" t="str">
        <x:v>кислота, зелень или жареный орех</x:v>
      </x:c>
      <x:c r="X774" s="28" t="str">
        <x:v>пюре, суп, запекание, крем, гарнир, соус или десертная разработка с оливковое масло мансанилья</x:v>
      </x:c>
      <x:c r="Y774" s="28" t="str">
        <x:v>универсальное</x:v>
      </x:c>
      <x:c r="Z774" s="28" t="str">
        <x:v>Средняя</x:v>
      </x:c>
      <x:c r="AA774" s="28" t="str">
        <x:v>The Art &amp; Science of Foodpairing.pdf</x:v>
      </x:c>
      <x:c r="AB774" s="28" t="str">
        <x:v>The Art &amp; Science of Foodpairing.pdf: 52</x:v>
      </x:c>
      <x:c r="AC774" s="28" t="str">
        <x:v>связь из pairing grid, стр. 52</x:v>
      </x:c>
      <x:c r="AD774" s="28" t="n">
        <x:v>1</x:v>
      </x:c>
      <x:c r="AE774" s="28" t="n">
        <x:v>1</x:v>
      </x:c>
      <x:c r="AF774" s="28" t="n">
        <x:f>IF(Z774="Высокая",3,IF(Z774="Средняя",2,1))+AD774*2+MIN(AE774,3)</x:f>
        <x:v>5</x:v>
      </x:c>
    </x:row>
    <x:row r="775" ht="64" customHeight="1">
      <x:c r="A775" s="28" t="str">
        <x:v>VEG-0774</x:v>
      </x:c>
      <x:c r="B775" s="28" t="str">
        <x:v>сельдерей корневой</x:v>
      </x:c>
      <x:c r="C775" s="28" t="str">
        <x:v>Универсальные</x:v>
      </x:c>
      <x:c r="D775" s="28" t="str">
        <x:v>сельдерей корневой</x:v>
      </x:c>
      <x:c r="E775" s="28" t="str">
        <x:v>celeriac</x:v>
      </x:c>
      <x:c r="F775" s="28" t="str">
        <x:v>Корнеплоды</x:v>
      </x:c>
      <x:c r="G775" s="28" t="str">
        <x:v>пандан</x:v>
      </x:c>
      <x:c r="H775" s="28" t="str">
        <x:v>pandan leaf</x:v>
      </x:c>
      <x:c r="I775" s="28" t="str">
        <x:v>Прочее</x:v>
      </x:c>
      <x:c r="J775" s="28" t="str">
        <x:v>землистый, ореховый, сельдерейно-пряный и слегка грибной</x:v>
      </x:c>
      <x:c r="K775" s="28" t="str">
        <x:v>профиль зависит от конкретного продукта</x:v>
      </x:c>
      <x:c r="L775" s="28" t="str">
        <x:v>фталиды, селинен, лимонен, метиональ</x:v>
      </x:c>
      <x:c r="M775" s="28" t="str">
        <x:v>конкретный молекулярный профиль не указан</x:v>
      </x:c>
      <x:c r="N775" s="28" t="str">
        <x:v>прямое пересечение семейств не подтверждено</x:v>
      </x:c>
      <x:c r="O775" s="28" t="str">
        <x:v>надёжная общая ключевая молекула не установлена</x:v>
      </x:c>
      <x:c r="P775" s="28" t="str">
        <x:v>сенсорная комплементарность</x:v>
      </x:c>
      <x:c r="Q77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5" s="28" t="str">
        <x:v>минимальный</x:v>
      </x:c>
      <x:c r="S775" s="28" t="str">
        <x:v>плотная крахмалисто-волокнистая матрица</x:v>
      </x:c>
      <x:c r="T77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5" s="28" t="str">
        <x:v>Сельдерей корневой имеет профиль «землистый, ореховый, сельдерейно-пряный и слегка грибной». Партнёр «пандан»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75" s="28" t="str">
        <x:v>быстро окисляется после нарезки; избыток сельдерейных фталидов даёт аптечную ноту</x:v>
      </x:c>
      <x:c r="W775" s="28" t="str">
        <x:v>соль, кислота или ароматический жир</x:v>
      </x:c>
      <x:c r="X775" s="28" t="str">
        <x:v>пюре, суп, запекание, крем, гарнир, соус или десертная разработка с пандан</x:v>
      </x:c>
      <x:c r="Y775" s="28" t="str">
        <x:v>универсальное</x:v>
      </x:c>
      <x:c r="Z775" s="28" t="str">
        <x:v>Средняя</x:v>
      </x:c>
      <x:c r="AA775" s="28" t="str">
        <x:v>The Art &amp; Science of Foodpairing.pdf</x:v>
      </x:c>
      <x:c r="AB775" s="28" t="str">
        <x:v>The Art &amp; Science of Foodpairing.pdf: 52</x:v>
      </x:c>
      <x:c r="AC775" s="28" t="str">
        <x:v>связь из pairing grid, стр. 52</x:v>
      </x:c>
      <x:c r="AD775" s="28" t="n">
        <x:v>1</x:v>
      </x:c>
      <x:c r="AE775" s="28" t="n">
        <x:v>1</x:v>
      </x:c>
      <x:c r="AF775" s="28" t="n">
        <x:f>IF(Z775="Высокая",3,IF(Z775="Средняя",2,1))+AD775*2+MIN(AE775,3)</x:f>
        <x:v>5</x:v>
      </x:c>
    </x:row>
    <x:row r="776" ht="64" customHeight="1">
      <x:c r="A776" s="28" t="str">
        <x:v>VEG-0775</x:v>
      </x:c>
      <x:c r="B776" s="28" t="str">
        <x:v>сельдерей корневой</x:v>
      </x:c>
      <x:c r="C776" s="28" t="str">
        <x:v>Еда и соусы</x:v>
      </x:c>
      <x:c r="D776" s="28" t="str">
        <x:v>сельдерей корневой</x:v>
      </x:c>
      <x:c r="E776" s="28" t="str">
        <x:v>celeriac</x:v>
      </x:c>
      <x:c r="F776" s="28" t="str">
        <x:v>Корнеплоды</x:v>
      </x:c>
      <x:c r="G776" s="28" t="str">
        <x:v>пекинская утка</x:v>
      </x:c>
      <x:c r="H776" s="28" t="str">
        <x:v>roast Peking duck</x:v>
      </x:c>
      <x:c r="I776" s="28" t="str">
        <x:v>Мясо и птица</x:v>
      </x:c>
      <x:c r="J776" s="28" t="str">
        <x:v>землистый, ореховый, сельдерейно-пряный и слегка грибной</x:v>
      </x:c>
      <x:c r="K776" s="28" t="str">
        <x:v>жареный, мясной и умами</x:v>
      </x:c>
      <x:c r="L776" s="28" t="str">
        <x:v>фталиды, селинен, лимонен, метиональ</x:v>
      </x:c>
      <x:c r="M776" s="28" t="str">
        <x:v>пиразины, сернистые соединения</x:v>
      </x:c>
      <x:c r="N776" s="28" t="str">
        <x:v>прямое пересечение семейств не подтверждено</x:v>
      </x:c>
      <x:c r="O776" s="28" t="str">
        <x:v>надёжная общая ключевая молекула не установлена</x:v>
      </x:c>
      <x:c r="P776" s="28" t="str">
        <x:v>умами и солёный контраст</x:v>
      </x:c>
      <x:c r="Q77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6" s="28" t="str">
        <x:v>минимальный</x:v>
      </x:c>
      <x:c r="S776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7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6" s="28" t="str">
        <x:v>Сельдерей корневой имеет профиль «землистый, ореховый, сельдерейно-пряный и слегка грибной». Партнёр «пекинская утка»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76" s="28" t="str">
        <x:v>быстро окисляется после нарезки; избыток сельдерейных фталидов даёт аптечную ноту</x:v>
      </x:c>
      <x:c r="W776" s="28" t="str">
        <x:v>сливочное масло, соевый соус или тимьян</x:v>
      </x:c>
      <x:c r="X776" s="28" t="str">
        <x:v>пюре, суп, запекание, крем, гарнир, соус или десертная разработка с пекинская утка</x:v>
      </x:c>
      <x:c r="Y776" s="28" t="str">
        <x:v>еда, соусы/маринады</x:v>
      </x:c>
      <x:c r="Z776" s="28" t="str">
        <x:v>Средняя</x:v>
      </x:c>
      <x:c r="AA776" s="28" t="str">
        <x:v>The Art &amp; Science of Foodpairing.pdf</x:v>
      </x:c>
      <x:c r="AB776" s="28" t="str">
        <x:v>The Art &amp; Science of Foodpairing.pdf: 52</x:v>
      </x:c>
      <x:c r="AC776" s="28" t="str">
        <x:v>связь из pairing grid, стр. 52</x:v>
      </x:c>
      <x:c r="AD776" s="28" t="n">
        <x:v>1</x:v>
      </x:c>
      <x:c r="AE776" s="28" t="n">
        <x:v>1</x:v>
      </x:c>
      <x:c r="AF776" s="28" t="n">
        <x:f>IF(Z776="Высокая",3,IF(Z776="Средняя",2,1))+AD776*2+MIN(AE776,3)</x:f>
        <x:v>5</x:v>
      </x:c>
    </x:row>
    <x:row r="777" ht="64" customHeight="1">
      <x:c r="A777" s="28" t="str">
        <x:v>VEG-0776</x:v>
      </x:c>
      <x:c r="B777" s="28" t="str">
        <x:v>сельдерей корневой</x:v>
      </x:c>
      <x:c r="C777" s="28" t="str">
        <x:v>Универсальные</x:v>
      </x:c>
      <x:c r="D777" s="28" t="str">
        <x:v>сельдерей корневой</x:v>
      </x:c>
      <x:c r="E777" s="28" t="str">
        <x:v>celeriac</x:v>
      </x:c>
      <x:c r="F777" s="28" t="str">
        <x:v>Корнеплоды</x:v>
      </x:c>
      <x:c r="G777" s="28" t="str">
        <x:v>пюре хрена</x:v>
      </x:c>
      <x:c r="H777" s="28" t="str">
        <x:v>horseradish puree</x:v>
      </x:c>
      <x:c r="I777" s="28" t="str">
        <x:v>Прочее</x:v>
      </x:c>
      <x:c r="J777" s="28" t="str">
        <x:v>землистый, ореховый, сельдерейно-пряный и слегка грибной</x:v>
      </x:c>
      <x:c r="K777" s="28" t="str">
        <x:v>профиль зависит от конкретного продукта</x:v>
      </x:c>
      <x:c r="L777" s="28" t="str">
        <x:v>фталиды, селинен, лимонен, метиональ</x:v>
      </x:c>
      <x:c r="M777" s="28" t="str">
        <x:v>конкретный молекулярный профиль не указан</x:v>
      </x:c>
      <x:c r="N777" s="28" t="str">
        <x:v>прямое пересечение семейств не подтверждено</x:v>
      </x:c>
      <x:c r="O777" s="28" t="str">
        <x:v>надёжная общая ключевая молекула не установлена</x:v>
      </x:c>
      <x:c r="P777" s="28" t="str">
        <x:v>сенсорная комплементарность</x:v>
      </x:c>
      <x:c r="Q77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7" s="28" t="str">
        <x:v>минимальный</x:v>
      </x:c>
      <x:c r="S777" s="28" t="str">
        <x:v>плотная крахмалисто-волокнистая матрица</x:v>
      </x:c>
      <x:c r="T77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7" s="28" t="str">
        <x:v>Сельдерей корневой имеет профиль «землистый, ореховый, сельдерейно-пряный и слегка грибной». Партнёр «пюре хрена»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77" s="28" t="str">
        <x:v>быстро окисляется после нарезки; избыток сельдерейных фталидов даёт аптечную ноту</x:v>
      </x:c>
      <x:c r="W777" s="28" t="str">
        <x:v>соль, кислота или ароматический жир</x:v>
      </x:c>
      <x:c r="X777" s="28" t="str">
        <x:v>пюре, суп, запекание, крем, гарнир, соус или десертная разработка с пюре хрена</x:v>
      </x:c>
      <x:c r="Y777" s="28" t="str">
        <x:v>универсальное</x:v>
      </x:c>
      <x:c r="Z777" s="28" t="str">
        <x:v>Средняя</x:v>
      </x:c>
      <x:c r="AA777" s="28" t="str">
        <x:v>The Art &amp; Science of Foodpairing.pdf</x:v>
      </x:c>
      <x:c r="AB777" s="28" t="str">
        <x:v>The Art &amp; Science of Foodpairing.pdf: 52</x:v>
      </x:c>
      <x:c r="AC777" s="28" t="str">
        <x:v>связь из pairing grid, стр. 52</x:v>
      </x:c>
      <x:c r="AD777" s="28" t="n">
        <x:v>1</x:v>
      </x:c>
      <x:c r="AE777" s="28" t="n">
        <x:v>1</x:v>
      </x:c>
      <x:c r="AF777" s="28" t="n">
        <x:f>IF(Z777="Высокая",3,IF(Z777="Средняя",2,1))+AD777*2+MIN(AE777,3)</x:f>
        <x:v>5</x:v>
      </x:c>
    </x:row>
    <x:row r="778" ht="64" customHeight="1">
      <x:c r="A778" s="28" t="str">
        <x:v>VEG-0777</x:v>
      </x:c>
      <x:c r="B778" s="28" t="str">
        <x:v>сельдерей корневой</x:v>
      </x:c>
      <x:c r="C778" s="28" t="str">
        <x:v>Универсальные</x:v>
      </x:c>
      <x:c r="D778" s="28" t="str">
        <x:v>сельдерей корневой</x:v>
      </x:c>
      <x:c r="E778" s="28" t="str">
        <x:v>celeriac</x:v>
      </x:c>
      <x:c r="F778" s="28" t="str">
        <x:v>Корнеплоды</x:v>
      </x:c>
      <x:c r="G778" s="28" t="str">
        <x:v>редис</x:v>
      </x:c>
      <x:c r="H778" s="28" t="str">
        <x:v>daikon</x:v>
      </x:c>
      <x:c r="I778" s="28" t="str">
        <x:v>Корнеплоды и крестоцветные</x:v>
      </x:c>
      <x:c r="J778" s="28" t="str">
        <x:v>землистый, ореховый, сельдерейно-пряный и слегка грибной</x:v>
      </x:c>
      <x:c r="K778" s="28" t="str">
        <x:v>горчичный, зелёный, перечный и водянистый</x:v>
      </x:c>
      <x:c r="L778" s="28" t="str">
        <x:v>фталиды, селинен, лимонен, метиональ</x:v>
      </x:c>
      <x:c r="M778" s="28" t="str">
        <x:v>зелёные альдегиды, изотиоцианаты, метантиол</x:v>
      </x:c>
      <x:c r="N778" s="28" t="str">
        <x:v>прямое пересечение семейств не подтверждено</x:v>
      </x:c>
      <x:c r="O778" s="28" t="str">
        <x:v>надёжная общая ключевая молекула не установлена</x:v>
      </x:c>
      <x:c r="P778" s="28" t="str">
        <x:v>сенсорная комплементарность</x:v>
      </x:c>
      <x:c r="Q77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8" s="28" t="str">
        <x:v>минимальный</x:v>
      </x:c>
      <x:c r="S778" s="28" t="str">
        <x:v>плотная крахмалисто-волокнистая матрица</x:v>
      </x:c>
      <x:c r="T77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8" s="28" t="str">
        <x:v>Сельдерей корневой имеет профиль «землистый, ореховый, сельдерейно-пряный и слегка грибной». Партнёр «редис» относится к группе «Корнеплоды и крестоцветные» и даёт горчичный, зелёный, перечный 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78" s="28" t="str">
        <x:v>быстро окисляется после нарезки; избыток сельдерейных фталидов даёт аптечную ноту</x:v>
      </x:c>
      <x:c r="W778" s="28" t="str">
        <x:v>соль, кислота или ароматический жир</x:v>
      </x:c>
      <x:c r="X778" s="28" t="str">
        <x:v>пюре, суп, запекание, крем, гарнир, соус или десертная разработка с редис</x:v>
      </x:c>
      <x:c r="Y778" s="28" t="str">
        <x:v>универсальное</x:v>
      </x:c>
      <x:c r="Z778" s="28" t="str">
        <x:v>Средняя</x:v>
      </x:c>
      <x:c r="AA778" s="28" t="str">
        <x:v>The Art &amp; Science of Foodpairing.pdf</x:v>
      </x:c>
      <x:c r="AB778" s="28" t="str">
        <x:v>The Art &amp; Science of Foodpairing.pdf: 52</x:v>
      </x:c>
      <x:c r="AC778" s="28" t="str">
        <x:v>связь из pairing grid, стр. 52</x:v>
      </x:c>
      <x:c r="AD778" s="28" t="n">
        <x:v>1</x:v>
      </x:c>
      <x:c r="AE778" s="28" t="n">
        <x:v>1</x:v>
      </x:c>
      <x:c r="AF778" s="28" t="n">
        <x:f>IF(Z778="Высокая",3,IF(Z778="Средняя",2,1))+AD778*2+MIN(AE778,3)</x:f>
        <x:v>5</x:v>
      </x:c>
    </x:row>
    <x:row r="779" ht="64" customHeight="1">
      <x:c r="A779" s="28" t="str">
        <x:v>VEG-0778</x:v>
      </x:c>
      <x:c r="B779" s="28" t="str">
        <x:v>сельдерей корневой</x:v>
      </x:c>
      <x:c r="C779" s="28" t="str">
        <x:v>Десерты и выпечка</x:v>
      </x:c>
      <x:c r="D779" s="28" t="str">
        <x:v>сельдерей корневой</x:v>
      </x:c>
      <x:c r="E779" s="28" t="str">
        <x:v>celeriac</x:v>
      </x:c>
      <x:c r="F779" s="28" t="str">
        <x:v>Корнеплоды</x:v>
      </x:c>
      <x:c r="G779" s="28" t="str">
        <x:v>рис басмати</x:v>
      </x:c>
      <x:c r="H779" s="28" t="str">
        <x:v>cooked basmati rice</x:v>
      </x:c>
      <x:c r="I779" s="28" t="str">
        <x:v>Выпечка, крупы, сахара и десерты</x:v>
      </x:c>
      <x:c r="J779" s="28" t="str">
        <x:v>землистый, ореховый, сельдерейно-пряный и слегка грибной</x:v>
      </x:c>
      <x:c r="K779" s="28" t="str">
        <x:v>сладкий, карамельный и жареный</x:v>
      </x:c>
      <x:c r="L779" s="28" t="str">
        <x:v>фталиды, селинен, лимонен, метиональ</x:v>
      </x:c>
      <x:c r="M779" s="28" t="str">
        <x:v>мальтол, пиразины, фураны</x:v>
      </x:c>
      <x:c r="N779" s="28" t="str">
        <x:v>прямое пересечение семейств не подтверждено</x:v>
      </x:c>
      <x:c r="O779" s="28" t="str">
        <x:v>надёжная общая ключевая молекула не установлена</x:v>
      </x:c>
      <x:c r="P779" s="28" t="str">
        <x:v>сенсорная комплементарность</x:v>
      </x:c>
      <x:c r="Q77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79" s="28" t="str">
        <x:v>минимальный</x:v>
      </x:c>
      <x:c r="S779" s="28" t="str">
        <x:v>плотная крахмалисто-волокнистая матрица</x:v>
      </x:c>
      <x:c r="T77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79" s="28" t="str">
        <x:v>Сельдерей корневой имеет профиль «землистый, ореховый, сельдерейно-пряный и слегка грибной». Партнёр «рис басмати»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779" s="28" t="str">
        <x:v>быстро окисляется после нарезки; избыток сельдерейных фталидов даёт аптечную ноту</x:v>
      </x:c>
      <x:c r="W779" s="28" t="str">
        <x:v>соль, кислота или ароматический жир</x:v>
      </x:c>
      <x:c r="X779" s="28" t="str">
        <x:v>пюре, суп, запекание, крем, гарнир, соус или десертная разработка с рис басмати</x:v>
      </x:c>
      <x:c r="Y779" s="28" t="str">
        <x:v>десерты</x:v>
      </x:c>
      <x:c r="Z779" s="28" t="str">
        <x:v>Средняя</x:v>
      </x:c>
      <x:c r="AA779" s="28" t="str">
        <x:v>The Art &amp; Science of Foodpairing.pdf</x:v>
      </x:c>
      <x:c r="AB779" s="28" t="str">
        <x:v>The Art &amp; Science of Foodpairing.pdf: 52</x:v>
      </x:c>
      <x:c r="AC779" s="28" t="str">
        <x:v>связь из pairing grid, стр. 52</x:v>
      </x:c>
      <x:c r="AD779" s="28" t="n">
        <x:v>1</x:v>
      </x:c>
      <x:c r="AE779" s="28" t="n">
        <x:v>1</x:v>
      </x:c>
      <x:c r="AF779" s="28" t="n">
        <x:f>IF(Z779="Высокая",3,IF(Z779="Средняя",2,1))+AD779*2+MIN(AE779,3)</x:f>
        <x:v>5</x:v>
      </x:c>
    </x:row>
    <x:row r="780" ht="64" customHeight="1">
      <x:c r="A780" s="28" t="str">
        <x:v>VEG-0779</x:v>
      </x:c>
      <x:c r="B780" s="28" t="str">
        <x:v>сельдерей корневой</x:v>
      </x:c>
      <x:c r="C780" s="28" t="str">
        <x:v>Еда и соусы</x:v>
      </x:c>
      <x:c r="D780" s="28" t="str">
        <x:v>сельдерей корневой</x:v>
      </x:c>
      <x:c r="E780" s="28" t="str">
        <x:v>boiled celeriac</x:v>
      </x:c>
      <x:c r="F780" s="28" t="str">
        <x:v>Корнеплоды</x:v>
      </x:c>
      <x:c r="G780" s="28" t="str">
        <x:v>рыба</x:v>
      </x:c>
      <x:c r="H780" s="28" t="str">
        <x:v>fish</x:v>
      </x:c>
      <x:c r="I780" s="28" t="str">
        <x:v>Рыба и морепродукты</x:v>
      </x:c>
      <x:c r="J780" s="28" t="str">
        <x:v>землистый, ореховый, сельдерейно-пряный и слегка грибной</x:v>
      </x:c>
      <x:c r="K780" s="28" t="str">
        <x:v>жирный, морской, умами</x:v>
      </x:c>
      <x:c r="L780" s="28" t="str">
        <x:v>фталиды, селинен, лимонен, метиональ</x:v>
      </x:c>
      <x:c r="M780" s="28" t="str">
        <x:v>альдегиды, амины</x:v>
      </x:c>
      <x:c r="N780" s="28" t="str">
        <x:v>прямое пересечение семейств не подтверждено</x:v>
      </x:c>
      <x:c r="O780" s="28" t="str">
        <x:v>надёжная общая ключевая молекула не установлена</x:v>
      </x:c>
      <x:c r="P780" s="28" t="str">
        <x:v>умами и солёный контраст</x:v>
      </x:c>
      <x:c r="Q78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0" s="28" t="str">
        <x:v>минимальный</x:v>
      </x:c>
      <x:c r="S780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8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0" s="28" t="str">
        <x:v>Сельдерей корневой имеет профиль «землистый, ореховый, сельдерейно-пряный и слегка грибной».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80" s="28" t="str">
        <x:v>быстро окисляется после нарезки; избыток сельдерейных фталидов даёт аптечную ноту</x:v>
      </x:c>
      <x:c r="W780" s="28" t="str">
        <x:v>сливочное масло, соевый соус или тимьян</x:v>
      </x:c>
      <x:c r="X780" s="28" t="str">
        <x:v>пюре, суп, запекание, крем, гарнир, соус или десертная разработка с рыба</x:v>
      </x:c>
      <x:c r="Y780" s="28" t="str">
        <x:v>еда, соусы/маринады</x:v>
      </x:c>
      <x:c r="Z780" s="28" t="str">
        <x:v>Средняя</x:v>
      </x:c>
      <x:c r="AA780" s="28" t="str">
        <x:v>The Art &amp; Science of Foodpairing.pdf</x:v>
      </x:c>
      <x:c r="AB780" s="28" t="str">
        <x:v>The Art &amp; Science of Foodpairing.pdf: 104</x:v>
      </x:c>
      <x:c r="AC780" s="28" t="str">
        <x:v>связь из pairing grid, стр. 104</x:v>
      </x:c>
      <x:c r="AD780" s="28" t="n">
        <x:v>1</x:v>
      </x:c>
      <x:c r="AE780" s="28" t="n">
        <x:v>1</x:v>
      </x:c>
      <x:c r="AF780" s="28" t="n">
        <x:f>IF(Z780="Высокая",3,IF(Z780="Средняя",2,1))+AD780*2+MIN(AE780,3)</x:f>
        <x:v>5</x:v>
      </x:c>
    </x:row>
    <x:row r="781" ht="64" customHeight="1">
      <x:c r="A781" s="28" t="str">
        <x:v>VEG-0780</x:v>
      </x:c>
      <x:c r="B781" s="28" t="str">
        <x:v>сельдерей корневой</x:v>
      </x:c>
      <x:c r="C781" s="28" t="str">
        <x:v>Еда и соусы</x:v>
      </x:c>
      <x:c r="D781" s="28" t="str">
        <x:v>сельдерей корневой</x:v>
      </x:c>
      <x:c r="E781" s="28" t="str">
        <x:v>celeriac</x:v>
      </x:c>
      <x:c r="F781" s="28" t="str">
        <x:v>Корнеплоды</x:v>
      </x:c>
      <x:c r="G781" s="28" t="str">
        <x:v>свиная грудинка</x:v>
      </x:c>
      <x:c r="H781" s="28" t="str">
        <x:v>roast pork belly</x:v>
      </x:c>
      <x:c r="I781" s="28" t="str">
        <x:v>Мясо и птица</x:v>
      </x:c>
      <x:c r="J781" s="28" t="str">
        <x:v>землистый, ореховый, сельдерейно-пряный и слегка грибной</x:v>
      </x:c>
      <x:c r="K781" s="28" t="str">
        <x:v>жареный, мясной и умами</x:v>
      </x:c>
      <x:c r="L781" s="28" t="str">
        <x:v>фталиды, селинен, лимонен, метиональ</x:v>
      </x:c>
      <x:c r="M781" s="28" t="str">
        <x:v>пиразины, сернистые соединения</x:v>
      </x:c>
      <x:c r="N781" s="28" t="str">
        <x:v>прямое пересечение семейств не подтверждено</x:v>
      </x:c>
      <x:c r="O781" s="28" t="str">
        <x:v>надёжная общая ключевая молекула не установлена</x:v>
      </x:c>
      <x:c r="P781" s="28" t="str">
        <x:v>умами и солёный контраст</x:v>
      </x:c>
      <x:c r="Q78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1" s="28" t="str">
        <x:v>минимальный</x:v>
      </x:c>
      <x:c r="S781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8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1" s="28" t="str">
        <x:v>Сельдерей корневой имеет профиль «землистый, ореховый, сельдерейно-пряный и слегка грибной». Партнёр «свиная грудинка»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81" s="28" t="str">
        <x:v>быстро окисляется после нарезки; избыток сельдерейных фталидов даёт аптечную ноту</x:v>
      </x:c>
      <x:c r="W781" s="28" t="str">
        <x:v>сливочное масло, соевый соус или тимьян</x:v>
      </x:c>
      <x:c r="X781" s="28" t="str">
        <x:v>пюре, суп, запекание, крем, гарнир, соус или десертная разработка с свиная грудинка</x:v>
      </x:c>
      <x:c r="Y781" s="28" t="str">
        <x:v>еда, соусы/маринады</x:v>
      </x:c>
      <x:c r="Z781" s="28" t="str">
        <x:v>Средняя</x:v>
      </x:c>
      <x:c r="AA781" s="28" t="str">
        <x:v>The Art &amp; Science of Foodpairing.pdf</x:v>
      </x:c>
      <x:c r="AB781" s="28" t="str">
        <x:v>The Art &amp; Science of Foodpairing.pdf: 52</x:v>
      </x:c>
      <x:c r="AC781" s="28" t="str">
        <x:v>связь из pairing grid, стр. 52</x:v>
      </x:c>
      <x:c r="AD781" s="28" t="n">
        <x:v>1</x:v>
      </x:c>
      <x:c r="AE781" s="28" t="n">
        <x:v>1</x:v>
      </x:c>
      <x:c r="AF781" s="28" t="n">
        <x:f>IF(Z781="Высокая",3,IF(Z781="Средняя",2,1))+AD781*2+MIN(AE781,3)</x:f>
        <x:v>5</x:v>
      </x:c>
    </x:row>
    <x:row r="782" ht="64" customHeight="1">
      <x:c r="A782" s="28" t="str">
        <x:v>VEG-0781</x:v>
      </x:c>
      <x:c r="B782" s="28" t="str">
        <x:v>сельдерей корневой</x:v>
      </x:c>
      <x:c r="C782" s="28" t="str">
        <x:v>Еда и соусы</x:v>
      </x:c>
      <x:c r="D782" s="28" t="str">
        <x:v>сельдерей корневой</x:v>
      </x:c>
      <x:c r="E782" s="28" t="str">
        <x:v>celeriac</x:v>
      </x:c>
      <x:c r="F782" s="28" t="str">
        <x:v>Корнеплоды</x:v>
      </x:c>
      <x:c r="G782" s="28" t="str">
        <x:v>скат</x:v>
      </x:c>
      <x:c r="H782" s="28" t="str">
        <x:v>poached ray wing</x:v>
      </x:c>
      <x:c r="I782" s="28" t="str">
        <x:v>Рыба и морепродукты</x:v>
      </x:c>
      <x:c r="J782" s="28" t="str">
        <x:v>землистый, ореховый, сельдерейно-пряный и слегка грибной</x:v>
      </x:c>
      <x:c r="K782" s="28" t="str">
        <x:v>морской, солоноватый и умами</x:v>
      </x:c>
      <x:c r="L782" s="28" t="str">
        <x:v>фталиды, селинен, лимонен, метиональ</x:v>
      </x:c>
      <x:c r="M782" s="28" t="str">
        <x:v>альдегиды, амины</x:v>
      </x:c>
      <x:c r="N782" s="28" t="str">
        <x:v>прямое пересечение семейств не подтверждено</x:v>
      </x:c>
      <x:c r="O782" s="28" t="str">
        <x:v>надёжная общая ключевая молекула не установлена</x:v>
      </x:c>
      <x:c r="P782" s="28" t="str">
        <x:v>умами и солёный контраст</x:v>
      </x:c>
      <x:c r="Q78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2" s="28" t="str">
        <x:v>минимальный</x:v>
      </x:c>
      <x:c r="S782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8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2" s="28" t="str">
        <x:v>Сельдерей корневой имеет профиль «землистый, ореховый, сельдерейно-пряный и слегка грибной». Партнёр «скат»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82" s="28" t="str">
        <x:v>быстро окисляется после нарезки; избыток сельдерейных фталидов даёт аптечную ноту</x:v>
      </x:c>
      <x:c r="W782" s="28" t="str">
        <x:v>сливочное масло, соевый соус или тимьян</x:v>
      </x:c>
      <x:c r="X782" s="28" t="str">
        <x:v>пюре, суп, запекание, крем, гарнир, соус или десертная разработка с скат</x:v>
      </x:c>
      <x:c r="Y782" s="28" t="str">
        <x:v>еда, соусы/маринады</x:v>
      </x:c>
      <x:c r="Z782" s="28" t="str">
        <x:v>Средняя</x:v>
      </x:c>
      <x:c r="AA782" s="28" t="str">
        <x:v>The Art &amp; Science of Foodpairing.pdf</x:v>
      </x:c>
      <x:c r="AB782" s="28" t="str">
        <x:v>The Art &amp; Science of Foodpairing.pdf: 52</x:v>
      </x:c>
      <x:c r="AC782" s="28" t="str">
        <x:v>связь из pairing grid, стр. 52</x:v>
      </x:c>
      <x:c r="AD782" s="28" t="n">
        <x:v>1</x:v>
      </x:c>
      <x:c r="AE782" s="28" t="n">
        <x:v>1</x:v>
      </x:c>
      <x:c r="AF782" s="28" t="n">
        <x:f>IF(Z782="Высокая",3,IF(Z782="Средняя",2,1))+AD782*2+MIN(AE782,3)</x:f>
        <x:v>5</x:v>
      </x:c>
    </x:row>
    <x:row r="783" ht="64" customHeight="1">
      <x:c r="A783" s="28" t="str">
        <x:v>VEG-0782</x:v>
      </x:c>
      <x:c r="B783" s="28" t="str">
        <x:v>сельдерей корневой</x:v>
      </x:c>
      <x:c r="C783" s="28" t="str">
        <x:v>Универсальные</x:v>
      </x:c>
      <x:c r="D783" s="28" t="str">
        <x:v>сельдерей корневой</x:v>
      </x:c>
      <x:c r="E783" s="28" t="str">
        <x:v>celeriac</x:v>
      </x:c>
      <x:c r="F783" s="28" t="str">
        <x:v>Корнеплоды</x:v>
      </x:c>
      <x:c r="G783" s="28" t="str">
        <x:v>сладкая паприка</x:v>
      </x:c>
      <x:c r="H783" s="28" t="str">
        <x:v>sweet paprika powder</x:v>
      </x:c>
      <x:c r="I783" s="28" t="str">
        <x:v>Прочее</x:v>
      </x:c>
      <x:c r="J783" s="28" t="str">
        <x:v>землистый, ореховый, сельдерейно-пряный и слегка грибной</x:v>
      </x:c>
      <x:c r="K783" s="28" t="str">
        <x:v>профиль зависит от конкретного продукта</x:v>
      </x:c>
      <x:c r="L783" s="28" t="str">
        <x:v>фталиды, селинен, лимонен, метиональ</x:v>
      </x:c>
      <x:c r="M783" s="28" t="str">
        <x:v>конкретный молекулярный профиль не указан</x:v>
      </x:c>
      <x:c r="N783" s="28" t="str">
        <x:v>прямое пересечение семейств не подтверждено</x:v>
      </x:c>
      <x:c r="O783" s="28" t="str">
        <x:v>надёжная общая ключевая молекула не установлена</x:v>
      </x:c>
      <x:c r="P783" s="28" t="str">
        <x:v>сенсорная комплементарность</x:v>
      </x:c>
      <x:c r="Q78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3" s="28" t="str">
        <x:v>минимальный</x:v>
      </x:c>
      <x:c r="S783" s="28" t="str">
        <x:v>плотная крахмалисто-волокнистая матрица</x:v>
      </x:c>
      <x:c r="T78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3" s="28" t="str">
        <x:v>Сельдерей корневой имеет профиль «землистый, ореховый, сельдерейно-пряный и слегка грибной». Партнёр «сладкая паприка»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83" s="28" t="str">
        <x:v>быстро окисляется после нарезки; избыток сельдерейных фталидов даёт аптечную ноту</x:v>
      </x:c>
      <x:c r="W783" s="28" t="str">
        <x:v>соль, кислота или ароматический жир</x:v>
      </x:c>
      <x:c r="X783" s="28" t="str">
        <x:v>пюре, суп, запекание, крем, гарнир, соус или десертная разработка с сладкая паприка</x:v>
      </x:c>
      <x:c r="Y783" s="28" t="str">
        <x:v>универсальное</x:v>
      </x:c>
      <x:c r="Z783" s="28" t="str">
        <x:v>Средняя</x:v>
      </x:c>
      <x:c r="AA783" s="28" t="str">
        <x:v>The Art &amp; Science of Foodpairing.pdf</x:v>
      </x:c>
      <x:c r="AB783" s="28" t="str">
        <x:v>The Art &amp; Science of Foodpairing.pdf: 52</x:v>
      </x:c>
      <x:c r="AC783" s="28" t="str">
        <x:v>связь из pairing grid, стр. 52</x:v>
      </x:c>
      <x:c r="AD783" s="28" t="n">
        <x:v>1</x:v>
      </x:c>
      <x:c r="AE783" s="28" t="n">
        <x:v>1</x:v>
      </x:c>
      <x:c r="AF783" s="28" t="n">
        <x:f>IF(Z783="Высокая",3,IF(Z783="Средняя",2,1))+AD783*2+MIN(AE783,3)</x:f>
        <x:v>5</x:v>
      </x:c>
    </x:row>
    <x:row r="784" ht="64" customHeight="1">
      <x:c r="A784" s="28" t="str">
        <x:v>VEG-0783</x:v>
      </x:c>
      <x:c r="B784" s="28" t="str">
        <x:v>сельдерей корневой</x:v>
      </x:c>
      <x:c r="C784" s="28" t="str">
        <x:v>Десерты и выпечка</x:v>
      </x:c>
      <x:c r="D784" s="28" t="str">
        <x:v>сельдерей корневой</x:v>
      </x:c>
      <x:c r="E784" s="28" t="str">
        <x:v>celeriac</x:v>
      </x:c>
      <x:c r="F784" s="28" t="str">
        <x:v>Корнеплоды</x:v>
      </x:c>
      <x:c r="G784" s="28" t="str">
        <x:v>слива</x:v>
      </x:c>
      <x:c r="H784" s="28" t="str">
        <x:v>canned plum</x:v>
      </x:c>
      <x:c r="I784" s="28" t="str">
        <x:v>Фрукты и ягоды</x:v>
      </x:c>
      <x:c r="J784" s="28" t="str">
        <x:v>землистый, ореховый, сельдерейно-пряный и слегка грибной</x:v>
      </x:c>
      <x:c r="K784" s="28" t="str">
        <x:v>фруктовый, цветочный и свежий</x:v>
      </x:c>
      <x:c r="L784" s="28" t="str">
        <x:v>фталиды, селинен, лимонен, метиональ</x:v>
      </x:c>
      <x:c r="M784" s="28" t="str">
        <x:v>альдегиды, эфиры</x:v>
      </x:c>
      <x:c r="N784" s="28" t="str">
        <x:v>прямое пересечение семейств не подтверждено</x:v>
      </x:c>
      <x:c r="O784" s="28" t="str">
        <x:v>надёжная общая ключевая молекула не установлена</x:v>
      </x:c>
      <x:c r="P784" s="28" t="str">
        <x:v>кислотно-сладкий баланс</x:v>
      </x:c>
      <x:c r="Q78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4" s="28" t="str">
        <x:v>минимальный</x:v>
      </x:c>
      <x:c r="S784" s="28" t="str">
        <x:v>плотная крахмалисто-волокнистая матрица Водная кислая фаза усиливает свежесть, но может разжижать пюре и нарушать молочную эмульсию.</x:v>
      </x:c>
      <x:c r="T78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4" s="28" t="str">
        <x:v>Сельдерей корневой имеет профиль «землистый, ореховый, сельдерейно-пряный и слегка грибной». Партнёр «слива»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84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W784" s="28" t="str">
        <x:v>цитрус, мёд или мягкая трава</x:v>
      </x:c>
      <x:c r="X784" s="28" t="str">
        <x:v>пюре, суп, запекание, крем, гарнир, соус или десертная разработка с слива</x:v>
      </x:c>
      <x:c r="Y784" s="28" t="str">
        <x:v>десерты</x:v>
      </x:c>
      <x:c r="Z784" s="28" t="str">
        <x:v>Средняя</x:v>
      </x:c>
      <x:c r="AA784" s="28" t="str">
        <x:v>The Art &amp; Science of Foodpairing.pdf</x:v>
      </x:c>
      <x:c r="AB784" s="28" t="str">
        <x:v>The Art &amp; Science of Foodpairing.pdf: 52</x:v>
      </x:c>
      <x:c r="AC784" s="28" t="str">
        <x:v>связь из pairing grid, стр. 52</x:v>
      </x:c>
      <x:c r="AD784" s="28" t="n">
        <x:v>1</x:v>
      </x:c>
      <x:c r="AE784" s="28" t="n">
        <x:v>1</x:v>
      </x:c>
      <x:c r="AF784" s="28" t="n">
        <x:f>IF(Z784="Высокая",3,IF(Z784="Средняя",2,1))+AD784*2+MIN(AE784,3)</x:f>
        <x:v>5</x:v>
      </x:c>
    </x:row>
    <x:row r="785" ht="64" customHeight="1">
      <x:c r="A785" s="28" t="str">
        <x:v>VEG-0784</x:v>
      </x:c>
      <x:c r="B785" s="28" t="str">
        <x:v>сельдерей корневой</x:v>
      </x:c>
      <x:c r="C785" s="28" t="str">
        <x:v>Десерты и выпечка</x:v>
      </x:c>
      <x:c r="D785" s="28" t="str">
        <x:v>сельдерей корневой</x:v>
      </x:c>
      <x:c r="E785" s="28" t="str">
        <x:v>celeriac</x:v>
      </x:c>
      <x:c r="F785" s="28" t="str">
        <x:v>Корнеплоды</x:v>
      </x:c>
      <x:c r="G785" s="28" t="str">
        <x:v>соевые сливки</x:v>
      </x:c>
      <x:c r="H785" s="28" t="str">
        <x:v>soya cream</x:v>
      </x:c>
      <x:c r="I785" s="28" t="str">
        <x:v>Фрукты и ягоды</x:v>
      </x:c>
      <x:c r="J785" s="28" t="str">
        <x:v>землистый, ореховый, сельдерейно-пряный и слегка грибной</x:v>
      </x:c>
      <x:c r="K785" s="28" t="str">
        <x:v>фруктовый, цветочный и свежий</x:v>
      </x:c>
      <x:c r="L785" s="28" t="str">
        <x:v>фталиды, селинен, лимонен, метиональ</x:v>
      </x:c>
      <x:c r="M785" s="28" t="str">
        <x:v>альдегиды, эфиры</x:v>
      </x:c>
      <x:c r="N785" s="28" t="str">
        <x:v>прямое пересечение семейств не подтверждено</x:v>
      </x:c>
      <x:c r="O785" s="28" t="str">
        <x:v>надёжная общая ключевая молекула не установлена</x:v>
      </x:c>
      <x:c r="P785" s="28" t="str">
        <x:v>кислотно-сладкий баланс</x:v>
      </x:c>
      <x:c r="Q78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5" s="28" t="str">
        <x:v>минимальный</x:v>
      </x:c>
      <x:c r="S785" s="28" t="str">
        <x:v>плотная крахмалисто-волокнистая матрица Водная кислая фаза усиливает свежесть, но может разжижать пюре и нарушать молочную эмульсию.</x:v>
      </x:c>
      <x:c r="T78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5" s="28" t="str">
        <x:v>Сельдерей корневой имеет профиль «землистый, ореховый, сельдерейно-пряный и слегка грибной». Партнёр «соевые сливки»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85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W785" s="28" t="str">
        <x:v>цитрус, мёд или мягкая трава</x:v>
      </x:c>
      <x:c r="X785" s="28" t="str">
        <x:v>пюре, суп, запекание, крем, гарнир, соус или десертная разработка с соевые сливки</x:v>
      </x:c>
      <x:c r="Y785" s="28" t="str">
        <x:v>десерты</x:v>
      </x:c>
      <x:c r="Z785" s="28" t="str">
        <x:v>Средняя</x:v>
      </x:c>
      <x:c r="AA785" s="28" t="str">
        <x:v>The Art &amp; Science of Foodpairing.pdf</x:v>
      </x:c>
      <x:c r="AB785" s="28" t="str">
        <x:v>The Art &amp; Science of Foodpairing.pdf: 52</x:v>
      </x:c>
      <x:c r="AC785" s="28" t="str">
        <x:v>связь из pairing grid, стр. 52</x:v>
      </x:c>
      <x:c r="AD785" s="28" t="n">
        <x:v>1</x:v>
      </x:c>
      <x:c r="AE785" s="28" t="n">
        <x:v>1</x:v>
      </x:c>
      <x:c r="AF785" s="28" t="n">
        <x:f>IF(Z785="Высокая",3,IF(Z785="Средняя",2,1))+AD785*2+MIN(AE785,3)</x:f>
        <x:v>5</x:v>
      </x:c>
    </x:row>
    <x:row r="786" ht="64" customHeight="1">
      <x:c r="A786" s="28" t="str">
        <x:v>VEG-0785</x:v>
      </x:c>
      <x:c r="B786" s="28" t="str">
        <x:v>сельдерей корневой</x:v>
      </x:c>
      <x:c r="C786" s="28" t="str">
        <x:v>Еда и соусы</x:v>
      </x:c>
      <x:c r="D786" s="28" t="str">
        <x:v>сельдерей корневой</x:v>
      </x:c>
      <x:c r="E786" s="28" t="str">
        <x:v>celeriac</x:v>
      </x:c>
      <x:c r="F786" s="28" t="str">
        <x:v>Корнеплоды</x:v>
      </x:c>
      <x:c r="G786" s="28" t="str">
        <x:v>томатильо</x:v>
      </x:c>
      <x:c r="H786" s="28" t="str">
        <x:v>tomatillo</x:v>
      </x:c>
      <x:c r="I786" s="28" t="str">
        <x:v>Плодовые и тыквенные овощи</x:v>
      </x:c>
      <x:c r="J786" s="28" t="str">
        <x:v>землистый, ореховый, сельдерейно-пряный и слегка грибной</x:v>
      </x:c>
      <x:c r="K786" s="28" t="str">
        <x:v>зелёный, фруктовый или водянистый</x:v>
      </x:c>
      <x:c r="L786" s="28" t="str">
        <x:v>фталиды, селинен, лимонен, метиональ</x:v>
      </x:c>
      <x:c r="M786" s="28" t="str">
        <x:v>альдегиды, эфиры</x:v>
      </x:c>
      <x:c r="N786" s="28" t="str">
        <x:v>прямое пересечение семейств не подтверждено</x:v>
      </x:c>
      <x:c r="O786" s="28" t="str">
        <x:v>надёжная общая ключевая молекула не установлена</x:v>
      </x:c>
      <x:c r="P786" s="28" t="str">
        <x:v>сенсорная комплементарность</x:v>
      </x:c>
      <x:c r="Q78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6" s="28" t="str">
        <x:v>минимальный</x:v>
      </x:c>
      <x:c r="S786" s="28" t="str">
        <x:v>плотная крахмалисто-волокнистая матрица</x:v>
      </x:c>
      <x:c r="T78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6" s="28" t="str">
        <x:v>Сельдерей корневой имеет профиль «землистый, ореховый, сельдерейно-пряный и слегка грибной». Партнёр «томатильо»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86" s="28" t="str">
        <x:v>быстро окисляется после нарезки; избыток сельдерейных фталидов даёт аптечную ноту</x:v>
      </x:c>
      <x:c r="W786" s="28" t="str">
        <x:v>соль, кислота или ароматический жир</x:v>
      </x:c>
      <x:c r="X786" s="28" t="str">
        <x:v>пюре, суп, запекание, крем, гарнир, соус или десертная разработка с томатильо</x:v>
      </x:c>
      <x:c r="Y786" s="28" t="str">
        <x:v>еда, соусы/маринады</x:v>
      </x:c>
      <x:c r="Z786" s="28" t="str">
        <x:v>Средняя</x:v>
      </x:c>
      <x:c r="AA786" s="28" t="str">
        <x:v>The Art &amp; Science of Foodpairing.pdf</x:v>
      </x:c>
      <x:c r="AB786" s="28" t="str">
        <x:v>The Art &amp; Science of Foodpairing.pdf: 52</x:v>
      </x:c>
      <x:c r="AC786" s="28" t="str">
        <x:v>связь из pairing grid, стр. 52</x:v>
      </x:c>
      <x:c r="AD786" s="28" t="n">
        <x:v>1</x:v>
      </x:c>
      <x:c r="AE786" s="28" t="n">
        <x:v>1</x:v>
      </x:c>
      <x:c r="AF786" s="28" t="n">
        <x:f>IF(Z786="Высокая",3,IF(Z786="Средняя",2,1))+AD786*2+MIN(AE786,3)</x:f>
        <x:v>5</x:v>
      </x:c>
    </x:row>
    <x:row r="787" ht="64" customHeight="1">
      <x:c r="A787" s="28" t="str">
        <x:v>VEG-0786</x:v>
      </x:c>
      <x:c r="B787" s="28" t="str">
        <x:v>сельдерей корневой</x:v>
      </x:c>
      <x:c r="C787" s="28" t="str">
        <x:v>Десерты и выпечка</x:v>
      </x:c>
      <x:c r="D787" s="28" t="str">
        <x:v>сельдерей корневой</x:v>
      </x:c>
      <x:c r="E787" s="28" t="str">
        <x:v>celeriac</x:v>
      </x:c>
      <x:c r="F787" s="28" t="str">
        <x:v>Корнеплоды</x:v>
      </x:c>
      <x:c r="G787" s="28" t="str">
        <x:v>фундук</x:v>
      </x:c>
      <x:c r="H787" s="28" t="str">
        <x:v>roastedhazelnut</x:v>
      </x:c>
      <x:c r="I787" s="28" t="str">
        <x:v>Орехи и семена</x:v>
      </x:c>
      <x:c r="J787" s="28" t="str">
        <x:v>землистый, ореховый, сельдерейно-пряный и слегка грибной</x:v>
      </x:c>
      <x:c r="K787" s="28" t="str">
        <x:v>жареный, какаовый, ореховый</x:v>
      </x:c>
      <x:c r="L787" s="28" t="str">
        <x:v>фталиды, селинен, лимонен, метиональ</x:v>
      </x:c>
      <x:c r="M787" s="28" t="str">
        <x:v>пиразины, фильбертон</x:v>
      </x:c>
      <x:c r="N787" s="28" t="str">
        <x:v>ореховый</x:v>
      </x:c>
      <x:c r="O787" s="28" t="str">
        <x:v>надёжная общая ключевая молекула не установлена</x:v>
      </x:c>
      <x:c r="P787" s="28" t="str">
        <x:v>пересечение ароматических семейств</x:v>
      </x:c>
      <x:c r="Q78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7" s="28" t="str">
        <x:v>минимальный</x:v>
      </x:c>
      <x:c r="S787" s="28" t="str">
        <x:v>плотная крахмалисто-волокнистая матрица</x:v>
      </x:c>
      <x:c r="T78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7" s="28" t="str">
        <x:v>Сельдерей корневой имеет профиль «землистый, ореховый, сельдерейно-пряный и слегка грибной».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V787" s="28" t="str">
        <x:v>быстро окисляется после нарезки; избыток сельдерейных фталидов даёт аптечную ноту</x:v>
      </x:c>
      <x:c r="W787" s="28" t="str">
        <x:v>соль, кислота или ароматический жир</x:v>
      </x:c>
      <x:c r="X787" s="28" t="str">
        <x:v>пюре, суп, запекание, крем, гарнир, соус или десертная разработка с фундук</x:v>
      </x:c>
      <x:c r="Y787" s="28" t="str">
        <x:v>десерты</x:v>
      </x:c>
      <x:c r="Z787" s="28" t="str">
        <x:v>Средняя</x:v>
      </x:c>
      <x:c r="AA787" s="28" t="str">
        <x:v>The Art &amp; Science of Foodpairing.pdf</x:v>
      </x:c>
      <x:c r="AB787" s="28" t="str">
        <x:v>The Art &amp; Science of Foodpairing.pdf: 52</x:v>
      </x:c>
      <x:c r="AC787" s="28" t="str">
        <x:v>связь из pairing grid, стр. 52</x:v>
      </x:c>
      <x:c r="AD787" s="28" t="n">
        <x:v>1</x:v>
      </x:c>
      <x:c r="AE787" s="28" t="n">
        <x:v>1</x:v>
      </x:c>
      <x:c r="AF787" s="28" t="n">
        <x:f>IF(Z787="Высокая",3,IF(Z787="Средняя",2,1))+AD787*2+MIN(AE787,3)</x:f>
        <x:v>5</x:v>
      </x:c>
    </x:row>
    <x:row r="788" ht="64" customHeight="1">
      <x:c r="A788" s="28" t="str">
        <x:v>VEG-0787</x:v>
      </x:c>
      <x:c r="B788" s="28" t="str">
        <x:v>сельдерей корневой</x:v>
      </x:c>
      <x:c r="C788" s="28" t="str">
        <x:v>Еда и соусы</x:v>
      </x:c>
      <x:c r="D788" s="28" t="str">
        <x:v>сельдерей корневой</x:v>
      </x:c>
      <x:c r="E788" s="28" t="str">
        <x:v>boiled celeriac</x:v>
      </x:c>
      <x:c r="F788" s="28" t="str">
        <x:v>Корнеплоды</x:v>
      </x:c>
      <x:c r="G788" s="28" t="str">
        <x:v>хамон иберико</x:v>
      </x:c>
      <x:c r="H788" s="28" t="str">
        <x:v>lberico ham</x:v>
      </x:c>
      <x:c r="I788" s="28" t="str">
        <x:v>Мясо и птица</x:v>
      </x:c>
      <x:c r="J788" s="28" t="str">
        <x:v>землистый, ореховый, сельдерейно-пряный и слегка грибной</x:v>
      </x:c>
      <x:c r="K788" s="28" t="str">
        <x:v>жареный, мясной и умами</x:v>
      </x:c>
      <x:c r="L788" s="28" t="str">
        <x:v>фталиды, селинен, лимонен, метиональ</x:v>
      </x:c>
      <x:c r="M788" s="28" t="str">
        <x:v>пиразины, сернистые соединения</x:v>
      </x:c>
      <x:c r="N788" s="28" t="str">
        <x:v>прямое пересечение семейств не подтверждено</x:v>
      </x:c>
      <x:c r="O788" s="28" t="str">
        <x:v>надёжная общая ключевая молекула не установлена</x:v>
      </x:c>
      <x:c r="P788" s="28" t="str">
        <x:v>умами и солёный контраст</x:v>
      </x:c>
      <x:c r="Q78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8" s="28" t="str">
        <x:v>минимальный</x:v>
      </x:c>
      <x:c r="S788" s="28" t="str">
        <x:v>плотная крахмалисто-волокнистая матрица Белок и жир требуют контроля воды: для жареной ароматики поверхность должна подсохнуть.</x:v>
      </x:c>
      <x:c r="T78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8" s="28" t="str">
        <x:v>Сельдерей корневой имеет профиль «землистый, ореховый, сельдерейно-пряный и слегка грибной».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88" s="28" t="str">
        <x:v>быстро окисляется после нарезки; избыток сельдерейных фталидов даёт аптечную ноту</x:v>
      </x:c>
      <x:c r="W788" s="28" t="str">
        <x:v>сливочное масло, соевый соус или тимьян</x:v>
      </x:c>
      <x:c r="X788" s="28" t="str">
        <x:v>пюре, суп, запекание, крем, гарнир, соус или десертная разработка с хамон иберико</x:v>
      </x:c>
      <x:c r="Y788" s="28" t="str">
        <x:v>еда, соусы/маринады</x:v>
      </x:c>
      <x:c r="Z788" s="28" t="str">
        <x:v>Средняя</x:v>
      </x:c>
      <x:c r="AA788" s="28" t="str">
        <x:v>The Art &amp; Science of Foodpairing.pdf</x:v>
      </x:c>
      <x:c r="AB788" s="28" t="str">
        <x:v>The Art &amp; Science of Foodpairing.pdf: 278</x:v>
      </x:c>
      <x:c r="AC788" s="28" t="str">
        <x:v>связь из pairing grid, стр. 278</x:v>
      </x:c>
      <x:c r="AD788" s="28" t="n">
        <x:v>1</x:v>
      </x:c>
      <x:c r="AE788" s="28" t="n">
        <x:v>1</x:v>
      </x:c>
      <x:c r="AF788" s="28" t="n">
        <x:f>IF(Z788="Высокая",3,IF(Z788="Средняя",2,1))+AD788*2+MIN(AE788,3)</x:f>
        <x:v>5</x:v>
      </x:c>
    </x:row>
    <x:row r="789" ht="64" customHeight="1">
      <x:c r="A789" s="28" t="str">
        <x:v>VEG-0788</x:v>
      </x:c>
      <x:c r="B789" s="28" t="str">
        <x:v>сельдерей корневой</x:v>
      </x:c>
      <x:c r="C789" s="28" t="str">
        <x:v>Десерты и выпечка</x:v>
      </x:c>
      <x:c r="D789" s="28" t="str">
        <x:v>сельдерей корневой</x:v>
      </x:c>
      <x:c r="E789" s="28" t="str">
        <x:v>celeriac</x:v>
      </x:c>
      <x:c r="F789" s="28" t="str">
        <x:v>Корнеплоды</x:v>
      </x:c>
      <x:c r="G789" s="28" t="str">
        <x:v>хлеб</x:v>
      </x:c>
      <x:c r="H789" s="28" t="str">
        <x:v>wheat bread croutons</x:v>
      </x:c>
      <x:c r="I789" s="28" t="str">
        <x:v>Выпечка, крупы, сахара и десерты</x:v>
      </x:c>
      <x:c r="J789" s="28" t="str">
        <x:v>землистый, ореховый, сельдерейно-пряный и слегка грибной</x:v>
      </x:c>
      <x:c r="K789" s="28" t="str">
        <x:v>жареный, зерновой</x:v>
      </x:c>
      <x:c r="L789" s="28" t="str">
        <x:v>фталиды, селинен, лимонен, метиональ</x:v>
      </x:c>
      <x:c r="M789" s="28" t="str">
        <x:v>3-метилбутаналь, пиразины, фураны</x:v>
      </x:c>
      <x:c r="N789" s="28" t="str">
        <x:v>прямое пересечение семейств не подтверждено</x:v>
      </x:c>
      <x:c r="O789" s="28" t="str">
        <x:v>надёжная общая ключевая молекула не установлена</x:v>
      </x:c>
      <x:c r="P789" s="28" t="str">
        <x:v>сенсорная комплементарность</x:v>
      </x:c>
      <x:c r="Q78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89" s="28" t="str">
        <x:v>минимальный</x:v>
      </x:c>
      <x:c r="S789" s="28" t="str">
        <x:v>плотная крахмалисто-волокнистая матрица</x:v>
      </x:c>
      <x:c r="T78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89" s="28" t="str">
        <x:v>Сельдерей корневой имеет профиль «землистый, ореховый, сельдерейно-пряный и слегка грибной».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789" s="28" t="str">
        <x:v>быстро окисляется после нарезки; избыток сельдерейных фталидов даёт аптечную ноту</x:v>
      </x:c>
      <x:c r="W789" s="28" t="str">
        <x:v>соль, кислота или ароматический жир</x:v>
      </x:c>
      <x:c r="X789" s="28" t="str">
        <x:v>пюре, суп, запекание, крем, гарнир, соус или десертная разработка с хлеб</x:v>
      </x:c>
      <x:c r="Y789" s="28" t="str">
        <x:v>десерты</x:v>
      </x:c>
      <x:c r="Z789" s="28" t="str">
        <x:v>Средняя</x:v>
      </x:c>
      <x:c r="AA789" s="28" t="str">
        <x:v>The Art &amp; Science of Foodpairing.pdf</x:v>
      </x:c>
      <x:c r="AB789" s="28" t="str">
        <x:v>The Art &amp; Science of Foodpairing.pdf: 52</x:v>
      </x:c>
      <x:c r="AC789" s="28" t="str">
        <x:v>связь из pairing grid, стр. 52</x:v>
      </x:c>
      <x:c r="AD789" s="28" t="n">
        <x:v>1</x:v>
      </x:c>
      <x:c r="AE789" s="28" t="n">
        <x:v>1</x:v>
      </x:c>
      <x:c r="AF789" s="28" t="n">
        <x:f>IF(Z789="Высокая",3,IF(Z789="Средняя",2,1))+AD789*2+MIN(AE789,3)</x:f>
        <x:v>5</x:v>
      </x:c>
    </x:row>
    <x:row r="790" ht="64" customHeight="1">
      <x:c r="A790" s="28" t="str">
        <x:v>VEG-0789</x:v>
      </x:c>
      <x:c r="B790" s="28" t="str">
        <x:v>сельдерей корневой</x:v>
      </x:c>
      <x:c r="C790" s="28" t="str">
        <x:v>Десерты и выпечка</x:v>
      </x:c>
      <x:c r="D790" s="28" t="str">
        <x:v>сельдерей корневой</x:v>
      </x:c>
      <x:c r="E790" s="28" t="str">
        <x:v>celeriac</x:v>
      </x:c>
      <x:c r="F790" s="28" t="str">
        <x:v>Корнеплоды</x:v>
      </x:c>
      <x:c r="G790" s="28" t="str">
        <x:v>цедра лимона</x:v>
      </x:c>
      <x:c r="H790" s="28" t="str">
        <x:v>lemon zest</x:v>
      </x:c>
      <x:c r="I790" s="28" t="str">
        <x:v>Фрукты и ягоды</x:v>
      </x:c>
      <x:c r="J790" s="28" t="str">
        <x:v>землистый, ореховый, сельдерейно-пряный и слегка грибной</x:v>
      </x:c>
      <x:c r="K790" s="28" t="str">
        <x:v>кислый, свежий, цитрусовый</x:v>
      </x:c>
      <x:c r="L790" s="28" t="str">
        <x:v>фталиды, селинен, лимонен, метиональ</x:v>
      </x:c>
      <x:c r="M790" s="28" t="str">
        <x:v>лимонен, цитраль</x:v>
      </x:c>
      <x:c r="N790" s="28" t="str">
        <x:v>прямое пересечение семейств не подтверждено</x:v>
      </x:c>
      <x:c r="O790" s="28" t="str">
        <x:v>лимонен</x:v>
      </x:c>
      <x:c r="P790" s="28" t="str">
        <x:v>общие характерные молекулы; кислотно-сладкий баланс</x:v>
      </x:c>
      <x:c r="Q79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0" s="28" t="str">
        <x:v>минимальный</x:v>
      </x:c>
      <x:c r="S790" s="28" t="str">
        <x:v>плотная крахмалисто-волокнистая матрица Водная кислая фаза усиливает свежесть, но может разжижать пюре и нарушать молочную эмульсию.</x:v>
      </x:c>
      <x:c r="T79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90" s="28" t="str">
        <x:v>Сельдерей корневой имеет профиль «землистый, ореховый, сельдерейно-пряный и слегка грибной». Партнёр «цедра лимона» относится к группе «Фрукты и ягоды» и даёт кислый, свежий,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90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W790" s="28" t="str">
        <x:v>цитрус, мёд или мягкая трава</x:v>
      </x:c>
      <x:c r="X790" s="28" t="str">
        <x:v>пюре, суп, запекание, крем, гарнир, соус или десертная разработка с цедра лимона</x:v>
      </x:c>
      <x:c r="Y790" s="28" t="str">
        <x:v>десерты</x:v>
      </x:c>
      <x:c r="Z790" s="28" t="str">
        <x:v>Средняя</x:v>
      </x:c>
      <x:c r="AA790" s="28" t="str">
        <x:v>The Art &amp; Science of Foodpairing.pdf</x:v>
      </x:c>
      <x:c r="AB790" s="28" t="str">
        <x:v>The Art &amp; Science of Foodpairing.pdf: 52</x:v>
      </x:c>
      <x:c r="AC790" s="28" t="str">
        <x:v>связь из pairing grid, стр. 52</x:v>
      </x:c>
      <x:c r="AD790" s="28" t="n">
        <x:v>1</x:v>
      </x:c>
      <x:c r="AE790" s="28" t="n">
        <x:v>1</x:v>
      </x:c>
      <x:c r="AF790" s="28" t="n">
        <x:f>IF(Z790="Высокая",3,IF(Z790="Средняя",2,1))+AD790*2+MIN(AE790,3)</x:f>
        <x:v>5</x:v>
      </x:c>
    </x:row>
    <x:row r="791" ht="64" customHeight="1">
      <x:c r="A791" s="28" t="str">
        <x:v>VEG-0790</x:v>
      </x:c>
      <x:c r="B791" s="28" t="str">
        <x:v>сельдерей корневой</x:v>
      </x:c>
      <x:c r="C791" s="28" t="str">
        <x:v>Универсальные</x:v>
      </x:c>
      <x:c r="D791" s="28" t="str">
        <x:v>сельдерей корневой</x:v>
      </x:c>
      <x:c r="E791" s="28" t="str">
        <x:v>celeriac</x:v>
      </x:c>
      <x:c r="F791" s="28" t="str">
        <x:v>Корнеплоды</x:v>
      </x:c>
      <x:c r="G791" s="28" t="str">
        <x:v>чеддер</x:v>
      </x:c>
      <x:c r="H791" s="28" t="str">
        <x:v>Cheddar | mild Cheddar</x:v>
      </x:c>
      <x:c r="I791" s="28" t="str">
        <x:v>Прочее</x:v>
      </x:c>
      <x:c r="J791" s="28" t="str">
        <x:v>землистый, ореховый, сельдерейно-пряный и слегка грибной</x:v>
      </x:c>
      <x:c r="K791" s="28" t="str">
        <x:v>профиль зависит от конкретного продукта</x:v>
      </x:c>
      <x:c r="L791" s="28" t="str">
        <x:v>фталиды, селинен, лимонен, метиональ</x:v>
      </x:c>
      <x:c r="M791" s="28" t="str">
        <x:v>конкретный молекулярный профиль не указан</x:v>
      </x:c>
      <x:c r="N791" s="28" t="str">
        <x:v>прямое пересечение семейств не подтверждено</x:v>
      </x:c>
      <x:c r="O791" s="28" t="str">
        <x:v>надёжная общая ключевая молекула не установлена</x:v>
      </x:c>
      <x:c r="P791" s="28" t="str">
        <x:v>сенсорная комплементарность</x:v>
      </x:c>
      <x:c r="Q79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1" s="28" t="str">
        <x:v>минимальный</x:v>
      </x:c>
      <x:c r="S791" s="28" t="str">
        <x:v>плотная крахмалисто-волокнистая матрица</x:v>
      </x:c>
      <x:c r="T79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91" s="28" t="str">
        <x:v>Сельдерей корневой имеет профиль «землистый, ореховый, сельдерейно-пряный и слегка грибной». Партнёр «чеддер»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91" s="28" t="str">
        <x:v>быстро окисляется после нарезки; избыток сельдерейных фталидов даёт аптечную ноту</x:v>
      </x:c>
      <x:c r="W791" s="28" t="str">
        <x:v>соль, кислота или ароматический жир</x:v>
      </x:c>
      <x:c r="X791" s="28" t="str">
        <x:v>пюре, суп, запекание, крем, гарнир, соус или десертная разработка с чеддер</x:v>
      </x:c>
      <x:c r="Y791" s="28" t="str">
        <x:v>универсальное</x:v>
      </x:c>
      <x:c r="Z791" s="28" t="str">
        <x:v>Высокая</x:v>
      </x:c>
      <x:c r="AA791" s="28" t="str">
        <x:v>The Art &amp; Science of Foodpairing.pdf</x:v>
      </x:c>
      <x:c r="AB791" s="28" t="str">
        <x:v>The Art &amp; Science of Foodpairing.pdf: 52</x:v>
      </x:c>
      <x:c r="AC791" s="28" t="str">
        <x:v>Chef pairing, стр. 52; связь из pairing grid, стр. 52</x:v>
      </x:c>
      <x:c r="AD791" s="28" t="n">
        <x:v>1</x:v>
      </x:c>
      <x:c r="AE791" s="28" t="n">
        <x:v>2</x:v>
      </x:c>
      <x:c r="AF791" s="28" t="n">
        <x:f>IF(Z791="Высокая",3,IF(Z791="Средняя",2,1))+AD791*2+MIN(AE791,3)</x:f>
        <x:v>7</x:v>
      </x:c>
    </x:row>
    <x:row r="792" ht="64" customHeight="1">
      <x:c r="A792" s="28" t="str">
        <x:v>VEG-0791</x:v>
      </x:c>
      <x:c r="B792" s="28" t="str">
        <x:v>сельдерей корневой</x:v>
      </x:c>
      <x:c r="C792" s="28" t="str">
        <x:v>Еда и соусы</x:v>
      </x:c>
      <x:c r="D792" s="28" t="str">
        <x:v>сельдерей корневой</x:v>
      </x:c>
      <x:c r="E792" s="28" t="str">
        <x:v>celeriac</x:v>
      </x:c>
      <x:c r="F792" s="28" t="str">
        <x:v>Корнеплоды</x:v>
      </x:c>
      <x:c r="G792" s="28" t="str">
        <x:v>черничный уксус</x:v>
      </x:c>
      <x:c r="H792" s="28" t="str">
        <x:v>blueberry vinegar</x:v>
      </x:c>
      <x:c r="I792" s="28" t="str">
        <x:v>Ферментированные продукты и соусы</x:v>
      </x:c>
      <x:c r="J792" s="28" t="str">
        <x:v>землистый, ореховый, сельдерейно-пряный и слегка грибной</x:v>
      </x:c>
      <x:c r="K792" s="28" t="str">
        <x:v>ферментированный, умами и сложный</x:v>
      </x:c>
      <x:c r="L792" s="28" t="str">
        <x:v>фталиды, селинен, лимонен, метиональ</x:v>
      </x:c>
      <x:c r="M792" s="28" t="str">
        <x:v>пиразины, фураны, эфиры</x:v>
      </x:c>
      <x:c r="N792" s="28" t="str">
        <x:v>прямое пересечение семейств не подтверждено</x:v>
      </x:c>
      <x:c r="O792" s="28" t="str">
        <x:v>надёжная общая ключевая молекула не установлена</x:v>
      </x:c>
      <x:c r="P792" s="28" t="str">
        <x:v>умами и солёный контраст</x:v>
      </x:c>
      <x:c r="Q79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2" s="28" t="str">
        <x:v>минимальный</x:v>
      </x:c>
      <x:c r="S792" s="28" t="str">
        <x:v>плотная крахмалисто-волокнистая матрица</x:v>
      </x:c>
      <x:c r="T79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92" s="28" t="str">
        <x:v>Сельдерей корневой имеет профиль «землистый, ореховый, сельдерейно-пряный и слегка грибной». Партнёр «черничный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792" s="28" t="str">
        <x:v>быстро окисляется после нарезки; избыток сельдерейных фталидов даёт аптечную ноту</x:v>
      </x:c>
      <x:c r="W792" s="28" t="str">
        <x:v>имбирь, чеснок или кунжут</x:v>
      </x:c>
      <x:c r="X792" s="28" t="str">
        <x:v>пюре, суп, запекание, крем, гарнир, соус или десертная разработка с черничный уксус</x:v>
      </x:c>
      <x:c r="Y792" s="28" t="str">
        <x:v>еда, соусы/маринады</x:v>
      </x:c>
      <x:c r="Z792" s="28" t="str">
        <x:v>Средняя</x:v>
      </x:c>
      <x:c r="AA792" s="28" t="str">
        <x:v>The Art &amp; Science of Foodpairing.pdf</x:v>
      </x:c>
      <x:c r="AB792" s="28" t="str">
        <x:v>The Art &amp; Science of Foodpairing.pdf: 52</x:v>
      </x:c>
      <x:c r="AC792" s="28" t="str">
        <x:v>связь из pairing grid, стр. 52</x:v>
      </x:c>
      <x:c r="AD792" s="28" t="n">
        <x:v>1</x:v>
      </x:c>
      <x:c r="AE792" s="28" t="n">
        <x:v>1</x:v>
      </x:c>
      <x:c r="AF792" s="28" t="n">
        <x:f>IF(Z792="Высокая",3,IF(Z792="Средняя",2,1))+AD792*2+MIN(AE792,3)</x:f>
        <x:v>5</x:v>
      </x:c>
    </x:row>
    <x:row r="793" ht="64" customHeight="1">
      <x:c r="A793" s="28" t="str">
        <x:v>VEG-0792</x:v>
      </x:c>
      <x:c r="B793" s="28" t="str">
        <x:v>сельдерей корневой</x:v>
      </x:c>
      <x:c r="C793" s="28" t="str">
        <x:v>Еда и соусы</x:v>
      </x:c>
      <x:c r="D793" s="28" t="str">
        <x:v>сельдерей корневой</x:v>
      </x:c>
      <x:c r="E793" s="28" t="str">
        <x:v>celeriac</x:v>
      </x:c>
      <x:c r="F793" s="28" t="str">
        <x:v>Корнеплоды</x:v>
      </x:c>
      <x:c r="G793" s="28" t="str">
        <x:v>чеснок</x:v>
      </x:c>
      <x:c r="H793" s="28" t="str">
        <x:v>wild garlic</x:v>
      </x:c>
      <x:c r="I793" s="28" t="str">
        <x:v>Луковые овощи</x:v>
      </x:c>
      <x:c r="J793" s="28" t="str">
        <x:v>землистый, ореховый, сельдерейно-пряный и слегка грибной</x:v>
      </x:c>
      <x:c r="K793" s="28" t="str">
        <x:v>резкий сернистый, зелёный и мясной; после запекания — сладкий и ореховый</x:v>
      </x:c>
      <x:c r="L793" s="28" t="str">
        <x:v>фталиды, селинен, лимонен, метиональ</x:v>
      </x:c>
      <x:c r="M793" s="28" t="str">
        <x:v>аллицин, диаллилдисульфид, диаллилтрисульфид, метантиол</x:v>
      </x:c>
      <x:c r="N793" s="28" t="str">
        <x:v>прямое пересечение семейств не подтверждено</x:v>
      </x:c>
      <x:c r="O793" s="28" t="str">
        <x:v>надёжная общая ключевая молекула не установлена</x:v>
      </x:c>
      <x:c r="P793" s="28" t="str">
        <x:v>сенсорная комплементарность</x:v>
      </x:c>
      <x:c r="Q79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3" s="28" t="str">
        <x:v>минимальный</x:v>
      </x:c>
      <x:c r="S793" s="28" t="str">
        <x:v>плотная крахмалисто-волокнистая матрица</x:v>
      </x:c>
      <x:c r="T79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93" s="28" t="str">
        <x:v>Сельдерей корневой имеет профиль «землистый, ореховый, сельдерейно-пряный и слегка грибной». Партнёр «чеснок» относится к группе «Луковые овощи» и даёт резкий сернистый, зелёный и мясной; после запекания — сладкий и ореховый.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93" s="28" t="str">
        <x:v>быстро окисляется после нарезки; избыток сельдерейных фталидов даёт аптечную ноту</x:v>
      </x:c>
      <x:c r="W793" s="28" t="str">
        <x:v>соль, кислота или ароматический жир</x:v>
      </x:c>
      <x:c r="X793" s="28" t="str">
        <x:v>пюре, суп, запекание, крем, гарнир, соус или десертная разработка с чеснок</x:v>
      </x:c>
      <x:c r="Y793" s="28" t="str">
        <x:v>еда, соусы/маринады</x:v>
      </x:c>
      <x:c r="Z793" s="28" t="str">
        <x:v>Средняя</x:v>
      </x:c>
      <x:c r="AA793" s="28" t="str">
        <x:v>The Art &amp; Science of Foodpairing.pdf</x:v>
      </x:c>
      <x:c r="AB793" s="28" t="str">
        <x:v>The Art &amp; Science of Foodpairing.pdf: 52</x:v>
      </x:c>
      <x:c r="AC793" s="28" t="str">
        <x:v>связь из pairing grid, стр. 52</x:v>
      </x:c>
      <x:c r="AD793" s="28" t="n">
        <x:v>1</x:v>
      </x:c>
      <x:c r="AE793" s="28" t="n">
        <x:v>1</x:v>
      </x:c>
      <x:c r="AF793" s="28" t="n">
        <x:f>IF(Z793="Высокая",3,IF(Z793="Средняя",2,1))+AD793*2+MIN(AE793,3)</x:f>
        <x:v>5</x:v>
      </x:c>
    </x:row>
    <x:row r="794" ht="64" customHeight="1">
      <x:c r="A794" s="28" t="str">
        <x:v>VEG-0793</x:v>
      </x:c>
      <x:c r="B794" s="28" t="str">
        <x:v>сельдерей корневой</x:v>
      </x:c>
      <x:c r="C794" s="28" t="str">
        <x:v>Универсальные</x:v>
      </x:c>
      <x:c r="D794" s="28" t="str">
        <x:v>сельдерей корневой</x:v>
      </x:c>
      <x:c r="E794" s="28" t="str">
        <x:v>celeriac</x:v>
      </x:c>
      <x:c r="F794" s="28" t="str">
        <x:v>Корнеплоды</x:v>
      </x:c>
      <x:c r="G794" s="28" t="str">
        <x:v>чёрная оливка пикваль</x:v>
      </x:c>
      <x:c r="H794" s="28" t="str">
        <x:v>Picual black olive</x:v>
      </x:c>
      <x:c r="I794" s="28" t="str">
        <x:v>Прочее</x:v>
      </x:c>
      <x:c r="J794" s="28" t="str">
        <x:v>землистый, ореховый, сельдерейно-пряный и слегка грибной</x:v>
      </x:c>
      <x:c r="K794" s="28" t="str">
        <x:v>профиль зависит от конкретного продукта</x:v>
      </x:c>
      <x:c r="L794" s="28" t="str">
        <x:v>фталиды, селинен, лимонен, метиональ</x:v>
      </x:c>
      <x:c r="M794" s="28" t="str">
        <x:v>конкретный молекулярный профиль не указан</x:v>
      </x:c>
      <x:c r="N794" s="28" t="str">
        <x:v>прямое пересечение семейств не подтверждено</x:v>
      </x:c>
      <x:c r="O794" s="28" t="str">
        <x:v>надёжная общая ключевая молекула не установлена</x:v>
      </x:c>
      <x:c r="P794" s="28" t="str">
        <x:v>сенсорная комплементарность</x:v>
      </x:c>
      <x:c r="Q79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4" s="28" t="str">
        <x:v>минимальный</x:v>
      </x:c>
      <x:c r="S794" s="28" t="str">
        <x:v>плотная крахмалисто-волокнистая матрица</x:v>
      </x:c>
      <x:c r="T79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94" s="28" t="str">
        <x:v>Сельдерей корневой имеет профиль «землистый, ореховый, сельдерейно-пряный и слегка грибной». Партнёр «чёрная оливка пикваль»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94" s="28" t="str">
        <x:v>быстро окисляется после нарезки; избыток сельдерейных фталидов даёт аптечную ноту</x:v>
      </x:c>
      <x:c r="W794" s="28" t="str">
        <x:v>соль, кислота или ароматический жир</x:v>
      </x:c>
      <x:c r="X794" s="28" t="str">
        <x:v>пюре, суп, запекание, крем, гарнир, соус или десертная разработка с чёрная оливка пикваль</x:v>
      </x:c>
      <x:c r="Y794" s="28" t="str">
        <x:v>универсальное</x:v>
      </x:c>
      <x:c r="Z794" s="28" t="str">
        <x:v>Средняя</x:v>
      </x:c>
      <x:c r="AA794" s="28" t="str">
        <x:v>The Art &amp; Science of Foodpairing.pdf</x:v>
      </x:c>
      <x:c r="AB794" s="28" t="str">
        <x:v>The Art &amp; Science of Foodpairing.pdf: 52</x:v>
      </x:c>
      <x:c r="AC794" s="28" t="str">
        <x:v>связь из pairing grid, стр. 52</x:v>
      </x:c>
      <x:c r="AD794" s="28" t="n">
        <x:v>1</x:v>
      </x:c>
      <x:c r="AE794" s="28" t="n">
        <x:v>1</x:v>
      </x:c>
      <x:c r="AF794" s="28" t="n">
        <x:f>IF(Z794="Высокая",3,IF(Z794="Средняя",2,1))+AD794*2+MIN(AE794,3)</x:f>
        <x:v>5</x:v>
      </x:c>
    </x:row>
    <x:row r="795" ht="64" customHeight="1">
      <x:c r="A795" s="28" t="str">
        <x:v>VEG-0794</x:v>
      </x:c>
      <x:c r="B795" s="28" t="str">
        <x:v>сельдерей корневой</x:v>
      </x:c>
      <x:c r="C795" s="28" t="str">
        <x:v>Универсальные</x:v>
      </x:c>
      <x:c r="D795" s="28" t="str">
        <x:v>сельдерей корневой</x:v>
      </x:c>
      <x:c r="E795" s="28" t="str">
        <x:v>celeriac</x:v>
      </x:c>
      <x:c r="F795" s="28" t="str">
        <x:v>Корнеплоды</x:v>
      </x:c>
      <x:c r="G795" s="28" t="str">
        <x:v>чёрный перец</x:v>
      </x:c>
      <x:c r="H795" s="28" t="str">
        <x:v>peppercorns</x:v>
      </x:c>
      <x:c r="I795" s="28" t="str">
        <x:v>Специи</x:v>
      </x:c>
      <x:c r="J795" s="28" t="str">
        <x:v>землистый, ореховый, сельдерейно-пряный и слегка грибной</x:v>
      </x:c>
      <x:c r="K795" s="28" t="str">
        <x:v>древесный, пряный, цитрусовый</x:v>
      </x:c>
      <x:c r="L795" s="28" t="str">
        <x:v>фталиды, селинен, лимонен, метиональ</x:v>
      </x:c>
      <x:c r="M795" s="28" t="str">
        <x:v>лимонен, пинен, пиперин</x:v>
      </x:c>
      <x:c r="N795" s="28" t="str">
        <x:v>пряный</x:v>
      </x:c>
      <x:c r="O795" s="28" t="str">
        <x:v>лимонен</x:v>
      </x:c>
      <x:c r="P795" s="28" t="str">
        <x:v>общие характерные молекулы; пересечение ароматических семейств</x:v>
      </x:c>
      <x:c r="Q79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5" s="28" t="str">
        <x:v>минимальный</x:v>
      </x:c>
      <x:c r="S795" s="28" t="str">
        <x:v>плотная крахмалисто-волокнистая матрица</x:v>
      </x:c>
      <x:c r="T79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95" s="28" t="str">
        <x:v>Сельдерей корневой имеет профиль «землистый, ореховый, сельдерейно-пряный и слегка грибной». Партнёр «чёрный перец» относится к группе «Специи» и даёт древесный, пряный, цитрусовый. Вероятный молекулярный мост: лимонен.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795" s="28" t="str">
        <x:v>быстро окисляется после нарезки; избыток сельдерейных фталидов даёт аптечную ноту</x:v>
      </x:c>
      <x:c r="W795" s="28" t="str">
        <x:v>цитрус, йогурт или мёд</x:v>
      </x:c>
      <x:c r="X795" s="28" t="str">
        <x:v>пюре, суп, запекание, крем, гарнир, соус или десертная разработка с чёрный перец</x:v>
      </x:c>
      <x:c r="Y795" s="28" t="str">
        <x:v>универсальное</x:v>
      </x:c>
      <x:c r="Z795" s="28" t="str">
        <x:v>Средняя</x:v>
      </x:c>
      <x:c r="AA795" s="28" t="str">
        <x:v>The Art &amp; Science of Foodpairing.pdf</x:v>
      </x:c>
      <x:c r="AB795" s="28" t="str">
        <x:v>The Art &amp; Science of Foodpairing.pdf: 274</x:v>
      </x:c>
      <x:c r="AC795" s="28" t="str">
        <x:v>связь из pairing grid, стр. 274</x:v>
      </x:c>
      <x:c r="AD795" s="28" t="n">
        <x:v>1</x:v>
      </x:c>
      <x:c r="AE795" s="28" t="n">
        <x:v>1</x:v>
      </x:c>
      <x:c r="AF795" s="28" t="n">
        <x:f>IF(Z795="Высокая",3,IF(Z795="Средняя",2,1))+AD795*2+MIN(AE795,3)</x:f>
        <x:v>5</x:v>
      </x:c>
    </x:row>
    <x:row r="796" ht="64" customHeight="1">
      <x:c r="A796" s="28" t="str">
        <x:v>VEG-0795</x:v>
      </x:c>
      <x:c r="B796" s="28" t="str">
        <x:v>сельдерей корневой</x:v>
      </x:c>
      <x:c r="C796" s="28" t="str">
        <x:v>Десерты и выпечка</x:v>
      </x:c>
      <x:c r="D796" s="28" t="str">
        <x:v>сельдерей корневой</x:v>
      </x:c>
      <x:c r="E796" s="28" t="str">
        <x:v>celeriac</x:v>
      </x:c>
      <x:c r="F796" s="28" t="str">
        <x:v>Корнеплоды</x:v>
      </x:c>
      <x:c r="G796" s="28" t="str">
        <x:v>яблоко</x:v>
      </x:c>
      <x:c r="H796" s="28" t="str">
        <x:v>Pink Ladyapple</x:v>
      </x:c>
      <x:c r="I796" s="28" t="str">
        <x:v>Фрукты и ягоды</x:v>
      </x:c>
      <x:c r="J796" s="28" t="str">
        <x:v>землистый, ореховый, сельдерейно-пряный и слегка грибной</x:v>
      </x:c>
      <x:c r="K796" s="28" t="str">
        <x:v>зелёный, свежий, фруктовый</x:v>
      </x:c>
      <x:c r="L796" s="28" t="str">
        <x:v>фталиды, селинен, лимонен, метиональ</x:v>
      </x:c>
      <x:c r="M796" s="28" t="str">
        <x:v>гексаналь, гексилацетат</x:v>
      </x:c>
      <x:c r="N796" s="28" t="str">
        <x:v>прямое пересечение семейств не подтверждено</x:v>
      </x:c>
      <x:c r="O796" s="28" t="str">
        <x:v>надёжная общая ключевая молекула не установлена</x:v>
      </x:c>
      <x:c r="P796" s="28" t="str">
        <x:v>кислотно-сладкий баланс</x:v>
      </x:c>
      <x:c r="Q79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6" s="28" t="str">
        <x:v>минимальный</x:v>
      </x:c>
      <x:c r="S796" s="28" t="str">
        <x:v>плотная крахмалисто-волокнистая матрица Водная кислая фаза усиливает свежесть, но может разжижать пюре и нарушать молочную эмульсию.</x:v>
      </x:c>
      <x:c r="T79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96" s="28" t="str">
        <x:v>Сельдерей корневой имеет профиль «землистый, ореховый, сельдерейно-пряный и слегка грибной».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796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W796" s="28" t="str">
        <x:v>цитрус, мёд или мягкая трава</x:v>
      </x:c>
      <x:c r="X796" s="28" t="str">
        <x:v>пюре, суп, запекание, крем, гарнир, соус или десертная разработка с яблоко</x:v>
      </x:c>
      <x:c r="Y796" s="28" t="str">
        <x:v>десерты</x:v>
      </x:c>
      <x:c r="Z796" s="28" t="str">
        <x:v>Средняя</x:v>
      </x:c>
      <x:c r="AA796" s="28" t="str">
        <x:v>The Art &amp; Science of Foodpairing.pdf</x:v>
      </x:c>
      <x:c r="AB796" s="28" t="str">
        <x:v>The Art &amp; Science of Foodpairing.pdf: 52</x:v>
      </x:c>
      <x:c r="AC796" s="28" t="str">
        <x:v>связь из pairing grid, стр. 52</x:v>
      </x:c>
      <x:c r="AD796" s="28" t="n">
        <x:v>1</x:v>
      </x:c>
      <x:c r="AE796" s="28" t="n">
        <x:v>1</x:v>
      </x:c>
      <x:c r="AF796" s="28" t="n">
        <x:f>IF(Z796="Высокая",3,IF(Z796="Средняя",2,1))+AD796*2+MIN(AE796,3)</x:f>
        <x:v>5</x:v>
      </x:c>
    </x:row>
    <x:row r="797" ht="64" customHeight="1">
      <x:c r="A797" s="28" t="str">
        <x:v>VEG-0796</x:v>
      </x:c>
      <x:c r="B797" s="28" t="str">
        <x:v>сельдерей корневой</x:v>
      </x:c>
      <x:c r="C797" s="28" t="str">
        <x:v>Еда и соусы</x:v>
      </x:c>
      <x:c r="D797" s="28" t="str">
        <x:v>сельдерей корневой</x:v>
      </x:c>
      <x:c r="E797" s="28" t="str">
        <x:v>celeriac</x:v>
      </x:c>
      <x:c r="F797" s="28" t="str">
        <x:v>Корнеплоды</x:v>
      </x:c>
      <x:c r="G797" s="28" t="str">
        <x:v>яичный желток</x:v>
      </x:c>
      <x:c r="H797" s="28" t="str">
        <x:v>hard-boiled egg yolk</x:v>
      </x:c>
      <x:c r="I797" s="28" t="str">
        <x:v>Яйца</x:v>
      </x:c>
      <x:c r="J797" s="28" t="str">
        <x:v>землистый, ореховый, сельдерейно-пряный и слегка грибной</x:v>
      </x:c>
      <x:c r="K797" s="28" t="str">
        <x:v>сливочный, сернистый и умами</x:v>
      </x:c>
      <x:c r="L797" s="28" t="str">
        <x:v>фталиды, селинен, лимонен, метиональ</x:v>
      </x:c>
      <x:c r="M797" s="28" t="str">
        <x:v>жирные кислоты, сернистые соединения</x:v>
      </x:c>
      <x:c r="N797" s="28" t="str">
        <x:v>прямое пересечение семейств не подтверждено</x:v>
      </x:c>
      <x:c r="O797" s="28" t="str">
        <x:v>надёжная общая ключевая молекула не установлена</x:v>
      </x:c>
      <x:c r="P797" s="28" t="str">
        <x:v>сенсорная комплементарность</x:v>
      </x:c>
      <x:c r="Q79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7" s="28" t="str">
        <x:v>минимальный</x:v>
      </x:c>
      <x:c r="S797" s="28" t="str">
        <x:v>плотная крахмалисто-волокнистая матрица</x:v>
      </x:c>
      <x:c r="T79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U797" s="28" t="str">
        <x:v>Сельдерей корневой имеет профиль «землистый, ореховый, сельдерейно-пряный и слегка грибной». Партнёр «яичный желток» относится к группе «Яйца» и даёт сливочный,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797" s="28" t="str">
        <x:v>быстро окисляется после нарезки; избыток сельдерейных фталидов даёт аптечную ноту</x:v>
      </x:c>
      <x:c r="W797" s="28" t="str">
        <x:v>соль, кислота или ароматический жир</x:v>
      </x:c>
      <x:c r="X797" s="28" t="str">
        <x:v>пюре, суп, запекание, крем, гарнир, соус или десертная разработка с яичный желток</x:v>
      </x:c>
      <x:c r="Y797" s="28" t="str">
        <x:v>еда, соусы/маринады</x:v>
      </x:c>
      <x:c r="Z797" s="28" t="str">
        <x:v>Средняя</x:v>
      </x:c>
      <x:c r="AA797" s="28" t="str">
        <x:v>The Art &amp; Science of Foodpairing.pdf</x:v>
      </x:c>
      <x:c r="AB797" s="28" t="str">
        <x:v>The Art &amp; Science of Foodpairing.pdf: 52</x:v>
      </x:c>
      <x:c r="AC797" s="28" t="str">
        <x:v>связь из pairing grid, стр. 52</x:v>
      </x:c>
      <x:c r="AD797" s="28" t="n">
        <x:v>1</x:v>
      </x:c>
      <x:c r="AE797" s="28" t="n">
        <x:v>1</x:v>
      </x:c>
      <x:c r="AF797" s="28" t="n">
        <x:f>IF(Z797="Высокая",3,IF(Z797="Средняя",2,1))+AD797*2+MIN(AE797,3)</x:f>
        <x:v>5</x:v>
      </x:c>
    </x:row>
    <x:row r="798" ht="64" customHeight="1">
      <x:c r="A798" s="28" t="str">
        <x:v>VEG-0797</x:v>
      </x:c>
      <x:c r="B798" s="28" t="str">
        <x:v>спаржа</x:v>
      </x:c>
      <x:c r="C798" s="28" t="str">
        <x:v>Универсальные</x:v>
      </x:c>
      <x:c r="D798" s="28" t="str">
        <x:v>спаржа</x:v>
      </x:c>
      <x:c r="E798" s="28" t="str">
        <x:v>Спаржа | спаржа</x:v>
      </x:c>
      <x:c r="F798" s="28" t="str">
        <x:v>Побеговые овощи</x:v>
      </x:c>
      <x:c r="G798" s="28" t="str">
        <x:v>анис</x:v>
      </x:c>
      <x:c r="H798" s="28" t="str">
        <x:v>Анис | анис</x:v>
      </x:c>
      <x:c r="I798" s="28" t="str">
        <x:v>Прочее</x:v>
      </x:c>
      <x:c r="J798" s="28" t="str">
        <x:v>зелёный, сернистый, ореховый и слегка сладкий</x:v>
      </x:c>
      <x:c r="K798" s="28" t="str">
        <x:v>профиль зависит от конкретного продукта</x:v>
      </x:c>
      <x:c r="L798" s="28" t="str">
        <x:v>метантиол, диметилсульфид, пиразины, аспарагусовая кислота</x:v>
      </x:c>
      <x:c r="M798" s="28" t="str">
        <x:v>конкретный молекулярный профиль не указан</x:v>
      </x:c>
      <x:c r="N798" s="28" t="str">
        <x:v>прямое пересечение семейств не подтверждено</x:v>
      </x:c>
      <x:c r="O798" s="28" t="str">
        <x:v>надёжная общая ключевая молекула не установлена</x:v>
      </x:c>
      <x:c r="P798" s="28" t="str">
        <x:v>сернистая или горчичная комплементарность</x:v>
      </x:c>
      <x:c r="Q79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8" s="28" t="str">
        <x:v>минимальный</x:v>
      </x:c>
      <x:c r="S798" s="28" t="str">
        <x:v>водная волокнистая матрица; поверхность хорошо покрывается жиром</x:v>
      </x:c>
      <x:c r="T798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798" s="28" t="str">
        <x:v>Спаржа имеет профиль «зелёный, сернистый, ореховый и слегка сладкий».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798" s="28" t="str">
        <x:v>переваривание усиливает сернистость и разрушает текстуру; толстые основания очищать</x:v>
      </x:c>
      <x:c r="W798" s="28" t="str">
        <x:v>соль, кислота или ароматический жир</x:v>
      </x:c>
      <x:c r="X798" s="28" t="str">
        <x:v>горячее блюдо, бульон, соус, пюре, ферментация или гарнир с анис</x:v>
      </x:c>
      <x:c r="Y798" s="28" t="str">
        <x:v>универсальное</x:v>
      </x:c>
      <x:c r="Z798" s="28" t="str">
        <x:v>Средняя</x:v>
      </x:c>
      <x:c r="AA798" s="28" t="str">
        <x:v>Тезариус вкусов (Ники Сегнит)(1).pdf</x:v>
      </x:c>
      <x:c r="AB798" s="28" t="str">
        <x:v>Тезариус вкусов (Ники Сегнит)(1).pdf: 344, 486</x:v>
      </x:c>
      <x:c r="AC798" s="28" t="str">
        <x:v>развёрнутая пара/статья, стр. 344; развёрнутая пара/статья, стр. 486</x:v>
      </x:c>
      <x:c r="AD798" s="28" t="n">
        <x:v>1</x:v>
      </x:c>
      <x:c r="AE798" s="28" t="n">
        <x:v>2</x:v>
      </x:c>
      <x:c r="AF798" s="28" t="n">
        <x:f>IF(Z798="Высокая",3,IF(Z798="Средняя",2,1))+AD798*2+MIN(AE798,3)</x:f>
        <x:v>6</x:v>
      </x:c>
    </x:row>
    <x:row r="799" ht="64" customHeight="1">
      <x:c r="A799" s="28" t="str">
        <x:v>VEG-0798</x:v>
      </x:c>
      <x:c r="B799" s="28" t="str">
        <x:v>спаржа</x:v>
      </x:c>
      <x:c r="C799" s="28" t="str">
        <x:v>Десерты и выпечка</x:v>
      </x:c>
      <x:c r="D799" s="28" t="str">
        <x:v>спаржа</x:v>
      </x:c>
      <x:c r="E799" s="28" t="str">
        <x:v>Спаржа | спаржа</x:v>
      </x:c>
      <x:c r="F799" s="28" t="str">
        <x:v>Побеговые овощи</x:v>
      </x:c>
      <x:c r="G799" s="28" t="str">
        <x:v>апельсин</x:v>
      </x:c>
      <x:c r="H799" s="28" t="str">
        <x:v>Апельсин | апельсин</x:v>
      </x:c>
      <x:c r="I799" s="28" t="str">
        <x:v>Фрукты и ягоды</x:v>
      </x:c>
      <x:c r="J799" s="28" t="str">
        <x:v>зелёный, сернистый, ореховый и слегка сладкий</x:v>
      </x:c>
      <x:c r="K799" s="28" t="str">
        <x:v>сладкий, цветочный, цитрусовый</x:v>
      </x:c>
      <x:c r="L799" s="28" t="str">
        <x:v>метантиол, диметилсульфид, пиразины, аспарагусовая кислота</x:v>
      </x:c>
      <x:c r="M799" s="28" t="str">
        <x:v>лимонен, линалоол</x:v>
      </x:c>
      <x:c r="N799" s="28" t="str">
        <x:v>прямое пересечение семейств не подтверждено</x:v>
      </x:c>
      <x:c r="O799" s="28" t="str">
        <x:v>надёжная общая ключевая молекула не установлена</x:v>
      </x:c>
      <x:c r="P799" s="28" t="str">
        <x:v>кислотно-сладкий баланс; сернистая или горчичная комплементарность</x:v>
      </x:c>
      <x:c r="Q79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799" s="28" t="str">
        <x:v>минимальный</x:v>
      </x:c>
      <x:c r="S799" s="28" t="str">
        <x:v>водная волокнистая матрица; поверхность хорошо покрывается жиром Водная кислая фаза усиливает свежесть, но может разжижать пюре и нарушать молочную эмульсию.</x:v>
      </x:c>
      <x:c r="T799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799" s="28" t="str">
        <x:v>Спаржа имеет профиль «зелёный, сернистый, ореховый и слегка сладкий».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799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W799" s="28" t="str">
        <x:v>цитрус, мёд или мягкая трава</x:v>
      </x:c>
      <x:c r="X799" s="28" t="str">
        <x:v>горячее блюдо, бульон, соус, пюре, ферментация или гарнир с апельсин</x:v>
      </x:c>
      <x:c r="Y799" s="28" t="str">
        <x:v>десерты</x:v>
      </x:c>
      <x:c r="Z799" s="28" t="str">
        <x:v>Средняя</x:v>
      </x:c>
      <x:c r="AA799" s="28" t="str">
        <x:v>Тезариус вкусов (Ники Сегнит)(1).pdf</x:v>
      </x:c>
      <x:c r="AB799" s="28" t="str">
        <x:v>Тезариус вкусов (Ники Сегнит)(1).pdf: 345, 781</x:v>
      </x:c>
      <x:c r="AC799" s="28" t="str">
        <x:v>развёрнутая пара/статья, стр. 345; развёрнутая пара/статья, стр. 781</x:v>
      </x:c>
      <x:c r="AD799" s="28" t="n">
        <x:v>1</x:v>
      </x:c>
      <x:c r="AE799" s="28" t="n">
        <x:v>2</x:v>
      </x:c>
      <x:c r="AF799" s="28" t="n">
        <x:f>IF(Z799="Высокая",3,IF(Z799="Средняя",2,1))+AD799*2+MIN(AE799,3)</x:f>
        <x:v>6</x:v>
      </x:c>
    </x:row>
    <x:row r="800" ht="64" customHeight="1">
      <x:c r="A800" s="28" t="str">
        <x:v>VEG-0799</x:v>
      </x:c>
      <x:c r="B800" s="28" t="str">
        <x:v>спаржа</x:v>
      </x:c>
      <x:c r="C800" s="28" t="str">
        <x:v>Десерты и выпечка</x:v>
      </x:c>
      <x:c r="D800" s="28" t="str">
        <x:v>спаржа</x:v>
      </x:c>
      <x:c r="E800" s="28" t="str">
        <x:v>Спаржа | спаржа</x:v>
      </x:c>
      <x:c r="F800" s="28" t="str">
        <x:v>Побеговые овощи</x:v>
      </x:c>
      <x:c r="G800" s="28" t="str">
        <x:v>арахис</x:v>
      </x:c>
      <x:c r="H800" s="28" t="str">
        <x:v>Арахис | арахис</x:v>
      </x:c>
      <x:c r="I800" s="28" t="str">
        <x:v>Орехи и семена</x:v>
      </x:c>
      <x:c r="J800" s="28" t="str">
        <x:v>зелёный, сернистый, ореховый и слегка сладкий</x:v>
      </x:c>
      <x:c r="K800" s="28" t="str">
        <x:v>ореховый, жареный и жирный</x:v>
      </x:c>
      <x:c r="L800" s="28" t="str">
        <x:v>метантиол, диметилсульфид, пиразины, аспарагусовая кислота</x:v>
      </x:c>
      <x:c r="M800" s="28" t="str">
        <x:v>альдегиды, пиразины, фураны</x:v>
      </x:c>
      <x:c r="N800" s="28" t="str">
        <x:v>ореховый</x:v>
      </x:c>
      <x:c r="O800" s="28" t="str">
        <x:v>пиразины</x:v>
      </x:c>
      <x:c r="P800" s="28" t="str">
        <x:v>общие характерные молекулы; пересечение ароматических семейств; сернистая или горчичная комплементарность</x:v>
      </x:c>
      <x:c r="Q80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0" s="28" t="str">
        <x:v>минимальный</x:v>
      </x:c>
      <x:c r="S800" s="28" t="str">
        <x:v>водная волокнистая матрица; поверхность хорошо покрывается жиром</x:v>
      </x:c>
      <x:c r="T800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0" s="28" t="str">
        <x:v>Спаржа имеет профиль «зелёный, сернистый, ореховый и слегка сладкий». Партнёр «арахис»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0" s="28" t="str">
        <x:v>переваривание усиливает сернистость и разрушает текстуру; толстые основания очищать</x:v>
      </x:c>
      <x:c r="W800" s="28" t="str">
        <x:v>соль, кислота или ароматический жир</x:v>
      </x:c>
      <x:c r="X800" s="28" t="str">
        <x:v>горячее блюдо, бульон, соус, пюре, ферментация или гарнир с арахис</x:v>
      </x:c>
      <x:c r="Y800" s="28" t="str">
        <x:v>десерты</x:v>
      </x:c>
      <x:c r="Z800" s="28" t="str">
        <x:v>Средняя</x:v>
      </x:c>
      <x:c r="AA800" s="28" t="str">
        <x:v>Тезариус вкусов (Ники Сегнит)(1).pdf</x:v>
      </x:c>
      <x:c r="AB800" s="28" t="str">
        <x:v>Тезариус вкусов (Ники Сегнит)(1).pdf: 56, 345</x:v>
      </x:c>
      <x:c r="AC800" s="28" t="str">
        <x:v>развёрнутая пара/статья, стр. 56; развёрнутая пара/статья, стр. 345</x:v>
      </x:c>
      <x:c r="AD800" s="28" t="n">
        <x:v>1</x:v>
      </x:c>
      <x:c r="AE800" s="28" t="n">
        <x:v>2</x:v>
      </x:c>
      <x:c r="AF800" s="28" t="n">
        <x:f>IF(Z800="Высокая",3,IF(Z800="Средняя",2,1))+AD800*2+MIN(AE800,3)</x:f>
        <x:v>6</x:v>
      </x:c>
    </x:row>
    <x:row r="801" ht="64" customHeight="1">
      <x:c r="A801" s="28" t="str">
        <x:v>VEG-0800</x:v>
      </x:c>
      <x:c r="B801" s="28" t="str">
        <x:v>спаржа</x:v>
      </x:c>
      <x:c r="C801" s="28" t="str">
        <x:v>Универсальные</x:v>
      </x:c>
      <x:c r="D801" s="28" t="str">
        <x:v>спаржа</x:v>
      </x:c>
      <x:c r="E801" s="28" t="str">
        <x:v>white asparagus</x:v>
      </x:c>
      <x:c r="F801" s="28" t="str">
        <x:v>Побеговые овощи</x:v>
      </x:c>
      <x:c r="G801" s="28" t="str">
        <x:v>арбуз</x:v>
      </x:c>
      <x:c r="H801" s="28" t="str">
        <x:v>watermelon</x:v>
      </x:c>
      <x:c r="I801" s="28" t="str">
        <x:v>Прочее</x:v>
      </x:c>
      <x:c r="J801" s="28" t="str">
        <x:v>зелёный, сернистый, ореховый и слегка сладкий</x:v>
      </x:c>
      <x:c r="K801" s="28" t="str">
        <x:v>профиль зависит от конкретного продукта</x:v>
      </x:c>
      <x:c r="L801" s="28" t="str">
        <x:v>метантиол, диметилсульфид, пиразины, аспарагусовая кислота</x:v>
      </x:c>
      <x:c r="M801" s="28" t="str">
        <x:v>конкретный молекулярный профиль не указан</x:v>
      </x:c>
      <x:c r="N801" s="28" t="str">
        <x:v>прямое пересечение семейств не подтверждено</x:v>
      </x:c>
      <x:c r="O801" s="28" t="str">
        <x:v>надёжная общая ключевая молекула не установлена</x:v>
      </x:c>
      <x:c r="P801" s="28" t="str">
        <x:v>сернистая или горчичная комплементарность</x:v>
      </x:c>
      <x:c r="Q80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1" s="28" t="str">
        <x:v>минимальный</x:v>
      </x:c>
      <x:c r="S801" s="28" t="str">
        <x:v>водная волокнистая матрица; поверхность хорошо покрывается жиром</x:v>
      </x:c>
      <x:c r="T801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1" s="28" t="str">
        <x:v>Спаржа имеет профиль «зелёный, сернистый, ореховый и слегка сладкий».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1" s="28" t="str">
        <x:v>переваривание усиливает сернистость и разрушает текстуру; толстые основания очищать</x:v>
      </x:c>
      <x:c r="W801" s="28" t="str">
        <x:v>соль, кислота или ароматический жир</x:v>
      </x:c>
      <x:c r="X801" s="28" t="str">
        <x:v>горячее блюдо, бульон, соус, пюре, ферментация или гарнир с арбуз</x:v>
      </x:c>
      <x:c r="Y801" s="28" t="str">
        <x:v>универсальное</x:v>
      </x:c>
      <x:c r="Z801" s="28" t="str">
        <x:v>Средняя</x:v>
      </x:c>
      <x:c r="AA801" s="28" t="str">
        <x:v>The Art &amp; Science of Foodpairing.pdf</x:v>
      </x:c>
      <x:c r="AB801" s="28" t="str">
        <x:v>The Art &amp; Science of Foodpairing.pdf: 78</x:v>
      </x:c>
      <x:c r="AC801" s="28" t="str">
        <x:v>связь из pairing grid, стр. 78</x:v>
      </x:c>
      <x:c r="AD801" s="28" t="n">
        <x:v>1</x:v>
      </x:c>
      <x:c r="AE801" s="28" t="n">
        <x:v>1</x:v>
      </x:c>
      <x:c r="AF801" s="28" t="n">
        <x:f>IF(Z801="Высокая",3,IF(Z801="Средняя",2,1))+AD801*2+MIN(AE801,3)</x:f>
        <x:v>5</x:v>
      </x:c>
    </x:row>
    <x:row r="802" ht="64" customHeight="1">
      <x:c r="A802" s="28" t="str">
        <x:v>VEG-0801</x:v>
      </x:c>
      <x:c r="B802" s="28" t="str">
        <x:v>спаржа</x:v>
      </x:c>
      <x:c r="C802" s="28" t="str">
        <x:v>Универсальные</x:v>
      </x:c>
      <x:c r="D802" s="28" t="str">
        <x:v>спаржа</x:v>
      </x:c>
      <x:c r="E802" s="28" t="str">
        <x:v>green asparagus</x:v>
      </x:c>
      <x:c r="F802" s="28" t="str">
        <x:v>Побеговые овощи</x:v>
      </x:c>
      <x:c r="G802" s="28" t="str">
        <x:v>базилик</x:v>
      </x:c>
      <x:c r="H802" s="28" t="str">
        <x:v>basil</x:v>
      </x:c>
      <x:c r="I802" s="28" t="str">
        <x:v>Травы, цветы и листья</x:v>
      </x:c>
      <x:c r="J802" s="28" t="str">
        <x:v>зелёный, сернистый, ореховый и слегка сладкий</x:v>
      </x:c>
      <x:c r="K802" s="28" t="str">
        <x:v>зелёный, пряный, цветочный</x:v>
      </x:c>
      <x:c r="L802" s="28" t="str">
        <x:v>метантиол, диметилсульфид, пиразины, аспарагусовая кислота</x:v>
      </x:c>
      <x:c r="M802" s="28" t="str">
        <x:v>линалоол, эвгенол</x:v>
      </x:c>
      <x:c r="N802" s="28" t="str">
        <x:v>зелёный</x:v>
      </x:c>
      <x:c r="O802" s="28" t="str">
        <x:v>надёжная общая ключевая молекула не установлена</x:v>
      </x:c>
      <x:c r="P802" s="28" t="str">
        <x:v>пересечение ароматических семейств; сернистая или горчичная комплементарность</x:v>
      </x:c>
      <x:c r="Q80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2" s="28" t="str">
        <x:v>минимальный</x:v>
      </x:c>
      <x:c r="S802" s="28" t="str">
        <x:v>водная волокнистая матрица; поверхность хорошо покрывается жиром</x:v>
      </x:c>
      <x:c r="T802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2" s="28" t="str">
        <x:v>Спаржа имеет профиль «зелёный, сернистый, ореховый и слегка сладкий».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2" s="28" t="str">
        <x:v>переваривание усиливает сернистость и разрушает текстуру; толстые основания очищать; длительный нагрев уносит свежие терпены и зелёные альдегиды</x:v>
      </x:c>
      <x:c r="W802" s="28" t="str">
        <x:v>оливковое масло, лимон или сыр</x:v>
      </x:c>
      <x:c r="X802" s="28" t="str">
        <x:v>горячее блюдо, бульон, соус, пюре, ферментация или гарнир с базилик</x:v>
      </x:c>
      <x:c r="Y802" s="28" t="str">
        <x:v>универсальное</x:v>
      </x:c>
      <x:c r="Z802" s="28" t="str">
        <x:v>Средняя</x:v>
      </x:c>
      <x:c r="AA802" s="28" t="str">
        <x:v>The Art &amp; Science of Foodpairing.pdf</x:v>
      </x:c>
      <x:c r="AB802" s="28" t="str">
        <x:v>The Art &amp; Science of Foodpairing.pdf: 74</x:v>
      </x:c>
      <x:c r="AC802" s="28" t="str">
        <x:v>связь из pairing grid, стр. 74</x:v>
      </x:c>
      <x:c r="AD802" s="28" t="n">
        <x:v>1</x:v>
      </x:c>
      <x:c r="AE802" s="28" t="n">
        <x:v>1</x:v>
      </x:c>
      <x:c r="AF802" s="28" t="n">
        <x:f>IF(Z802="Высокая",3,IF(Z802="Средняя",2,1))+AD802*2+MIN(AE802,3)</x:f>
        <x:v>5</x:v>
      </x:c>
    </x:row>
    <x:row r="803" ht="64" customHeight="1">
      <x:c r="A803" s="28" t="str">
        <x:v>VEG-0802</x:v>
      </x:c>
      <x:c r="B803" s="28" t="str">
        <x:v>спаржа</x:v>
      </x:c>
      <x:c r="C803" s="28" t="str">
        <x:v>Еда и соусы</x:v>
      </x:c>
      <x:c r="D803" s="28" t="str">
        <x:v>спаржа</x:v>
      </x:c>
      <x:c r="E803" s="28" t="str">
        <x:v>Спаржа | спаржа</x:v>
      </x:c>
      <x:c r="F803" s="28" t="str">
        <x:v>Побеговые овощи</x:v>
      </x:c>
      <x:c r="G803" s="28" t="str">
        <x:v>белая рыба</x:v>
      </x:c>
      <x:c r="H803" s="28" t="str">
        <x:v>Белая рыба | белая рыба</x:v>
      </x:c>
      <x:c r="I803" s="28" t="str">
        <x:v>Рыба и морепродукты</x:v>
      </x:c>
      <x:c r="J803" s="28" t="str">
        <x:v>зелёный, сернистый, ореховый и слегка сладкий</x:v>
      </x:c>
      <x:c r="K803" s="28" t="str">
        <x:v>жирный, морской, умами</x:v>
      </x:c>
      <x:c r="L803" s="28" t="str">
        <x:v>метантиол, диметилсульфид, пиразины, аспарагусовая кислота</x:v>
      </x:c>
      <x:c r="M803" s="28" t="str">
        <x:v>альдегиды, амины</x:v>
      </x:c>
      <x:c r="N803" s="28" t="str">
        <x:v>прямое пересечение семейств не подтверждено</x:v>
      </x:c>
      <x:c r="O803" s="28" t="str">
        <x:v>надёжная общая ключевая молекула не установлена</x:v>
      </x:c>
      <x:c r="P803" s="28" t="str">
        <x:v>умами и солёный контраст; сернистая или горчичная комплементарность</x:v>
      </x:c>
      <x:c r="Q80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3" s="28" t="str">
        <x:v>минимальный</x:v>
      </x:c>
      <x:c r="S803" s="28" t="str">
        <x:v>водная волокнистая матрица; поверхность хорошо покрывается жиром Белок и жир требуют контроля воды: для жареной ароматики поверхность должна подсохнуть.</x:v>
      </x:c>
      <x:c r="T803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3" s="28" t="str">
        <x:v>Спаржа имеет профиль «зелёный, сернистый, ореховый и слегка сладкий».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3" s="28" t="str">
        <x:v>переваривание усиливает сернистость и разрушает текстуру; толстые основания очищать</x:v>
      </x:c>
      <x:c r="W803" s="28" t="str">
        <x:v>сливочное масло, соевый соус или тимьян</x:v>
      </x:c>
      <x:c r="X803" s="28" t="str">
        <x:v>горячее блюдо, бульон, соус, пюре, ферментация или гарнир с белая рыба</x:v>
      </x:c>
      <x:c r="Y803" s="28" t="str">
        <x:v>еда, соусы/маринады</x:v>
      </x:c>
      <x:c r="Z803" s="28" t="str">
        <x:v>Средняя</x:v>
      </x:c>
      <x:c r="AA803" s="28" t="str">
        <x:v>Тезариус вкусов (Ники Сегнит)(1).pdf</x:v>
      </x:c>
      <x:c r="AB803" s="28" t="str">
        <x:v>Тезариус вкусов (Ники Сегнит)(1).pdf: 345, 389</x:v>
      </x:c>
      <x:c r="AC803" s="28" t="str">
        <x:v>развёрнутая пара/статья, стр. 345; развёрнутая пара/статья, стр. 389</x:v>
      </x:c>
      <x:c r="AD803" s="28" t="n">
        <x:v>1</x:v>
      </x:c>
      <x:c r="AE803" s="28" t="n">
        <x:v>2</x:v>
      </x:c>
      <x:c r="AF803" s="28" t="n">
        <x:f>IF(Z803="Высокая",3,IF(Z803="Средняя",2,1))+AD803*2+MIN(AE803,3)</x:f>
        <x:v>6</x:v>
      </x:c>
    </x:row>
    <x:row r="804" ht="64" customHeight="1">
      <x:c r="A804" s="28" t="str">
        <x:v>VEG-0803</x:v>
      </x:c>
      <x:c r="B804" s="28" t="str">
        <x:v>спаржа</x:v>
      </x:c>
      <x:c r="C804" s="28" t="str">
        <x:v>Универсальные</x:v>
      </x:c>
      <x:c r="D804" s="28" t="str">
        <x:v>спаржа</x:v>
      </x:c>
      <x:c r="E804" s="28" t="str">
        <x:v>asparagus</x:v>
      </x:c>
      <x:c r="F804" s="28" t="str">
        <x:v>Побеговые овощи</x:v>
      </x:c>
      <x:c r="G804" s="28" t="str">
        <x:v>ваниль</x:v>
      </x:c>
      <x:c r="H804" s="28" t="str">
        <x:v>vanilla</x:v>
      </x:c>
      <x:c r="I804" s="28" t="str">
        <x:v>Специи</x:v>
      </x:c>
      <x:c r="J804" s="28" t="str">
        <x:v>зелёный, сернистый, ореховый и слегка сладкий</x:v>
      </x:c>
      <x:c r="K804" s="28" t="str">
        <x:v>ванильный, древесный, цветочный</x:v>
      </x:c>
      <x:c r="L804" s="28" t="str">
        <x:v>метантиол, диметилсульфид, пиразины, аспарагусовая кислота</x:v>
      </x:c>
      <x:c r="M804" s="28" t="str">
        <x:v>ванилин</x:v>
      </x:c>
      <x:c r="N804" s="28" t="str">
        <x:v>прямое пересечение семейств не подтверждено</x:v>
      </x:c>
      <x:c r="O804" s="28" t="str">
        <x:v>надёжная общая ключевая молекула не установлена</x:v>
      </x:c>
      <x:c r="P804" s="28" t="str">
        <x:v>сернистая или горчичная комплементарность</x:v>
      </x:c>
      <x:c r="Q80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4" s="28" t="str">
        <x:v>минимальный</x:v>
      </x:c>
      <x:c r="S804" s="28" t="str">
        <x:v>водная волокнистая матрица; поверхность хорошо покрывается жиром</x:v>
      </x:c>
      <x:c r="T804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4" s="28" t="str">
        <x:v>Спаржа имеет профиль «зелёный, сернистый, ореховый и слегка сладкий».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4" s="28" t="str">
        <x:v>переваривание усиливает сернистость и разрушает текстуру; толстые основания очищать</x:v>
      </x:c>
      <x:c r="W804" s="28" t="str">
        <x:v>цитрус, йогурт или мёд</x:v>
      </x:c>
      <x:c r="X804" s="28" t="str">
        <x:v>горячее блюдо, бульон, соус, пюре, ферментация или гарнир с ваниль</x:v>
      </x:c>
      <x:c r="Y804" s="28" t="str">
        <x:v>универсальное</x:v>
      </x:c>
      <x:c r="Z804" s="28" t="str">
        <x:v>Средняя</x:v>
      </x:c>
      <x:c r="AA804" s="28" t="str">
        <x:v>The Art &amp; Science of Foodpairing.pdf</x:v>
      </x:c>
      <x:c r="AB804" s="28" t="str">
        <x:v>The Art &amp; Science of Foodpairing.pdf: 56</x:v>
      </x:c>
      <x:c r="AC804" s="28" t="str">
        <x:v>связь из pairing grid, стр. 56</x:v>
      </x:c>
      <x:c r="AD804" s="28" t="n">
        <x:v>1</x:v>
      </x:c>
      <x:c r="AE804" s="28" t="n">
        <x:v>1</x:v>
      </x:c>
      <x:c r="AF804" s="28" t="n">
        <x:f>IF(Z804="Высокая",3,IF(Z804="Средняя",2,1))+AD804*2+MIN(AE804,3)</x:f>
        <x:v>5</x:v>
      </x:c>
    </x:row>
    <x:row r="805" ht="64" customHeight="1">
      <x:c r="A805" s="28" t="str">
        <x:v>VEG-0804</x:v>
      </x:c>
      <x:c r="B805" s="28" t="str">
        <x:v>спаржа</x:v>
      </x:c>
      <x:c r="C805" s="28" t="str">
        <x:v>Еда и соусы</x:v>
      </x:c>
      <x:c r="D805" s="28" t="str">
        <x:v>спаржа</x:v>
      </x:c>
      <x:c r="E805" s="28" t="str">
        <x:v>Спаржа | спаржа</x:v>
      </x:c>
      <x:c r="F805" s="28" t="str">
        <x:v>Побеговые овощи</x:v>
      </x:c>
      <x:c r="G805" s="28" t="str">
        <x:v>горох</x:v>
      </x:c>
      <x:c r="H805" s="28" t="str">
        <x:v>Горох | горох</x:v>
      </x:c>
      <x:c r="I805" s="28" t="str">
        <x:v>Бобовые</x:v>
      </x:c>
      <x:c r="J805" s="28" t="str">
        <x:v>зелёный, сернистый, ореховый и слегка сладкий</x:v>
      </x:c>
      <x:c r="K805" s="28" t="str">
        <x:v>зелёный, сладкий, бобовый и слегка цветочный</x:v>
      </x:c>
      <x:c r="L805" s="28" t="str">
        <x:v>метантиол, диметилсульфид, пиразины, аспарагусовая кислота</x:v>
      </x:c>
      <x:c r="M805" s="28" t="str">
        <x:v>гексаналь, метоксипиразины, цис-3-гексенол, эфиры</x:v>
      </x:c>
      <x:c r="N805" s="28" t="str">
        <x:v>зелёный</x:v>
      </x:c>
      <x:c r="O805" s="28" t="str">
        <x:v>надёжная общая ключевая молекула не установлена</x:v>
      </x:c>
      <x:c r="P805" s="28" t="str">
        <x:v>пересечение ароматических семейств; сернистая или горчичная комплементарность</x:v>
      </x:c>
      <x:c r="Q80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5" s="28" t="str">
        <x:v>минимальный</x:v>
      </x:c>
      <x:c r="S805" s="28" t="str">
        <x:v>водная волокнистая матрица; поверхность хорошо покрывается жиром</x:v>
      </x:c>
      <x:c r="T805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5" s="28" t="str">
        <x:v>Спаржа имеет профиль «зелёный, сернистый, ореховый и слегка сладкий».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5" s="28" t="str">
        <x:v>переваривание усиливает сернистость и разрушает текстуру; толстые основания очищать</x:v>
      </x:c>
      <x:c r="W805" s="28" t="str">
        <x:v>соль, кислота или ароматический жир</x:v>
      </x:c>
      <x:c r="X805" s="28" t="str">
        <x:v>горячее блюдо, бульон, соус, пюре, ферментация или гарнир с горох</x:v>
      </x:c>
      <x:c r="Y805" s="28" t="str">
        <x:v>еда, соусы/маринады</x:v>
      </x:c>
      <x:c r="Z805" s="28" t="str">
        <x:v>Средняя</x:v>
      </x:c>
      <x:c r="AA805" s="28" t="str">
        <x:v>Тезариус вкусов (Ники Сегнит)(1).pdf</x:v>
      </x:c>
      <x:c r="AB805" s="28" t="str">
        <x:v>Тезариус вкусов (Ники Сегнит)(1).pdf: 345, 541</x:v>
      </x:c>
      <x:c r="AC805" s="28" t="str">
        <x:v>развёрнутая пара/статья, стр. 345; развёрнутая пара/статья, стр. 541</x:v>
      </x:c>
      <x:c r="AD805" s="28" t="n">
        <x:v>1</x:v>
      </x:c>
      <x:c r="AE805" s="28" t="n">
        <x:v>2</x:v>
      </x:c>
      <x:c r="AF805" s="28" t="n">
        <x:f>IF(Z805="Высокая",3,IF(Z805="Средняя",2,1))+AD805*2+MIN(AE805,3)</x:f>
        <x:v>6</x:v>
      </x:c>
    </x:row>
    <x:row r="806" ht="64" customHeight="1">
      <x:c r="A806" s="28" t="str">
        <x:v>VEG-0805</x:v>
      </x:c>
      <x:c r="B806" s="28" t="str">
        <x:v>спаржа</x:v>
      </x:c>
      <x:c r="C806" s="28" t="str">
        <x:v>Напитки</x:v>
      </x:c>
      <x:c r="D806" s="28" t="str">
        <x:v>спаржа</x:v>
      </x:c>
      <x:c r="E806" s="28" t="str">
        <x:v>grilled green asparagus</x:v>
      </x:c>
      <x:c r="F806" s="28" t="str">
        <x:v>Побеговые овощи</x:v>
      </x:c>
      <x:c r="G806" s="28" t="str">
        <x:v>джин</x:v>
      </x:c>
      <x:c r="H806" s="28" t="str">
        <x:v>gin</x:v>
      </x:c>
      <x:c r="I806" s="28" t="str">
        <x:v>Алкогольные напитки</x:v>
      </x:c>
      <x:c r="J806" s="28" t="str">
        <x:v>зелёный, сернистый, ореховый и слегка сладкий</x:v>
      </x:c>
      <x:c r="K806" s="28" t="str">
        <x:v>спиртовой, фруктовый или древесный</x:v>
      </x:c>
      <x:c r="L806" s="28" t="str">
        <x:v>метантиол, диметилсульфид, пиразины, аспарагусовая кислота</x:v>
      </x:c>
      <x:c r="M806" s="28" t="str">
        <x:v>альдегиды, эфиры</x:v>
      </x:c>
      <x:c r="N806" s="28" t="str">
        <x:v>прямое пересечение семейств не подтверждено</x:v>
      </x:c>
      <x:c r="O806" s="28" t="str">
        <x:v>надёжная общая ключевая молекула не установлена</x:v>
      </x:c>
      <x:c r="P806" s="28" t="str">
        <x:v>сернистая или горчичная комплементарность</x:v>
      </x:c>
      <x:c r="Q80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6" s="28" t="str">
        <x:v>минимальный</x:v>
      </x:c>
      <x:c r="S806" s="28" t="str">
        <x:v>водная волокнистая матрица; поверхность хорошо покрывается жиром Этанол извлекает терпены и сернистые соединения эффективнее воды; время контакта ограничивать.</x:v>
      </x:c>
      <x:c r="T806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6" s="28" t="str">
        <x:v>Спаржа имеет профиль «зелёный, сернистый, ореховый и слегка сладкий».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6" s="28" t="str">
        <x:v>переваривание усиливает сернистость и разрушает текстуру; толстые основания очищать</x:v>
      </x:c>
      <x:c r="W806" s="28" t="str">
        <x:v>соль, кислота или ароматический жир</x:v>
      </x:c>
      <x:c r="X806" s="28" t="str">
        <x:v>горячее блюдо, бульон, соус, пюре, ферментация или гарнир с джин</x:v>
      </x:c>
      <x:c r="Y806" s="28" t="str">
        <x:v>напитки</x:v>
      </x:c>
      <x:c r="Z806" s="28" t="str">
        <x:v>Средняя</x:v>
      </x:c>
      <x:c r="AA806" s="28" t="str">
        <x:v>The Art &amp; Science of Foodpairing.pdf</x:v>
      </x:c>
      <x:c r="AB806" s="28" t="str">
        <x:v>The Art &amp; Science of Foodpairing.pdf: 215</x:v>
      </x:c>
      <x:c r="AC806" s="28" t="str">
        <x:v>связь из pairing grid, стр. 215</x:v>
      </x:c>
      <x:c r="AD806" s="28" t="n">
        <x:v>1</x:v>
      </x:c>
      <x:c r="AE806" s="28" t="n">
        <x:v>1</x:v>
      </x:c>
      <x:c r="AF806" s="28" t="n">
        <x:f>IF(Z806="Высокая",3,IF(Z806="Средняя",2,1))+AD806*2+MIN(AE806,3)</x:f>
        <x:v>5</x:v>
      </x:c>
    </x:row>
    <x:row r="807" ht="64" customHeight="1">
      <x:c r="A807" s="28" t="str">
        <x:v>VEG-0806</x:v>
      </x:c>
      <x:c r="B807" s="28" t="str">
        <x:v>спаржа</x:v>
      </x:c>
      <x:c r="C807" s="28" t="str">
        <x:v>Универсальные</x:v>
      </x:c>
      <x:c r="D807" s="28" t="str">
        <x:v>спаржа</x:v>
      </x:c>
      <x:c r="E807" s="28" t="str">
        <x:v>white asparagus</x:v>
      </x:c>
      <x:c r="F807" s="28" t="str">
        <x:v>Побеговые овощи</x:v>
      </x:c>
      <x:c r="G807" s="28" t="str">
        <x:v>жасмин</x:v>
      </x:c>
      <x:c r="H807" s="28" t="str">
        <x:v>Jasmine blossom</x:v>
      </x:c>
      <x:c r="I807" s="28" t="str">
        <x:v>Травы, цветы и листья</x:v>
      </x:c>
      <x:c r="J807" s="28" t="str">
        <x:v>зелёный, сернистый, ореховый и слегка сладкий</x:v>
      </x:c>
      <x:c r="K807" s="28" t="str">
        <x:v>зелёный, цветочный и терпеновый</x:v>
      </x:c>
      <x:c r="L807" s="28" t="str">
        <x:v>метантиол, диметилсульфид, пиразины, аспарагусовая кислота</x:v>
      </x:c>
      <x:c r="M807" s="28" t="str">
        <x:v>линалоол, терпены</x:v>
      </x:c>
      <x:c r="N807" s="28" t="str">
        <x:v>зелёный</x:v>
      </x:c>
      <x:c r="O807" s="28" t="str">
        <x:v>надёжная общая ключевая молекула не установлена</x:v>
      </x:c>
      <x:c r="P807" s="28" t="str">
        <x:v>пересечение ароматических семейств; сернистая или горчичная комплементарность</x:v>
      </x:c>
      <x:c r="Q80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7" s="28" t="str">
        <x:v>минимальный</x:v>
      </x:c>
      <x:c r="S807" s="28" t="str">
        <x:v>водная волокнистая матрица; поверхность хорошо покрывается жиром</x:v>
      </x:c>
      <x:c r="T807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7" s="28" t="str">
        <x:v>Спаржа имеет профиль «зелёный, сернистый, ореховый и слегка сладкий». Партнёр «жасмин»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7" s="28" t="str">
        <x:v>переваривание усиливает сернистость и разрушает текстуру; толстые основания очищать; длительный нагрев уносит свежие терпены и зелёные альдегиды</x:v>
      </x:c>
      <x:c r="W807" s="28" t="str">
        <x:v>оливковое масло, лимон или сыр</x:v>
      </x:c>
      <x:c r="X807" s="28" t="str">
        <x:v>горячее блюдо, бульон, соус, пюре, ферментация или гарнир с жасмин</x:v>
      </x:c>
      <x:c r="Y807" s="28" t="str">
        <x:v>универсальное</x:v>
      </x:c>
      <x:c r="Z807" s="28" t="str">
        <x:v>Средняя</x:v>
      </x:c>
      <x:c r="AA807" s="28" t="str">
        <x:v>The Art &amp; Science of Foodpairing.pdf</x:v>
      </x:c>
      <x:c r="AB807" s="28" t="str">
        <x:v>The Art &amp; Science of Foodpairing.pdf: 210</x:v>
      </x:c>
      <x:c r="AC807" s="28" t="str">
        <x:v>связь из pairing grid, стр. 210</x:v>
      </x:c>
      <x:c r="AD807" s="28" t="n">
        <x:v>1</x:v>
      </x:c>
      <x:c r="AE807" s="28" t="n">
        <x:v>1</x:v>
      </x:c>
      <x:c r="AF807" s="28" t="n">
        <x:f>IF(Z807="Высокая",3,IF(Z807="Средняя",2,1))+AD807*2+MIN(AE807,3)</x:f>
        <x:v>5</x:v>
      </x:c>
    </x:row>
    <x:row r="808" ht="64" customHeight="1">
      <x:c r="A808" s="28" t="str">
        <x:v>VEG-0807</x:v>
      </x:c>
      <x:c r="B808" s="28" t="str">
        <x:v>спаржа</x:v>
      </x:c>
      <x:c r="C808" s="28" t="str">
        <x:v>Еда и соусы</x:v>
      </x:c>
      <x:c r="D808" s="28" t="str">
        <x:v>спаржа</x:v>
      </x:c>
      <x:c r="E808" s="28" t="str">
        <x:v>Спаржа | спаржа</x:v>
      </x:c>
      <x:c r="F808" s="28" t="str">
        <x:v>Побеговые овощи</x:v>
      </x:c>
      <x:c r="G808" s="28" t="str">
        <x:v>жирная рыба</x:v>
      </x:c>
      <x:c r="H808" s="28" t="str">
        <x:v>Жирная рыба | жирная рыба</x:v>
      </x:c>
      <x:c r="I808" s="28" t="str">
        <x:v>Рыба и морепродукты</x:v>
      </x:c>
      <x:c r="J808" s="28" t="str">
        <x:v>зелёный, сернистый, ореховый и слегка сладкий</x:v>
      </x:c>
      <x:c r="K808" s="28" t="str">
        <x:v>жирный, морской, умами</x:v>
      </x:c>
      <x:c r="L808" s="28" t="str">
        <x:v>метантиол, диметилсульфид, пиразины, аспарагусовая кислота</x:v>
      </x:c>
      <x:c r="M808" s="28" t="str">
        <x:v>альдегиды, амины</x:v>
      </x:c>
      <x:c r="N808" s="28" t="str">
        <x:v>прямое пересечение семейств не подтверждено</x:v>
      </x:c>
      <x:c r="O808" s="28" t="str">
        <x:v>надёжная общая ключевая молекула не установлена</x:v>
      </x:c>
      <x:c r="P808" s="28" t="str">
        <x:v>умами и солёный контраст; сернистая или горчичная комплементарность</x:v>
      </x:c>
      <x:c r="Q80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8" s="28" t="str">
        <x:v>минимальный</x:v>
      </x:c>
      <x:c r="S808" s="28" t="str">
        <x:v>водная волокнистая матрица; поверхность хорошо покрывается жиром Белок и жир требуют контроля воды: для жареной ароматики поверхность должна подсохнуть.</x:v>
      </x:c>
      <x:c r="T808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8" s="28" t="str">
        <x:v>Спаржа имеет профиль «зелёный, сернистый, ореховый и слегка сладкий».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8" s="28" t="str">
        <x:v>переваривание усиливает сернистость и разрушает текстуру; толстые основания очищать</x:v>
      </x:c>
      <x:c r="W808" s="28" t="str">
        <x:v>сливочное масло, соевый соус или тимьян</x:v>
      </x:c>
      <x:c r="X808" s="28" t="str">
        <x:v>горячее блюдо, бульон, соус, пюре, ферментация или гарнир с жирная рыба</x:v>
      </x:c>
      <x:c r="Y808" s="28" t="str">
        <x:v>еда, соусы/маринады</x:v>
      </x:c>
      <x:c r="Z808" s="28" t="str">
        <x:v>Средняя</x:v>
      </x:c>
      <x:c r="AA808" s="28" t="str">
        <x:v>Тезариус вкусов (Ники Сегнит)(1).pdf</x:v>
      </x:c>
      <x:c r="AB808" s="28" t="str">
        <x:v>Тезариус вкусов (Ники Сегнит)(1).pdf: 346, 417</x:v>
      </x:c>
      <x:c r="AC808" s="28" t="str">
        <x:v>развёрнутая пара/статья, стр. 346; развёрнутая пара/статья, стр. 417</x:v>
      </x:c>
      <x:c r="AD808" s="28" t="n">
        <x:v>1</x:v>
      </x:c>
      <x:c r="AE808" s="28" t="n">
        <x:v>2</x:v>
      </x:c>
      <x:c r="AF808" s="28" t="n">
        <x:f>IF(Z808="Высокая",3,IF(Z808="Средняя",2,1))+AD808*2+MIN(AE808,3)</x:f>
        <x:v>6</x:v>
      </x:c>
    </x:row>
    <x:row r="809" ht="64" customHeight="1">
      <x:c r="A809" s="28" t="str">
        <x:v>VEG-0808</x:v>
      </x:c>
      <x:c r="B809" s="28" t="str">
        <x:v>спаржа</x:v>
      </x:c>
      <x:c r="C809" s="28" t="str">
        <x:v>Универсальные</x:v>
      </x:c>
      <x:c r="D809" s="28" t="str">
        <x:v>спаржа</x:v>
      </x:c>
      <x:c r="E809" s="28" t="str">
        <x:v>grilled green asparagus</x:v>
      </x:c>
      <x:c r="F809" s="28" t="str">
        <x:v>Побеговые овощи</x:v>
      </x:c>
      <x:c r="G809" s="28" t="str">
        <x:v>кардамон</x:v>
      </x:c>
      <x:c r="H809" s="28" t="str">
        <x:v>cardamom</x:v>
      </x:c>
      <x:c r="I809" s="28" t="str">
        <x:v>Специи</x:v>
      </x:c>
      <x:c r="J809" s="28" t="str">
        <x:v>зелёный, сернистый, ореховый и слегка сладкий</x:v>
      </x:c>
      <x:c r="K809" s="28" t="str">
        <x:v>камфорный, цветочный, цитрусовый</x:v>
      </x:c>
      <x:c r="L809" s="28" t="str">
        <x:v>метантиол, диметилсульфид, пиразины, аспарагусовая кислота</x:v>
      </x:c>
      <x:c r="M809" s="28" t="str">
        <x:v>1,8-цинеол, линалоол</x:v>
      </x:c>
      <x:c r="N809" s="28" t="str">
        <x:v>прямое пересечение семейств не подтверждено</x:v>
      </x:c>
      <x:c r="O809" s="28" t="str">
        <x:v>надёжная общая ключевая молекула не установлена</x:v>
      </x:c>
      <x:c r="P809" s="28" t="str">
        <x:v>сернистая или горчичная комплементарность</x:v>
      </x:c>
      <x:c r="Q80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09" s="28" t="str">
        <x:v>минимальный</x:v>
      </x:c>
      <x:c r="S809" s="28" t="str">
        <x:v>водная волокнистая матрица; поверхность хорошо покрывается жиром</x:v>
      </x:c>
      <x:c r="T809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09" s="28" t="str">
        <x:v>Спаржа имеет профиль «зелёный, сернистый, ореховый и слегка сладкий».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09" s="28" t="str">
        <x:v>переваривание усиливает сернистость и разрушает текстуру; толстые основания очищать</x:v>
      </x:c>
      <x:c r="W809" s="28" t="str">
        <x:v>цитрус, йогурт или мёд</x:v>
      </x:c>
      <x:c r="X809" s="28" t="str">
        <x:v>горячее блюдо, бульон, соус, пюре, ферментация или гарнир с кардамон</x:v>
      </x:c>
      <x:c r="Y809" s="28" t="str">
        <x:v>универсальное</x:v>
      </x:c>
      <x:c r="Z809" s="28" t="str">
        <x:v>Средняя</x:v>
      </x:c>
      <x:c r="AA809" s="28" t="str">
        <x:v>The Art &amp; Science of Foodpairing.pdf</x:v>
      </x:c>
      <x:c r="AB809" s="28" t="str">
        <x:v>The Art &amp; Science of Foodpairing.pdf: 256</x:v>
      </x:c>
      <x:c r="AC809" s="28" t="str">
        <x:v>связь из pairing grid, стр. 256</x:v>
      </x:c>
      <x:c r="AD809" s="28" t="n">
        <x:v>1</x:v>
      </x:c>
      <x:c r="AE809" s="28" t="n">
        <x:v>1</x:v>
      </x:c>
      <x:c r="AF809" s="28" t="n">
        <x:f>IF(Z809="Высокая",3,IF(Z809="Средняя",2,1))+AD809*2+MIN(AE809,3)</x:f>
        <x:v>5</x:v>
      </x:c>
    </x:row>
    <x:row r="810" ht="64" customHeight="1">
      <x:c r="A810" s="28" t="str">
        <x:v>VEG-0809</x:v>
      </x:c>
      <x:c r="B810" s="28" t="str">
        <x:v>спаржа</x:v>
      </x:c>
      <x:c r="C810" s="28" t="str">
        <x:v>Универсальные</x:v>
      </x:c>
      <x:c r="D810" s="28" t="str">
        <x:v>спаржа</x:v>
      </x:c>
      <x:c r="E810" s="28" t="str">
        <x:v>asparagus</x:v>
      </x:c>
      <x:c r="F810" s="28" t="str">
        <x:v>Побеговые овощи</x:v>
      </x:c>
      <x:c r="G810" s="28" t="str">
        <x:v>комбу</x:v>
      </x:c>
      <x:c r="H810" s="28" t="str">
        <x:v>kombu</x:v>
      </x:c>
      <x:c r="I810" s="28" t="str">
        <x:v>Прочее</x:v>
      </x:c>
      <x:c r="J810" s="28" t="str">
        <x:v>зелёный, сернистый, ореховый и слегка сладкий</x:v>
      </x:c>
      <x:c r="K810" s="28" t="str">
        <x:v>профиль зависит от конкретного продукта</x:v>
      </x:c>
      <x:c r="L810" s="28" t="str">
        <x:v>метантиол, диметилсульфид, пиразины, аспарагусовая кислота</x:v>
      </x:c>
      <x:c r="M810" s="28" t="str">
        <x:v>конкретный молекулярный профиль не указан</x:v>
      </x:c>
      <x:c r="N810" s="28" t="str">
        <x:v>прямое пересечение семейств не подтверждено</x:v>
      </x:c>
      <x:c r="O810" s="28" t="str">
        <x:v>надёжная общая ключевая молекула не установлена</x:v>
      </x:c>
      <x:c r="P810" s="28" t="str">
        <x:v>сернистая или горчичная комплементарность</x:v>
      </x:c>
      <x:c r="Q81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0" s="28" t="str">
        <x:v>минимальный</x:v>
      </x:c>
      <x:c r="S810" s="28" t="str">
        <x:v>водная волокнистая матрица; поверхность хорошо покрывается жиром</x:v>
      </x:c>
      <x:c r="T810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0" s="28" t="str">
        <x:v>Спаржа имеет профиль «зелёный, сернистый, ореховый и слегка сладкий». Партнёр «комбу»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0" s="28" t="str">
        <x:v>переваривание усиливает сернистость и разрушает текстуру; толстые основания очищать</x:v>
      </x:c>
      <x:c r="W810" s="28" t="str">
        <x:v>соль, кислота или ароматический жир</x:v>
      </x:c>
      <x:c r="X810" s="28" t="str">
        <x:v>горячее блюдо, бульон, соус, пюре, ферментация или гарнир с комбу</x:v>
      </x:c>
      <x:c r="Y810" s="28" t="str">
        <x:v>универсальное</x:v>
      </x:c>
      <x:c r="Z810" s="28" t="str">
        <x:v>Высокая</x:v>
      </x:c>
      <x:c r="AA810" s="28" t="str">
        <x:v>The Art &amp; Science of Foodpairing.pdf</x:v>
      </x:c>
      <x:c r="AB810" s="28" t="str">
        <x:v>The Art &amp; Science of Foodpairing.pdf: 267</x:v>
      </x:c>
      <x:c r="AC810" s="28" t="str">
        <x:v>прямая Potential pairing, стр. 267</x:v>
      </x:c>
      <x:c r="AD810" s="28" t="n">
        <x:v>1</x:v>
      </x:c>
      <x:c r="AE810" s="28" t="n">
        <x:v>1</x:v>
      </x:c>
      <x:c r="AF810" s="28" t="n">
        <x:f>IF(Z810="Высокая",3,IF(Z810="Средняя",2,1))+AD810*2+MIN(AE810,3)</x:f>
        <x:v>6</x:v>
      </x:c>
    </x:row>
    <x:row r="811" ht="64" customHeight="1">
      <x:c r="A811" s="28" t="str">
        <x:v>VEG-0810</x:v>
      </x:c>
      <x:c r="B811" s="28" t="str">
        <x:v>спаржа</x:v>
      </x:c>
      <x:c r="C811" s="28" t="str">
        <x:v>Десерты и выпечка</x:v>
      </x:c>
      <x:c r="D811" s="28" t="str">
        <x:v>спаржа</x:v>
      </x:c>
      <x:c r="E811" s="28" t="str">
        <x:v>Спаржа | спаржа</x:v>
      </x:c>
      <x:c r="F811" s="28" t="str">
        <x:v>Побеговые овощи</x:v>
      </x:c>
      <x:c r="G811" s="28" t="str">
        <x:v>лимон</x:v>
      </x:c>
      <x:c r="H811" s="28" t="str">
        <x:v>Лимон | лимон</x:v>
      </x:c>
      <x:c r="I811" s="28" t="str">
        <x:v>Фрукты и ягоды</x:v>
      </x:c>
      <x:c r="J811" s="28" t="str">
        <x:v>зелёный, сернистый, ореховый и слегка сладкий</x:v>
      </x:c>
      <x:c r="K811" s="28" t="str">
        <x:v>кислый, свежий, цитрусовый</x:v>
      </x:c>
      <x:c r="L811" s="28" t="str">
        <x:v>метантиол, диметилсульфид, пиразины, аспарагусовая кислота</x:v>
      </x:c>
      <x:c r="M811" s="28" t="str">
        <x:v>лимонен, цитраль</x:v>
      </x:c>
      <x:c r="N811" s="28" t="str">
        <x:v>прямое пересечение семейств не подтверждено</x:v>
      </x:c>
      <x:c r="O811" s="28" t="str">
        <x:v>надёжная общая ключевая молекула не установлена</x:v>
      </x:c>
      <x:c r="P811" s="28" t="str">
        <x:v>кислотно-сладкий баланс; сернистая или горчичная комплементарность</x:v>
      </x:c>
      <x:c r="Q81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1" s="28" t="str">
        <x:v>минимальный</x:v>
      </x:c>
      <x:c r="S811" s="28" t="str">
        <x:v>водная волокнистая матрица; поверхность хорошо покрывается жиром Водная кислая фаза усиливает свежесть, но может разжижать пюре и нарушать молочную эмульсию.</x:v>
      </x:c>
      <x:c r="T811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1" s="28" t="str">
        <x:v>Спаржа имеет профиль «зелёный, сернистый, ореховый и слегка сладкий».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1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W811" s="28" t="str">
        <x:v>цитрус, мёд или мягкая трава</x:v>
      </x:c>
      <x:c r="X811" s="28" t="str">
        <x:v>горячее блюдо, бульон, соус, пюре, ферментация или гарнир с лимон</x:v>
      </x:c>
      <x:c r="Y811" s="28" t="str">
        <x:v>десерты</x:v>
      </x:c>
      <x:c r="Z811" s="28" t="str">
        <x:v>Средняя</x:v>
      </x:c>
      <x:c r="AA811" s="28" t="str">
        <x:v>Тезариус вкусов (Ники Сегнит)(1).pdf</x:v>
      </x:c>
      <x:c r="AB811" s="28" t="str">
        <x:v>Тезариус вкусов (Ники Сегнит)(1).pdf: 346, 807</x:v>
      </x:c>
      <x:c r="AC811" s="28" t="str">
        <x:v>развёрнутая пара/статья, стр. 346; развёрнутая пара/статья, стр. 807</x:v>
      </x:c>
      <x:c r="AD811" s="28" t="n">
        <x:v>1</x:v>
      </x:c>
      <x:c r="AE811" s="28" t="n">
        <x:v>2</x:v>
      </x:c>
      <x:c r="AF811" s="28" t="n">
        <x:f>IF(Z811="Высокая",3,IF(Z811="Средняя",2,1))+AD811*2+MIN(AE811,3)</x:f>
        <x:v>6</x:v>
      </x:c>
    </x:row>
    <x:row r="812" ht="64" customHeight="1">
      <x:c r="A812" s="28" t="str">
        <x:v>VEG-0811</x:v>
      </x:c>
      <x:c r="B812" s="28" t="str">
        <x:v>спаржа</x:v>
      </x:c>
      <x:c r="C812" s="28" t="str">
        <x:v>Десерты и выпечка</x:v>
      </x:c>
      <x:c r="D812" s="28" t="str">
        <x:v>спаржа</x:v>
      </x:c>
      <x:c r="E812" s="28" t="str">
        <x:v>green asparagus</x:v>
      </x:c>
      <x:c r="F812" s="28" t="str">
        <x:v>Побеговые овощи</x:v>
      </x:c>
      <x:c r="G812" s="28" t="str">
        <x:v>манго</x:v>
      </x:c>
      <x:c r="H812" s="28" t="str">
        <x:v>mango</x:v>
      </x:c>
      <x:c r="I812" s="28" t="str">
        <x:v>Фрукты и ягоды</x:v>
      </x:c>
      <x:c r="J812" s="28" t="str">
        <x:v>зелёный, сернистый, ореховый и слегка сладкий</x:v>
      </x:c>
      <x:c r="K812" s="28" t="str">
        <x:v>фруктовый, цветочный и свежий</x:v>
      </x:c>
      <x:c r="L812" s="28" t="str">
        <x:v>метантиол, диметилсульфид, пиразины, аспарагусовая кислота</x:v>
      </x:c>
      <x:c r="M812" s="28" t="str">
        <x:v>альдегиды, эфиры</x:v>
      </x:c>
      <x:c r="N812" s="28" t="str">
        <x:v>прямое пересечение семейств не подтверждено</x:v>
      </x:c>
      <x:c r="O812" s="28" t="str">
        <x:v>надёжная общая ключевая молекула не установлена</x:v>
      </x:c>
      <x:c r="P812" s="28" t="str">
        <x:v>кислотно-сладкий баланс; сернистая или горчичная комплементарность</x:v>
      </x:c>
      <x:c r="Q81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2" s="28" t="str">
        <x:v>минимальный</x:v>
      </x:c>
      <x:c r="S812" s="28" t="str">
        <x:v>водная волокнистая матрица; поверхность хорошо покрывается жиром Водная кислая фаза усиливает свежесть, но может разжижать пюре и нарушать молочную эмульсию.</x:v>
      </x:c>
      <x:c r="T812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2" s="28" t="str">
        <x:v>Спаржа имеет профиль «зелёный, сернистый, ореховый и слегка сладкий».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2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W812" s="28" t="str">
        <x:v>цитрус, мёд или мягкая трава</x:v>
      </x:c>
      <x:c r="X812" s="28" t="str">
        <x:v>горячее блюдо, бульон, соус, пюре, ферментация или гарнир с манго</x:v>
      </x:c>
      <x:c r="Y812" s="28" t="str">
        <x:v>десерты</x:v>
      </x:c>
      <x:c r="Z812" s="28" t="str">
        <x:v>Средняя</x:v>
      </x:c>
      <x:c r="AA812" s="28" t="str">
        <x:v>The Art &amp; Science of Foodpairing.pdf</x:v>
      </x:c>
      <x:c r="AB812" s="28" t="str">
        <x:v>The Art &amp; Science of Foodpairing.pdf: 312</x:v>
      </x:c>
      <x:c r="AC812" s="28" t="str">
        <x:v>связь из pairing grid, стр. 312</x:v>
      </x:c>
      <x:c r="AD812" s="28" t="n">
        <x:v>1</x:v>
      </x:c>
      <x:c r="AE812" s="28" t="n">
        <x:v>1</x:v>
      </x:c>
      <x:c r="AF812" s="28" t="n">
        <x:f>IF(Z812="Высокая",3,IF(Z812="Средняя",2,1))+AD812*2+MIN(AE812,3)</x:f>
        <x:v>5</x:v>
      </x:c>
    </x:row>
    <x:row r="813" ht="64" customHeight="1">
      <x:c r="A813" s="28" t="str">
        <x:v>VEG-0812</x:v>
      </x:c>
      <x:c r="B813" s="28" t="str">
        <x:v>спаржа</x:v>
      </x:c>
      <x:c r="C813" s="28" t="str">
        <x:v>Десерты и выпечка</x:v>
      </x:c>
      <x:c r="D813" s="28" t="str">
        <x:v>спаржа</x:v>
      </x:c>
      <x:c r="E813" s="28" t="str">
        <x:v>Спаржа | спаржа</x:v>
      </x:c>
      <x:c r="F813" s="28" t="str">
        <x:v>Побеговые овощи</x:v>
      </x:c>
      <x:c r="G813" s="28" t="str">
        <x:v>миндаль</x:v>
      </x:c>
      <x:c r="H813" s="28" t="str">
        <x:v>Миндаль | миндаль</x:v>
      </x:c>
      <x:c r="I813" s="28" t="str">
        <x:v>Орехи и семена</x:v>
      </x:c>
      <x:c r="J813" s="28" t="str">
        <x:v>зелёный, сернистый, ореховый и слегка сладкий</x:v>
      </x:c>
      <x:c r="K813" s="28" t="str">
        <x:v>жареный, миндальный, ореховый</x:v>
      </x:c>
      <x:c r="L813" s="28" t="str">
        <x:v>метантиол, диметилсульфид, пиразины, аспарагусовая кислота</x:v>
      </x:c>
      <x:c r="M813" s="28" t="str">
        <x:v>бензальдегид, пиразины</x:v>
      </x:c>
      <x:c r="N813" s="28" t="str">
        <x:v>ореховый</x:v>
      </x:c>
      <x:c r="O813" s="28" t="str">
        <x:v>пиразины</x:v>
      </x:c>
      <x:c r="P813" s="28" t="str">
        <x:v>общие характерные молекулы; пересечение ароматических семейств; сернистая или горчичная комплементарность</x:v>
      </x:c>
      <x:c r="Q81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3" s="28" t="str">
        <x:v>минимальный</x:v>
      </x:c>
      <x:c r="S813" s="28" t="str">
        <x:v>водная волокнистая матрица; поверхность хорошо покрывается жиром</x:v>
      </x:c>
      <x:c r="T813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3" s="28" t="str">
        <x:v>Спаржа имеет профиль «зелёный, сернистый, ореховый и слегка сладкий». Партнёр «миндаль» относится к группе «Орехи и семена» и даёт жареный, миндальный,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3" s="28" t="str">
        <x:v>переваривание усиливает сернистость и разрушает текстуру; толстые основания очищать</x:v>
      </x:c>
      <x:c r="W813" s="28" t="str">
        <x:v>соль, кислота или ароматический жир</x:v>
      </x:c>
      <x:c r="X813" s="28" t="str">
        <x:v>горячее блюдо, бульон, соус, пюре, ферментация или гарнир с миндаль</x:v>
      </x:c>
      <x:c r="Y813" s="28" t="str">
        <x:v>десерты</x:v>
      </x:c>
      <x:c r="Z813" s="28" t="str">
        <x:v>Средняя</x:v>
      </x:c>
      <x:c r="AA813" s="28" t="str">
        <x:v>Тезариус вкусов (Ники Сегнит)(1).pdf</x:v>
      </x:c>
      <x:c r="AB813" s="28" t="str">
        <x:v>Тезариус вкусов (Ники Сегнит)(1).pdf: 347, 648</x:v>
      </x:c>
      <x:c r="AC813" s="28" t="str">
        <x:v>развёрнутая пара/статья, стр. 347; развёрнутая пара/статья, стр. 648</x:v>
      </x:c>
      <x:c r="AD813" s="28" t="n">
        <x:v>1</x:v>
      </x:c>
      <x:c r="AE813" s="28" t="n">
        <x:v>2</x:v>
      </x:c>
      <x:c r="AF813" s="28" t="n">
        <x:f>IF(Z813="Высокая",3,IF(Z813="Средняя",2,1))+AD813*2+MIN(AE813,3)</x:f>
        <x:v>6</x:v>
      </x:c>
    </x:row>
    <x:row r="814" ht="64" customHeight="1">
      <x:c r="A814" s="28" t="str">
        <x:v>VEG-0813</x:v>
      </x:c>
      <x:c r="B814" s="28" t="str">
        <x:v>спаржа</x:v>
      </x:c>
      <x:c r="C814" s="28" t="str">
        <x:v>Еда и соусы</x:v>
      </x:c>
      <x:c r="D814" s="28" t="str">
        <x:v>спаржа</x:v>
      </x:c>
      <x:c r="E814" s="28" t="str">
        <x:v>Спаржа | спаржа</x:v>
      </x:c>
      <x:c r="F814" s="28" t="str">
        <x:v>Побеговые овощи</x:v>
      </x:c>
      <x:c r="G814" s="28" t="str">
        <x:v>моллюски</x:v>
      </x:c>
      <x:c r="H814" s="28" t="str">
        <x:v>Моллюски | моллюски</x:v>
      </x:c>
      <x:c r="I814" s="28" t="str">
        <x:v>Рыба и морепродукты</x:v>
      </x:c>
      <x:c r="J814" s="28" t="str">
        <x:v>зелёный, сернистый, ореховый и слегка сладкий</x:v>
      </x:c>
      <x:c r="K814" s="28" t="str">
        <x:v>морской, солоноватый и умами</x:v>
      </x:c>
      <x:c r="L814" s="28" t="str">
        <x:v>метантиол, диметилсульфид, пиразины, аспарагусовая кислота</x:v>
      </x:c>
      <x:c r="M814" s="28" t="str">
        <x:v>альдегиды, амины</x:v>
      </x:c>
      <x:c r="N814" s="28" t="str">
        <x:v>прямое пересечение семейств не подтверждено</x:v>
      </x:c>
      <x:c r="O814" s="28" t="str">
        <x:v>надёжная общая ключевая молекула не установлена</x:v>
      </x:c>
      <x:c r="P814" s="28" t="str">
        <x:v>умами и солёный контраст; сернистая или горчичная комплементарность</x:v>
      </x:c>
      <x:c r="Q81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4" s="28" t="str">
        <x:v>минимальный</x:v>
      </x:c>
      <x:c r="S814" s="28" t="str">
        <x:v>водная волокнистая матрица; поверхность хорошо покрывается жиром Белок и жир требуют контроля воды: для жареной ароматики поверхность должна подсохнуть.</x:v>
      </x:c>
      <x:c r="T814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4" s="28" t="str">
        <x:v>Спаржа имеет профиль «зелёный, сернистый, ореховый и слегка сладкий».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4" s="28" t="str">
        <x:v>переваривание усиливает сернистость и разрушает текстуру; толстые основания очищать</x:v>
      </x:c>
      <x:c r="W814" s="28" t="str">
        <x:v>сливочное масло, соевый соус или тимьян</x:v>
      </x:c>
      <x:c r="X814" s="28" t="str">
        <x:v>горячее блюдо, бульон, соус, пюре, ферментация или гарнир с моллюски</x:v>
      </x:c>
      <x:c r="Y814" s="28" t="str">
        <x:v>еда, соусы/маринады</x:v>
      </x:c>
      <x:c r="Z814" s="28" t="str">
        <x:v>Средняя</x:v>
      </x:c>
      <x:c r="AA814" s="28" t="str">
        <x:v>Тезариус вкусов (Ники Сегнит)(1).pdf</x:v>
      </x:c>
      <x:c r="AB814" s="28" t="str">
        <x:v>Тезариус вкусов (Ники Сегнит)(1).pdf: 347, 375</x:v>
      </x:c>
      <x:c r="AC814" s="28" t="str">
        <x:v>развёрнутая пара/статья, стр. 347; развёрнутая пара/статья, стр. 375</x:v>
      </x:c>
      <x:c r="AD814" s="28" t="n">
        <x:v>1</x:v>
      </x:c>
      <x:c r="AE814" s="28" t="n">
        <x:v>2</x:v>
      </x:c>
      <x:c r="AF814" s="28" t="n">
        <x:f>IF(Z814="Высокая",3,IF(Z814="Средняя",2,1))+AD814*2+MIN(AE814,3)</x:f>
        <x:v>6</x:v>
      </x:c>
    </x:row>
    <x:row r="815" ht="64" customHeight="1">
      <x:c r="A815" s="28" t="str">
        <x:v>VEG-0814</x:v>
      </x:c>
      <x:c r="B815" s="28" t="str">
        <x:v>спаржа</x:v>
      </x:c>
      <x:c r="C815" s="28" t="str">
        <x:v>Универсальные</x:v>
      </x:c>
      <x:c r="D815" s="28" t="str">
        <x:v>спаржа</x:v>
      </x:c>
      <x:c r="E815" s="28" t="str">
        <x:v>Спаржа | спаржа</x:v>
      </x:c>
      <x:c r="F815" s="28" t="str">
        <x:v>Побеговые овощи</x:v>
      </x:c>
      <x:c r="G815" s="28" t="str">
        <x:v>мята</x:v>
      </x:c>
      <x:c r="H815" s="28" t="str">
        <x:v>Мята | мята</x:v>
      </x:c>
      <x:c r="I815" s="28" t="str">
        <x:v>Травы, цветы и листья</x:v>
      </x:c>
      <x:c r="J815" s="28" t="str">
        <x:v>зелёный, сернистый, ореховый и слегка сладкий</x:v>
      </x:c>
      <x:c r="K815" s="28" t="str">
        <x:v>зелёный, холодящий</x:v>
      </x:c>
      <x:c r="L815" s="28" t="str">
        <x:v>метантиол, диметилсульфид, пиразины, аспарагусовая кислота</x:v>
      </x:c>
      <x:c r="M815" s="28" t="str">
        <x:v>ментол</x:v>
      </x:c>
      <x:c r="N815" s="28" t="str">
        <x:v>зелёный</x:v>
      </x:c>
      <x:c r="O815" s="28" t="str">
        <x:v>надёжная общая ключевая молекула не установлена</x:v>
      </x:c>
      <x:c r="P815" s="28" t="str">
        <x:v>пересечение ароматических семейств; сернистая или горчичная комплементарность</x:v>
      </x:c>
      <x:c r="Q81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5" s="28" t="str">
        <x:v>минимальный</x:v>
      </x:c>
      <x:c r="S815" s="28" t="str">
        <x:v>водная волокнистая матрица; поверхность хорошо покрывается жиром</x:v>
      </x:c>
      <x:c r="T815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5" s="28" t="str">
        <x:v>Спаржа имеет профиль «зелёный, сернистый, ореховый и слегка сладкий».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5" s="28" t="str">
        <x:v>переваривание усиливает сернистость и разрушает текстуру; толстые основания очищать; длительный нагрев уносит свежие терпены и зелёные альдегиды</x:v>
      </x:c>
      <x:c r="W815" s="28" t="str">
        <x:v>оливковое масло, лимон или сыр</x:v>
      </x:c>
      <x:c r="X815" s="28" t="str">
        <x:v>горячее блюдо, бульон, соус, пюре, ферментация или гарнир с мята</x:v>
      </x:c>
      <x:c r="Y815" s="28" t="str">
        <x:v>универсальное</x:v>
      </x:c>
      <x:c r="Z815" s="28" t="str">
        <x:v>Средняя</x:v>
      </x:c>
      <x:c r="AA815" s="28" t="str">
        <x:v>Тезариус вкусов (Ники Сегнит)(1).pdf</x:v>
      </x:c>
      <x:c r="AB815" s="28" t="str">
        <x:v>Тезариус вкусов (Ники Сегнит)(1).pdf: 347, 869</x:v>
      </x:c>
      <x:c r="AC815" s="28" t="str">
        <x:v>развёрнутая пара/статья, стр. 347; развёрнутая пара/статья, стр. 869</x:v>
      </x:c>
      <x:c r="AD815" s="28" t="n">
        <x:v>1</x:v>
      </x:c>
      <x:c r="AE815" s="28" t="n">
        <x:v>2</x:v>
      </x:c>
      <x:c r="AF815" s="28" t="n">
        <x:f>IF(Z815="Высокая",3,IF(Z815="Средняя",2,1))+AD815*2+MIN(AE815,3)</x:f>
        <x:v>6</x:v>
      </x:c>
    </x:row>
    <x:row r="816" ht="64" customHeight="1">
      <x:c r="A816" s="28" t="str">
        <x:v>VEG-0815</x:v>
      </x:c>
      <x:c r="B816" s="28" t="str">
        <x:v>спаржа</x:v>
      </x:c>
      <x:c r="C816" s="28" t="str">
        <x:v>Универсальные</x:v>
      </x:c>
      <x:c r="D816" s="28" t="str">
        <x:v>спаржа</x:v>
      </x:c>
      <x:c r="E816" s="28" t="str">
        <x:v>poached white asparagus | white asparagus</x:v>
      </x:c>
      <x:c r="F816" s="28" t="str">
        <x:v>Побеговые овощи</x:v>
      </x:c>
      <x:c r="G816" s="28" t="str">
        <x:v>пармезан</x:v>
      </x:c>
      <x:c r="H816" s="28" t="str">
        <x:v>Parmigiano-Reggiano</x:v>
      </x:c>
      <x:c r="I816" s="28" t="str">
        <x:v>Прочее</x:v>
      </x:c>
      <x:c r="J816" s="28" t="str">
        <x:v>зелёный, сернистый, ореховый и слегка сладкий</x:v>
      </x:c>
      <x:c r="K816" s="28" t="str">
        <x:v>профиль зависит от конкретного продукта</x:v>
      </x:c>
      <x:c r="L816" s="28" t="str">
        <x:v>метантиол, диметилсульфид, пиразины, аспарагусовая кислота</x:v>
      </x:c>
      <x:c r="M816" s="28" t="str">
        <x:v>конкретный молекулярный профиль не указан</x:v>
      </x:c>
      <x:c r="N816" s="28" t="str">
        <x:v>прямое пересечение семейств не подтверждено</x:v>
      </x:c>
      <x:c r="O816" s="28" t="str">
        <x:v>надёжная общая ключевая молекула не установлена</x:v>
      </x:c>
      <x:c r="P816" s="28" t="str">
        <x:v>сернистая или горчичная комплементарность</x:v>
      </x:c>
      <x:c r="Q81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6" s="28" t="str">
        <x:v>минимальный</x:v>
      </x:c>
      <x:c r="S816" s="28" t="str">
        <x:v>водная волокнистая матрица; поверхность хорошо покрывается жиром</x:v>
      </x:c>
      <x:c r="T816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6" s="28" t="str">
        <x:v>Спаржа имеет профиль «зелёный, сернистый, ореховый и слегка сладкий».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6" s="28" t="str">
        <x:v>переваривание усиливает сернистость и разрушает текстуру; толстые основания очищать</x:v>
      </x:c>
      <x:c r="W816" s="28" t="str">
        <x:v>соль, кислота или ароматический жир</x:v>
      </x:c>
      <x:c r="X816" s="28" t="str">
        <x:v>горячее блюдо, бульон, соус, пюре, ферментация или гарнир с пармезан</x:v>
      </x:c>
      <x:c r="Y816" s="28" t="str">
        <x:v>универсальное</x:v>
      </x:c>
      <x:c r="Z816" s="28" t="str">
        <x:v>Средняя</x:v>
      </x:c>
      <x:c r="AA816" s="28" t="str">
        <x:v>The Art &amp; Science of Foodpairing.pdf</x:v>
      </x:c>
      <x:c r="AB816" s="28" t="str">
        <x:v>The Art &amp; Science of Foodpairing.pdf: 282</x:v>
      </x:c>
      <x:c r="AC816" s="28" t="str">
        <x:v>связь из pairing grid, стр. 282; связь из pairing grid, стр. 282</x:v>
      </x:c>
      <x:c r="AD816" s="28" t="n">
        <x:v>1</x:v>
      </x:c>
      <x:c r="AE816" s="28" t="n">
        <x:v>2</x:v>
      </x:c>
      <x:c r="AF816" s="28" t="n">
        <x:f>IF(Z816="Высокая",3,IF(Z816="Средняя",2,1))+AD816*2+MIN(AE816,3)</x:f>
        <x:v>6</x:v>
      </x:c>
    </x:row>
    <x:row r="817" ht="64" customHeight="1">
      <x:c r="A817" s="28" t="str">
        <x:v>VEG-0816</x:v>
      </x:c>
      <x:c r="B817" s="28" t="str">
        <x:v>спаржа</x:v>
      </x:c>
      <x:c r="C817" s="28" t="str">
        <x:v>Еда и соусы</x:v>
      </x:c>
      <x:c r="D817" s="28" t="str">
        <x:v>спаржа</x:v>
      </x:c>
      <x:c r="E817" s="28" t="str">
        <x:v>Спаржа | спаржа</x:v>
      </x:c>
      <x:c r="F817" s="28" t="str">
        <x:v>Побеговые овощи</x:v>
      </x:c>
      <x:c r="G817" s="28" t="str">
        <x:v>прошутто</x:v>
      </x:c>
      <x:c r="H817" s="28" t="str">
        <x:v>Прошутто | прошутто</x:v>
      </x:c>
      <x:c r="I817" s="28" t="str">
        <x:v>Мясо и птица</x:v>
      </x:c>
      <x:c r="J817" s="28" t="str">
        <x:v>зелёный, сернистый, ореховый и слегка сладкий</x:v>
      </x:c>
      <x:c r="K817" s="28" t="str">
        <x:v>жареный, мясной и умами</x:v>
      </x:c>
      <x:c r="L817" s="28" t="str">
        <x:v>метантиол, диметилсульфид, пиразины, аспарагусовая кислота</x:v>
      </x:c>
      <x:c r="M817" s="28" t="str">
        <x:v>пиразины, сернистые соединения</x:v>
      </x:c>
      <x:c r="N817" s="28" t="str">
        <x:v>прямое пересечение семейств не подтверждено</x:v>
      </x:c>
      <x:c r="O817" s="28" t="str">
        <x:v>пиразины</x:v>
      </x:c>
      <x:c r="P817" s="28" t="str">
        <x:v>общие характерные молекулы; умами и солёный контраст; сернистая или горчичная комплементарность</x:v>
      </x:c>
      <x:c r="Q81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7" s="28" t="str">
        <x:v>минимальный</x:v>
      </x:c>
      <x:c r="S817" s="28" t="str">
        <x:v>водная волокнистая матрица; поверхность хорошо покрывается жиром Белок и жир требуют контроля воды: для жареной ароматики поверхность должна подсохнуть.</x:v>
      </x:c>
      <x:c r="T817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7" s="28" t="str">
        <x:v>Спаржа имеет профиль «зелёный, сернистый, ореховый и слегка сладкий». Партнёр «прошутто»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7" s="28" t="str">
        <x:v>переваривание усиливает сернистость и разрушает текстуру; толстые основания очищать</x:v>
      </x:c>
      <x:c r="W817" s="28" t="str">
        <x:v>сливочное масло, соевый соус или тимьян</x:v>
      </x:c>
      <x:c r="X817" s="28" t="str">
        <x:v>горячее блюдо, бульон, соус, пюре, ферментация или гарнир с прошутто</x:v>
      </x:c>
      <x:c r="Y817" s="28" t="str">
        <x:v>еда, соусы/маринады</x:v>
      </x:c>
      <x:c r="Z817" s="28" t="str">
        <x:v>Средняя</x:v>
      </x:c>
      <x:c r="AA817" s="28" t="str">
        <x:v>Тезариус вкусов (Ники Сегнит)(1).pdf</x:v>
      </x:c>
      <x:c r="AB817" s="28" t="str">
        <x:v>Тезариус вкусов (Ники Сегнит)(1).pdf: 347, 460</x:v>
      </x:c>
      <x:c r="AC817" s="28" t="str">
        <x:v>развёрнутая пара/статья, стр. 347; развёрнутая пара/статья, стр. 460</x:v>
      </x:c>
      <x:c r="AD817" s="28" t="n">
        <x:v>1</x:v>
      </x:c>
      <x:c r="AE817" s="28" t="n">
        <x:v>2</x:v>
      </x:c>
      <x:c r="AF817" s="28" t="n">
        <x:f>IF(Z817="Высокая",3,IF(Z817="Средняя",2,1))+AD817*2+MIN(AE817,3)</x:f>
        <x:v>6</x:v>
      </x:c>
    </x:row>
    <x:row r="818" ht="64" customHeight="1">
      <x:c r="A818" s="28" t="str">
        <x:v>VEG-0817</x:v>
      </x:c>
      <x:c r="B818" s="28" t="str">
        <x:v>спаржа</x:v>
      </x:c>
      <x:c r="C818" s="28" t="str">
        <x:v>Десерты и выпечка</x:v>
      </x:c>
      <x:c r="D818" s="28" t="str">
        <x:v>спаржа</x:v>
      </x:c>
      <x:c r="E818" s="28" t="str">
        <x:v>Спаржа | спаржа</x:v>
      </x:c>
      <x:c r="F818" s="28" t="str">
        <x:v>Побеговые овощи</x:v>
      </x:c>
      <x:c r="G818" s="28" t="str">
        <x:v>твердый сыр</x:v>
      </x:c>
      <x:c r="H818" s="28" t="str">
        <x:v>Твердый сыр | твердый сыр</x:v>
      </x:c>
      <x:c r="I818" s="28" t="str">
        <x:v>Молочные продукты и сыры</x:v>
      </x:c>
      <x:c r="J818" s="28" t="str">
        <x:v>зелёный, сернистый, ореховый и слегка сладкий</x:v>
      </x:c>
      <x:c r="K818" s="28" t="str">
        <x:v>молочный, умами, ферментированный</x:v>
      </x:c>
      <x:c r="L818" s="28" t="str">
        <x:v>метантиол, диметилсульфид, пиразины, аспарагусовая кислота</x:v>
      </x:c>
      <x:c r="M818" s="28" t="str">
        <x:v>диацетил, жирные кислоты</x:v>
      </x:c>
      <x:c r="N818" s="28" t="str">
        <x:v>прямое пересечение семейств не подтверждено</x:v>
      </x:c>
      <x:c r="O818" s="28" t="str">
        <x:v>надёжная общая ключевая молекула не установлена</x:v>
      </x:c>
      <x:c r="P818" s="28" t="str">
        <x:v>жировая матрица; сернистая или горчичная комплементарность</x:v>
      </x:c>
      <x:c r="Q81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8" s="28" t="str">
        <x:v>минимальный</x:v>
      </x:c>
      <x:c r="S818" s="28" t="str">
        <x:v>водная волокнистая матрица; поверхность хорошо покрывается жиром Жировая фаза удерживает гидрофобные молекулы, но может сделать вкус тяжёлым.</x:v>
      </x:c>
      <x:c r="T818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8" s="28" t="str">
        <x:v>Спаржа имеет профиль «зелёный, сернистый, ореховый и слегка сладкий».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8" s="28" t="str">
        <x:v>переваривание усиливает сернистость и разрушает текстуру; толстые основания очищать; жир способен приглушить свежую зелёную ароматику</x:v>
      </x:c>
      <x:c r="W818" s="28" t="str">
        <x:v>кислота, зелень или жареный орех</x:v>
      </x:c>
      <x:c r="X818" s="28" t="str">
        <x:v>горячее блюдо, бульон, соус, пюре, ферментация или гарнир с твердый сыр</x:v>
      </x:c>
      <x:c r="Y818" s="28" t="str">
        <x:v>десерты</x:v>
      </x:c>
      <x:c r="Z818" s="28" t="str">
        <x:v>Средняя</x:v>
      </x:c>
      <x:c r="AA818" s="28" t="str">
        <x:v>Тезариус вкусов (Ники Сегнит)(1).pdf</x:v>
      </x:c>
      <x:c r="AB818" s="28" t="str">
        <x:v>Тезариус вкусов (Ники Сегнит)(1).pdf: 175, 347</x:v>
      </x:c>
      <x:c r="AC818" s="28" t="str">
        <x:v>развёрнутая пара/статья, стр. 175; развёрнутая пара/статья, стр. 347</x:v>
      </x:c>
      <x:c r="AD818" s="28" t="n">
        <x:v>1</x:v>
      </x:c>
      <x:c r="AE818" s="28" t="n">
        <x:v>2</x:v>
      </x:c>
      <x:c r="AF818" s="28" t="n">
        <x:f>IF(Z818="Высокая",3,IF(Z818="Средняя",2,1))+AD818*2+MIN(AE818,3)</x:f>
        <x:v>6</x:v>
      </x:c>
    </x:row>
    <x:row r="819" ht="64" customHeight="1">
      <x:c r="A819" s="28" t="str">
        <x:v>VEG-0818</x:v>
      </x:c>
      <x:c r="B819" s="28" t="str">
        <x:v>спаржа</x:v>
      </x:c>
      <x:c r="C819" s="28" t="str">
        <x:v>Еда и соусы</x:v>
      </x:c>
      <x:c r="D819" s="28" t="str">
        <x:v>спаржа</x:v>
      </x:c>
      <x:c r="E819" s="28" t="str">
        <x:v>Спаржа | спаржа</x:v>
      </x:c>
      <x:c r="F819" s="28" t="str">
        <x:v>Побеговые овощи</x:v>
      </x:c>
      <x:c r="G819" s="28" t="str">
        <x:v>трюфель</x:v>
      </x:c>
      <x:c r="H819" s="28" t="str">
        <x:v>Трюфель | трюфель</x:v>
      </x:c>
      <x:c r="I819" s="28" t="str">
        <x:v>Грибы</x:v>
      </x:c>
      <x:c r="J819" s="28" t="str">
        <x:v>зелёный, сернистый, ореховый и слегка сладкий</x:v>
      </x:c>
      <x:c r="K819" s="28" t="str">
        <x:v>землистый, грибной и умами</x:v>
      </x:c>
      <x:c r="L819" s="28" t="str">
        <x:v>метантиол, диметилсульфид, пиразины, аспарагусовая кислота</x:v>
      </x:c>
      <x:c r="M819" s="28" t="str">
        <x:v>1-октен-3-ол, сернистые соединения</x:v>
      </x:c>
      <x:c r="N819" s="28" t="str">
        <x:v>прямое пересечение семейств не подтверждено</x:v>
      </x:c>
      <x:c r="O819" s="28" t="str">
        <x:v>надёжная общая ключевая молекула не установлена</x:v>
      </x:c>
      <x:c r="P819" s="28" t="str">
        <x:v>умами и солёный контраст; сернистая или горчичная комплементарность</x:v>
      </x:c>
      <x:c r="Q81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19" s="28" t="str">
        <x:v>минимальный</x:v>
      </x:c>
      <x:c r="S819" s="28" t="str">
        <x:v>водная волокнистая матрица; поверхность хорошо покрывается жиром Белок и жир требуют контроля воды: для жареной ароматики поверхность должна подсохнуть.</x:v>
      </x:c>
      <x:c r="T819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19" s="28" t="str">
        <x:v>Спаржа имеет профиль «зелёный, сернистый, ореховый и слегка сладкий».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19" s="28" t="str">
        <x:v>переваривание усиливает сернистость и разрушает текстуру; толстые основания очищать</x:v>
      </x:c>
      <x:c r="W819" s="28" t="str">
        <x:v>соль, кислота или ароматический жир</x:v>
      </x:c>
      <x:c r="X819" s="28" t="str">
        <x:v>горячее блюдо, бульон, соус, пюре, ферментация или гарнир с трюфель</x:v>
      </x:c>
      <x:c r="Y819" s="28" t="str">
        <x:v>еда, соусы/маринады</x:v>
      </x:c>
      <x:c r="Z819" s="28" t="str">
        <x:v>Средняя</x:v>
      </x:c>
      <x:c r="AA819" s="28" t="str">
        <x:v>Тезариус вкусов (Ники Сегнит)(1).pdf</x:v>
      </x:c>
      <x:c r="AB819" s="28" t="str">
        <x:v>Тезариус вкусов (Ники Сегнит)(1).pdf: 306, 347</x:v>
      </x:c>
      <x:c r="AC819" s="28" t="str">
        <x:v>развёрнутая пара/статья, стр. 306; развёрнутая пара/статья, стр. 347</x:v>
      </x:c>
      <x:c r="AD819" s="28" t="n">
        <x:v>1</x:v>
      </x:c>
      <x:c r="AE819" s="28" t="n">
        <x:v>2</x:v>
      </x:c>
      <x:c r="AF819" s="28" t="n">
        <x:f>IF(Z819="Высокая",3,IF(Z819="Средняя",2,1))+AD819*2+MIN(AE819,3)</x:f>
        <x:v>6</x:v>
      </x:c>
    </x:row>
    <x:row r="820" ht="64" customHeight="1">
      <x:c r="A820" s="28" t="str">
        <x:v>VEG-0819</x:v>
      </x:c>
      <x:c r="B820" s="28" t="str">
        <x:v>спаржа</x:v>
      </x:c>
      <x:c r="C820" s="28" t="str">
        <x:v>Десерты и выпечка</x:v>
      </x:c>
      <x:c r="D820" s="28" t="str">
        <x:v>спаржа</x:v>
      </x:c>
      <x:c r="E820" s="28" t="str">
        <x:v>grilled green asparagus</x:v>
      </x:c>
      <x:c r="F820" s="28" t="str">
        <x:v>Побеговые овощи</x:v>
      </x:c>
      <x:c r="G820" s="28" t="str">
        <x:v>фундук</x:v>
      </x:c>
      <x:c r="H820" s="28" t="str">
        <x:v>hazelnut</x:v>
      </x:c>
      <x:c r="I820" s="28" t="str">
        <x:v>Орехи и семена</x:v>
      </x:c>
      <x:c r="J820" s="28" t="str">
        <x:v>зелёный, сернистый, ореховый и слегка сладкий</x:v>
      </x:c>
      <x:c r="K820" s="28" t="str">
        <x:v>жареный, какаовый, ореховый</x:v>
      </x:c>
      <x:c r="L820" s="28" t="str">
        <x:v>метантиол, диметилсульфид, пиразины, аспарагусовая кислота</x:v>
      </x:c>
      <x:c r="M820" s="28" t="str">
        <x:v>пиразины, фильбертон</x:v>
      </x:c>
      <x:c r="N820" s="28" t="str">
        <x:v>ореховый</x:v>
      </x:c>
      <x:c r="O820" s="28" t="str">
        <x:v>пиразины</x:v>
      </x:c>
      <x:c r="P820" s="28" t="str">
        <x:v>общие характерные молекулы; пересечение ароматических семейств; сернистая или горчичная комплементарность</x:v>
      </x:c>
      <x:c r="Q82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20" s="28" t="str">
        <x:v>минимальный</x:v>
      </x:c>
      <x:c r="S820" s="28" t="str">
        <x:v>водная волокнистая матрица; поверхность хорошо покрывается жиром</x:v>
      </x:c>
      <x:c r="T820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20" s="28" t="str">
        <x:v>Спаржа имеет профиль «зелёный, сернистый, ореховый и слегка сладкий».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20" s="28" t="str">
        <x:v>переваривание усиливает сернистость и разрушает текстуру; толстые основания очищать</x:v>
      </x:c>
      <x:c r="W820" s="28" t="str">
        <x:v>соль, кислота или ароматический жир</x:v>
      </x:c>
      <x:c r="X820" s="28" t="str">
        <x:v>горячее блюдо, бульон, соус, пюре, ферментация или гарнир с фундук</x:v>
      </x:c>
      <x:c r="Y820" s="28" t="str">
        <x:v>десерты</x:v>
      </x:c>
      <x:c r="Z820" s="28" t="str">
        <x:v>Средняя</x:v>
      </x:c>
      <x:c r="AA820" s="28" t="str">
        <x:v>The Art &amp; Science of Foodpairing.pdf</x:v>
      </x:c>
      <x:c r="AB820" s="28" t="str">
        <x:v>The Art &amp; Science of Foodpairing.pdf: 332</x:v>
      </x:c>
      <x:c r="AC820" s="28" t="str">
        <x:v>связь из pairing grid, стр. 332</x:v>
      </x:c>
      <x:c r="AD820" s="28" t="n">
        <x:v>1</x:v>
      </x:c>
      <x:c r="AE820" s="28" t="n">
        <x:v>1</x:v>
      </x:c>
      <x:c r="AF820" s="28" t="n">
        <x:f>IF(Z820="Высокая",3,IF(Z820="Средняя",2,1))+AD820*2+MIN(AE820,3)</x:f>
        <x:v>5</x:v>
      </x:c>
    </x:row>
    <x:row r="821" ht="64" customHeight="1">
      <x:c r="A821" s="28" t="str">
        <x:v>VEG-0820</x:v>
      </x:c>
      <x:c r="B821" s="28" t="str">
        <x:v>спаржа</x:v>
      </x:c>
      <x:c r="C821" s="28" t="str">
        <x:v>Универсальные</x:v>
      </x:c>
      <x:c r="D821" s="28" t="str">
        <x:v>спаржа</x:v>
      </x:c>
      <x:c r="E821" s="28" t="str">
        <x:v>white asparagus</x:v>
      </x:c>
      <x:c r="F821" s="28" t="str">
        <x:v>Побеговые овощи</x:v>
      </x:c>
      <x:c r="G821" s="28" t="str">
        <x:v>чоризо</x:v>
      </x:c>
      <x:c r="H821" s="28" t="str">
        <x:v>chorizo</x:v>
      </x:c>
      <x:c r="I821" s="28" t="str">
        <x:v>Прочее</x:v>
      </x:c>
      <x:c r="J821" s="28" t="str">
        <x:v>зелёный, сернистый, ореховый и слегка сладкий</x:v>
      </x:c>
      <x:c r="K821" s="28" t="str">
        <x:v>профиль зависит от конкретного продукта</x:v>
      </x:c>
      <x:c r="L821" s="28" t="str">
        <x:v>метантиол, диметилсульфид, пиразины, аспарагусовая кислота</x:v>
      </x:c>
      <x:c r="M821" s="28" t="str">
        <x:v>конкретный молекулярный профиль не указан</x:v>
      </x:c>
      <x:c r="N821" s="28" t="str">
        <x:v>прямое пересечение семейств не подтверждено</x:v>
      </x:c>
      <x:c r="O821" s="28" t="str">
        <x:v>надёжная общая ключевая молекула не установлена</x:v>
      </x:c>
      <x:c r="P821" s="28" t="str">
        <x:v>сернистая или горчичная комплементарность</x:v>
      </x:c>
      <x:c r="Q82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21" s="28" t="str">
        <x:v>минимальный</x:v>
      </x:c>
      <x:c r="S821" s="28" t="str">
        <x:v>водная волокнистая матрица; поверхность хорошо покрывается жиром</x:v>
      </x:c>
      <x:c r="T821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21" s="28" t="str">
        <x:v>Спаржа имеет профиль «зелёный, сернистый, ореховый и слегка сладкий».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21" s="28" t="str">
        <x:v>переваривание усиливает сернистость и разрушает текстуру; толстые основания очищать</x:v>
      </x:c>
      <x:c r="W821" s="28" t="str">
        <x:v>соль, кислота или ароматический жир</x:v>
      </x:c>
      <x:c r="X821" s="28" t="str">
        <x:v>горячее блюдо, бульон, соус, пюре, ферментация или гарнир с чоризо</x:v>
      </x:c>
      <x:c r="Y821" s="28" t="str">
        <x:v>универсальное</x:v>
      </x:c>
      <x:c r="Z821" s="28" t="str">
        <x:v>Средняя</x:v>
      </x:c>
      <x:c r="AA821" s="28" t="str">
        <x:v>The Art &amp; Science of Foodpairing.pdf</x:v>
      </x:c>
      <x:c r="AB821" s="28" t="str">
        <x:v>The Art &amp; Science of Foodpairing.pdf: 288</x:v>
      </x:c>
      <x:c r="AC821" s="28" t="str">
        <x:v>связь из pairing grid, стр. 288; связь из pairing grid, стр. 288</x:v>
      </x:c>
      <x:c r="AD821" s="28" t="n">
        <x:v>1</x:v>
      </x:c>
      <x:c r="AE821" s="28" t="n">
        <x:v>2</x:v>
      </x:c>
      <x:c r="AF821" s="28" t="n">
        <x:f>IF(Z821="Высокая",3,IF(Z821="Средняя",2,1))+AD821*2+MIN(AE821,3)</x:f>
        <x:v>6</x:v>
      </x:c>
    </x:row>
    <x:row r="822" ht="64" customHeight="1">
      <x:c r="A822" s="28" t="str">
        <x:v>VEG-0821</x:v>
      </x:c>
      <x:c r="B822" s="28" t="str">
        <x:v>спаржа</x:v>
      </x:c>
      <x:c r="C822" s="28" t="str">
        <x:v>Универсальные</x:v>
      </x:c>
      <x:c r="D822" s="28" t="str">
        <x:v>спаржа</x:v>
      </x:c>
      <x:c r="E822" s="28" t="str">
        <x:v>Спаржа | спаржа</x:v>
      </x:c>
      <x:c r="F822" s="28" t="str">
        <x:v>Побеговые овощи</x:v>
      </x:c>
      <x:c r="G822" s="28" t="str">
        <x:v>яйца</x:v>
      </x:c>
      <x:c r="H822" s="28" t="str">
        <x:v>Яйца | яйца</x:v>
      </x:c>
      <x:c r="I822" s="28" t="str">
        <x:v>Прочее</x:v>
      </x:c>
      <x:c r="J822" s="28" t="str">
        <x:v>зелёный, сернистый, ореховый и слегка сладкий</x:v>
      </x:c>
      <x:c r="K822" s="28" t="str">
        <x:v>профиль зависит от конкретного продукта</x:v>
      </x:c>
      <x:c r="L822" s="28" t="str">
        <x:v>метантиол, диметилсульфид, пиразины, аспарагусовая кислота</x:v>
      </x:c>
      <x:c r="M822" s="28" t="str">
        <x:v>конкретный молекулярный профиль не указан</x:v>
      </x:c>
      <x:c r="N822" s="28" t="str">
        <x:v>прямое пересечение семейств не подтверждено</x:v>
      </x:c>
      <x:c r="O822" s="28" t="str">
        <x:v>надёжная общая ключевая молекула не установлена</x:v>
      </x:c>
      <x:c r="P822" s="28" t="str">
        <x:v>сернистая или горчичная комплементарность</x:v>
      </x:c>
      <x:c r="Q82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822" s="28" t="str">
        <x:v>минимальный</x:v>
      </x:c>
      <x:c r="S822" s="28" t="str">
        <x:v>водная волокнистая матрица; поверхность хорошо покрывается жиром</x:v>
      </x:c>
      <x:c r="T822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U822" s="28" t="str">
        <x:v>Спаржа имеет профиль «зелёный, сернистый, ореховый и слегка сладкий».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822" s="28" t="str">
        <x:v>переваривание усиливает сернистость и разрушает текстуру; толстые основания очищать</x:v>
      </x:c>
      <x:c r="W822" s="28" t="str">
        <x:v>соль, кислота или ароматический жир</x:v>
      </x:c>
      <x:c r="X822" s="28" t="str">
        <x:v>горячее блюдо, бульон, соус, пюре, ферментация или гарнир с яйца</x:v>
      </x:c>
      <x:c r="Y822" s="28" t="str">
        <x:v>универсальное</x:v>
      </x:c>
      <x:c r="Z822" s="28" t="str">
        <x:v>Средняя</x:v>
      </x:c>
      <x:c r="AA822" s="28" t="str">
        <x:v>Тезариус вкусов (Ники Сегнит)(1).pdf</x:v>
      </x:c>
      <x:c r="AB822" s="28" t="str">
        <x:v>Тезариус вкусов (Ники Сегнит)(1).pdf: 348, 360</x:v>
      </x:c>
      <x:c r="AC822" s="28" t="str">
        <x:v>развёрнутая пара/статья, стр. 348; развёрнутая пара/статья, стр. 360</x:v>
      </x:c>
      <x:c r="AD822" s="28" t="n">
        <x:v>1</x:v>
      </x:c>
      <x:c r="AE822" s="28" t="n">
        <x:v>2</x:v>
      </x:c>
      <x:c r="AF822" s="28" t="n">
        <x:f>IF(Z822="Высокая",3,IF(Z822="Средняя",2,1))+AD822*2+MIN(AE822,3)</x:f>
        <x:v>6</x:v>
      </x:c>
    </x:row>
    <x:row r="823" ht="64" customHeight="1">
      <x:c r="A823" s="28" t="str">
        <x:v>VEG-0822</x:v>
      </x:c>
      <x:c r="B823" s="28" t="str">
        <x:v>томат</x:v>
      </x:c>
      <x:c r="C823" s="28" t="str">
        <x:v>Десерты и выпечка</x:v>
      </x:c>
      <x:c r="D823" s="28" t="str">
        <x:v>томат</x:v>
      </x:c>
      <x:c r="E823" s="28" t="str">
        <x:v>tomato and tomato puree</x:v>
      </x:c>
      <x:c r="F823" s="28" t="str">
        <x:v>Плодовые овощи</x:v>
      </x:c>
      <x:c r="G823" s="28" t="str">
        <x:v>абрикос</x:v>
      </x:c>
      <x:c r="H823" s="28" t="str">
        <x:v>apricot</x:v>
      </x:c>
      <x:c r="I823" s="28" t="str">
        <x:v>Фрукты и ягоды</x:v>
      </x:c>
      <x:c r="J823" s="28" t="str">
        <x:v>зелёный, фруктовый, листовой, сернистый и умами</x:v>
      </x:c>
      <x:c r="K823" s="28" t="str">
        <x:v>фруктовый, цветочный и свежий</x:v>
      </x:c>
      <x:c r="L823" s="28" t="str">
        <x:v>цис-3-гексеналь, гексаналь, β-ионон, метиональ, глутамат</x:v>
      </x:c>
      <x:c r="M823" s="28" t="str">
        <x:v>альдегиды, эфиры</x:v>
      </x:c>
      <x:c r="N823" s="28" t="str">
        <x:v>фруктовый</x:v>
      </x:c>
      <x:c r="O823" s="28" t="str">
        <x:v>надёжная общая ключевая молекула не установлена</x:v>
      </x:c>
      <x:c r="P823" s="28" t="str">
        <x:v>пересечение ароматических семейств; кислотно-сладкий баланс</x:v>
      </x:c>
      <x:c r="Q82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23" s="28" t="str">
        <x:v>минимальный</x:v>
      </x:c>
      <x:c r="S823" s="28" t="str">
        <x:v>водная кислая матрица с пектином и глутаматом Водная кислая фаза усиливает свежесть, но может разжижать пюре и нарушать молочную эмульсию.</x:v>
      </x:c>
      <x:c r="T82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23" s="28" t="str">
        <x:v>Томат имеет профиль «зелёный, фруктовый, листовой, сернистый и умами». Партнёр «абрикос» относится к группе «Фрукты и ягоды» и даёт фруктовый, цветочный и свежий.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823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W823" s="28" t="str">
        <x:v>цитрус, мёд или мягкая трава</x:v>
      </x:c>
      <x:c r="X823" s="28" t="str">
        <x:v>сок, кордиал, гаспачо, салат, соус, маринад или коктейльный компонент с абрикос</x:v>
      </x:c>
      <x:c r="Y823" s="28" t="str">
        <x:v>десерты</x:v>
      </x:c>
      <x:c r="Z823" s="28" t="str">
        <x:v>Средняя</x:v>
      </x:c>
      <x:c r="AA823" s="28" t="str">
        <x:v>The Art &amp; Science of Foodpairing.pdf</x:v>
      </x:c>
      <x:c r="AB823" s="28" t="str">
        <x:v>The Art &amp; Science of Foodpairing.pdf: 161</x:v>
      </x:c>
      <x:c r="AC823" s="28" t="str">
        <x:v>связь из pairing grid, стр. 161</x:v>
      </x:c>
      <x:c r="AD823" s="28" t="n">
        <x:v>1</x:v>
      </x:c>
      <x:c r="AE823" s="28" t="n">
        <x:v>1</x:v>
      </x:c>
      <x:c r="AF823" s="28" t="n">
        <x:f>IF(Z823="Высокая",3,IF(Z823="Средняя",2,1))+AD823*2+MIN(AE823,3)</x:f>
        <x:v>5</x:v>
      </x:c>
    </x:row>
    <x:row r="824" ht="64" customHeight="1">
      <x:c r="A824" s="28" t="str">
        <x:v>VEG-0823</x:v>
      </x:c>
      <x:c r="B824" s="28" t="str">
        <x:v>томат</x:v>
      </x:c>
      <x:c r="C824" s="28" t="str">
        <x:v>Универсальные</x:v>
      </x:c>
      <x:c r="D824" s="28" t="str">
        <x:v>томат</x:v>
      </x:c>
      <x:c r="E824" s="28" t="str">
        <x:v>Томаты | томаты</x:v>
      </x:c>
      <x:c r="F824" s="28" t="str">
        <x:v>Плодовые овощи</x:v>
      </x:c>
      <x:c r="G824" s="28" t="str">
        <x:v>авокадо</x:v>
      </x:c>
      <x:c r="H824" s="28" t="str">
        <x:v>Авокадо | авокадо</x:v>
      </x:c>
      <x:c r="I824" s="28" t="str">
        <x:v>Прочее</x:v>
      </x:c>
      <x:c r="J824" s="28" t="str">
        <x:v>зелёный, фруктовый, листовой, сернистый и умами</x:v>
      </x:c>
      <x:c r="K824" s="28" t="str">
        <x:v>профиль зависит от конкретного продукта</x:v>
      </x:c>
      <x:c r="L824" s="28" t="str">
        <x:v>цис-3-гексеналь, гексаналь, β-ионон, метиональ, глутамат</x:v>
      </x:c>
      <x:c r="M824" s="28" t="str">
        <x:v>конкретный молекулярный профиль не указан</x:v>
      </x:c>
      <x:c r="N824" s="28" t="str">
        <x:v>прямое пересечение семейств не подтверждено</x:v>
      </x:c>
      <x:c r="O824" s="28" t="str">
        <x:v>надёжная общая ключевая молекула не установлена</x:v>
      </x:c>
      <x:c r="P824" s="28" t="str">
        <x:v>сенсорная комплементарность</x:v>
      </x:c>
      <x:c r="Q82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24" s="28" t="str">
        <x:v>минимальный</x:v>
      </x:c>
      <x:c r="S824" s="28" t="str">
        <x:v>водная кислая матрица с пектином и глутаматом</x:v>
      </x:c>
      <x:c r="T82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24" s="28" t="str">
        <x:v>Томат имеет профиль «зелёный, фруктовый, листовой, сернистый и умами». Партнёр «авокадо»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24" s="28" t="str">
        <x:v>незрелые плоды слишком зелёные; длительное кипячение стирает свежесть; кислота влияет на молочные эмульсии</x:v>
      </x:c>
      <x:c r="W824" s="28" t="str">
        <x:v>соль, кислота или ароматический жир</x:v>
      </x:c>
      <x:c r="X824" s="28" t="str">
        <x:v>сок, кордиал, гаспачо, салат, соус, маринад или коктейльный компонент с авокадо</x:v>
      </x:c>
      <x:c r="Y824" s="28" t="str">
        <x:v>универсальное</x:v>
      </x:c>
      <x:c r="Z824" s="28" t="str">
        <x:v>Средняя</x:v>
      </x:c>
      <x:c r="AA824" s="28" t="str">
        <x:v>Тезариус вкусов (Ники Сегнит)(1).pdf</x:v>
      </x:c>
      <x:c r="AB824" s="28" t="str">
        <x:v>Тезариус вкусов (Ники Сегнит)(1).pdf: 531, 679</x:v>
      </x:c>
      <x:c r="AC824" s="28" t="str">
        <x:v>развёрнутая пара/статья, стр. 531; развёрнутая пара/статья, стр. 679</x:v>
      </x:c>
      <x:c r="AD824" s="28" t="n">
        <x:v>1</x:v>
      </x:c>
      <x:c r="AE824" s="28" t="n">
        <x:v>2</x:v>
      </x:c>
      <x:c r="AF824" s="28" t="n">
        <x:f>IF(Z824="Высокая",3,IF(Z824="Средняя",2,1))+AD824*2+MIN(AE824,3)</x:f>
        <x:v>6</x:v>
      </x:c>
    </x:row>
    <x:row r="825" ht="64" customHeight="1">
      <x:c r="A825" s="28" t="str">
        <x:v>VEG-0824</x:v>
      </x:c>
      <x:c r="B825" s="28" t="str">
        <x:v>томат</x:v>
      </x:c>
      <x:c r="C825" s="28" t="str">
        <x:v>Универсальные</x:v>
      </x:c>
      <x:c r="D825" s="28" t="str">
        <x:v>томат</x:v>
      </x:c>
      <x:c r="E825" s="28" t="str">
        <x:v>Томаты | томаты</x:v>
      </x:c>
      <x:c r="F825" s="28" t="str">
        <x:v>Плодовые овощи</x:v>
      </x:c>
      <x:c r="G825" s="28" t="str">
        <x:v>анис</x:v>
      </x:c>
      <x:c r="H825" s="28" t="str">
        <x:v>Анис | анис</x:v>
      </x:c>
      <x:c r="I825" s="28" t="str">
        <x:v>Прочее</x:v>
      </x:c>
      <x:c r="J825" s="28" t="str">
        <x:v>зелёный, фруктовый, листовой, сернистый и умами</x:v>
      </x:c>
      <x:c r="K825" s="28" t="str">
        <x:v>профиль зависит от конкретного продукта</x:v>
      </x:c>
      <x:c r="L825" s="28" t="str">
        <x:v>цис-3-гексеналь, гексаналь, β-ионон, метиональ, глутамат</x:v>
      </x:c>
      <x:c r="M825" s="28" t="str">
        <x:v>конкретный молекулярный профиль не указан</x:v>
      </x:c>
      <x:c r="N825" s="28" t="str">
        <x:v>прямое пересечение семейств не подтверждено</x:v>
      </x:c>
      <x:c r="O825" s="28" t="str">
        <x:v>надёжная общая ключевая молекула не установлена</x:v>
      </x:c>
      <x:c r="P825" s="28" t="str">
        <x:v>сенсорная комплементарность</x:v>
      </x:c>
      <x:c r="Q82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25" s="28" t="str">
        <x:v>минимальный</x:v>
      </x:c>
      <x:c r="S825" s="28" t="str">
        <x:v>водная кислая матрица с пектином и глутаматом</x:v>
      </x:c>
      <x:c r="T82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25" s="28" t="str">
        <x:v>Томат имеет профиль «зелёный, фруктовый, листовой, сернистый и умами».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25" s="28" t="str">
        <x:v>незрелые плоды слишком зелёные; длительное кипячение стирает свежесть; кислота влияет на молочные эмульсии</x:v>
      </x:c>
      <x:c r="W825" s="28" t="str">
        <x:v>соль, кислота или ароматический жир</x:v>
      </x:c>
      <x:c r="X825" s="28" t="str">
        <x:v>сок, кордиал, гаспачо, салат, соус, маринад или коктейльный компонент с анис</x:v>
      </x:c>
      <x:c r="Y825" s="28" t="str">
        <x:v>универсальное</x:v>
      </x:c>
      <x:c r="Z825" s="28" t="str">
        <x:v>Средняя</x:v>
      </x:c>
      <x:c r="AA825" s="28" t="str">
        <x:v>Тезариус вкусов (Ники Сегнит)(1).pdf</x:v>
      </x:c>
      <x:c r="AB825" s="28" t="str">
        <x:v>Тезариус вкусов (Ники Сегнит)(1).pdf: 487, 679</x:v>
      </x:c>
      <x:c r="AC825" s="28" t="str">
        <x:v>развёрнутая пара/статья, стр. 487; развёрнутая пара/статья, стр. 679</x:v>
      </x:c>
      <x:c r="AD825" s="28" t="n">
        <x:v>1</x:v>
      </x:c>
      <x:c r="AE825" s="28" t="n">
        <x:v>2</x:v>
      </x:c>
      <x:c r="AF825" s="28" t="n">
        <x:f>IF(Z825="Высокая",3,IF(Z825="Средняя",2,1))+AD825*2+MIN(AE825,3)</x:f>
        <x:v>6</x:v>
      </x:c>
    </x:row>
    <x:row r="826" ht="64" customHeight="1">
      <x:c r="A826" s="28" t="str">
        <x:v>VEG-0825</x:v>
      </x:c>
      <x:c r="B826" s="28" t="str">
        <x:v>томат</x:v>
      </x:c>
      <x:c r="C826" s="28" t="str">
        <x:v>Еда и соусы</x:v>
      </x:c>
      <x:c r="D826" s="28" t="str">
        <x:v>томат</x:v>
      </x:c>
      <x:c r="E826" s="28" t="str">
        <x:v>Томаты | томаты</x:v>
      </x:c>
      <x:c r="F826" s="28" t="str">
        <x:v>Плодовые овощи</x:v>
      </x:c>
      <x:c r="G826" s="28" t="str">
        <x:v>анчоусы</x:v>
      </x:c>
      <x:c r="H826" s="28" t="str">
        <x:v>Анчоусы | анчоусы</x:v>
      </x:c>
      <x:c r="I826" s="28" t="str">
        <x:v>Рыба и морепродукты</x:v>
      </x:c>
      <x:c r="J826" s="28" t="str">
        <x:v>зелёный, фруктовый, листовой, сернистый и умами</x:v>
      </x:c>
      <x:c r="K826" s="28" t="str">
        <x:v>морской, солоноватый и умами</x:v>
      </x:c>
      <x:c r="L826" s="28" t="str">
        <x:v>цис-3-гексеналь, гексаналь, β-ионон, метиональ, глутамат</x:v>
      </x:c>
      <x:c r="M826" s="28" t="str">
        <x:v>альдегиды, амины</x:v>
      </x:c>
      <x:c r="N826" s="28" t="str">
        <x:v>умами</x:v>
      </x:c>
      <x:c r="O826" s="28" t="str">
        <x:v>надёжная общая ключевая молекула не установлена</x:v>
      </x:c>
      <x:c r="P826" s="28" t="str">
        <x:v>пересечение ароматических семейств; умами и солёный контраст</x:v>
      </x:c>
      <x:c r="Q82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26" s="28" t="str">
        <x:v>минимальный</x:v>
      </x:c>
      <x:c r="S826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2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26" s="28" t="str">
        <x:v>Томат имеет профиль «зелёный, фруктовый, листовой, сернистый и умами». Партнёр «анчоусы»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26" s="28" t="str">
        <x:v>незрелые плоды слишком зелёные; длительное кипячение стирает свежесть; кислота влияет на молочные эмульсии</x:v>
      </x:c>
      <x:c r="W826" s="28" t="str">
        <x:v>сливочное масло, соевый соус или тимьян</x:v>
      </x:c>
      <x:c r="X826" s="28" t="str">
        <x:v>сок, кордиал, гаспачо, салат, соус, маринад или коктейльный компонент с анчоусы</x:v>
      </x:c>
      <x:c r="Y826" s="28" t="str">
        <x:v>еда, соусы/маринады</x:v>
      </x:c>
      <x:c r="Z826" s="28" t="str">
        <x:v>Средняя</x:v>
      </x:c>
      <x:c r="AA826" s="28" t="str">
        <x:v>Тезариус вкусов (Ники Сегнит)(1).pdf</x:v>
      </x:c>
      <x:c r="AB826" s="28" t="str">
        <x:v>Тезариус вкусов (Ники Сегнит)(1).pdf: 430, 680</x:v>
      </x:c>
      <x:c r="AC826" s="28" t="str">
        <x:v>развёрнутая пара/статья, стр. 430; развёрнутая пара/статья, стр. 680</x:v>
      </x:c>
      <x:c r="AD826" s="28" t="n">
        <x:v>1</x:v>
      </x:c>
      <x:c r="AE826" s="28" t="n">
        <x:v>2</x:v>
      </x:c>
      <x:c r="AF826" s="28" t="n">
        <x:f>IF(Z826="Высокая",3,IF(Z826="Средняя",2,1))+AD826*2+MIN(AE826,3)</x:f>
        <x:v>6</x:v>
      </x:c>
    </x:row>
    <x:row r="827" ht="64" customHeight="1">
      <x:c r="A827" s="28" t="str">
        <x:v>VEG-0826</x:v>
      </x:c>
      <x:c r="B827" s="28" t="str">
        <x:v>томат</x:v>
      </x:c>
      <x:c r="C827" s="28" t="str">
        <x:v>Универсальные</x:v>
      </x:c>
      <x:c r="D827" s="28" t="str">
        <x:v>томат</x:v>
      </x:c>
      <x:c r="E827" s="28" t="str">
        <x:v>tomato and tomato puree</x:v>
      </x:c>
      <x:c r="F827" s="28" t="str">
        <x:v>Плодовые овощи</x:v>
      </x:c>
      <x:c r="G827" s="28" t="str">
        <x:v>арак</x:v>
      </x:c>
      <x:c r="H827" s="28" t="str">
        <x:v>arrack</x:v>
      </x:c>
      <x:c r="I827" s="28" t="str">
        <x:v>Прочее</x:v>
      </x:c>
      <x:c r="J827" s="28" t="str">
        <x:v>зелёный, фруктовый, листовой, сернистый и умами</x:v>
      </x:c>
      <x:c r="K827" s="28" t="str">
        <x:v>профиль зависит от конкретного продукта</x:v>
      </x:c>
      <x:c r="L827" s="28" t="str">
        <x:v>цис-3-гексеналь, гексаналь, β-ионон, метиональ, глутамат</x:v>
      </x:c>
      <x:c r="M827" s="28" t="str">
        <x:v>конкретный молекулярный профиль не указан</x:v>
      </x:c>
      <x:c r="N827" s="28" t="str">
        <x:v>прямое пересечение семейств не подтверждено</x:v>
      </x:c>
      <x:c r="O827" s="28" t="str">
        <x:v>надёжная общая ключевая молекула не установлена</x:v>
      </x:c>
      <x:c r="P827" s="28" t="str">
        <x:v>сенсорная комплементарность</x:v>
      </x:c>
      <x:c r="Q82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27" s="28" t="str">
        <x:v>минимальный</x:v>
      </x:c>
      <x:c r="S827" s="28" t="str">
        <x:v>водная кислая матрица с пектином и глутаматом</x:v>
      </x:c>
      <x:c r="T82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27" s="28" t="str">
        <x:v>Томат имеет профиль «зелёный, фруктовый, листовой, сернистый и умами». Партнёр «арак»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27" s="28" t="str">
        <x:v>незрелые плоды слишком зелёные; длительное кипячение стирает свежесть; кислота влияет на молочные эмульсии</x:v>
      </x:c>
      <x:c r="W827" s="28" t="str">
        <x:v>соль, кислота или ароматический жир</x:v>
      </x:c>
      <x:c r="X827" s="28" t="str">
        <x:v>сок, кордиал, гаспачо, салат, соус, маринад или коктейльный компонент с арак</x:v>
      </x:c>
      <x:c r="Y827" s="28" t="str">
        <x:v>универсальное</x:v>
      </x:c>
      <x:c r="Z827" s="28" t="str">
        <x:v>Средняя</x:v>
      </x:c>
      <x:c r="AA827" s="28" t="str">
        <x:v>The Art &amp; Science of Foodpairing.pdf</x:v>
      </x:c>
      <x:c r="AB827" s="28" t="str">
        <x:v>The Art &amp; Science of Foodpairing.pdf: 161</x:v>
      </x:c>
      <x:c r="AC827" s="28" t="str">
        <x:v>связь из pairing grid, стр. 161</x:v>
      </x:c>
      <x:c r="AD827" s="28" t="n">
        <x:v>1</x:v>
      </x:c>
      <x:c r="AE827" s="28" t="n">
        <x:v>1</x:v>
      </x:c>
      <x:c r="AF827" s="28" t="n">
        <x:f>IF(Z827="Высокая",3,IF(Z827="Средняя",2,1))+AD827*2+MIN(AE827,3)</x:f>
        <x:v>5</x:v>
      </x:c>
    </x:row>
    <x:row r="828" ht="64" customHeight="1">
      <x:c r="A828" s="28" t="str">
        <x:v>VEG-0827</x:v>
      </x:c>
      <x:c r="B828" s="28" t="str">
        <x:v>томат</x:v>
      </x:c>
      <x:c r="C828" s="28" t="str">
        <x:v>Десерты и выпечка</x:v>
      </x:c>
      <x:c r="D828" s="28" t="str">
        <x:v>томат</x:v>
      </x:c>
      <x:c r="E828" s="28" t="str">
        <x:v>Томаты | томаты</x:v>
      </x:c>
      <x:c r="F828" s="28" t="str">
        <x:v>Плодовые овощи</x:v>
      </x:c>
      <x:c r="G828" s="28" t="str">
        <x:v>арахис</x:v>
      </x:c>
      <x:c r="H828" s="28" t="str">
        <x:v>Арахис | арахис</x:v>
      </x:c>
      <x:c r="I828" s="28" t="str">
        <x:v>Орехи и семена</x:v>
      </x:c>
      <x:c r="J828" s="28" t="str">
        <x:v>зелёный, фруктовый, листовой, сернистый и умами</x:v>
      </x:c>
      <x:c r="K828" s="28" t="str">
        <x:v>ореховый, жареный и жирный</x:v>
      </x:c>
      <x:c r="L828" s="28" t="str">
        <x:v>цис-3-гексеналь, гексаналь, β-ионон, метиональ, глутамат</x:v>
      </x:c>
      <x:c r="M828" s="28" t="str">
        <x:v>альдегиды, пиразины, фураны</x:v>
      </x:c>
      <x:c r="N828" s="28" t="str">
        <x:v>прямое пересечение семейств не подтверждено</x:v>
      </x:c>
      <x:c r="O828" s="28" t="str">
        <x:v>надёжная общая ключевая молекула не установлена</x:v>
      </x:c>
      <x:c r="P828" s="28" t="str">
        <x:v>сенсорная комплементарность</x:v>
      </x:c>
      <x:c r="Q82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28" s="28" t="str">
        <x:v>минимальный</x:v>
      </x:c>
      <x:c r="S828" s="28" t="str">
        <x:v>водная кислая матрица с пектином и глутаматом</x:v>
      </x:c>
      <x:c r="T82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28" s="28" t="str">
        <x:v>Томат имеет профиль «зелёный, фруктовый, листовой, сернистый и умами».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828" s="28" t="str">
        <x:v>незрелые плоды слишком зелёные; длительное кипячение стирает свежесть; кислота влияет на молочные эмульсии</x:v>
      </x:c>
      <x:c r="W828" s="28" t="str">
        <x:v>соль, кислота или ароматический жир</x:v>
      </x:c>
      <x:c r="X828" s="28" t="str">
        <x:v>сок, кордиал, гаспачо, салат, соус, маринад или коктейльный компонент с арахис</x:v>
      </x:c>
      <x:c r="Y828" s="28" t="str">
        <x:v>десерты</x:v>
      </x:c>
      <x:c r="Z828" s="28" t="str">
        <x:v>Средняя</x:v>
      </x:c>
      <x:c r="AA828" s="28" t="str">
        <x:v>Тезариус вкусов (Ники Сегнит)(1).pdf</x:v>
      </x:c>
      <x:c r="AB828" s="28" t="str">
        <x:v>Тезариус вкусов (Ники Сегнит)(1).pdf: 56, 680</x:v>
      </x:c>
      <x:c r="AC828" s="28" t="str">
        <x:v>развёрнутая пара/статья, стр. 56; развёрнутая пара/статья, стр. 680</x:v>
      </x:c>
      <x:c r="AD828" s="28" t="n">
        <x:v>1</x:v>
      </x:c>
      <x:c r="AE828" s="28" t="n">
        <x:v>2</x:v>
      </x:c>
      <x:c r="AF828" s="28" t="n">
        <x:f>IF(Z828="Высокая",3,IF(Z828="Средняя",2,1))+AD828*2+MIN(AE828,3)</x:f>
        <x:v>6</x:v>
      </x:c>
    </x:row>
    <x:row r="829" ht="64" customHeight="1">
      <x:c r="A829" s="28" t="str">
        <x:v>VEG-0828</x:v>
      </x:c>
      <x:c r="B829" s="28" t="str">
        <x:v>томат</x:v>
      </x:c>
      <x:c r="C829" s="28" t="str">
        <x:v>Универсальные</x:v>
      </x:c>
      <x:c r="D829" s="28" t="str">
        <x:v>томат</x:v>
      </x:c>
      <x:c r="E829" s="28" t="str">
        <x:v>Томаты | томаты</x:v>
      </x:c>
      <x:c r="F829" s="28" t="str">
        <x:v>Плодовые овощи</x:v>
      </x:c>
      <x:c r="G829" s="28" t="str">
        <x:v>арбуз</x:v>
      </x:c>
      <x:c r="H829" s="28" t="str">
        <x:v>Арбуз | арбуз</x:v>
      </x:c>
      <x:c r="I829" s="28" t="str">
        <x:v>Прочее</x:v>
      </x:c>
      <x:c r="J829" s="28" t="str">
        <x:v>зелёный, фруктовый, листовой, сернистый и умами</x:v>
      </x:c>
      <x:c r="K829" s="28" t="str">
        <x:v>профиль зависит от конкретного продукта</x:v>
      </x:c>
      <x:c r="L829" s="28" t="str">
        <x:v>цис-3-гексеналь, гексаналь, β-ионон, метиональ, глутамат</x:v>
      </x:c>
      <x:c r="M829" s="28" t="str">
        <x:v>конкретный молекулярный профиль не указан</x:v>
      </x:c>
      <x:c r="N829" s="28" t="str">
        <x:v>прямое пересечение семейств не подтверждено</x:v>
      </x:c>
      <x:c r="O829" s="28" t="str">
        <x:v>надёжная общая ключевая молекула не установлена</x:v>
      </x:c>
      <x:c r="P829" s="28" t="str">
        <x:v>сенсорная комплементарность</x:v>
      </x:c>
      <x:c r="Q82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29" s="28" t="str">
        <x:v>минимальный</x:v>
      </x:c>
      <x:c r="S829" s="28" t="str">
        <x:v>водная кислая матрица с пектином и глутаматом</x:v>
      </x:c>
      <x:c r="T82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29" s="28" t="str">
        <x:v>Томат имеет профиль «зелёный, фруктовый, листовой, сернистый и умами».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29" s="28" t="str">
        <x:v>незрелые плоды слишком зелёные; длительное кипячение стирает свежесть; кислота влияет на молочные эмульсии</x:v>
      </x:c>
      <x:c r="W829" s="28" t="str">
        <x:v>соль, кислота или ароматический жир</x:v>
      </x:c>
      <x:c r="X829" s="28" t="str">
        <x:v>сок, кордиал, гаспачо, салат, соус, маринад или коктейльный компонент с арбуз</x:v>
      </x:c>
      <x:c r="Y829" s="28" t="str">
        <x:v>универсальное</x:v>
      </x:c>
      <x:c r="Z829" s="28" t="str">
        <x:v>Средняя</x:v>
      </x:c>
      <x:c r="AA829" s="28" t="str">
        <x:v>Тезариус вкусов (Ники Сегнит)(1).pdf</x:v>
      </x:c>
      <x:c r="AB829" s="28" t="str">
        <x:v>Тезариус вкусов (Ники Сегнит)(1).pdf: 661, 680</x:v>
      </x:c>
      <x:c r="AC829" s="28" t="str">
        <x:v>развёрнутая пара/статья, стр. 661; развёрнутая пара/статья, стр. 680</x:v>
      </x:c>
      <x:c r="AD829" s="28" t="n">
        <x:v>1</x:v>
      </x:c>
      <x:c r="AE829" s="28" t="n">
        <x:v>2</x:v>
      </x:c>
      <x:c r="AF829" s="28" t="n">
        <x:f>IF(Z829="Высокая",3,IF(Z829="Средняя",2,1))+AD829*2+MIN(AE829,3)</x:f>
        <x:v>6</x:v>
      </x:c>
    </x:row>
    <x:row r="830" ht="64" customHeight="1">
      <x:c r="A830" s="28" t="str">
        <x:v>VEG-0829</x:v>
      </x:c>
      <x:c r="B830" s="28" t="str">
        <x:v>томат</x:v>
      </x:c>
      <x:c r="C830" s="28" t="str">
        <x:v>Универсальные</x:v>
      </x:c>
      <x:c r="D830" s="28" t="str">
        <x:v>томат</x:v>
      </x:c>
      <x:c r="E830" s="28" t="str">
        <x:v>tomato | Томат | Томаты | томаты</x:v>
      </x:c>
      <x:c r="F830" s="28" t="str">
        <x:v>Плодовые овощи</x:v>
      </x:c>
      <x:c r="G830" s="28" t="str">
        <x:v>базилик</x:v>
      </x:c>
      <x:c r="H830" s="28" t="str">
        <x:v>basil | Базилик | базилик</x:v>
      </x:c>
      <x:c r="I830" s="28" t="str">
        <x:v>Травы, цветы и листья</x:v>
      </x:c>
      <x:c r="J830" s="28" t="str">
        <x:v>зелёный, фруктовый, листовой, сернистый и умами</x:v>
      </x:c>
      <x:c r="K830" s="28" t="str">
        <x:v>зелёный, пряный, цветочный</x:v>
      </x:c>
      <x:c r="L830" s="28" t="str">
        <x:v>цис-3-гексеналь, гексаналь, β-ионон, метиональ, глутамат</x:v>
      </x:c>
      <x:c r="M830" s="28" t="str">
        <x:v>линалоол, эвгенол</x:v>
      </x:c>
      <x:c r="N830" s="28" t="str">
        <x:v>зелёный</x:v>
      </x:c>
      <x:c r="O830" s="28" t="str">
        <x:v>надёжная общая ключевая молекула не установлена</x:v>
      </x:c>
      <x:c r="P830" s="28" t="str">
        <x:v>пересечение ароматических семейств</x:v>
      </x:c>
      <x:c r="Q83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0" s="28" t="str">
        <x:v>минимальный</x:v>
      </x:c>
      <x:c r="S830" s="28" t="str">
        <x:v>водная кислая матрица с пектином и глутаматом</x:v>
      </x:c>
      <x:c r="T83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0" s="28" t="str">
        <x:v>Томат имеет профиль «зелёный, фруктовый, листовой, сернистый и умами».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830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W830" s="28" t="str">
        <x:v>оливковое масло, лимон или сыр</x:v>
      </x:c>
      <x:c r="X830" s="28" t="str">
        <x:v>сок, кордиал, гаспачо, салат, соус, маринад или коктейльный компонент с базилик</x:v>
      </x:c>
      <x:c r="Y830" s="28" t="str">
        <x:v>универсальное</x:v>
      </x:c>
      <x:c r="Z830" s="28" t="str">
        <x:v>Высокая</x:v>
      </x:c>
      <x:c r="AA830" s="28" t="str">
        <x:v>The Art &amp; Science of Foodpairing.pdf | Таблица сочетания(1).pdf | Тезариус вкусов (Ники Сегнит)(1).pdf</x:v>
      </x:c>
      <x:c r="AB830" s="28" t="str">
        <x:v>Таблица сочетания(1).pdf: 21; Тезариус вкусов (Ники Сегнит)(1).pdf: 569, 680; The Art &amp; Science of Foodpairing.pdf: 74</x:v>
      </x:c>
      <x:c r="AC830" s="28" t="str">
        <x:v>развёрнутая пара/статья, стр. 569; развёрнутая пара/статья, стр. 680; связь из pairing grid, стр. 74; рекомендация таблицы, стр. 21</x:v>
      </x:c>
      <x:c r="AD830" s="28" t="n">
        <x:v>3</x:v>
      </x:c>
      <x:c r="AE830" s="28" t="n">
        <x:v>4</x:v>
      </x:c>
      <x:c r="AF830" s="28" t="n">
        <x:f>IF(Z830="Высокая",3,IF(Z830="Средняя",2,1))+AD830*2+MIN(AE830,3)</x:f>
        <x:v>12</x:v>
      </x:c>
    </x:row>
    <x:row r="831" ht="64" customHeight="1">
      <x:c r="A831" s="28" t="str">
        <x:v>VEG-0830</x:v>
      </x:c>
      <x:c r="B831" s="28" t="str">
        <x:v>томат</x:v>
      </x:c>
      <x:c r="C831" s="28" t="str">
        <x:v>Еда и соусы</x:v>
      </x:c>
      <x:c r="D831" s="28" t="str">
        <x:v>томат</x:v>
      </x:c>
      <x:c r="E831" s="28" t="str">
        <x:v>tomato and tomato puree | Томаты | томаты</x:v>
      </x:c>
      <x:c r="F831" s="28" t="str">
        <x:v>Плодовые овощи</x:v>
      </x:c>
      <x:c r="G831" s="28" t="str">
        <x:v>баранина</x:v>
      </x:c>
      <x:c r="H831" s="28" t="str">
        <x:v>grilled lamb | Баранина | баранина</x:v>
      </x:c>
      <x:c r="I831" s="28" t="str">
        <x:v>Мясо и птица</x:v>
      </x:c>
      <x:c r="J831" s="28" t="str">
        <x:v>зелёный, фруктовый, листовой, сернистый и умами</x:v>
      </x:c>
      <x:c r="K831" s="28" t="str">
        <x:v>жареный, мясной и умами</x:v>
      </x:c>
      <x:c r="L831" s="28" t="str">
        <x:v>цис-3-гексеналь, гексаналь, β-ионон, метиональ, глутамат</x:v>
      </x:c>
      <x:c r="M831" s="28" t="str">
        <x:v>пиразины, сернистые соединения</x:v>
      </x:c>
      <x:c r="N831" s="28" t="str">
        <x:v>умами</x:v>
      </x:c>
      <x:c r="O831" s="28" t="str">
        <x:v>надёжная общая ключевая молекула не установлена</x:v>
      </x:c>
      <x:c r="P831" s="28" t="str">
        <x:v>пересечение ароматических семейств; умами и солёный контраст</x:v>
      </x:c>
      <x:c r="Q83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1" s="28" t="str">
        <x:v>минимальный</x:v>
      </x:c>
      <x:c r="S831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3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1" s="28" t="str">
        <x:v>Томат имеет профиль «зелёный, фруктовый, листовой, сернистый и умами». Партнёр «баранина»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31" s="28" t="str">
        <x:v>незрелые плоды слишком зелёные; длительное кипячение стирает свежесть; кислота влияет на молочные эмульсии</x:v>
      </x:c>
      <x:c r="W831" s="28" t="str">
        <x:v>сливочное масло, соевый соус или тимьян</x:v>
      </x:c>
      <x:c r="X831" s="28" t="str">
        <x:v>сок, кордиал, гаспачо, салат, соус, маринад или коктейльный компонент с баранина</x:v>
      </x:c>
      <x:c r="Y831" s="28" t="str">
        <x:v>еда, соусы/маринады</x:v>
      </x:c>
      <x:c r="Z831" s="28" t="str">
        <x:v>Высокая</x:v>
      </x:c>
      <x:c r="AA831" s="28" t="str">
        <x:v>The Art &amp; Science of Foodpairing.pdf | Тезариус вкусов (Ники Сегнит)(1).pdf</x:v>
      </x:c>
      <x:c r="AB831" s="28" t="str">
        <x:v>Тезариус вкусов (Ники Сегнит)(1).pdf: 133, 681; The Art &amp; Science of Foodpairing.pdf: 161</x:v>
      </x:c>
      <x:c r="AC831" s="28" t="str">
        <x:v>развёрнутая пара/статья, стр. 133; развёрнутая пара/статья, стр. 681; связь из pairing grid, стр. 161</x:v>
      </x:c>
      <x:c r="AD831" s="28" t="n">
        <x:v>2</x:v>
      </x:c>
      <x:c r="AE831" s="28" t="n">
        <x:v>3</x:v>
      </x:c>
      <x:c r="AF831" s="28" t="n">
        <x:f>IF(Z831="Высокая",3,IF(Z831="Средняя",2,1))+AD831*2+MIN(AE831,3)</x:f>
        <x:v>10</x:v>
      </x:c>
    </x:row>
    <x:row r="832" ht="64" customHeight="1">
      <x:c r="A832" s="28" t="str">
        <x:v>VEG-0831</x:v>
      </x:c>
      <x:c r="B832" s="28" t="str">
        <x:v>томат</x:v>
      </x:c>
      <x:c r="C832" s="28" t="str">
        <x:v>Еда и соусы</x:v>
      </x:c>
      <x:c r="D832" s="28" t="str">
        <x:v>томат</x:v>
      </x:c>
      <x:c r="E832" s="28" t="str">
        <x:v>tomato and tomato puree | Томаты | томаты</x:v>
      </x:c>
      <x:c r="F832" s="28" t="str">
        <x:v>Плодовые овощи</x:v>
      </x:c>
      <x:c r="G832" s="28" t="str">
        <x:v>бекон</x:v>
      </x:c>
      <x:c r="H832" s="28" t="str">
        <x:v>pan-fried bacon | Бекон | бекон</x:v>
      </x:c>
      <x:c r="I832" s="28" t="str">
        <x:v>Мясо и птица</x:v>
      </x:c>
      <x:c r="J832" s="28" t="str">
        <x:v>зелёный, фруктовый, листовой, сернистый и умами</x:v>
      </x:c>
      <x:c r="K832" s="28" t="str">
        <x:v>дымный, жареный, умами</x:v>
      </x:c>
      <x:c r="L832" s="28" t="str">
        <x:v>цис-3-гексеналь, гексаналь, β-ионон, метиональ, глутамат</x:v>
      </x:c>
      <x:c r="M832" s="28" t="str">
        <x:v>пиразины, фенолы</x:v>
      </x:c>
      <x:c r="N832" s="28" t="str">
        <x:v>умами</x:v>
      </x:c>
      <x:c r="O832" s="28" t="str">
        <x:v>надёжная общая ключевая молекула не установлена</x:v>
      </x:c>
      <x:c r="P832" s="28" t="str">
        <x:v>пересечение ароматических семейств; умами и солёный контраст</x:v>
      </x:c>
      <x:c r="Q83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2" s="28" t="str">
        <x:v>минимальный</x:v>
      </x:c>
      <x:c r="S832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3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2" s="28" t="str">
        <x:v>Томат имеет профиль «зелёный, фруктовый, листовой, сернистый и умами». Партнёр «бекон» относится к группе «Мясо и птица» и даёт дымный, жареный,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32" s="28" t="str">
        <x:v>незрелые плоды слишком зелёные; длительное кипячение стирает свежесть; кислота влияет на молочные эмульсии</x:v>
      </x:c>
      <x:c r="W832" s="28" t="str">
        <x:v>сливочное масло, соевый соус или тимьян</x:v>
      </x:c>
      <x:c r="X832" s="28" t="str">
        <x:v>сок, кордиал, гаспачо, салат, соус, маринад или коктейльный компонент с бекон</x:v>
      </x:c>
      <x:c r="Y832" s="28" t="str">
        <x:v>еда, соусы/маринады</x:v>
      </x:c>
      <x:c r="Z832" s="28" t="str">
        <x:v>Высокая</x:v>
      </x:c>
      <x:c r="AA832" s="28" t="str">
        <x:v>The Art &amp; Science of Foodpairing.pdf | Тезариус вкусов (Ники Сегнит)(1).pdf</x:v>
      </x:c>
      <x:c r="AB832" s="28" t="str">
        <x:v>Тезариус вкусов (Ники Сегнит)(1).pdf: 449, 682; The Art &amp; Science of Foodpairing.pdf: 161</x:v>
      </x:c>
      <x:c r="AC832" s="28" t="str">
        <x:v>развёрнутая пара/статья, стр. 449; развёрнутая пара/статья, стр. 682; связь из pairing grid, стр. 161; связь из pairing grid, стр. 161</x:v>
      </x:c>
      <x:c r="AD832" s="28" t="n">
        <x:v>2</x:v>
      </x:c>
      <x:c r="AE832" s="28" t="n">
        <x:v>4</x:v>
      </x:c>
      <x:c r="AF832" s="28" t="n">
        <x:f>IF(Z832="Высокая",3,IF(Z832="Средняя",2,1))+AD832*2+MIN(AE832,3)</x:f>
        <x:v>10</x:v>
      </x:c>
    </x:row>
    <x:row r="833" ht="64" customHeight="1">
      <x:c r="A833" s="28" t="str">
        <x:v>VEG-0832</x:v>
      </x:c>
      <x:c r="B833" s="28" t="str">
        <x:v>томат</x:v>
      </x:c>
      <x:c r="C833" s="28" t="str">
        <x:v>Еда и соусы</x:v>
      </x:c>
      <x:c r="D833" s="28" t="str">
        <x:v>томат</x:v>
      </x:c>
      <x:c r="E833" s="28" t="str">
        <x:v>Томаты | томаты</x:v>
      </x:c>
      <x:c r="F833" s="28" t="str">
        <x:v>Плодовые овощи</x:v>
      </x:c>
      <x:c r="G833" s="28" t="str">
        <x:v>белая рыба</x:v>
      </x:c>
      <x:c r="H833" s="28" t="str">
        <x:v>Белая рыба | белая рыба</x:v>
      </x:c>
      <x:c r="I833" s="28" t="str">
        <x:v>Рыба и морепродукты</x:v>
      </x:c>
      <x:c r="J833" s="28" t="str">
        <x:v>зелёный, фруктовый, листовой, сернистый и умами</x:v>
      </x:c>
      <x:c r="K833" s="28" t="str">
        <x:v>жирный, морской, умами</x:v>
      </x:c>
      <x:c r="L833" s="28" t="str">
        <x:v>цис-3-гексеналь, гексаналь, β-ионон, метиональ, глутамат</x:v>
      </x:c>
      <x:c r="M833" s="28" t="str">
        <x:v>альдегиды, амины</x:v>
      </x:c>
      <x:c r="N833" s="28" t="str">
        <x:v>умами</x:v>
      </x:c>
      <x:c r="O833" s="28" t="str">
        <x:v>надёжная общая ключевая молекула не установлена</x:v>
      </x:c>
      <x:c r="P833" s="28" t="str">
        <x:v>пересечение ароматических семейств; умами и солёный контраст</x:v>
      </x:c>
      <x:c r="Q83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3" s="28" t="str">
        <x:v>минимальный</x:v>
      </x:c>
      <x:c r="S833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3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3" s="28" t="str">
        <x:v>Томат имеет профиль «зелёный, фруктовый, листовой, сернистый и умами».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33" s="28" t="str">
        <x:v>незрелые плоды слишком зелёные; длительное кипячение стирает свежесть; кислота влияет на молочные эмульсии</x:v>
      </x:c>
      <x:c r="W833" s="28" t="str">
        <x:v>сливочное масло, соевый соус или тимьян</x:v>
      </x:c>
      <x:c r="X833" s="28" t="str">
        <x:v>сок, кордиал, гаспачо, салат, соус, маринад или коктейльный компонент с белая рыба</x:v>
      </x:c>
      <x:c r="Y833" s="28" t="str">
        <x:v>еда, соусы/маринады</x:v>
      </x:c>
      <x:c r="Z833" s="28" t="str">
        <x:v>Средняя</x:v>
      </x:c>
      <x:c r="AA833" s="28" t="str">
        <x:v>Тезариус вкусов (Ники Сегнит)(1).pdf</x:v>
      </x:c>
      <x:c r="AB833" s="28" t="str">
        <x:v>Тезариус вкусов (Ники Сегнит)(1).pdf: 391, 684</x:v>
      </x:c>
      <x:c r="AC833" s="28" t="str">
        <x:v>развёрнутая пара/статья, стр. 391; развёрнутая пара/статья, стр. 684</x:v>
      </x:c>
      <x:c r="AD833" s="28" t="n">
        <x:v>1</x:v>
      </x:c>
      <x:c r="AE833" s="28" t="n">
        <x:v>2</x:v>
      </x:c>
      <x:c r="AF833" s="28" t="n">
        <x:f>IF(Z833="Высокая",3,IF(Z833="Средняя",2,1))+AD833*2+MIN(AE833,3)</x:f>
        <x:v>6</x:v>
      </x:c>
    </x:row>
    <x:row r="834" ht="64" customHeight="1">
      <x:c r="A834" s="28" t="str">
        <x:v>VEG-0833</x:v>
      </x:c>
      <x:c r="B834" s="28" t="str">
        <x:v>томат</x:v>
      </x:c>
      <x:c r="C834" s="28" t="str">
        <x:v>Универсальные</x:v>
      </x:c>
      <x:c r="D834" s="28" t="str">
        <x:v>томат</x:v>
      </x:c>
      <x:c r="E834" s="28" t="str">
        <x:v>tomato and tomato puree</x:v>
      </x:c>
      <x:c r="F834" s="28" t="str">
        <x:v>Плодовые овощи</x:v>
      </x:c>
      <x:c r="G834" s="28" t="str">
        <x:v>бергамот</x:v>
      </x:c>
      <x:c r="H834" s="28" t="str">
        <x:v>bergamot orange</x:v>
      </x:c>
      <x:c r="I834" s="28" t="str">
        <x:v>Прочее</x:v>
      </x:c>
      <x:c r="J834" s="28" t="str">
        <x:v>зелёный, фруктовый, листовой, сернистый и умами</x:v>
      </x:c>
      <x:c r="K834" s="28" t="str">
        <x:v>профиль зависит от конкретного продукта</x:v>
      </x:c>
      <x:c r="L834" s="28" t="str">
        <x:v>цис-3-гексеналь, гексаналь, β-ионон, метиональ, глутамат</x:v>
      </x:c>
      <x:c r="M834" s="28" t="str">
        <x:v>конкретный молекулярный профиль не указан</x:v>
      </x:c>
      <x:c r="N834" s="28" t="str">
        <x:v>прямое пересечение семейств не подтверждено</x:v>
      </x:c>
      <x:c r="O834" s="28" t="str">
        <x:v>надёжная общая ключевая молекула не установлена</x:v>
      </x:c>
      <x:c r="P834" s="28" t="str">
        <x:v>сенсорная комплементарность</x:v>
      </x:c>
      <x:c r="Q83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4" s="28" t="str">
        <x:v>минимальный</x:v>
      </x:c>
      <x:c r="S834" s="28" t="str">
        <x:v>водная кислая матрица с пектином и глутаматом</x:v>
      </x:c>
      <x:c r="T83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4" s="28" t="str">
        <x:v>Томат имеет профиль «зелёный, фруктовый, листовой, сернистый и умами». Партнёр «бергамот»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34" s="28" t="str">
        <x:v>незрелые плоды слишком зелёные; длительное кипячение стирает свежесть; кислота влияет на молочные эмульсии</x:v>
      </x:c>
      <x:c r="W834" s="28" t="str">
        <x:v>соль, кислота или ароматический жир</x:v>
      </x:c>
      <x:c r="X834" s="28" t="str">
        <x:v>сок, кордиал, гаспачо, салат, соус, маринад или коктейльный компонент с бергамот</x:v>
      </x:c>
      <x:c r="Y834" s="28" t="str">
        <x:v>универсальное</x:v>
      </x:c>
      <x:c r="Z834" s="28" t="str">
        <x:v>Средняя</x:v>
      </x:c>
      <x:c r="AA834" s="28" t="str">
        <x:v>The Art &amp; Science of Foodpairing.pdf</x:v>
      </x:c>
      <x:c r="AB834" s="28" t="str">
        <x:v>The Art &amp; Science of Foodpairing.pdf: 161</x:v>
      </x:c>
      <x:c r="AC834" s="28" t="str">
        <x:v>связь из pairing grid, стр. 161</x:v>
      </x:c>
      <x:c r="AD834" s="28" t="n">
        <x:v>1</x:v>
      </x:c>
      <x:c r="AE834" s="28" t="n">
        <x:v>1</x:v>
      </x:c>
      <x:c r="AF834" s="28" t="n">
        <x:f>IF(Z834="Высокая",3,IF(Z834="Средняя",2,1))+AD834*2+MIN(AE834,3)</x:f>
        <x:v>5</x:v>
      </x:c>
    </x:row>
    <x:row r="835" ht="64" customHeight="1">
      <x:c r="A835" s="28" t="str">
        <x:v>VEG-0834</x:v>
      </x:c>
      <x:c r="B835" s="28" t="str">
        <x:v>томат</x:v>
      </x:c>
      <x:c r="C835" s="28" t="str">
        <x:v>Еда и соусы</x:v>
      </x:c>
      <x:c r="D835" s="28" t="str">
        <x:v>томат</x:v>
      </x:c>
      <x:c r="E835" s="28" t="str">
        <x:v>tomato and tomato puree</x:v>
      </x:c>
      <x:c r="F835" s="28" t="str">
        <x:v>Плодовые овощи</x:v>
      </x:c>
      <x:c r="G835" s="28" t="str">
        <x:v>бобы</x:v>
      </x:c>
      <x:c r="H835" s="28" t="str">
        <x:v>boiled broad beans</x:v>
      </x:c>
      <x:c r="I835" s="28" t="str">
        <x:v>Бобовые</x:v>
      </x:c>
      <x:c r="J835" s="28" t="str">
        <x:v>зелёный, фруктовый, листовой, сернистый и умами</x:v>
      </x:c>
      <x:c r="K835" s="28" t="str">
        <x:v>зелёный, бобовый и крахмалистый</x:v>
      </x:c>
      <x:c r="L835" s="28" t="str">
        <x:v>цис-3-гексеналь, гексаналь, β-ионон, метиональ, глутамат</x:v>
      </x:c>
      <x:c r="M835" s="28" t="str">
        <x:v>альдегиды, метоксипиразины</x:v>
      </x:c>
      <x:c r="N835" s="28" t="str">
        <x:v>зелёный</x:v>
      </x:c>
      <x:c r="O835" s="28" t="str">
        <x:v>надёжная общая ключевая молекула не установлена</x:v>
      </x:c>
      <x:c r="P835" s="28" t="str">
        <x:v>пересечение ароматических семейств</x:v>
      </x:c>
      <x:c r="Q83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5" s="28" t="str">
        <x:v>минимальный</x:v>
      </x:c>
      <x:c r="S835" s="28" t="str">
        <x:v>водная кислая матрица с пектином и глутаматом</x:v>
      </x:c>
      <x:c r="T83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5" s="28" t="str">
        <x:v>Томат имеет профиль «зелёный, фруктовый, листовой, сернистый и умами». Партнёр «бобы» относится к группе «Бобовые» и даёт зелёный, бобовый и крахмалистый.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V835" s="28" t="str">
        <x:v>незрелые плоды слишком зелёные; длительное кипячение стирает свежесть; кислота влияет на молочные эмульсии</x:v>
      </x:c>
      <x:c r="W835" s="28" t="str">
        <x:v>соль, кислота или ароматический жир</x:v>
      </x:c>
      <x:c r="X835" s="28" t="str">
        <x:v>сок, кордиал, гаспачо, салат, соус, маринад или коктейльный компонент с бобы</x:v>
      </x:c>
      <x:c r="Y835" s="28" t="str">
        <x:v>еда, соусы/маринады</x:v>
      </x:c>
      <x:c r="Z835" s="28" t="str">
        <x:v>Средняя</x:v>
      </x:c>
      <x:c r="AA835" s="28" t="str">
        <x:v>The Art &amp; Science of Foodpairing.pdf</x:v>
      </x:c>
      <x:c r="AB835" s="28" t="str">
        <x:v>The Art &amp; Science of Foodpairing.pdf: 161</x:v>
      </x:c>
      <x:c r="AC835" s="28" t="str">
        <x:v>связь из pairing grid, стр. 161</x:v>
      </x:c>
      <x:c r="AD835" s="28" t="n">
        <x:v>1</x:v>
      </x:c>
      <x:c r="AE835" s="28" t="n">
        <x:v>1</x:v>
      </x:c>
      <x:c r="AF835" s="28" t="n">
        <x:f>IF(Z835="Высокая",3,IF(Z835="Средняя",2,1))+AD835*2+MIN(AE835,3)</x:f>
        <x:v>5</x:v>
      </x:c>
    </x:row>
    <x:row r="836" ht="64" customHeight="1">
      <x:c r="A836" s="28" t="str">
        <x:v>VEG-0835</x:v>
      </x:c>
      <x:c r="B836" s="28" t="str">
        <x:v>томат</x:v>
      </x:c>
      <x:c r="C836" s="28" t="str">
        <x:v>Универсальные</x:v>
      </x:c>
      <x:c r="D836" s="28" t="str">
        <x:v>томат</x:v>
      </x:c>
      <x:c r="E836" s="28" t="str">
        <x:v>Томаты | томаты</x:v>
      </x:c>
      <x:c r="F836" s="28" t="str">
        <x:v>Плодовые овощи</x:v>
      </x:c>
      <x:c r="G836" s="28" t="str">
        <x:v>ваниль</x:v>
      </x:c>
      <x:c r="H836" s="28" t="str">
        <x:v>Ваниль | ваниль</x:v>
      </x:c>
      <x:c r="I836" s="28" t="str">
        <x:v>Специи</x:v>
      </x:c>
      <x:c r="J836" s="28" t="str">
        <x:v>зелёный, фруктовый, листовой, сернистый и умами</x:v>
      </x:c>
      <x:c r="K836" s="28" t="str">
        <x:v>ванильный, древесный, цветочный</x:v>
      </x:c>
      <x:c r="L836" s="28" t="str">
        <x:v>цис-3-гексеналь, гексаналь, β-ионон, метиональ, глутамат</x:v>
      </x:c>
      <x:c r="M836" s="28" t="str">
        <x:v>ванилин</x:v>
      </x:c>
      <x:c r="N836" s="28" t="str">
        <x:v>прямое пересечение семейств не подтверждено</x:v>
      </x:c>
      <x:c r="O836" s="28" t="str">
        <x:v>надёжная общая ключевая молекула не установлена</x:v>
      </x:c>
      <x:c r="P836" s="28" t="str">
        <x:v>сенсорная комплементарность</x:v>
      </x:c>
      <x:c r="Q83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6" s="28" t="str">
        <x:v>минимальный</x:v>
      </x:c>
      <x:c r="S836" s="28" t="str">
        <x:v>водная кислая матрица с пектином и глутаматом</x:v>
      </x:c>
      <x:c r="T83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6" s="28" t="str">
        <x:v>Томат имеет профиль «зелёный, фруктовый, листовой, сернистый и умами».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36" s="28" t="str">
        <x:v>незрелые плоды слишком зелёные; длительное кипячение стирает свежесть; кислота влияет на молочные эмульсии</x:v>
      </x:c>
      <x:c r="W836" s="28" t="str">
        <x:v>цитрус, йогурт или мёд</x:v>
      </x:c>
      <x:c r="X836" s="28" t="str">
        <x:v>сок, кордиал, гаспачо, салат, соус, маринад или коктейльный компонент с ваниль</x:v>
      </x:c>
      <x:c r="Y836" s="28" t="str">
        <x:v>универсальное</x:v>
      </x:c>
      <x:c r="Z836" s="28" t="str">
        <x:v>Средняя</x:v>
      </x:c>
      <x:c r="AA836" s="28" t="str">
        <x:v>Тезариус вкусов (Ники Сегнит)(1).pdf</x:v>
      </x:c>
      <x:c r="AB836" s="28" t="str">
        <x:v>Тезариус вкусов (Ники Сегнит)(1).pdf: 685, 919</x:v>
      </x:c>
      <x:c r="AC836" s="28" t="str">
        <x:v>развёрнутая пара/статья, стр. 685; развёрнутая пара/статья, стр. 919</x:v>
      </x:c>
      <x:c r="AD836" s="28" t="n">
        <x:v>1</x:v>
      </x:c>
      <x:c r="AE836" s="28" t="n">
        <x:v>2</x:v>
      </x:c>
      <x:c r="AF836" s="28" t="n">
        <x:f>IF(Z836="Высокая",3,IF(Z836="Средняя",2,1))+AD836*2+MIN(AE836,3)</x:f>
        <x:v>6</x:v>
      </x:c>
    </x:row>
    <x:row r="837" ht="64" customHeight="1">
      <x:c r="A837" s="28" t="str">
        <x:v>VEG-0836</x:v>
      </x:c>
      <x:c r="B837" s="28" t="str">
        <x:v>томат</x:v>
      </x:c>
      <x:c r="C837" s="28" t="str">
        <x:v>Десерты и выпечка</x:v>
      </x:c>
      <x:c r="D837" s="28" t="str">
        <x:v>томат</x:v>
      </x:c>
      <x:c r="E837" s="28" t="str">
        <x:v>tomato and tomato puree</x:v>
      </x:c>
      <x:c r="F837" s="28" t="str">
        <x:v>Плодовые овощи</x:v>
      </x:c>
      <x:c r="G837" s="28" t="str">
        <x:v>вишня</x:v>
      </x:c>
      <x:c r="H837" s="28" t="str">
        <x:v>top withhalved cherry tomatoes andcrumbled bluecheese(see</x:v>
      </x:c>
      <x:c r="I837" s="28" t="str">
        <x:v>Фрукты и ягоды</x:v>
      </x:c>
      <x:c r="J837" s="28" t="str">
        <x:v>зелёный, фруктовый, листовой, сернистый и умами</x:v>
      </x:c>
      <x:c r="K837" s="28" t="str">
        <x:v>миндальный, фруктовый</x:v>
      </x:c>
      <x:c r="L837" s="28" t="str">
        <x:v>цис-3-гексеналь, гексаналь, β-ионон, метиональ, глутамат</x:v>
      </x:c>
      <x:c r="M837" s="28" t="str">
        <x:v>бензальдегид, эфиры</x:v>
      </x:c>
      <x:c r="N837" s="28" t="str">
        <x:v>фруктовый</x:v>
      </x:c>
      <x:c r="O837" s="28" t="str">
        <x:v>надёжная общая ключевая молекула не установлена</x:v>
      </x:c>
      <x:c r="P837" s="28" t="str">
        <x:v>пересечение ароматических семейств; кислотно-сладкий баланс</x:v>
      </x:c>
      <x:c r="Q83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7" s="28" t="str">
        <x:v>минимальный</x:v>
      </x:c>
      <x:c r="S837" s="28" t="str">
        <x:v>водная кислая матрица с пектином и глутаматом Водная кислая фаза усиливает свежесть, но может разжижать пюре и нарушать молочную эмульсию.</x:v>
      </x:c>
      <x:c r="T83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7" s="28" t="str">
        <x:v>Томат имеет профиль «зелёный, фруктовый, листовой, сернистый и умами». Партнёр «вишня» относится к группе «Фрукты и ягоды» и даёт миндальный, фруктовый.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837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W837" s="28" t="str">
        <x:v>цитрус, мёд или мягкая трава</x:v>
      </x:c>
      <x:c r="X837" s="28" t="str">
        <x:v>сок, кордиал, гаспачо, салат, соус, маринад или коктейльный компонент с вишня</x:v>
      </x:c>
      <x:c r="Y837" s="28" t="str">
        <x:v>десерты</x:v>
      </x:c>
      <x:c r="Z837" s="28" t="str">
        <x:v>Средняя</x:v>
      </x:c>
      <x:c r="AA837" s="28" t="str">
        <x:v>The Art &amp; Science of Foodpairing.pdf</x:v>
      </x:c>
      <x:c r="AB837" s="28" t="str">
        <x:v>The Art &amp; Science of Foodpairing.pdf: 161</x:v>
      </x:c>
      <x:c r="AC837" s="28" t="str">
        <x:v>связь из pairing grid, стр. 161</x:v>
      </x:c>
      <x:c r="AD837" s="28" t="n">
        <x:v>1</x:v>
      </x:c>
      <x:c r="AE837" s="28" t="n">
        <x:v>1</x:v>
      </x:c>
      <x:c r="AF837" s="28" t="n">
        <x:f>IF(Z837="Высокая",3,IF(Z837="Средняя",2,1))+AD837*2+MIN(AE837,3)</x:f>
        <x:v>5</x:v>
      </x:c>
    </x:row>
    <x:row r="838" ht="64" customHeight="1">
      <x:c r="A838" s="28" t="str">
        <x:v>VEG-0837</x:v>
      </x:c>
      <x:c r="B838" s="28" t="str">
        <x:v>томат</x:v>
      </x:c>
      <x:c r="C838" s="28" t="str">
        <x:v>Универсальные</x:v>
      </x:c>
      <x:c r="D838" s="28" t="str">
        <x:v>томат</x:v>
      </x:c>
      <x:c r="E838" s="28" t="str">
        <x:v>Томаты | томаты</x:v>
      </x:c>
      <x:c r="F838" s="28" t="str">
        <x:v>Плодовые овощи</x:v>
      </x:c>
      <x:c r="G838" s="28" t="str">
        <x:v>гвоздика</x:v>
      </x:c>
      <x:c r="H838" s="28" t="str">
        <x:v>Гвоздика | гвоздика</x:v>
      </x:c>
      <x:c r="I838" s="28" t="str">
        <x:v>Специи</x:v>
      </x:c>
      <x:c r="J838" s="28" t="str">
        <x:v>зелёный, фруктовый, листовой, сернистый и умами</x:v>
      </x:c>
      <x:c r="K838" s="28" t="str">
        <x:v>древесный, пряный, фенольный</x:v>
      </x:c>
      <x:c r="L838" s="28" t="str">
        <x:v>цис-3-гексеналь, гексаналь, β-ионон, метиональ, глутамат</x:v>
      </x:c>
      <x:c r="M838" s="28" t="str">
        <x:v>эвгенол</x:v>
      </x:c>
      <x:c r="N838" s="28" t="str">
        <x:v>прямое пересечение семейств не подтверждено</x:v>
      </x:c>
      <x:c r="O838" s="28" t="str">
        <x:v>надёжная общая ключевая молекула не установлена</x:v>
      </x:c>
      <x:c r="P838" s="28" t="str">
        <x:v>сенсорная комплементарность</x:v>
      </x:c>
      <x:c r="Q83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8" s="28" t="str">
        <x:v>минимальный</x:v>
      </x:c>
      <x:c r="S838" s="28" t="str">
        <x:v>водная кислая матрица с пектином и глутаматом</x:v>
      </x:c>
      <x:c r="T83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8" s="28" t="str">
        <x:v>Томат имеет профиль «зелёный, фруктовый, листовой, сернистый и умами».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38" s="28" t="str">
        <x:v>незрелые плоды слишком зелёные; длительное кипячение стирает свежесть; кислота влияет на молочные эмульсии</x:v>
      </x:c>
      <x:c r="W838" s="28" t="str">
        <x:v>цитрус, йогурт или мёд</x:v>
      </x:c>
      <x:c r="X838" s="28" t="str">
        <x:v>сок, кордиал, гаспачо, салат, соус, маринад или коктейльный компонент с гвоздика</x:v>
      </x:c>
      <x:c r="Y838" s="28" t="str">
        <x:v>универсальное</x:v>
      </x:c>
      <x:c r="Z838" s="28" t="str">
        <x:v>Средняя</x:v>
      </x:c>
      <x:c r="AA838" s="28" t="str">
        <x:v>Тезариус вкусов (Ники Сегнит)(1).pdf</x:v>
      </x:c>
      <x:c r="AB838" s="28" t="str">
        <x:v>Тезариус вкусов (Ники Сегнит)(1).pdf: 585, 685</x:v>
      </x:c>
      <x:c r="AC838" s="28" t="str">
        <x:v>развёрнутая пара/статья, стр. 585; развёрнутая пара/статья, стр. 685</x:v>
      </x:c>
      <x:c r="AD838" s="28" t="n">
        <x:v>1</x:v>
      </x:c>
      <x:c r="AE838" s="28" t="n">
        <x:v>2</x:v>
      </x:c>
      <x:c r="AF838" s="28" t="n">
        <x:f>IF(Z838="Высокая",3,IF(Z838="Средняя",2,1))+AD838*2+MIN(AE838,3)</x:f>
        <x:v>6</x:v>
      </x:c>
    </x:row>
    <x:row r="839" ht="64" customHeight="1">
      <x:c r="A839" s="28" t="str">
        <x:v>VEG-0838</x:v>
      </x:c>
      <x:c r="B839" s="28" t="str">
        <x:v>томат</x:v>
      </x:c>
      <x:c r="C839" s="28" t="str">
        <x:v>Универсальные</x:v>
      </x:c>
      <x:c r="D839" s="28" t="str">
        <x:v>томат</x:v>
      </x:c>
      <x:c r="E839" s="28" t="str">
        <x:v>tomato and tomato puree</x:v>
      </x:c>
      <x:c r="F839" s="28" t="str">
        <x:v>Плодовые овощи</x:v>
      </x:c>
      <x:c r="G839" s="28" t="str">
        <x:v>гибискус</x:v>
      </x:c>
      <x:c r="H839" s="28" t="str">
        <x:v>dried hibiscus flower</x:v>
      </x:c>
      <x:c r="I839" s="28" t="str">
        <x:v>Прочее</x:v>
      </x:c>
      <x:c r="J839" s="28" t="str">
        <x:v>зелёный, фруктовый, листовой, сернистый и умами</x:v>
      </x:c>
      <x:c r="K839" s="28" t="str">
        <x:v>профиль зависит от конкретного продукта</x:v>
      </x:c>
      <x:c r="L839" s="28" t="str">
        <x:v>цис-3-гексеналь, гексаналь, β-ионон, метиональ, глутамат</x:v>
      </x:c>
      <x:c r="M839" s="28" t="str">
        <x:v>конкретный молекулярный профиль не указан</x:v>
      </x:c>
      <x:c r="N839" s="28" t="str">
        <x:v>прямое пересечение семейств не подтверждено</x:v>
      </x:c>
      <x:c r="O839" s="28" t="str">
        <x:v>надёжная общая ключевая молекула не установлена</x:v>
      </x:c>
      <x:c r="P839" s="28" t="str">
        <x:v>сенсорная комплементарность</x:v>
      </x:c>
      <x:c r="Q83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39" s="28" t="str">
        <x:v>минимальный</x:v>
      </x:c>
      <x:c r="S839" s="28" t="str">
        <x:v>водная кислая матрица с пектином и глутаматом</x:v>
      </x:c>
      <x:c r="T83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39" s="28" t="str">
        <x:v>Томат имеет профиль «зелёный, фруктовый, листовой, сернистый и умами».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39" s="28" t="str">
        <x:v>незрелые плоды слишком зелёные; длительное кипячение стирает свежесть; кислота влияет на молочные эмульсии</x:v>
      </x:c>
      <x:c r="W839" s="28" t="str">
        <x:v>соль, кислота или ароматический жир</x:v>
      </x:c>
      <x:c r="X839" s="28" t="str">
        <x:v>сок, кордиал, гаспачо, салат, соус, маринад или коктейльный компонент с гибискус</x:v>
      </x:c>
      <x:c r="Y839" s="28" t="str">
        <x:v>универсальное</x:v>
      </x:c>
      <x:c r="Z839" s="28" t="str">
        <x:v>Средняя</x:v>
      </x:c>
      <x:c r="AA839" s="28" t="str">
        <x:v>The Art &amp; Science of Foodpairing.pdf</x:v>
      </x:c>
      <x:c r="AB839" s="28" t="str">
        <x:v>The Art &amp; Science of Foodpairing.pdf: 161</x:v>
      </x:c>
      <x:c r="AC839" s="28" t="str">
        <x:v>связь из pairing grid, стр. 161</x:v>
      </x:c>
      <x:c r="AD839" s="28" t="n">
        <x:v>1</x:v>
      </x:c>
      <x:c r="AE839" s="28" t="n">
        <x:v>1</x:v>
      </x:c>
      <x:c r="AF839" s="28" t="n">
        <x:f>IF(Z839="Высокая",3,IF(Z839="Средняя",2,1))+AD839*2+MIN(AE839,3)</x:f>
        <x:v>5</x:v>
      </x:c>
    </x:row>
    <x:row r="840" ht="64" customHeight="1">
      <x:c r="A840" s="28" t="str">
        <x:v>VEG-0839</x:v>
      </x:c>
      <x:c r="B840" s="28" t="str">
        <x:v>томат</x:v>
      </x:c>
      <x:c r="C840" s="28" t="str">
        <x:v>Еда и соусы</x:v>
      </x:c>
      <x:c r="D840" s="28" t="str">
        <x:v>томат</x:v>
      </x:c>
      <x:c r="E840" s="28" t="str">
        <x:v>Томаты | томаты</x:v>
      </x:c>
      <x:c r="F840" s="28" t="str">
        <x:v>Плодовые овощи</x:v>
      </x:c>
      <x:c r="G840" s="28" t="str">
        <x:v>говядина</x:v>
      </x:c>
      <x:c r="H840" s="28" t="str">
        <x:v>Говядина | говядина</x:v>
      </x:c>
      <x:c r="I840" s="28" t="str">
        <x:v>Мясо и птица</x:v>
      </x:c>
      <x:c r="J840" s="28" t="str">
        <x:v>зелёный, фруктовый, листовой, сернистый и умами</x:v>
      </x:c>
      <x:c r="K840" s="28" t="str">
        <x:v>жареный, мясной и умами</x:v>
      </x:c>
      <x:c r="L840" s="28" t="str">
        <x:v>цис-3-гексеналь, гексаналь, β-ионон, метиональ, глутамат</x:v>
      </x:c>
      <x:c r="M840" s="28" t="str">
        <x:v>пиразины, сернистые соединения</x:v>
      </x:c>
      <x:c r="N840" s="28" t="str">
        <x:v>умами</x:v>
      </x:c>
      <x:c r="O840" s="28" t="str">
        <x:v>надёжная общая ключевая молекула не установлена</x:v>
      </x:c>
      <x:c r="P840" s="28" t="str">
        <x:v>пересечение ароматических семейств; умами и солёный контраст</x:v>
      </x:c>
      <x:c r="Q84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0" s="28" t="str">
        <x:v>минимальный</x:v>
      </x:c>
      <x:c r="S840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4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0" s="28" t="str">
        <x:v>Томат имеет профиль «зелёный, фруктовый, листовой, сернистый и умами». Партнёр «говядина»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40" s="28" t="str">
        <x:v>незрелые плоды слишком зелёные; длительное кипячение стирает свежесть; кислота влияет на молочные эмульсии</x:v>
      </x:c>
      <x:c r="W840" s="28" t="str">
        <x:v>сливочное масло, соевый соус или тимьян</x:v>
      </x:c>
      <x:c r="X840" s="28" t="str">
        <x:v>сок, кордиал, гаспачо, салат, соус, маринад или коктейльный компонент с говядина</x:v>
      </x:c>
      <x:c r="Y840" s="28" t="str">
        <x:v>еда, соусы/маринады</x:v>
      </x:c>
      <x:c r="Z840" s="28" t="str">
        <x:v>Средняя</x:v>
      </x:c>
      <x:c r="AA840" s="28" t="str">
        <x:v>Тезариус вкусов (Ники Сегнит)(1).pdf</x:v>
      </x:c>
      <x:c r="AB840" s="28" t="str">
        <x:v>Тезариус вкусов (Ники Сегнит)(1).pdf: 118, 685</x:v>
      </x:c>
      <x:c r="AC840" s="28" t="str">
        <x:v>развёрнутая пара/статья, стр. 118; развёрнутая пара/статья, стр. 685</x:v>
      </x:c>
      <x:c r="AD840" s="28" t="n">
        <x:v>1</x:v>
      </x:c>
      <x:c r="AE840" s="28" t="n">
        <x:v>2</x:v>
      </x:c>
      <x:c r="AF840" s="28" t="n">
        <x:f>IF(Z840="Высокая",3,IF(Z840="Средняя",2,1))+AD840*2+MIN(AE840,3)</x:f>
        <x:v>6</x:v>
      </x:c>
    </x:row>
    <x:row r="841" ht="64" customHeight="1">
      <x:c r="A841" s="28" t="str">
        <x:v>VEG-0840</x:v>
      </x:c>
      <x:c r="B841" s="28" t="str">
        <x:v>томат</x:v>
      </x:c>
      <x:c r="C841" s="28" t="str">
        <x:v>Еда и соусы</x:v>
      </x:c>
      <x:c r="D841" s="28" t="str">
        <x:v>томат</x:v>
      </x:c>
      <x:c r="E841" s="28" t="str">
        <x:v>tomato and tomato puree</x:v>
      </x:c>
      <x:c r="F841" s="28" t="str">
        <x:v>Плодовые овощи</x:v>
      </x:c>
      <x:c r="G841" s="28" t="str">
        <x:v>говядина сухой выдержки</x:v>
      </x:c>
      <x:c r="H841" s="28" t="str">
        <x:v>dry-aged beef</x:v>
      </x:c>
      <x:c r="I841" s="28" t="str">
        <x:v>Мясо и птица</x:v>
      </x:c>
      <x:c r="J841" s="28" t="str">
        <x:v>зелёный, фруктовый, листовой, сернистый и умами</x:v>
      </x:c>
      <x:c r="K841" s="28" t="str">
        <x:v>жареный, мясной и умами</x:v>
      </x:c>
      <x:c r="L841" s="28" t="str">
        <x:v>цис-3-гексеналь, гексаналь, β-ионон, метиональ, глутамат</x:v>
      </x:c>
      <x:c r="M841" s="28" t="str">
        <x:v>пиразины, сернистые соединения</x:v>
      </x:c>
      <x:c r="N841" s="28" t="str">
        <x:v>умами</x:v>
      </x:c>
      <x:c r="O841" s="28" t="str">
        <x:v>надёжная общая ключевая молекула не установлена</x:v>
      </x:c>
      <x:c r="P841" s="28" t="str">
        <x:v>пересечение ароматических семейств; умами и солёный контраст</x:v>
      </x:c>
      <x:c r="Q84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1" s="28" t="str">
        <x:v>минимальный</x:v>
      </x:c>
      <x:c r="S841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4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1" s="28" t="str">
        <x:v>Томат имеет профиль «зелёный, фруктовый, листовой, сернистый и умами». Партнёр «говядина сухой выдержки»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41" s="28" t="str">
        <x:v>незрелые плоды слишком зелёные; длительное кипячение стирает свежесть; кислота влияет на молочные эмульсии</x:v>
      </x:c>
      <x:c r="W841" s="28" t="str">
        <x:v>сливочное масло, соевый соус или тимьян</x:v>
      </x:c>
      <x:c r="X841" s="28" t="str">
        <x:v>сок, кордиал, гаспачо, салат, соус, маринад или коктейльный компонент с говядина сухой выдержки</x:v>
      </x:c>
      <x:c r="Y841" s="28" t="str">
        <x:v>еда, соусы/маринады</x:v>
      </x:c>
      <x:c r="Z841" s="28" t="str">
        <x:v>Средняя</x:v>
      </x:c>
      <x:c r="AA841" s="28" t="str">
        <x:v>The Art &amp; Science of Foodpairing.pdf</x:v>
      </x:c>
      <x:c r="AB841" s="28" t="str">
        <x:v>The Art &amp; Science of Foodpairing.pdf: 161</x:v>
      </x:c>
      <x:c r="AC841" s="28" t="str">
        <x:v>связь из pairing grid, стр. 161</x:v>
      </x:c>
      <x:c r="AD841" s="28" t="n">
        <x:v>1</x:v>
      </x:c>
      <x:c r="AE841" s="28" t="n">
        <x:v>1</x:v>
      </x:c>
      <x:c r="AF841" s="28" t="n">
        <x:f>IF(Z841="Высокая",3,IF(Z841="Средняя",2,1))+AD841*2+MIN(AE841,3)</x:f>
        <x:v>5</x:v>
      </x:c>
    </x:row>
    <x:row r="842" ht="64" customHeight="1">
      <x:c r="A842" s="28" t="str">
        <x:v>VEG-0841</x:v>
      </x:c>
      <x:c r="B842" s="28" t="str">
        <x:v>томат</x:v>
      </x:c>
      <x:c r="C842" s="28" t="str">
        <x:v>Универсальные</x:v>
      </x:c>
      <x:c r="D842" s="28" t="str">
        <x:v>томат</x:v>
      </x:c>
      <x:c r="E842" s="28" t="str">
        <x:v>canned tomato</x:v>
      </x:c>
      <x:c r="F842" s="28" t="str">
        <x:v>Плодовые овощи</x:v>
      </x:c>
      <x:c r="G842" s="28" t="str">
        <x:v>голубика</x:v>
      </x:c>
      <x:c r="H842" s="28" t="str">
        <x:v>blueberry</x:v>
      </x:c>
      <x:c r="I842" s="28" t="str">
        <x:v>Прочее</x:v>
      </x:c>
      <x:c r="J842" s="28" t="str">
        <x:v>зелёный, фруктовый, листовой, сернистый и умами</x:v>
      </x:c>
      <x:c r="K842" s="28" t="str">
        <x:v>профиль зависит от конкретного продукта</x:v>
      </x:c>
      <x:c r="L842" s="28" t="str">
        <x:v>цис-3-гексеналь, гексаналь, β-ионон, метиональ, глутамат</x:v>
      </x:c>
      <x:c r="M842" s="28" t="str">
        <x:v>конкретный молекулярный профиль не указан</x:v>
      </x:c>
      <x:c r="N842" s="28" t="str">
        <x:v>прямое пересечение семейств не подтверждено</x:v>
      </x:c>
      <x:c r="O842" s="28" t="str">
        <x:v>надёжная общая ключевая молекула не установлена</x:v>
      </x:c>
      <x:c r="P842" s="28" t="str">
        <x:v>сенсорная комплементарность</x:v>
      </x:c>
      <x:c r="Q84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2" s="28" t="str">
        <x:v>минимальный</x:v>
      </x:c>
      <x:c r="S842" s="28" t="str">
        <x:v>водная кислая матрица с пектином и глутаматом</x:v>
      </x:c>
      <x:c r="T84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2" s="28" t="str">
        <x:v>Томат имеет профиль «зелёный, фруктовый, листовой, сернистый и умами». Партнёр «голубика»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42" s="28" t="str">
        <x:v>незрелые плоды слишком зелёные; длительное кипячение стирает свежесть; кислота влияет на молочные эмульсии</x:v>
      </x:c>
      <x:c r="W842" s="28" t="str">
        <x:v>соль, кислота или ароматический жир</x:v>
      </x:c>
      <x:c r="X842" s="28" t="str">
        <x:v>сок, кордиал, гаспачо, салат, соус, маринад или коктейльный компонент с голубика</x:v>
      </x:c>
      <x:c r="Y842" s="28" t="str">
        <x:v>универсальное</x:v>
      </x:c>
      <x:c r="Z842" s="28" t="str">
        <x:v>Средняя</x:v>
      </x:c>
      <x:c r="AA842" s="28" t="str">
        <x:v>The Art &amp; Science of Foodpairing.pdf</x:v>
      </x:c>
      <x:c r="AB842" s="28" t="str">
        <x:v>The Art &amp; Science of Foodpairing.pdf: 204</x:v>
      </x:c>
      <x:c r="AC842" s="28" t="str">
        <x:v>связь из pairing grid, стр. 204</x:v>
      </x:c>
      <x:c r="AD842" s="28" t="n">
        <x:v>1</x:v>
      </x:c>
      <x:c r="AE842" s="28" t="n">
        <x:v>1</x:v>
      </x:c>
      <x:c r="AF842" s="28" t="n">
        <x:f>IF(Z842="Высокая",3,IF(Z842="Средняя",2,1))+AD842*2+MIN(AE842,3)</x:f>
        <x:v>5</x:v>
      </x:c>
    </x:row>
    <x:row r="843" ht="64" customHeight="1">
      <x:c r="A843" s="28" t="str">
        <x:v>VEG-0842</x:v>
      </x:c>
      <x:c r="B843" s="28" t="str">
        <x:v>томат</x:v>
      </x:c>
      <x:c r="C843" s="28" t="str">
        <x:v>Десерты и выпечка</x:v>
      </x:c>
      <x:c r="D843" s="28" t="str">
        <x:v>томат</x:v>
      </x:c>
      <x:c r="E843" s="28" t="str">
        <x:v>tomato and tomato puree</x:v>
      </x:c>
      <x:c r="F843" s="28" t="str">
        <x:v>Плодовые овощи</x:v>
      </x:c>
      <x:c r="G843" s="28" t="str">
        <x:v>грейпфрут</x:v>
      </x:c>
      <x:c r="H843" s="28" t="str">
        <x:v>grapefruit</x:v>
      </x:c>
      <x:c r="I843" s="28" t="str">
        <x:v>Фрукты и ягоды</x:v>
      </x:c>
      <x:c r="J843" s="28" t="str">
        <x:v>зелёный, фруктовый, листовой, сернистый и умами</x:v>
      </x:c>
      <x:c r="K843" s="28" t="str">
        <x:v>горький, сернистый, цитрусовый</x:v>
      </x:c>
      <x:c r="L843" s="28" t="str">
        <x:v>цис-3-гексеналь, гексаналь, β-ионон, метиональ, глутамат</x:v>
      </x:c>
      <x:c r="M843" s="28" t="str">
        <x:v>лимонен, нооткатон</x:v>
      </x:c>
      <x:c r="N843" s="28" t="str">
        <x:v>сернистый</x:v>
      </x:c>
      <x:c r="O843" s="28" t="str">
        <x:v>надёжная общая ключевая молекула не установлена</x:v>
      </x:c>
      <x:c r="P843" s="28" t="str">
        <x:v>пересечение ароматических семейств; кислотно-сладкий баланс</x:v>
      </x:c>
      <x:c r="Q84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3" s="28" t="str">
        <x:v>минимальный</x:v>
      </x:c>
      <x:c r="S843" s="28" t="str">
        <x:v>водная кислая матрица с пектином и глутаматом Водная кислая фаза усиливает свежесть, но может разжижать пюре и нарушать молочную эмульсию.</x:v>
      </x:c>
      <x:c r="T84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3" s="28" t="str">
        <x:v>Томат имеет профиль «зелёный, фруктовый, листовой, сернистый и умами». Партнёр «грейпфрут» относится к группе «Фрукты и ягоды» и даёт горький, сернистый, цитрусовый. Профили пересекаются в семействах: сернистый.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843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W843" s="28" t="str">
        <x:v>цитрус, мёд или мягкая трава</x:v>
      </x:c>
      <x:c r="X843" s="28" t="str">
        <x:v>сок, кордиал, гаспачо, салат, соус, маринад или коктейльный компонент с грейпфрут</x:v>
      </x:c>
      <x:c r="Y843" s="28" t="str">
        <x:v>десерты</x:v>
      </x:c>
      <x:c r="Z843" s="28" t="str">
        <x:v>Средняя</x:v>
      </x:c>
      <x:c r="AA843" s="28" t="str">
        <x:v>The Art &amp; Science of Foodpairing.pdf</x:v>
      </x:c>
      <x:c r="AB843" s="28" t="str">
        <x:v>The Art &amp; Science of Foodpairing.pdf: 161</x:v>
      </x:c>
      <x:c r="AC843" s="28" t="str">
        <x:v>связь из pairing grid, стр. 161</x:v>
      </x:c>
      <x:c r="AD843" s="28" t="n">
        <x:v>1</x:v>
      </x:c>
      <x:c r="AE843" s="28" t="n">
        <x:v>1</x:v>
      </x:c>
      <x:c r="AF843" s="28" t="n">
        <x:f>IF(Z843="Высокая",3,IF(Z843="Средняя",2,1))+AD843*2+MIN(AE843,3)</x:f>
        <x:v>5</x:v>
      </x:c>
    </x:row>
    <x:row r="844" ht="64" customHeight="1">
      <x:c r="A844" s="28" t="str">
        <x:v>VEG-0843</x:v>
      </x:c>
      <x:c r="B844" s="28" t="str">
        <x:v>томат</x:v>
      </x:c>
      <x:c r="C844" s="28" t="str">
        <x:v>Универсальные</x:v>
      </x:c>
      <x:c r="D844" s="28" t="str">
        <x:v>томат</x:v>
      </x:c>
      <x:c r="E844" s="28" t="str">
        <x:v>tomato and tomato puree</x:v>
      </x:c>
      <x:c r="F844" s="28" t="str">
        <x:v>Плодовые овощи</x:v>
      </x:c>
      <x:c r="G844" s="28" t="str">
        <x:v>душистый перец</x:v>
      </x:c>
      <x:c r="H844" s="28" t="str">
        <x:v>allspice</x:v>
      </x:c>
      <x:c r="I844" s="28" t="str">
        <x:v>Специи</x:v>
      </x:c>
      <x:c r="J844" s="28" t="str">
        <x:v>зелёный, фруктовый, листовой, сернистый и умами</x:v>
      </x:c>
      <x:c r="K844" s="28" t="str">
        <x:v>пряный и древесный</x:v>
      </x:c>
      <x:c r="L844" s="28" t="str">
        <x:v>цис-3-гексеналь, гексаналь, β-ионон, метиональ, глутамат</x:v>
      </x:c>
      <x:c r="M844" s="28" t="str">
        <x:v>терпены, фенилпропаноиды</x:v>
      </x:c>
      <x:c r="N844" s="28" t="str">
        <x:v>прямое пересечение семейств не подтверждено</x:v>
      </x:c>
      <x:c r="O844" s="28" t="str">
        <x:v>надёжная общая ключевая молекула не установлена</x:v>
      </x:c>
      <x:c r="P844" s="28" t="str">
        <x:v>сенсорная комплементарность</x:v>
      </x:c>
      <x:c r="Q84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4" s="28" t="str">
        <x:v>минимальный</x:v>
      </x:c>
      <x:c r="S844" s="28" t="str">
        <x:v>водная кислая матрица с пектином и глутаматом</x:v>
      </x:c>
      <x:c r="T84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4" s="28" t="str">
        <x:v>Томат имеет профиль «зелёный, фруктовый, листовой, сернистый и умами». Партнёр «душистый перец»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44" s="28" t="str">
        <x:v>незрелые плоды слишком зелёные; длительное кипячение стирает свежесть; кислота влияет на молочные эмульсии</x:v>
      </x:c>
      <x:c r="W844" s="28" t="str">
        <x:v>цитрус, йогурт или мёд</x:v>
      </x:c>
      <x:c r="X844" s="28" t="str">
        <x:v>сок, кордиал, гаспачо, салат, соус, маринад или коктейльный компонент с душистый перец</x:v>
      </x:c>
      <x:c r="Y844" s="28" t="str">
        <x:v>универсальное</x:v>
      </x:c>
      <x:c r="Z844" s="28" t="str">
        <x:v>Средняя</x:v>
      </x:c>
      <x:c r="AA844" s="28" t="str">
        <x:v>The Art &amp; Science of Foodpairing.pdf</x:v>
      </x:c>
      <x:c r="AB844" s="28" t="str">
        <x:v>The Art &amp; Science of Foodpairing.pdf: 161</x:v>
      </x:c>
      <x:c r="AC844" s="28" t="str">
        <x:v>связь из pairing grid, стр. 161</x:v>
      </x:c>
      <x:c r="AD844" s="28" t="n">
        <x:v>1</x:v>
      </x:c>
      <x:c r="AE844" s="28" t="n">
        <x:v>1</x:v>
      </x:c>
      <x:c r="AF844" s="28" t="n">
        <x:f>IF(Z844="Высокая",3,IF(Z844="Средняя",2,1))+AD844*2+MIN(AE844,3)</x:f>
        <x:v>5</x:v>
      </x:c>
    </x:row>
    <x:row r="845" ht="64" customHeight="1">
      <x:c r="A845" s="28" t="str">
        <x:v>VEG-0844</x:v>
      </x:c>
      <x:c r="B845" s="28" t="str">
        <x:v>томат</x:v>
      </x:c>
      <x:c r="C845" s="28" t="str">
        <x:v>Универсальные</x:v>
      </x:c>
      <x:c r="D845" s="28" t="str">
        <x:v>томат</x:v>
      </x:c>
      <x:c r="E845" s="28" t="str">
        <x:v>tomato and tomato puree</x:v>
      </x:c>
      <x:c r="F845" s="28" t="str">
        <x:v>Плодовые овощи</x:v>
      </x:c>
      <x:c r="G845" s="28" t="str">
        <x:v>жасмин</x:v>
      </x:c>
      <x:c r="H845" s="28" t="str">
        <x:v>jasmine blossom</x:v>
      </x:c>
      <x:c r="I845" s="28" t="str">
        <x:v>Травы, цветы и листья</x:v>
      </x:c>
      <x:c r="J845" s="28" t="str">
        <x:v>зелёный, фруктовый, листовой, сернистый и умами</x:v>
      </x:c>
      <x:c r="K845" s="28" t="str">
        <x:v>зелёный, цветочный и терпеновый</x:v>
      </x:c>
      <x:c r="L845" s="28" t="str">
        <x:v>цис-3-гексеналь, гексаналь, β-ионон, метиональ, глутамат</x:v>
      </x:c>
      <x:c r="M845" s="28" t="str">
        <x:v>линалоол, терпены</x:v>
      </x:c>
      <x:c r="N845" s="28" t="str">
        <x:v>зелёный</x:v>
      </x:c>
      <x:c r="O845" s="28" t="str">
        <x:v>надёжная общая ключевая молекула не установлена</x:v>
      </x:c>
      <x:c r="P845" s="28" t="str">
        <x:v>пересечение ароматических семейств</x:v>
      </x:c>
      <x:c r="Q84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5" s="28" t="str">
        <x:v>минимальный</x:v>
      </x:c>
      <x:c r="S845" s="28" t="str">
        <x:v>водная кислая матрица с пектином и глутаматом</x:v>
      </x:c>
      <x:c r="T84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5" s="28" t="str">
        <x:v>Томат имеет профиль «зелёный, фруктовый, листовой, сернистый и умами». Партнёр «жасмин»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845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W845" s="28" t="str">
        <x:v>оливковое масло, лимон или сыр</x:v>
      </x:c>
      <x:c r="X845" s="28" t="str">
        <x:v>сок, кордиал, гаспачо, салат, соус, маринад или коктейльный компонент с жасмин</x:v>
      </x:c>
      <x:c r="Y845" s="28" t="str">
        <x:v>универсальное</x:v>
      </x:c>
      <x:c r="Z845" s="28" t="str">
        <x:v>Средняя</x:v>
      </x:c>
      <x:c r="AA845" s="28" t="str">
        <x:v>The Art &amp; Science of Foodpairing.pdf</x:v>
      </x:c>
      <x:c r="AB845" s="28" t="str">
        <x:v>The Art &amp; Science of Foodpairing.pdf: 161</x:v>
      </x:c>
      <x:c r="AC845" s="28" t="str">
        <x:v>связь из pairing grid, стр. 161; связь из pairing grid, стр. 161</x:v>
      </x:c>
      <x:c r="AD845" s="28" t="n">
        <x:v>1</x:v>
      </x:c>
      <x:c r="AE845" s="28" t="n">
        <x:v>2</x:v>
      </x:c>
      <x:c r="AF845" s="28" t="n">
        <x:f>IF(Z845="Высокая",3,IF(Z845="Средняя",2,1))+AD845*2+MIN(AE845,3)</x:f>
        <x:v>6</x:v>
      </x:c>
    </x:row>
    <x:row r="846" ht="64" customHeight="1">
      <x:c r="A846" s="28" t="str">
        <x:v>VEG-0845</x:v>
      </x:c>
      <x:c r="B846" s="28" t="str">
        <x:v>томат</x:v>
      </x:c>
      <x:c r="C846" s="28" t="str">
        <x:v>Универсальные</x:v>
      </x:c>
      <x:c r="D846" s="28" t="str">
        <x:v>томат</x:v>
      </x:c>
      <x:c r="E846" s="28" t="str">
        <x:v>tomato and tomato puree | Томаты | томаты</x:v>
      </x:c>
      <x:c r="F846" s="28" t="str">
        <x:v>Плодовые овощи</x:v>
      </x:c>
      <x:c r="G846" s="28" t="str">
        <x:v>имбирь</x:v>
      </x:c>
      <x:c r="H846" s="28" t="str">
        <x:v>fresh root ginger | Имбирь | имбирь</x:v>
      </x:c>
      <x:c r="I846" s="28" t="str">
        <x:v>Специи</x:v>
      </x:c>
      <x:c r="J846" s="28" t="str">
        <x:v>зелёный, фруктовый, листовой, сернистый и умами</x:v>
      </x:c>
      <x:c r="K846" s="28" t="str">
        <x:v>пряный, тёплый, цитрусовый</x:v>
      </x:c>
      <x:c r="L846" s="28" t="str">
        <x:v>цис-3-гексеналь, гексаналь, β-ионон, метиональ, глутамат</x:v>
      </x:c>
      <x:c r="M846" s="28" t="str">
        <x:v>гингеролы, цитраль</x:v>
      </x:c>
      <x:c r="N846" s="28" t="str">
        <x:v>прямое пересечение семейств не подтверждено</x:v>
      </x:c>
      <x:c r="O846" s="28" t="str">
        <x:v>надёжная общая ключевая молекула не установлена</x:v>
      </x:c>
      <x:c r="P846" s="28" t="str">
        <x:v>сенсорная комплементарность</x:v>
      </x:c>
      <x:c r="Q84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6" s="28" t="str">
        <x:v>минимальный</x:v>
      </x:c>
      <x:c r="S846" s="28" t="str">
        <x:v>водная кислая матрица с пектином и глутаматом</x:v>
      </x:c>
      <x:c r="T84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6" s="28" t="str">
        <x:v>Томат имеет профиль «зелёный, фруктовый, листовой, сернистый и умами».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46" s="28" t="str">
        <x:v>незрелые плоды слишком зелёные; длительное кипячение стирает свежесть; кислота влияет на молочные эмульсии</x:v>
      </x:c>
      <x:c r="W846" s="28" t="str">
        <x:v>цитрус, йогурт или мёд</x:v>
      </x:c>
      <x:c r="X846" s="28" t="str">
        <x:v>сок, кордиал, гаспачо, салат, соус, маринад или коктейльный компонент с имбирь</x:v>
      </x:c>
      <x:c r="Y846" s="28" t="str">
        <x:v>универсальное</x:v>
      </x:c>
      <x:c r="Z846" s="28" t="str">
        <x:v>Высокая</x:v>
      </x:c>
      <x:c r="AA846" s="28" t="str">
        <x:v>The Art &amp; Science of Foodpairing.pdf | Тезариус вкусов (Ники Сегнит)(1).pdf</x:v>
      </x:c>
      <x:c r="AB846" s="28" t="str">
        <x:v>Тезариус вкусов (Ники Сегнит)(1).pdf: 685, 820; The Art &amp; Science of Foodpairing.pdf: 161</x:v>
      </x:c>
      <x:c r="AC846" s="28" t="str">
        <x:v>развёрнутая пара/статья, стр. 685; развёрнутая пара/статья, стр. 820; связь из pairing grid, стр. 161</x:v>
      </x:c>
      <x:c r="AD846" s="28" t="n">
        <x:v>2</x:v>
      </x:c>
      <x:c r="AE846" s="28" t="n">
        <x:v>3</x:v>
      </x:c>
      <x:c r="AF846" s="28" t="n">
        <x:f>IF(Z846="Высокая",3,IF(Z846="Средняя",2,1))+AD846*2+MIN(AE846,3)</x:f>
        <x:v>10</x:v>
      </x:c>
    </x:row>
    <x:row r="847" ht="64" customHeight="1">
      <x:c r="A847" s="28" t="str">
        <x:v>VEG-0846</x:v>
      </x:c>
      <x:c r="B847" s="28" t="str">
        <x:v>томат</x:v>
      </x:c>
      <x:c r="C847" s="28" t="str">
        <x:v>Еда и соусы</x:v>
      </x:c>
      <x:c r="D847" s="28" t="str">
        <x:v>томат</x:v>
      </x:c>
      <x:c r="E847" s="28" t="str">
        <x:v>tomato and tomato puree</x:v>
      </x:c>
      <x:c r="F847" s="28" t="str">
        <x:v>Плодовые овощи</x:v>
      </x:c>
      <x:c r="G847" s="28" t="str">
        <x:v>йогурт</x:v>
      </x:c>
      <x:c r="H847" s="28" t="str">
        <x:v>cow's milk yogurt</x:v>
      </x:c>
      <x:c r="I847" s="28" t="str">
        <x:v>Плодовые и тыквенные овощи</x:v>
      </x:c>
      <x:c r="J847" s="28" t="str">
        <x:v>зелёный, фруктовый, листовой, сернистый и умами</x:v>
      </x:c>
      <x:c r="K847" s="28" t="str">
        <x:v>зелёный, фруктовый или водянистый</x:v>
      </x:c>
      <x:c r="L847" s="28" t="str">
        <x:v>цис-3-гексеналь, гексаналь, β-ионон, метиональ, глутамат</x:v>
      </x:c>
      <x:c r="M847" s="28" t="str">
        <x:v>альдегиды, эфиры</x:v>
      </x:c>
      <x:c r="N847" s="28" t="str">
        <x:v>зелёный, фруктовый</x:v>
      </x:c>
      <x:c r="O847" s="28" t="str">
        <x:v>надёжная общая ключевая молекула не установлена</x:v>
      </x:c>
      <x:c r="P847" s="28" t="str">
        <x:v>пересечение ароматических семейств</x:v>
      </x:c>
      <x:c r="Q84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7" s="28" t="str">
        <x:v>минимальный</x:v>
      </x:c>
      <x:c r="S847" s="28" t="str">
        <x:v>водная кислая матрица с пектином и глутаматом</x:v>
      </x:c>
      <x:c r="T84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7" s="28" t="str">
        <x:v>Томат имеет профиль «зелёный, фруктовый, листовой, сернистый и умами». Партнёр «йогурт»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V847" s="28" t="str">
        <x:v>незрелые плоды слишком зелёные; длительное кипячение стирает свежесть; кислота влияет на молочные эмульсии</x:v>
      </x:c>
      <x:c r="W847" s="28" t="str">
        <x:v>соль, кислота или ароматический жир</x:v>
      </x:c>
      <x:c r="X847" s="28" t="str">
        <x:v>сок, кордиал, гаспачо, салат, соус, маринад или коктейльный компонент с йогурт</x:v>
      </x:c>
      <x:c r="Y847" s="28" t="str">
        <x:v>еда, соусы/маринады</x:v>
      </x:c>
      <x:c r="Z847" s="28" t="str">
        <x:v>Средняя</x:v>
      </x:c>
      <x:c r="AA847" s="28" t="str">
        <x:v>The Art &amp; Science of Foodpairing.pdf</x:v>
      </x:c>
      <x:c r="AB847" s="28" t="str">
        <x:v>The Art &amp; Science of Foodpairing.pdf: 161</x:v>
      </x:c>
      <x:c r="AC847" s="28" t="str">
        <x:v>связь из pairing grid, стр. 161</x:v>
      </x:c>
      <x:c r="AD847" s="28" t="n">
        <x:v>1</x:v>
      </x:c>
      <x:c r="AE847" s="28" t="n">
        <x:v>1</x:v>
      </x:c>
      <x:c r="AF847" s="28" t="n">
        <x:f>IF(Z847="Высокая",3,IF(Z847="Средняя",2,1))+AD847*2+MIN(AE847,3)</x:f>
        <x:v>5</x:v>
      </x:c>
    </x:row>
    <x:row r="848" ht="64" customHeight="1">
      <x:c r="A848" s="28" t="str">
        <x:v>VEG-0847</x:v>
      </x:c>
      <x:c r="B848" s="28" t="str">
        <x:v>томат</x:v>
      </x:c>
      <x:c r="C848" s="28" t="str">
        <x:v>Универсальные</x:v>
      </x:c>
      <x:c r="D848" s="28" t="str">
        <x:v>томат</x:v>
      </x:c>
      <x:c r="E848" s="28" t="str">
        <x:v>tomato and tomato puree</x:v>
      </x:c>
      <x:c r="F848" s="28" t="str">
        <x:v>Плодовые овощи</x:v>
      </x:c>
      <x:c r="G848" s="28" t="str">
        <x:v>камамбер</x:v>
      </x:c>
      <x:c r="H848" s="28" t="str">
        <x:v>Camembert</x:v>
      </x:c>
      <x:c r="I848" s="28" t="str">
        <x:v>Прочее</x:v>
      </x:c>
      <x:c r="J848" s="28" t="str">
        <x:v>зелёный, фруктовый, листовой, сернистый и умами</x:v>
      </x:c>
      <x:c r="K848" s="28" t="str">
        <x:v>профиль зависит от конкретного продукта</x:v>
      </x:c>
      <x:c r="L848" s="28" t="str">
        <x:v>цис-3-гексеналь, гексаналь, β-ионон, метиональ, глутамат</x:v>
      </x:c>
      <x:c r="M848" s="28" t="str">
        <x:v>конкретный молекулярный профиль не указан</x:v>
      </x:c>
      <x:c r="N848" s="28" t="str">
        <x:v>прямое пересечение семейств не подтверждено</x:v>
      </x:c>
      <x:c r="O848" s="28" t="str">
        <x:v>надёжная общая ключевая молекула не установлена</x:v>
      </x:c>
      <x:c r="P848" s="28" t="str">
        <x:v>сенсорная комплементарность</x:v>
      </x:c>
      <x:c r="Q84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8" s="28" t="str">
        <x:v>минимальный</x:v>
      </x:c>
      <x:c r="S848" s="28" t="str">
        <x:v>водная кислая матрица с пектином и глутаматом</x:v>
      </x:c>
      <x:c r="T84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8" s="28" t="str">
        <x:v>Томат имеет профиль «зелёный, фруктовый, листовой, сернистый и умами». Партнёр «камамбер»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48" s="28" t="str">
        <x:v>незрелые плоды слишком зелёные; длительное кипячение стирает свежесть; кислота влияет на молочные эмульсии</x:v>
      </x:c>
      <x:c r="W848" s="28" t="str">
        <x:v>соль, кислота или ароматический жир</x:v>
      </x:c>
      <x:c r="X848" s="28" t="str">
        <x:v>сок, кордиал, гаспачо, салат, соус, маринад или коктейльный компонент с камамбер</x:v>
      </x:c>
      <x:c r="Y848" s="28" t="str">
        <x:v>универсальное</x:v>
      </x:c>
      <x:c r="Z848" s="28" t="str">
        <x:v>Средняя</x:v>
      </x:c>
      <x:c r="AA848" s="28" t="str">
        <x:v>The Art &amp; Science of Foodpairing.pdf</x:v>
      </x:c>
      <x:c r="AB848" s="28" t="str">
        <x:v>The Art &amp; Science of Foodpairing.pdf: 161</x:v>
      </x:c>
      <x:c r="AC848" s="28" t="str">
        <x:v>связь из pairing grid, стр. 161</x:v>
      </x:c>
      <x:c r="AD848" s="28" t="n">
        <x:v>1</x:v>
      </x:c>
      <x:c r="AE848" s="28" t="n">
        <x:v>1</x:v>
      </x:c>
      <x:c r="AF848" s="28" t="n">
        <x:f>IF(Z848="Высокая",3,IF(Z848="Средняя",2,1))+AD848*2+MIN(AE848,3)</x:f>
        <x:v>5</x:v>
      </x:c>
    </x:row>
    <x:row r="849" ht="64" customHeight="1">
      <x:c r="A849" s="28" t="str">
        <x:v>VEG-0848</x:v>
      </x:c>
      <x:c r="B849" s="28" t="str">
        <x:v>томат</x:v>
      </x:c>
      <x:c r="C849" s="28" t="str">
        <x:v>Универсальные</x:v>
      </x:c>
      <x:c r="D849" s="28" t="str">
        <x:v>томат</x:v>
      </x:c>
      <x:c r="E849" s="28" t="str">
        <x:v>Томаты | томаты</x:v>
      </x:c>
      <x:c r="F849" s="28" t="str">
        <x:v>Плодовые овощи</x:v>
      </x:c>
      <x:c r="G849" s="28" t="str">
        <x:v>каперсы</x:v>
      </x:c>
      <x:c r="H849" s="28" t="str">
        <x:v>Каперсы | каперсы</x:v>
      </x:c>
      <x:c r="I849" s="28" t="str">
        <x:v>Прочее</x:v>
      </x:c>
      <x:c r="J849" s="28" t="str">
        <x:v>зелёный, фруктовый, листовой, сернистый и умами</x:v>
      </x:c>
      <x:c r="K849" s="28" t="str">
        <x:v>профиль зависит от конкретного продукта</x:v>
      </x:c>
      <x:c r="L849" s="28" t="str">
        <x:v>цис-3-гексеналь, гексаналь, β-ионон, метиональ, глутамат</x:v>
      </x:c>
      <x:c r="M849" s="28" t="str">
        <x:v>конкретный молекулярный профиль не указан</x:v>
      </x:c>
      <x:c r="N849" s="28" t="str">
        <x:v>прямое пересечение семейств не подтверждено</x:v>
      </x:c>
      <x:c r="O849" s="28" t="str">
        <x:v>надёжная общая ключевая молекула не установлена</x:v>
      </x:c>
      <x:c r="P849" s="28" t="str">
        <x:v>сенсорная комплементарность</x:v>
      </x:c>
      <x:c r="Q84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49" s="28" t="str">
        <x:v>минимальный</x:v>
      </x:c>
      <x:c r="S849" s="28" t="str">
        <x:v>водная кислая матрица с пектином и глутаматом</x:v>
      </x:c>
      <x:c r="T84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49" s="28" t="str">
        <x:v>Томат имеет профиль «зелёный, фруктовый, листовой, сернистый и умами».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49" s="28" t="str">
        <x:v>незрелые плоды слишком зелёные; длительное кипячение стирает свежесть; кислота влияет на молочные эмульсии</x:v>
      </x:c>
      <x:c r="W849" s="28" t="str">
        <x:v>соль, кислота или ароматический жир</x:v>
      </x:c>
      <x:c r="X849" s="28" t="str">
        <x:v>сок, кордиал, гаспачо, салат, соус, маринад или коктейльный компонент с каперсы</x:v>
      </x:c>
      <x:c r="Y849" s="28" t="str">
        <x:v>универсальное</x:v>
      </x:c>
      <x:c r="Z849" s="28" t="str">
        <x:v>Средняя</x:v>
      </x:c>
      <x:c r="AA849" s="28" t="str">
        <x:v>Тезариус вкусов (Ники Сегнит)(1).pdf</x:v>
      </x:c>
      <x:c r="AB849" s="28" t="str">
        <x:v>Тезариус вкусов (Ники Сегнит)(1).pdf: 271, 685</x:v>
      </x:c>
      <x:c r="AC849" s="28" t="str">
        <x:v>развёрнутая пара/статья, стр. 271; развёрнутая пара/статья, стр. 685</x:v>
      </x:c>
      <x:c r="AD849" s="28" t="n">
        <x:v>1</x:v>
      </x:c>
      <x:c r="AE849" s="28" t="n">
        <x:v>2</x:v>
      </x:c>
      <x:c r="AF849" s="28" t="n">
        <x:f>IF(Z849="Высокая",3,IF(Z849="Средняя",2,1))+AD849*2+MIN(AE849,3)</x:f>
        <x:v>6</x:v>
      </x:c>
    </x:row>
    <x:row r="850" ht="64" customHeight="1">
      <x:c r="A850" s="28" t="str">
        <x:v>VEG-0849</x:v>
      </x:c>
      <x:c r="B850" s="28" t="str">
        <x:v>томат</x:v>
      </x:c>
      <x:c r="C850" s="28" t="str">
        <x:v>Универсальные</x:v>
      </x:c>
      <x:c r="D850" s="28" t="str">
        <x:v>томат</x:v>
      </x:c>
      <x:c r="E850" s="28" t="str">
        <x:v>tomato and tomato puree</x:v>
      </x:c>
      <x:c r="F850" s="28" t="str">
        <x:v>Плодовые овощи</x:v>
      </x:c>
      <x:c r="G850" s="28" t="str">
        <x:v>кардамон</x:v>
      </x:c>
      <x:c r="H850" s="28" t="str">
        <x:v>cardamom seeds</x:v>
      </x:c>
      <x:c r="I850" s="28" t="str">
        <x:v>Специи</x:v>
      </x:c>
      <x:c r="J850" s="28" t="str">
        <x:v>зелёный, фруктовый, листовой, сернистый и умами</x:v>
      </x:c>
      <x:c r="K850" s="28" t="str">
        <x:v>камфорный, цветочный, цитрусовый</x:v>
      </x:c>
      <x:c r="L850" s="28" t="str">
        <x:v>цис-3-гексеналь, гексаналь, β-ионон, метиональ, глутамат</x:v>
      </x:c>
      <x:c r="M850" s="28" t="str">
        <x:v>1,8-цинеол, линалоол</x:v>
      </x:c>
      <x:c r="N850" s="28" t="str">
        <x:v>прямое пересечение семейств не подтверждено</x:v>
      </x:c>
      <x:c r="O850" s="28" t="str">
        <x:v>надёжная общая ключевая молекула не установлена</x:v>
      </x:c>
      <x:c r="P850" s="28" t="str">
        <x:v>сенсорная комплементарность</x:v>
      </x:c>
      <x:c r="Q85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0" s="28" t="str">
        <x:v>минимальный</x:v>
      </x:c>
      <x:c r="S850" s="28" t="str">
        <x:v>водная кислая матрица с пектином и глутаматом</x:v>
      </x:c>
      <x:c r="T85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0" s="28" t="str">
        <x:v>Томат имеет профиль «зелёный, фруктовый, листовой, сернистый и умами».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50" s="28" t="str">
        <x:v>незрелые плоды слишком зелёные; длительное кипячение стирает свежесть; кислота влияет на молочные эмульсии</x:v>
      </x:c>
      <x:c r="W850" s="28" t="str">
        <x:v>цитрус, йогурт или мёд</x:v>
      </x:c>
      <x:c r="X850" s="28" t="str">
        <x:v>сок, кордиал, гаспачо, салат, соус, маринад или коктейльный компонент с кардамон</x:v>
      </x:c>
      <x:c r="Y850" s="28" t="str">
        <x:v>универсальное</x:v>
      </x:c>
      <x:c r="Z850" s="28" t="str">
        <x:v>Средняя</x:v>
      </x:c>
      <x:c r="AA850" s="28" t="str">
        <x:v>The Art &amp; Science of Foodpairing.pdf</x:v>
      </x:c>
      <x:c r="AB850" s="28" t="str">
        <x:v>The Art &amp; Science of Foodpairing.pdf: 161</x:v>
      </x:c>
      <x:c r="AC850" s="28" t="str">
        <x:v>связь из pairing grid, стр. 161</x:v>
      </x:c>
      <x:c r="AD850" s="28" t="n">
        <x:v>1</x:v>
      </x:c>
      <x:c r="AE850" s="28" t="n">
        <x:v>1</x:v>
      </x:c>
      <x:c r="AF850" s="28" t="n">
        <x:f>IF(Z850="Высокая",3,IF(Z850="Средняя",2,1))+AD850*2+MIN(AE850,3)</x:f>
        <x:v>5</x:v>
      </x:c>
    </x:row>
    <x:row r="851" ht="64" customHeight="1">
      <x:c r="A851" s="28" t="str">
        <x:v>VEG-0850</x:v>
      </x:c>
      <x:c r="B851" s="28" t="str">
        <x:v>томат</x:v>
      </x:c>
      <x:c r="C851" s="28" t="str">
        <x:v>Еда и соусы</x:v>
      </x:c>
      <x:c r="D851" s="28" t="str">
        <x:v>томат</x:v>
      </x:c>
      <x:c r="E851" s="28" t="str">
        <x:v>Strawberry with tomato</x:v>
      </x:c>
      <x:c r="F851" s="28" t="str">
        <x:v>Плодовые овощи</x:v>
      </x:c>
      <x:c r="G851" s="28" t="str">
        <x:v>кефаль</x:v>
      </x:c>
      <x:c r="H851" s="28" t="str">
        <x:v>rose petals Potential pairing: strawberry and grey mullet</x:v>
      </x:c>
      <x:c r="I851" s="28" t="str">
        <x:v>Рыба и морепродукты</x:v>
      </x:c>
      <x:c r="J851" s="28" t="str">
        <x:v>зелёный, фруктовый, листовой, сернистый и умами</x:v>
      </x:c>
      <x:c r="K851" s="28" t="str">
        <x:v>морской, солоноватый и умами</x:v>
      </x:c>
      <x:c r="L851" s="28" t="str">
        <x:v>цис-3-гексеналь, гексаналь, β-ионон, метиональ, глутамат</x:v>
      </x:c>
      <x:c r="M851" s="28" t="str">
        <x:v>альдегиды, амины</x:v>
      </x:c>
      <x:c r="N851" s="28" t="str">
        <x:v>умами</x:v>
      </x:c>
      <x:c r="O851" s="28" t="str">
        <x:v>надёжная общая ключевая молекула не установлена</x:v>
      </x:c>
      <x:c r="P851" s="28" t="str">
        <x:v>пересечение ароматических семейств; умами и солёный контраст</x:v>
      </x:c>
      <x:c r="Q85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1" s="28" t="str">
        <x:v>минимальный</x:v>
      </x:c>
      <x:c r="S851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5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1" s="28" t="str">
        <x:v>Томат имеет профиль «зелёный, фруктовый, листовой, сернистый и умами». Партнёр «кефаль»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51" s="28" t="str">
        <x:v>незрелые плоды слишком зелёные; длительное кипячение стирает свежесть; кислота влияет на молочные эмульсии</x:v>
      </x:c>
      <x:c r="W851" s="28" t="str">
        <x:v>сливочное масло, соевый соус или тимьян</x:v>
      </x:c>
      <x:c r="X851" s="28" t="str">
        <x:v>сок, кордиал, гаспачо, салат, соус, маринад или коктейльный компонент с кефаль</x:v>
      </x:c>
      <x:c r="Y851" s="28" t="str">
        <x:v>еда, соусы/маринады</x:v>
      </x:c>
      <x:c r="Z851" s="28" t="str">
        <x:v>Высокая</x:v>
      </x:c>
      <x:c r="AA851" s="28" t="str">
        <x:v>The Art &amp; Science of Foodpairing.pdf</x:v>
      </x:c>
      <x:c r="AB851" s="28" t="str">
        <x:v>The Art &amp; Science of Foodpairing.pdf: 70</x:v>
      </x:c>
      <x:c r="AC851" s="28" t="str">
        <x:v>Chef pairing, стр. 70</x:v>
      </x:c>
      <x:c r="AD851" s="28" t="n">
        <x:v>1</x:v>
      </x:c>
      <x:c r="AE851" s="28" t="n">
        <x:v>1</x:v>
      </x:c>
      <x:c r="AF851" s="28" t="n">
        <x:f>IF(Z851="Высокая",3,IF(Z851="Средняя",2,1))+AD851*2+MIN(AE851,3)</x:f>
        <x:v>6</x:v>
      </x:c>
    </x:row>
    <x:row r="852" ht="64" customHeight="1">
      <x:c r="A852" s="28" t="str">
        <x:v>VEG-0851</x:v>
      </x:c>
      <x:c r="B852" s="28" t="str">
        <x:v>томат</x:v>
      </x:c>
      <x:c r="C852" s="28" t="str">
        <x:v>Универсальные</x:v>
      </x:c>
      <x:c r="D852" s="28" t="str">
        <x:v>томат</x:v>
      </x:c>
      <x:c r="E852" s="28" t="str">
        <x:v>tomato and tomato puree</x:v>
      </x:c>
      <x:c r="F852" s="28" t="str">
        <x:v>Плодовые овощи</x:v>
      </x:c>
      <x:c r="G852" s="28" t="str">
        <x:v>кешью</x:v>
      </x:c>
      <x:c r="H852" s="28" t="str">
        <x:v>cashew nut | roasted cashew nut</x:v>
      </x:c>
      <x:c r="I852" s="28" t="str">
        <x:v>Прочее</x:v>
      </x:c>
      <x:c r="J852" s="28" t="str">
        <x:v>зелёный, фруктовый, листовой, сернистый и умами</x:v>
      </x:c>
      <x:c r="K852" s="28" t="str">
        <x:v>профиль зависит от конкретного продукта</x:v>
      </x:c>
      <x:c r="L852" s="28" t="str">
        <x:v>цис-3-гексеналь, гексаналь, β-ионон, метиональ, глутамат</x:v>
      </x:c>
      <x:c r="M852" s="28" t="str">
        <x:v>конкретный молекулярный профиль не указан</x:v>
      </x:c>
      <x:c r="N852" s="28" t="str">
        <x:v>прямое пересечение семейств не подтверждено</x:v>
      </x:c>
      <x:c r="O852" s="28" t="str">
        <x:v>надёжная общая ключевая молекула не установлена</x:v>
      </x:c>
      <x:c r="P852" s="28" t="str">
        <x:v>сенсорная комплементарность</x:v>
      </x:c>
      <x:c r="Q85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2" s="28" t="str">
        <x:v>минимальный</x:v>
      </x:c>
      <x:c r="S852" s="28" t="str">
        <x:v>водная кислая матрица с пектином и глутаматом</x:v>
      </x:c>
      <x:c r="T85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2" s="28" t="str">
        <x:v>Томат имеет профиль «зелёный, фруктовый, листовой, сернистый и умами». Партнёр «кешью»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52" s="28" t="str">
        <x:v>незрелые плоды слишком зелёные; длительное кипячение стирает свежесть; кислота влияет на молочные эмульсии</x:v>
      </x:c>
      <x:c r="W852" s="28" t="str">
        <x:v>соль, кислота или ароматический жир</x:v>
      </x:c>
      <x:c r="X852" s="28" t="str">
        <x:v>сок, кордиал, гаспачо, салат, соус, маринад или коктейльный компонент с кешью</x:v>
      </x:c>
      <x:c r="Y852" s="28" t="str">
        <x:v>универсальное</x:v>
      </x:c>
      <x:c r="Z852" s="28" t="str">
        <x:v>Средняя</x:v>
      </x:c>
      <x:c r="AA852" s="28" t="str">
        <x:v>The Art &amp; Science of Foodpairing.pdf</x:v>
      </x:c>
      <x:c r="AB852" s="28" t="str">
        <x:v>The Art &amp; Science of Foodpairing.pdf: 161</x:v>
      </x:c>
      <x:c r="AC852" s="28" t="str">
        <x:v>связь из pairing grid, стр. 161; связь из pairing grid, стр. 161</x:v>
      </x:c>
      <x:c r="AD852" s="28" t="n">
        <x:v>1</x:v>
      </x:c>
      <x:c r="AE852" s="28" t="n">
        <x:v>2</x:v>
      </x:c>
      <x:c r="AF852" s="28" t="n">
        <x:f>IF(Z852="Высокая",3,IF(Z852="Средняя",2,1))+AD852*2+MIN(AE852,3)</x:f>
        <x:v>6</x:v>
      </x:c>
    </x:row>
    <x:row r="853" ht="64" customHeight="1">
      <x:c r="A853" s="28" t="str">
        <x:v>VEG-0852</x:v>
      </x:c>
      <x:c r="B853" s="28" t="str">
        <x:v>томат</x:v>
      </x:c>
      <x:c r="C853" s="28" t="str">
        <x:v>Десерты и выпечка</x:v>
      </x:c>
      <x:c r="D853" s="28" t="str">
        <x:v>томат</x:v>
      </x:c>
      <x:c r="E853" s="28" t="str">
        <x:v>Томат | Томаты | томаты</x:v>
      </x:c>
      <x:c r="F853" s="28" t="str">
        <x:v>Плодовые овощи</x:v>
      </x:c>
      <x:c r="G853" s="28" t="str">
        <x:v>клубника</x:v>
      </x:c>
      <x:c r="H853" s="28" t="str">
        <x:v>Клубника | клубника</x:v>
      </x:c>
      <x:c r="I853" s="28" t="str">
        <x:v>Фрукты и ягоды</x:v>
      </x:c>
      <x:c r="J853" s="28" t="str">
        <x:v>зелёный, фруктовый, листовой, сернистый и умами</x:v>
      </x:c>
      <x:c r="K853" s="28" t="str">
        <x:v>зелёный, карамельный, фруктовый</x:v>
      </x:c>
      <x:c r="L853" s="28" t="str">
        <x:v>цис-3-гексеналь, гексаналь, β-ионон, метиональ, глутамат</x:v>
      </x:c>
      <x:c r="M853" s="28" t="str">
        <x:v>фуранеол, эфиры</x:v>
      </x:c>
      <x:c r="N853" s="28" t="str">
        <x:v>зелёный, фруктовый</x:v>
      </x:c>
      <x:c r="O853" s="28" t="str">
        <x:v>надёжная общая ключевая молекула не установлена</x:v>
      </x:c>
      <x:c r="P853" s="28" t="str">
        <x:v>пересечение ароматических семейств; кислотно-сладкий баланс</x:v>
      </x:c>
      <x:c r="Q85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3" s="28" t="str">
        <x:v>минимальный</x:v>
      </x:c>
      <x:c r="S853" s="28" t="str">
        <x:v>водная кислая матрица с пектином и глутаматом Водная кислая фаза усиливает свежесть, но может разжижать пюре и нарушать молочную эмульсию.</x:v>
      </x:c>
      <x:c r="T85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3" s="28" t="str">
        <x:v>Томат имеет профиль «зелёный, фруктовый, листовой, сернистый и умами». Партнёр «клубника» относится к группе «Фрукты и ягоды» и даёт зелёный, карамельный, фруктовый. Профили пересекаются в семействах: зелёный,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853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W853" s="28" t="str">
        <x:v>цитрус, мёд или мягкая трава</x:v>
      </x:c>
      <x:c r="X853" s="28" t="str">
        <x:v>сок, кордиал, гаспачо, салат, соус, маринад или коктейльный компонент с клубника</x:v>
      </x:c>
      <x:c r="Y853" s="28" t="str">
        <x:v>десерты</x:v>
      </x:c>
      <x:c r="Z853" s="28" t="str">
        <x:v>Высокая</x:v>
      </x:c>
      <x:c r="AA853" s="28" t="str">
        <x:v>Таблица сочетания(1).pdf | Тезариус вкусов (Ники Сегнит)(1).pdf</x:v>
      </x:c>
      <x:c r="AB853" s="28" t="str">
        <x:v>Таблица сочетания(1).pdf: 21; Тезариус вкусов (Ники Сегнит)(1).pdf: 686, 698</x:v>
      </x:c>
      <x:c r="AC853" s="28" t="str">
        <x:v>развёрнутая пара/статья, стр. 686; развёрнутая пара/статья, стр. 698; рекомендация таблицы, стр. 21</x:v>
      </x:c>
      <x:c r="AD853" s="28" t="n">
        <x:v>2</x:v>
      </x:c>
      <x:c r="AE853" s="28" t="n">
        <x:v>3</x:v>
      </x:c>
      <x:c r="AF853" s="28" t="n">
        <x:f>IF(Z853="Высокая",3,IF(Z853="Средняя",2,1))+AD853*2+MIN(AE853,3)</x:f>
        <x:v>10</x:v>
      </x:c>
    </x:row>
    <x:row r="854" ht="64" customHeight="1">
      <x:c r="A854" s="28" t="str">
        <x:v>VEG-0853</x:v>
      </x:c>
      <x:c r="B854" s="28" t="str">
        <x:v>томат</x:v>
      </x:c>
      <x:c r="C854" s="28" t="str">
        <x:v>Напитки</x:v>
      </x:c>
      <x:c r="D854" s="28" t="str">
        <x:v>томат</x:v>
      </x:c>
      <x:c r="E854" s="28" t="str">
        <x:v>fresh tomato juice | tomato</x:v>
      </x:c>
      <x:c r="F854" s="28" t="str">
        <x:v>Плодовые овощи</x:v>
      </x:c>
      <x:c r="G854" s="28" t="str">
        <x:v>коньяк</x:v>
      </x:c>
      <x:c r="H854" s="28" t="str">
        <x:v>cognac</x:v>
      </x:c>
      <x:c r="I854" s="28" t="str">
        <x:v>Алкогольные напитки</x:v>
      </x:c>
      <x:c r="J854" s="28" t="str">
        <x:v>зелёный, фруктовый, листовой, сернистый и умами</x:v>
      </x:c>
      <x:c r="K854" s="28" t="str">
        <x:v>спиртовой, фруктовый или древесный</x:v>
      </x:c>
      <x:c r="L854" s="28" t="str">
        <x:v>цис-3-гексеналь, гексаналь, β-ионон, метиональ, глутамат</x:v>
      </x:c>
      <x:c r="M854" s="28" t="str">
        <x:v>альдегиды, эфиры</x:v>
      </x:c>
      <x:c r="N854" s="28" t="str">
        <x:v>фруктовый</x:v>
      </x:c>
      <x:c r="O854" s="28" t="str">
        <x:v>надёжная общая ключевая молекула не установлена</x:v>
      </x:c>
      <x:c r="P854" s="28" t="str">
        <x:v>пересечение ароматических семейств</x:v>
      </x:c>
      <x:c r="Q85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4" s="28" t="str">
        <x:v>минимальный</x:v>
      </x:c>
      <x:c r="S854" s="28" t="str">
        <x:v>водная кислая матрица с пектином и глутаматом Этанол извлекает терпены и сернистые соединения эффективнее воды; время контакта ограничивать.</x:v>
      </x:c>
      <x:c r="T85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4" s="28" t="str">
        <x:v>Томат имеет профиль «зелёный, фруктовый, листовой, сернистый и умами». Партнёр «коньяк» относится к группе «Алкогольные напитки» и даёт спиртовой, фруктовый или древесный. Профили пересекаются в семействах: фруктовый. Совместимость формируется за счёт баланса сладости, кислотности, горечи, умами и текстуры.</x:v>
      </x:c>
      <x:c r="V854" s="28" t="str">
        <x:v>незрелые плоды слишком зелёные; длительное кипячение стирает свежесть; кислота влияет на молочные эмульсии</x:v>
      </x:c>
      <x:c r="W854" s="28" t="str">
        <x:v>соль, кислота или ароматический жир</x:v>
      </x:c>
      <x:c r="X854" s="28" t="str">
        <x:v>сок, кордиал, гаспачо, салат, соус, маринад или коктейльный компонент с коньяк</x:v>
      </x:c>
      <x:c r="Y854" s="28" t="str">
        <x:v>напитки</x:v>
      </x:c>
      <x:c r="Z854" s="28" t="str">
        <x:v>Средняя</x:v>
      </x:c>
      <x:c r="AA854" s="28" t="str">
        <x:v>The Art &amp; Science of Foodpairing.pdf</x:v>
      </x:c>
      <x:c r="AB854" s="28" t="str">
        <x:v>The Art &amp; Science of Foodpairing.pdf: 123</x:v>
      </x:c>
      <x:c r="AC854" s="28" t="str">
        <x:v>связь из pairing grid, стр. 123; связь из pairing grid, стр. 123</x:v>
      </x:c>
      <x:c r="AD854" s="28" t="n">
        <x:v>1</x:v>
      </x:c>
      <x:c r="AE854" s="28" t="n">
        <x:v>2</x:v>
      </x:c>
      <x:c r="AF854" s="28" t="n">
        <x:f>IF(Z854="Высокая",3,IF(Z854="Средняя",2,1))+AD854*2+MIN(AE854,3)</x:f>
        <x:v>6</x:v>
      </x:c>
    </x:row>
    <x:row r="855" ht="64" customHeight="1">
      <x:c r="A855" s="28" t="str">
        <x:v>VEG-0854</x:v>
      </x:c>
      <x:c r="B855" s="28" t="str">
        <x:v>томат</x:v>
      </x:c>
      <x:c r="C855" s="28" t="str">
        <x:v>Универсальные</x:v>
      </x:c>
      <x:c r="D855" s="28" t="str">
        <x:v>томат</x:v>
      </x:c>
      <x:c r="E855" s="28" t="str">
        <x:v>Томат | Томаты | томаты</x:v>
      </x:c>
      <x:c r="F855" s="28" t="str">
        <x:v>Плодовые овощи</x:v>
      </x:c>
      <x:c r="G855" s="28" t="str">
        <x:v>корица</x:v>
      </x:c>
      <x:c r="H855" s="28" t="str">
        <x:v>Корица | корица</x:v>
      </x:c>
      <x:c r="I855" s="28" t="str">
        <x:v>Специи</x:v>
      </x:c>
      <x:c r="J855" s="28" t="str">
        <x:v>зелёный, фруктовый, листовой, сернистый и умами</x:v>
      </x:c>
      <x:c r="K855" s="28" t="str">
        <x:v>древесный, пряный, сладкий</x:v>
      </x:c>
      <x:c r="L855" s="28" t="str">
        <x:v>цис-3-гексеналь, гексаналь, β-ионон, метиональ, глутамат</x:v>
      </x:c>
      <x:c r="M855" s="28" t="str">
        <x:v>циннамальдегид, эвгенол</x:v>
      </x:c>
      <x:c r="N855" s="28" t="str">
        <x:v>прямое пересечение семейств не подтверждено</x:v>
      </x:c>
      <x:c r="O855" s="28" t="str">
        <x:v>надёжная общая ключевая молекула не установлена</x:v>
      </x:c>
      <x:c r="P855" s="28" t="str">
        <x:v>сенсорная комплементарность</x:v>
      </x:c>
      <x:c r="Q85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5" s="28" t="str">
        <x:v>минимальный</x:v>
      </x:c>
      <x:c r="S855" s="28" t="str">
        <x:v>водная кислая матрица с пектином и глутаматом</x:v>
      </x:c>
      <x:c r="T85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5" s="28" t="str">
        <x:v>Томат имеет профиль «зелёный, фруктовый, листовой, сернистый и умами».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55" s="28" t="str">
        <x:v>незрелые плоды слишком зелёные; длительное кипячение стирает свежесть; кислота влияет на молочные эмульсии</x:v>
      </x:c>
      <x:c r="W855" s="28" t="str">
        <x:v>цитрус, йогурт или мёд</x:v>
      </x:c>
      <x:c r="X855" s="28" t="str">
        <x:v>сок, кордиал, гаспачо, салат, соус, маринад или коктейльный компонент с корица</x:v>
      </x:c>
      <x:c r="Y855" s="28" t="str">
        <x:v>универсальное</x:v>
      </x:c>
      <x:c r="Z855" s="28" t="str">
        <x:v>Высокая</x:v>
      </x:c>
      <x:c r="AA855" s="28" t="str">
        <x:v>Таблица сочетания(1).pdf | Тезариус вкусов (Ники Сегнит)(1).pdf</x:v>
      </x:c>
      <x:c r="AB855" s="28" t="str">
        <x:v>Таблица сочетания(1).pdf: 21; Тезариус вкусов (Ники Сегнит)(1).pdf: 580, 686</x:v>
      </x:c>
      <x:c r="AC855" s="28" t="str">
        <x:v>развёрнутая пара/статья, стр. 580; развёрнутая пара/статья, стр. 686; рекомендация таблицы, стр. 21</x:v>
      </x:c>
      <x:c r="AD855" s="28" t="n">
        <x:v>2</x:v>
      </x:c>
      <x:c r="AE855" s="28" t="n">
        <x:v>3</x:v>
      </x:c>
      <x:c r="AF855" s="28" t="n">
        <x:f>IF(Z855="Высокая",3,IF(Z855="Средняя",2,1))+AD855*2+MIN(AE855,3)</x:f>
        <x:v>10</x:v>
      </x:c>
    </x:row>
    <x:row r="856" ht="64" customHeight="1">
      <x:c r="A856" s="28" t="str">
        <x:v>VEG-0855</x:v>
      </x:c>
      <x:c r="B856" s="28" t="str">
        <x:v>томат</x:v>
      </x:c>
      <x:c r="C856" s="28" t="str">
        <x:v>Напитки</x:v>
      </x:c>
      <x:c r="D856" s="28" t="str">
        <x:v>томат</x:v>
      </x:c>
      <x:c r="E856" s="28" t="str">
        <x:v>tomato</x:v>
      </x:c>
      <x:c r="F856" s="28" t="str">
        <x:v>Плодовые овощи</x:v>
      </x:c>
      <x:c r="G856" s="28" t="str">
        <x:v>кофе</x:v>
      </x:c>
      <x:c r="H856" s="28" t="str">
        <x:v>coffee</x:v>
      </x:c>
      <x:c r="I856" s="28" t="str">
        <x:v>Кофе</x:v>
      </x:c>
      <x:c r="J856" s="28" t="str">
        <x:v>зелёный, фруктовый, листовой, сернистый и умами</x:v>
      </x:c>
      <x:c r="K856" s="28" t="str">
        <x:v>жареный, карамельный, ореховый</x:v>
      </x:c>
      <x:c r="L856" s="28" t="str">
        <x:v>цис-3-гексеналь, гексаналь, β-ионон, метиональ, глутамат</x:v>
      </x:c>
      <x:c r="M856" s="28" t="str">
        <x:v>гваякол, пиразины, фураны</x:v>
      </x:c>
      <x:c r="N856" s="28" t="str">
        <x:v>прямое пересечение семейств не подтверждено</x:v>
      </x:c>
      <x:c r="O856" s="28" t="str">
        <x:v>надёжная общая ключевая молекула не установлена</x:v>
      </x:c>
      <x:c r="P856" s="28" t="str">
        <x:v>сенсорная комплементарность</x:v>
      </x:c>
      <x:c r="Q85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6" s="28" t="str">
        <x:v>минимальный</x:v>
      </x:c>
      <x:c r="S856" s="28" t="str">
        <x:v>водная кислая матрица с пектином и глутаматом</x:v>
      </x:c>
      <x:c r="T85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6" s="28" t="str">
        <x:v>Томат имеет профиль «зелёный, фруктовый, листовой, сернистый и умами».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856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W856" s="28" t="str">
        <x:v>сливки, орех или карамель</x:v>
      </x:c>
      <x:c r="X856" s="28" t="str">
        <x:v>сок, кордиал, гаспачо, салат, соус, маринад или коктейльный компонент с кофе</x:v>
      </x:c>
      <x:c r="Y856" s="28" t="str">
        <x:v>напитки</x:v>
      </x:c>
      <x:c r="Z856" s="28" t="str">
        <x:v>Средняя</x:v>
      </x:c>
      <x:c r="AA856" s="28" t="str">
        <x:v>The Art &amp; Science of Foodpairing.pdf</x:v>
      </x:c>
      <x:c r="AB856" s="28" t="str">
        <x:v>The Art &amp; Science of Foodpairing.pdf: 297</x:v>
      </x:c>
      <x:c r="AC856" s="28" t="str">
        <x:v>связь из pairing grid, стр. 297</x:v>
      </x:c>
      <x:c r="AD856" s="28" t="n">
        <x:v>1</x:v>
      </x:c>
      <x:c r="AE856" s="28" t="n">
        <x:v>1</x:v>
      </x:c>
      <x:c r="AF856" s="28" t="n">
        <x:f>IF(Z856="Высокая",3,IF(Z856="Средняя",2,1))+AD856*2+MIN(AE856,3)</x:f>
        <x:v>5</x:v>
      </x:c>
    </x:row>
    <x:row r="857" ht="64" customHeight="1">
      <x:c r="A857" s="28" t="str">
        <x:v>VEG-0856</x:v>
      </x:c>
      <x:c r="B857" s="28" t="str">
        <x:v>томат</x:v>
      </x:c>
      <x:c r="C857" s="28" t="str">
        <x:v>Универсальные</x:v>
      </x:c>
      <x:c r="D857" s="28" t="str">
        <x:v>томат</x:v>
      </x:c>
      <x:c r="E857" s="28" t="str">
        <x:v>tomato and tomato puree</x:v>
      </x:c>
      <x:c r="F857" s="28" t="str">
        <x:v>Плодовые овощи</x:v>
      </x:c>
      <x:c r="G857" s="28" t="str">
        <x:v>кочуджан</x:v>
      </x:c>
      <x:c r="H857" s="28" t="str">
        <x:v>(Korean red chilli paste) | gochujang</x:v>
      </x:c>
      <x:c r="I857" s="28" t="str">
        <x:v>Прочее</x:v>
      </x:c>
      <x:c r="J857" s="28" t="str">
        <x:v>зелёный, фруктовый, листовой, сернистый и умами</x:v>
      </x:c>
      <x:c r="K857" s="28" t="str">
        <x:v>профиль зависит от конкретного продукта</x:v>
      </x:c>
      <x:c r="L857" s="28" t="str">
        <x:v>цис-3-гексеналь, гексаналь, β-ионон, метиональ, глутамат</x:v>
      </x:c>
      <x:c r="M857" s="28" t="str">
        <x:v>конкретный молекулярный профиль не указан</x:v>
      </x:c>
      <x:c r="N857" s="28" t="str">
        <x:v>прямое пересечение семейств не подтверждено</x:v>
      </x:c>
      <x:c r="O857" s="28" t="str">
        <x:v>надёжная общая ключевая молекула не установлена</x:v>
      </x:c>
      <x:c r="P857" s="28" t="str">
        <x:v>сенсорная комплементарность</x:v>
      </x:c>
      <x:c r="Q85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7" s="28" t="str">
        <x:v>минимальный</x:v>
      </x:c>
      <x:c r="S857" s="28" t="str">
        <x:v>водная кислая матрица с пектином и глутаматом</x:v>
      </x:c>
      <x:c r="T85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7" s="28" t="str">
        <x:v>Томат имеет профиль «зелёный, фруктовый, листовой, сернистый и умами». Партнёр «кочуджан»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57" s="28" t="str">
        <x:v>незрелые плоды слишком зелёные; длительное кипячение стирает свежесть; кислота влияет на молочные эмульсии</x:v>
      </x:c>
      <x:c r="W857" s="28" t="str">
        <x:v>соль, кислота или ароматический жир</x:v>
      </x:c>
      <x:c r="X857" s="28" t="str">
        <x:v>сок, кордиал, гаспачо, салат, соус, маринад или коктейльный компонент с кочуджан</x:v>
      </x:c>
      <x:c r="Y857" s="28" t="str">
        <x:v>универсальное</x:v>
      </x:c>
      <x:c r="Z857" s="28" t="str">
        <x:v>Средняя</x:v>
      </x:c>
      <x:c r="AA857" s="28" t="str">
        <x:v>The Art &amp; Science of Foodpairing.pdf</x:v>
      </x:c>
      <x:c r="AB857" s="28" t="str">
        <x:v>The Art &amp; Science of Foodpairing.pdf: 161</x:v>
      </x:c>
      <x:c r="AC857" s="28" t="str">
        <x:v>связь из pairing grid, стр. 161; связь из pairing grid, стр. 161</x:v>
      </x:c>
      <x:c r="AD857" s="28" t="n">
        <x:v>1</x:v>
      </x:c>
      <x:c r="AE857" s="28" t="n">
        <x:v>2</x:v>
      </x:c>
      <x:c r="AF857" s="28" t="n">
        <x:f>IF(Z857="Высокая",3,IF(Z857="Средняя",2,1))+AD857*2+MIN(AE857,3)</x:f>
        <x:v>6</x:v>
      </x:c>
    </x:row>
    <x:row r="858" ht="64" customHeight="1">
      <x:c r="A858" s="28" t="str">
        <x:v>VEG-0857</x:v>
      </x:c>
      <x:c r="B858" s="28" t="str">
        <x:v>томат</x:v>
      </x:c>
      <x:c r="C858" s="28" t="str">
        <x:v>Еда и соусы</x:v>
      </x:c>
      <x:c r="D858" s="28" t="str">
        <x:v>томат</x:v>
      </x:c>
      <x:c r="E858" s="28" t="str">
        <x:v>tomato and tomato puree</x:v>
      </x:c>
      <x:c r="F858" s="28" t="str">
        <x:v>Плодовые овощи</x:v>
      </x:c>
      <x:c r="G858" s="28" t="str">
        <x:v>краб</x:v>
      </x:c>
      <x:c r="H858" s="28" t="str">
        <x:v>boiled brown crab meat</x:v>
      </x:c>
      <x:c r="I858" s="28" t="str">
        <x:v>Рыба и морепродукты</x:v>
      </x:c>
      <x:c r="J858" s="28" t="str">
        <x:v>зелёный, фруктовый, листовой, сернистый и умами</x:v>
      </x:c>
      <x:c r="K858" s="28" t="str">
        <x:v>морской, солоноватый и умами</x:v>
      </x:c>
      <x:c r="L858" s="28" t="str">
        <x:v>цис-3-гексеналь, гексаналь, β-ионон, метиональ, глутамат</x:v>
      </x:c>
      <x:c r="M858" s="28" t="str">
        <x:v>альдегиды, амины</x:v>
      </x:c>
      <x:c r="N858" s="28" t="str">
        <x:v>умами</x:v>
      </x:c>
      <x:c r="O858" s="28" t="str">
        <x:v>надёжная общая ключевая молекула не установлена</x:v>
      </x:c>
      <x:c r="P858" s="28" t="str">
        <x:v>пересечение ароматических семейств; умами и солёный контраст</x:v>
      </x:c>
      <x:c r="Q85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8" s="28" t="str">
        <x:v>минимальный</x:v>
      </x:c>
      <x:c r="S858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5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8" s="28" t="str">
        <x:v>Томат имеет профиль «зелёный, фруктовый, листовой, сернистый и умами». Партнёр «краб»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58" s="28" t="str">
        <x:v>незрелые плоды слишком зелёные; длительное кипячение стирает свежесть; кислота влияет на молочные эмульсии</x:v>
      </x:c>
      <x:c r="W858" s="28" t="str">
        <x:v>сливочное масло, соевый соус или тимьян</x:v>
      </x:c>
      <x:c r="X858" s="28" t="str">
        <x:v>сок, кордиал, гаспачо, салат, соус, маринад или коктейльный компонент с краб</x:v>
      </x:c>
      <x:c r="Y858" s="28" t="str">
        <x:v>еда, соусы/маринады</x:v>
      </x:c>
      <x:c r="Z858" s="28" t="str">
        <x:v>Средняя</x:v>
      </x:c>
      <x:c r="AA858" s="28" t="str">
        <x:v>The Art &amp; Science of Foodpairing.pdf</x:v>
      </x:c>
      <x:c r="AB858" s="28" t="str">
        <x:v>The Art &amp; Science of Foodpairing.pdf: 161</x:v>
      </x:c>
      <x:c r="AC858" s="28" t="str">
        <x:v>связь из pairing grid, стр. 161</x:v>
      </x:c>
      <x:c r="AD858" s="28" t="n">
        <x:v>1</x:v>
      </x:c>
      <x:c r="AE858" s="28" t="n">
        <x:v>1</x:v>
      </x:c>
      <x:c r="AF858" s="28" t="n">
        <x:f>IF(Z858="Высокая",3,IF(Z858="Средняя",2,1))+AD858*2+MIN(AE858,3)</x:f>
        <x:v>5</x:v>
      </x:c>
    </x:row>
    <x:row r="859" ht="64" customHeight="1">
      <x:c r="A859" s="28" t="str">
        <x:v>VEG-0858</x:v>
      </x:c>
      <x:c r="B859" s="28" t="str">
        <x:v>томат</x:v>
      </x:c>
      <x:c r="C859" s="28" t="str">
        <x:v>Еда и соусы</x:v>
      </x:c>
      <x:c r="D859" s="28" t="str">
        <x:v>томат</x:v>
      </x:c>
      <x:c r="E859" s="28" t="str">
        <x:v>tomato and tomato puree</x:v>
      </x:c>
      <x:c r="F859" s="28" t="str">
        <x:v>Плодовые овощи</x:v>
      </x:c>
      <x:c r="G859" s="28" t="str">
        <x:v>курица</x:v>
      </x:c>
      <x:c r="H859" s="28" t="str">
        <x:v>brown chicken stock (fondbrun) | roasted Bresse chicken skin</x:v>
      </x:c>
      <x:c r="I859" s="28" t="str">
        <x:v>Мясо и птица</x:v>
      </x:c>
      <x:c r="J859" s="28" t="str">
        <x:v>зелёный, фруктовый, листовой, сернистый и умами</x:v>
      </x:c>
      <x:c r="K859" s="28" t="str">
        <x:v>жареный, мясной и умами</x:v>
      </x:c>
      <x:c r="L859" s="28" t="str">
        <x:v>цис-3-гексеналь, гексаналь, β-ионон, метиональ, глутамат</x:v>
      </x:c>
      <x:c r="M859" s="28" t="str">
        <x:v>пиразины, сернистые соединения</x:v>
      </x:c>
      <x:c r="N859" s="28" t="str">
        <x:v>умами</x:v>
      </x:c>
      <x:c r="O859" s="28" t="str">
        <x:v>надёжная общая ключевая молекула не установлена</x:v>
      </x:c>
      <x:c r="P859" s="28" t="str">
        <x:v>пересечение ароматических семейств; умами и солёный контраст</x:v>
      </x:c>
      <x:c r="Q85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59" s="28" t="str">
        <x:v>минимальный</x:v>
      </x:c>
      <x:c r="S859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5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59" s="28" t="str">
        <x:v>Томат имеет профиль «зелёный, фруктовый, листовой, сернистый и умами». Партнёр «курица»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59" s="28" t="str">
        <x:v>незрелые плоды слишком зелёные; длительное кипячение стирает свежесть; кислота влияет на молочные эмульсии</x:v>
      </x:c>
      <x:c r="W859" s="28" t="str">
        <x:v>сливочное масло, соевый соус или тимьян</x:v>
      </x:c>
      <x:c r="X859" s="28" t="str">
        <x:v>сок, кордиал, гаспачо, салат, соус, маринад или коктейльный компонент с курица</x:v>
      </x:c>
      <x:c r="Y859" s="28" t="str">
        <x:v>еда, соусы/маринады</x:v>
      </x:c>
      <x:c r="Z859" s="28" t="str">
        <x:v>Средняя</x:v>
      </x:c>
      <x:c r="AA859" s="28" t="str">
        <x:v>The Art &amp; Science of Foodpairing.pdf</x:v>
      </x:c>
      <x:c r="AB859" s="28" t="str">
        <x:v>The Art &amp; Science of Foodpairing.pdf: 161</x:v>
      </x:c>
      <x:c r="AC859" s="28" t="str">
        <x:v>связь из pairing grid, стр. 161; связь из pairing grid, стр. 161</x:v>
      </x:c>
      <x:c r="AD859" s="28" t="n">
        <x:v>1</x:v>
      </x:c>
      <x:c r="AE859" s="28" t="n">
        <x:v>2</x:v>
      </x:c>
      <x:c r="AF859" s="28" t="n">
        <x:f>IF(Z859="Высокая",3,IF(Z859="Средняя",2,1))+AD859*2+MIN(AE859,3)</x:f>
        <x:v>6</x:v>
      </x:c>
    </x:row>
    <x:row r="860" ht="64" customHeight="1">
      <x:c r="A860" s="28" t="str">
        <x:v>VEG-0859</x:v>
      </x:c>
      <x:c r="B860" s="28" t="str">
        <x:v>томат</x:v>
      </x:c>
      <x:c r="C860" s="28" t="str">
        <x:v>Десерты и выпечка</x:v>
      </x:c>
      <x:c r="D860" s="28" t="str">
        <x:v>томат</x:v>
      </x:c>
      <x:c r="E860" s="28" t="str">
        <x:v>Томаты | томаты</x:v>
      </x:c>
      <x:c r="F860" s="28" t="str">
        <x:v>Плодовые овощи</x:v>
      </x:c>
      <x:c r="G860" s="28" t="str">
        <x:v>лайм</x:v>
      </x:c>
      <x:c r="H860" s="28" t="str">
        <x:v>Лайм | лайм</x:v>
      </x:c>
      <x:c r="I860" s="28" t="str">
        <x:v>Фрукты и ягоды</x:v>
      </x:c>
      <x:c r="J860" s="28" t="str">
        <x:v>зелёный, фруктовый, листовой, сернистый и умами</x:v>
      </x:c>
      <x:c r="K860" s="28" t="str">
        <x:v>зелёный, кислый, цитрусовый</x:v>
      </x:c>
      <x:c r="L860" s="28" t="str">
        <x:v>цис-3-гексеналь, гексаналь, β-ионон, метиональ, глутамат</x:v>
      </x:c>
      <x:c r="M860" s="28" t="str">
        <x:v>лимонен, цитраль</x:v>
      </x:c>
      <x:c r="N860" s="28" t="str">
        <x:v>зелёный</x:v>
      </x:c>
      <x:c r="O860" s="28" t="str">
        <x:v>надёжная общая ключевая молекула не установлена</x:v>
      </x:c>
      <x:c r="P860" s="28" t="str">
        <x:v>пересечение ароматических семейств; кислотно-сладкий баланс</x:v>
      </x:c>
      <x:c r="Q86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0" s="28" t="str">
        <x:v>минимальный</x:v>
      </x:c>
      <x:c r="S860" s="28" t="str">
        <x:v>водная кислая матрица с пектином и глутаматом Водная кислая фаза усиливает свежесть, но может разжижать пюре и нарушать молочную эмульсию.</x:v>
      </x:c>
      <x:c r="T86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0" s="28" t="str">
        <x:v>Томат имеет профиль «зелёный, фруктовый, листовой, сернистый и умами». Партнёр «лайм» относится к группе «Фрукты и ягоды» и даёт зелёный, кислый, цитрусовый.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860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W860" s="28" t="str">
        <x:v>цитрус, мёд или мягкая трава</x:v>
      </x:c>
      <x:c r="X860" s="28" t="str">
        <x:v>сок, кордиал, гаспачо, салат, соус, маринад или коктейльный компонент с лайм</x:v>
      </x:c>
      <x:c r="Y860" s="28" t="str">
        <x:v>десерты</x:v>
      </x:c>
      <x:c r="Z860" s="28" t="str">
        <x:v>Средняя</x:v>
      </x:c>
      <x:c r="AA860" s="28" t="str">
        <x:v>Тезариус вкусов (Ники Сегнит)(1).pdf</x:v>
      </x:c>
      <x:c r="AB860" s="28" t="str">
        <x:v>Тезариус вкусов (Ники Сегнит)(1).pdf: 686, 796</x:v>
      </x:c>
      <x:c r="AC860" s="28" t="str">
        <x:v>развёрнутая пара/статья, стр. 686; развёрнутая пара/статья, стр. 796</x:v>
      </x:c>
      <x:c r="AD860" s="28" t="n">
        <x:v>1</x:v>
      </x:c>
      <x:c r="AE860" s="28" t="n">
        <x:v>2</x:v>
      </x:c>
      <x:c r="AF860" s="28" t="n">
        <x:f>IF(Z860="Высокая",3,IF(Z860="Средняя",2,1))+AD860*2+MIN(AE860,3)</x:f>
        <x:v>6</x:v>
      </x:c>
    </x:row>
    <x:row r="861" ht="64" customHeight="1">
      <x:c r="A861" s="28" t="str">
        <x:v>VEG-0860</x:v>
      </x:c>
      <x:c r="B861" s="28" t="str">
        <x:v>томат</x:v>
      </x:c>
      <x:c r="C861" s="28" t="str">
        <x:v>Десерты и выпечка</x:v>
      </x:c>
      <x:c r="D861" s="28" t="str">
        <x:v>томат</x:v>
      </x:c>
      <x:c r="E861" s="28" t="str">
        <x:v>Томат | Томаты | томаты</x:v>
      </x:c>
      <x:c r="F861" s="28" t="str">
        <x:v>Плодовые овощи</x:v>
      </x:c>
      <x:c r="G861" s="28" t="str">
        <x:v>лимон</x:v>
      </x:c>
      <x:c r="H861" s="28" t="str">
        <x:v>Лимон | лимон</x:v>
      </x:c>
      <x:c r="I861" s="28" t="str">
        <x:v>Фрукты и ягоды</x:v>
      </x:c>
      <x:c r="J861" s="28" t="str">
        <x:v>зелёный, фруктовый, листовой, сернистый и умами</x:v>
      </x:c>
      <x:c r="K861" s="28" t="str">
        <x:v>кислый, свежий, цитрусовый</x:v>
      </x:c>
      <x:c r="L861" s="28" t="str">
        <x:v>цис-3-гексеналь, гексаналь, β-ионон, метиональ, глутамат</x:v>
      </x:c>
      <x:c r="M861" s="28" t="str">
        <x:v>лимонен, цитраль</x:v>
      </x:c>
      <x:c r="N861" s="28" t="str">
        <x:v>прямое пересечение семейств не подтверждено</x:v>
      </x:c>
      <x:c r="O861" s="28" t="str">
        <x:v>надёжная общая ключевая молекула не установлена</x:v>
      </x:c>
      <x:c r="P861" s="28" t="str">
        <x:v>кислотно-сладкий баланс</x:v>
      </x:c>
      <x:c r="Q86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1" s="28" t="str">
        <x:v>минимальный</x:v>
      </x:c>
      <x:c r="S861" s="28" t="str">
        <x:v>водная кислая матрица с пектином и глутаматом Водная кислая фаза усиливает свежесть, но может разжижать пюре и нарушать молочную эмульсию.</x:v>
      </x:c>
      <x:c r="T86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1" s="28" t="str">
        <x:v>Томат имеет профиль «зелёный, фруктовый, листовой, сернистый и умами».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861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W861" s="28" t="str">
        <x:v>цитрус, мёд или мягкая трава</x:v>
      </x:c>
      <x:c r="X861" s="28" t="str">
        <x:v>сок, кордиал, гаспачо, салат, соус, маринад или коктейльный компонент с лимон</x:v>
      </x:c>
      <x:c r="Y861" s="28" t="str">
        <x:v>десерты</x:v>
      </x:c>
      <x:c r="Z861" s="28" t="str">
        <x:v>Высокая</x:v>
      </x:c>
      <x:c r="AA861" s="28" t="str">
        <x:v>Таблица сочетания(1).pdf | Тезариус вкусов (Ники Сегнит)(1).pdf</x:v>
      </x:c>
      <x:c r="AB861" s="28" t="str">
        <x:v>Таблица сочетания(1).pdf: 21; Тезариус вкусов (Ники Сегнит)(1).pdf: 686, 809</x:v>
      </x:c>
      <x:c r="AC861" s="28" t="str">
        <x:v>развёрнутая пара/статья, стр. 686; развёрнутая пара/статья, стр. 809; рекомендация таблицы, стр. 21</x:v>
      </x:c>
      <x:c r="AD861" s="28" t="n">
        <x:v>2</x:v>
      </x:c>
      <x:c r="AE861" s="28" t="n">
        <x:v>3</x:v>
      </x:c>
      <x:c r="AF861" s="28" t="n">
        <x:f>IF(Z861="Высокая",3,IF(Z861="Средняя",2,1))+AD861*2+MIN(AE861,3)</x:f>
        <x:v>10</x:v>
      </x:c>
    </x:row>
    <x:row r="862" ht="64" customHeight="1">
      <x:c r="A862" s="28" t="str">
        <x:v>VEG-0861</x:v>
      </x:c>
      <x:c r="B862" s="28" t="str">
        <x:v>томат</x:v>
      </x:c>
      <x:c r="C862" s="28" t="str">
        <x:v>Десерты и выпечка</x:v>
      </x:c>
      <x:c r="D862" s="28" t="str">
        <x:v>томат</x:v>
      </x:c>
      <x:c r="E862" s="28" t="str">
        <x:v>tomato and tomato puree</x:v>
      </x:c>
      <x:c r="F862" s="28" t="str">
        <x:v>Плодовые овощи</x:v>
      </x:c>
      <x:c r="G862" s="28" t="str">
        <x:v>лимонный мирт</x:v>
      </x:c>
      <x:c r="H862" s="28" t="str">
        <x:v>dried lemon myrtle</x:v>
      </x:c>
      <x:c r="I862" s="28" t="str">
        <x:v>Фрукты и ягоды</x:v>
      </x:c>
      <x:c r="J862" s="28" t="str">
        <x:v>зелёный, фруктовый, листовой, сернистый и умами</x:v>
      </x:c>
      <x:c r="K862" s="28" t="str">
        <x:v>кислый, свежий, цитрусовый</x:v>
      </x:c>
      <x:c r="L862" s="28" t="str">
        <x:v>цис-3-гексеналь, гексаналь, β-ионон, метиональ, глутамат</x:v>
      </x:c>
      <x:c r="M862" s="28" t="str">
        <x:v>лимонен, цитраль</x:v>
      </x:c>
      <x:c r="N862" s="28" t="str">
        <x:v>прямое пересечение семейств не подтверждено</x:v>
      </x:c>
      <x:c r="O862" s="28" t="str">
        <x:v>надёжная общая ключевая молекула не установлена</x:v>
      </x:c>
      <x:c r="P862" s="28" t="str">
        <x:v>кислотно-сладкий баланс</x:v>
      </x:c>
      <x:c r="Q86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2" s="28" t="str">
        <x:v>минимальный</x:v>
      </x:c>
      <x:c r="S862" s="28" t="str">
        <x:v>водная кислая матрица с пектином и глутаматом Водная кислая фаза усиливает свежесть, но может разжижать пюре и нарушать молочную эмульсию.</x:v>
      </x:c>
      <x:c r="T86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2" s="28" t="str">
        <x:v>Томат имеет профиль «зелёный, фруктовый, листовой, сернистый и умами». Партнёр «лимонный мирт»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862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W862" s="28" t="str">
        <x:v>цитрус, мёд или мягкая трава</x:v>
      </x:c>
      <x:c r="X862" s="28" t="str">
        <x:v>сок, кордиал, гаспачо, салат, соус, маринад или коктейльный компонент с лимонный мирт</x:v>
      </x:c>
      <x:c r="Y862" s="28" t="str">
        <x:v>десерты</x:v>
      </x:c>
      <x:c r="Z862" s="28" t="str">
        <x:v>Средняя</x:v>
      </x:c>
      <x:c r="AA862" s="28" t="str">
        <x:v>The Art &amp; Science of Foodpairing.pdf</x:v>
      </x:c>
      <x:c r="AB862" s="28" t="str">
        <x:v>The Art &amp; Science of Foodpairing.pdf: 161</x:v>
      </x:c>
      <x:c r="AC862" s="28" t="str">
        <x:v>связь из pairing grid, стр. 161</x:v>
      </x:c>
      <x:c r="AD862" s="28" t="n">
        <x:v>1</x:v>
      </x:c>
      <x:c r="AE862" s="28" t="n">
        <x:v>1</x:v>
      </x:c>
      <x:c r="AF862" s="28" t="n">
        <x:f>IF(Z862="Высокая",3,IF(Z862="Средняя",2,1))+AD862*2+MIN(AE862,3)</x:f>
        <x:v>5</x:v>
      </x:c>
    </x:row>
    <x:row r="863" ht="64" customHeight="1">
      <x:c r="A863" s="28" t="str">
        <x:v>VEG-0862</x:v>
      </x:c>
      <x:c r="B863" s="28" t="str">
        <x:v>томат</x:v>
      </x:c>
      <x:c r="C863" s="28" t="str">
        <x:v>Универсальные</x:v>
      </x:c>
      <x:c r="D863" s="28" t="str">
        <x:v>томат</x:v>
      </x:c>
      <x:c r="E863" s="28" t="str">
        <x:v>tomato and tomato puree | tomato, rhubarb</x:v>
      </x:c>
      <x:c r="F863" s="28" t="str">
        <x:v>Плодовые овощи</x:v>
      </x:c>
      <x:c r="G863" s="28" t="str">
        <x:v>лист настурции</x:v>
      </x:c>
      <x:c r="H863" s="28" t="str">
        <x:v>garden nasturtium leaf | nasturtium leaf</x:v>
      </x:c>
      <x:c r="I863" s="28" t="str">
        <x:v>Прочее</x:v>
      </x:c>
      <x:c r="J863" s="28" t="str">
        <x:v>зелёный, фруктовый, листовой, сернистый и умами</x:v>
      </x:c>
      <x:c r="K863" s="28" t="str">
        <x:v>профиль зависит от конкретного продукта</x:v>
      </x:c>
      <x:c r="L863" s="28" t="str">
        <x:v>цис-3-гексеналь, гексаналь, β-ионон, метиональ, глутамат</x:v>
      </x:c>
      <x:c r="M863" s="28" t="str">
        <x:v>конкретный молекулярный профиль не указан</x:v>
      </x:c>
      <x:c r="N863" s="28" t="str">
        <x:v>прямое пересечение семейств не подтверждено</x:v>
      </x:c>
      <x:c r="O863" s="28" t="str">
        <x:v>надёжная общая ключевая молекула не установлена</x:v>
      </x:c>
      <x:c r="P863" s="28" t="str">
        <x:v>сенсорная комплементарность</x:v>
      </x:c>
      <x:c r="Q86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3" s="28" t="str">
        <x:v>минимальный</x:v>
      </x:c>
      <x:c r="S863" s="28" t="str">
        <x:v>водная кислая матрица с пектином и глутаматом</x:v>
      </x:c>
      <x:c r="T86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3" s="28" t="str">
        <x:v>Томат имеет профиль «зелёный, фруктовый, листовой, сернистый и умами». Партнёр «лист настурции»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63" s="28" t="str">
        <x:v>незрелые плоды слишком зелёные; длительное кипячение стирает свежесть; кислота влияет на молочные эмульсии</x:v>
      </x:c>
      <x:c r="W863" s="28" t="str">
        <x:v>соль, кислота или ароматический жир</x:v>
      </x:c>
      <x:c r="X863" s="28" t="str">
        <x:v>сок, кордиал, гаспачо, салат, соус, маринад или коктейльный компонент с лист настурции</x:v>
      </x:c>
      <x:c r="Y863" s="28" t="str">
        <x:v>универсальное</x:v>
      </x:c>
      <x:c r="Z863" s="28" t="str">
        <x:v>Высокая</x:v>
      </x:c>
      <x:c r="AA863" s="28" t="str">
        <x:v>The Art &amp; Science of Foodpairing.pdf</x:v>
      </x:c>
      <x:c r="AB863" s="28" t="str">
        <x:v>The Art &amp; Science of Foodpairing.pdf: 160, 161</x:v>
      </x:c>
      <x:c r="AC863" s="28" t="str">
        <x:v>Chef pairing, стр. 160; связь из pairing grid, стр. 161</x:v>
      </x:c>
      <x:c r="AD863" s="28" t="n">
        <x:v>1</x:v>
      </x:c>
      <x:c r="AE863" s="28" t="n">
        <x:v>2</x:v>
      </x:c>
      <x:c r="AF863" s="28" t="n">
        <x:f>IF(Z863="Высокая",3,IF(Z863="Средняя",2,1))+AD863*2+MIN(AE863,3)</x:f>
        <x:v>7</x:v>
      </x:c>
    </x:row>
    <x:row r="864" ht="64" customHeight="1">
      <x:c r="A864" s="28" t="str">
        <x:v>VEG-0863</x:v>
      </x:c>
      <x:c r="B864" s="28" t="str">
        <x:v>томат</x:v>
      </x:c>
      <x:c r="C864" s="28" t="str">
        <x:v>Универсальные</x:v>
      </x:c>
      <x:c r="D864" s="28" t="str">
        <x:v>томат</x:v>
      </x:c>
      <x:c r="E864" s="28" t="str">
        <x:v>tomato and tomato puree | Томаты</x:v>
      </x:c>
      <x:c r="F864" s="28" t="str">
        <x:v>Плодовые овощи</x:v>
      </x:c>
      <x:c r="G864" s="28" t="str">
        <x:v>листья кориандра</x:v>
      </x:c>
      <x:c r="H864" s="28" t="str">
        <x:v>coriander leaves | листья кориандра</x:v>
      </x:c>
      <x:c r="I864" s="28" t="str">
        <x:v>Травы, цветы и листья</x:v>
      </x:c>
      <x:c r="J864" s="28" t="str">
        <x:v>зелёный, фруктовый, листовой, сернистый и умами</x:v>
      </x:c>
      <x:c r="K864" s="28" t="str">
        <x:v>зелёный, цветочный и терпеновый</x:v>
      </x:c>
      <x:c r="L864" s="28" t="str">
        <x:v>цис-3-гексеналь, гексаналь, β-ионон, метиональ, глутамат</x:v>
      </x:c>
      <x:c r="M864" s="28" t="str">
        <x:v>линалоол, терпены</x:v>
      </x:c>
      <x:c r="N864" s="28" t="str">
        <x:v>зелёный</x:v>
      </x:c>
      <x:c r="O864" s="28" t="str">
        <x:v>надёжная общая ключевая молекула не установлена</x:v>
      </x:c>
      <x:c r="P864" s="28" t="str">
        <x:v>пересечение ароматических семейств</x:v>
      </x:c>
      <x:c r="Q86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4" s="28" t="str">
        <x:v>минимальный</x:v>
      </x:c>
      <x:c r="S864" s="28" t="str">
        <x:v>водная кислая матрица с пектином и глутаматом</x:v>
      </x:c>
      <x:c r="T86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4" s="28" t="str">
        <x:v>Томат имеет профиль «зелёный, фруктовый, листовой, сернистый и умами».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864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W864" s="28" t="str">
        <x:v>оливковое масло, лимон или сыр</x:v>
      </x:c>
      <x:c r="X864" s="28" t="str">
        <x:v>сок, кордиал, гаспачо, салат, соус, маринад или коктейльный компонент с листья кориандра</x:v>
      </x:c>
      <x:c r="Y864" s="28" t="str">
        <x:v>универсальное</x:v>
      </x:c>
      <x:c r="Z864" s="28" t="str">
        <x:v>Высокая</x:v>
      </x:c>
      <x:c r="AA864" s="28" t="str">
        <x:v>The Art &amp; Science of Foodpairing.pdf | Тезариус вкусов (Ники Сегнит)(1).pdf</x:v>
      </x:c>
      <x:c r="AB864" s="28" t="str">
        <x:v>Тезариус вкусов (Ники Сегнит)(1).pdf: 686; The Art &amp; Science of Foodpairing.pdf: 161</x:v>
      </x:c>
      <x:c r="AC864" s="28" t="str">
        <x:v>развёрнутая пара/статья, стр. 686; связь из pairing grid, стр. 161</x:v>
      </x:c>
      <x:c r="AD864" s="28" t="n">
        <x:v>2</x:v>
      </x:c>
      <x:c r="AE864" s="28" t="n">
        <x:v>2</x:v>
      </x:c>
      <x:c r="AF864" s="28" t="n">
        <x:f>IF(Z864="Высокая",3,IF(Z864="Средняя",2,1))+AD864*2+MIN(AE864,3)</x:f>
        <x:v>9</x:v>
      </x:c>
    </x:row>
    <x:row r="865" ht="64" customHeight="1">
      <x:c r="A865" s="28" t="str">
        <x:v>VEG-0864</x:v>
      </x:c>
      <x:c r="B865" s="28" t="str">
        <x:v>томат</x:v>
      </x:c>
      <x:c r="C865" s="28" t="str">
        <x:v>Десерты и выпечка</x:v>
      </x:c>
      <x:c r="D865" s="28" t="str">
        <x:v>томат</x:v>
      </x:c>
      <x:c r="E865" s="28" t="str">
        <x:v>canned tomato | tomato and tomato puree</x:v>
      </x:c>
      <x:c r="F865" s="28" t="str">
        <x:v>Плодовые овощи</x:v>
      </x:c>
      <x:c r="G865" s="28" t="str">
        <x:v>манго</x:v>
      </x:c>
      <x:c r="H865" s="28" t="str">
        <x:v>mango</x:v>
      </x:c>
      <x:c r="I865" s="28" t="str">
        <x:v>Фрукты и ягоды</x:v>
      </x:c>
      <x:c r="J865" s="28" t="str">
        <x:v>зелёный, фруктовый, листовой, сернистый и умами</x:v>
      </x:c>
      <x:c r="K865" s="28" t="str">
        <x:v>фруктовый, цветочный и свежий</x:v>
      </x:c>
      <x:c r="L865" s="28" t="str">
        <x:v>цис-3-гексеналь, гексаналь, β-ионон, метиональ, глутамат</x:v>
      </x:c>
      <x:c r="M865" s="28" t="str">
        <x:v>альдегиды, эфиры</x:v>
      </x:c>
      <x:c r="N865" s="28" t="str">
        <x:v>фруктовый</x:v>
      </x:c>
      <x:c r="O865" s="28" t="str">
        <x:v>надёжная общая ключевая молекула не установлена</x:v>
      </x:c>
      <x:c r="P865" s="28" t="str">
        <x:v>пересечение ароматических семейств; кислотно-сладкий баланс</x:v>
      </x:c>
      <x:c r="Q86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5" s="28" t="str">
        <x:v>минимальный</x:v>
      </x:c>
      <x:c r="S865" s="28" t="str">
        <x:v>водная кислая матрица с пектином и глутаматом Водная кислая фаза усиливает свежесть, но может разжижать пюре и нарушать молочную эмульсию.</x:v>
      </x:c>
      <x:c r="T86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5" s="28" t="str">
        <x:v>Томат имеет профиль «зелёный, фруктовый, листовой, сернистый и умами». Партнёр «манго» относится к группе «Фрукты и ягоды» и даёт фруктовый, цветочный и свежий.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865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W865" s="28" t="str">
        <x:v>цитрус, мёд или мягкая трава</x:v>
      </x:c>
      <x:c r="X865" s="28" t="str">
        <x:v>сок, кордиал, гаспачо, салат, соус, маринад или коктейльный компонент с манго</x:v>
      </x:c>
      <x:c r="Y865" s="28" t="str">
        <x:v>десерты</x:v>
      </x:c>
      <x:c r="Z865" s="28" t="str">
        <x:v>Высокая</x:v>
      </x:c>
      <x:c r="AA865" s="28" t="str">
        <x:v>The Art &amp; Science of Foodpairing.pdf</x:v>
      </x:c>
      <x:c r="AB865" s="28" t="str">
        <x:v>The Art &amp; Science of Foodpairing.pdf: 161, 312</x:v>
      </x:c>
      <x:c r="AC865" s="28" t="str">
        <x:v>прямая Potential pairing, стр. 312; связь из pairing grid, стр. 161; связь из pairing grid, стр. 312</x:v>
      </x:c>
      <x:c r="AD865" s="28" t="n">
        <x:v>1</x:v>
      </x:c>
      <x:c r="AE865" s="28" t="n">
        <x:v>3</x:v>
      </x:c>
      <x:c r="AF865" s="28" t="n">
        <x:f>IF(Z865="Высокая",3,IF(Z865="Средняя",2,1))+AD865*2+MIN(AE865,3)</x:f>
        <x:v>8</x:v>
      </x:c>
    </x:row>
    <x:row r="866" ht="64" customHeight="1">
      <x:c r="A866" s="28" t="str">
        <x:v>VEG-0865</x:v>
      </x:c>
      <x:c r="B866" s="28" t="str">
        <x:v>томат</x:v>
      </x:c>
      <x:c r="C866" s="28" t="str">
        <x:v>Универсальные</x:v>
      </x:c>
      <x:c r="D866" s="28" t="str">
        <x:v>томат</x:v>
      </x:c>
      <x:c r="E866" s="28" t="str">
        <x:v>tomato</x:v>
      </x:c>
      <x:c r="F866" s="28" t="str">
        <x:v>Плодовые овощи</x:v>
      </x:c>
      <x:c r="G866" s="28" t="str">
        <x:v>маниок</x:v>
      </x:c>
      <x:c r="H866" s="28" t="str">
        <x:v>cassava</x:v>
      </x:c>
      <x:c r="I866" s="28" t="str">
        <x:v>Прочее</x:v>
      </x:c>
      <x:c r="J866" s="28" t="str">
        <x:v>зелёный, фруктовый, листовой, сернистый и умами</x:v>
      </x:c>
      <x:c r="K866" s="28" t="str">
        <x:v>профиль зависит от конкретного продукта</x:v>
      </x:c>
      <x:c r="L866" s="28" t="str">
        <x:v>цис-3-гексеналь, гексаналь, β-ионон, метиональ, глутамат</x:v>
      </x:c>
      <x:c r="M866" s="28" t="str">
        <x:v>конкретный молекулярный профиль не указан</x:v>
      </x:c>
      <x:c r="N866" s="28" t="str">
        <x:v>прямое пересечение семейств не подтверждено</x:v>
      </x:c>
      <x:c r="O866" s="28" t="str">
        <x:v>надёжная общая ключевая молекула не установлена</x:v>
      </x:c>
      <x:c r="P866" s="28" t="str">
        <x:v>сенсорная комплементарность</x:v>
      </x:c>
      <x:c r="Q86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6" s="28" t="str">
        <x:v>минимальный</x:v>
      </x:c>
      <x:c r="S866" s="28" t="str">
        <x:v>водная кислая матрица с пектином и глутаматом</x:v>
      </x:c>
      <x:c r="T86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6" s="28" t="str">
        <x:v>Томат имеет профиль «зелёный, фруктовый, листовой, сернистый и умами».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66" s="28" t="str">
        <x:v>незрелые плоды слишком зелёные; длительное кипячение стирает свежесть; кислота влияет на молочные эмульсии</x:v>
      </x:c>
      <x:c r="W866" s="28" t="str">
        <x:v>соль, кислота или ароматический жир</x:v>
      </x:c>
      <x:c r="X866" s="28" t="str">
        <x:v>сок, кордиал, гаспачо, салат, соус, маринад или коктейльный компонент с маниок</x:v>
      </x:c>
      <x:c r="Y866" s="28" t="str">
        <x:v>универсальное</x:v>
      </x:c>
      <x:c r="Z866" s="28" t="str">
        <x:v>Средняя</x:v>
      </x:c>
      <x:c r="AA866" s="28" t="str">
        <x:v>The Art &amp; Science of Foodpairing.pdf</x:v>
      </x:c>
      <x:c r="AB866" s="28" t="str">
        <x:v>The Art &amp; Science of Foodpairing.pdf: 251</x:v>
      </x:c>
      <x:c r="AC866" s="28" t="str">
        <x:v>связь из pairing grid, стр. 251</x:v>
      </x:c>
      <x:c r="AD866" s="28" t="n">
        <x:v>1</x:v>
      </x:c>
      <x:c r="AE866" s="28" t="n">
        <x:v>1</x:v>
      </x:c>
      <x:c r="AF866" s="28" t="n">
        <x:f>IF(Z866="Высокая",3,IF(Z866="Средняя",2,1))+AD866*2+MIN(AE866,3)</x:f>
        <x:v>5</x:v>
      </x:c>
    </x:row>
    <x:row r="867" ht="64" customHeight="1">
      <x:c r="A867" s="28" t="str">
        <x:v>VEG-0866</x:v>
      </x:c>
      <x:c r="B867" s="28" t="str">
        <x:v>томат</x:v>
      </x:c>
      <x:c r="C867" s="28" t="str">
        <x:v>Универсальные</x:v>
      </x:c>
      <x:c r="D867" s="28" t="str">
        <x:v>томат</x:v>
      </x:c>
      <x:c r="E867" s="28" t="str">
        <x:v>tomato and tomato puree</x:v>
      </x:c>
      <x:c r="F867" s="28" t="str">
        <x:v>Плодовые овощи</x:v>
      </x:c>
      <x:c r="G867" s="28" t="str">
        <x:v>микрозелень шисо</x:v>
      </x:c>
      <x:c r="H867" s="28" t="str">
        <x:v>shiso microgreens</x:v>
      </x:c>
      <x:c r="I867" s="28" t="str">
        <x:v>Прочее</x:v>
      </x:c>
      <x:c r="J867" s="28" t="str">
        <x:v>зелёный, фруктовый, листовой, сернистый и умами</x:v>
      </x:c>
      <x:c r="K867" s="28" t="str">
        <x:v>профиль зависит от конкретного продукта</x:v>
      </x:c>
      <x:c r="L867" s="28" t="str">
        <x:v>цис-3-гексеналь, гексаналь, β-ионон, метиональ, глутамат</x:v>
      </x:c>
      <x:c r="M867" s="28" t="str">
        <x:v>конкретный молекулярный профиль не указан</x:v>
      </x:c>
      <x:c r="N867" s="28" t="str">
        <x:v>прямое пересечение семейств не подтверждено</x:v>
      </x:c>
      <x:c r="O867" s="28" t="str">
        <x:v>надёжная общая ключевая молекула не установлена</x:v>
      </x:c>
      <x:c r="P867" s="28" t="str">
        <x:v>сенсорная комплементарность</x:v>
      </x:c>
      <x:c r="Q86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7" s="28" t="str">
        <x:v>минимальный</x:v>
      </x:c>
      <x:c r="S867" s="28" t="str">
        <x:v>водная кислая матрица с пектином и глутаматом</x:v>
      </x:c>
      <x:c r="T86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7" s="28" t="str">
        <x:v>Томат имеет профиль «зелёный, фруктовый, листовой, сернистый и умами». Партнёр «микрозелень шисо»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67" s="28" t="str">
        <x:v>незрелые плоды слишком зелёные; длительное кипячение стирает свежесть; кислота влияет на молочные эмульсии</x:v>
      </x:c>
      <x:c r="W867" s="28" t="str">
        <x:v>соль, кислота или ароматический жир</x:v>
      </x:c>
      <x:c r="X867" s="28" t="str">
        <x:v>сок, кордиал, гаспачо, салат, соус, маринад или коктейльный компонент с микрозелень шисо</x:v>
      </x:c>
      <x:c r="Y867" s="28" t="str">
        <x:v>универсальное</x:v>
      </x:c>
      <x:c r="Z867" s="28" t="str">
        <x:v>Средняя</x:v>
      </x:c>
      <x:c r="AA867" s="28" t="str">
        <x:v>The Art &amp; Science of Foodpairing.pdf</x:v>
      </x:c>
      <x:c r="AB867" s="28" t="str">
        <x:v>The Art &amp; Science of Foodpairing.pdf: 161</x:v>
      </x:c>
      <x:c r="AC867" s="28" t="str">
        <x:v>связь из pairing grid, стр. 161</x:v>
      </x:c>
      <x:c r="AD867" s="28" t="n">
        <x:v>1</x:v>
      </x:c>
      <x:c r="AE867" s="28" t="n">
        <x:v>1</x:v>
      </x:c>
      <x:c r="AF867" s="28" t="n">
        <x:f>IF(Z867="Высокая",3,IF(Z867="Средняя",2,1))+AD867*2+MIN(AE867,3)</x:f>
        <x:v>5</x:v>
      </x:c>
    </x:row>
    <x:row r="868" ht="64" customHeight="1">
      <x:c r="A868" s="28" t="str">
        <x:v>VEG-0867</x:v>
      </x:c>
      <x:c r="B868" s="28" t="str">
        <x:v>томат</x:v>
      </x:c>
      <x:c r="C868" s="28" t="str">
        <x:v>Еда и соусы</x:v>
      </x:c>
      <x:c r="D868" s="28" t="str">
        <x:v>томат</x:v>
      </x:c>
      <x:c r="E868" s="28" t="str">
        <x:v>Томаты | томаты</x:v>
      </x:c>
      <x:c r="F868" s="28" t="str">
        <x:v>Плодовые овощи</x:v>
      </x:c>
      <x:c r="G868" s="28" t="str">
        <x:v>моллюски</x:v>
      </x:c>
      <x:c r="H868" s="28" t="str">
        <x:v>Моллюски | моллюски</x:v>
      </x:c>
      <x:c r="I868" s="28" t="str">
        <x:v>Рыба и морепродукты</x:v>
      </x:c>
      <x:c r="J868" s="28" t="str">
        <x:v>зелёный, фруктовый, листовой, сернистый и умами</x:v>
      </x:c>
      <x:c r="K868" s="28" t="str">
        <x:v>морской, солоноватый и умами</x:v>
      </x:c>
      <x:c r="L868" s="28" t="str">
        <x:v>цис-3-гексеналь, гексаналь, β-ионон, метиональ, глутамат</x:v>
      </x:c>
      <x:c r="M868" s="28" t="str">
        <x:v>альдегиды, амины</x:v>
      </x:c>
      <x:c r="N868" s="28" t="str">
        <x:v>умами</x:v>
      </x:c>
      <x:c r="O868" s="28" t="str">
        <x:v>надёжная общая ключевая молекула не установлена</x:v>
      </x:c>
      <x:c r="P868" s="28" t="str">
        <x:v>пересечение ароматических семейств; умами и солёный контраст</x:v>
      </x:c>
      <x:c r="Q86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8" s="28" t="str">
        <x:v>минимальный</x:v>
      </x:c>
      <x:c r="S868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6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8" s="28" t="str">
        <x:v>Томат имеет профиль «зелёный, фруктовый, листовой, сернистый и умами».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68" s="28" t="str">
        <x:v>незрелые плоды слишком зелёные; длительное кипячение стирает свежесть; кислота влияет на молочные эмульсии</x:v>
      </x:c>
      <x:c r="W868" s="28" t="str">
        <x:v>сливочное масло, соевый соус или тимьян</x:v>
      </x:c>
      <x:c r="X868" s="28" t="str">
        <x:v>сок, кордиал, гаспачо, салат, соус, маринад или коктейльный компонент с моллюски</x:v>
      </x:c>
      <x:c r="Y868" s="28" t="str">
        <x:v>еда, соусы/маринады</x:v>
      </x:c>
      <x:c r="Z868" s="28" t="str">
        <x:v>Средняя</x:v>
      </x:c>
      <x:c r="AA868" s="28" t="str">
        <x:v>Тезариус вкусов (Ники Сегнит)(1).pdf</x:v>
      </x:c>
      <x:c r="AB868" s="28" t="str">
        <x:v>Тезариус вкусов (Ники Сегнит)(1).pdf: 377, 687</x:v>
      </x:c>
      <x:c r="AC868" s="28" t="str">
        <x:v>развёрнутая пара/статья, стр. 377; развёрнутая пара/статья, стр. 687</x:v>
      </x:c>
      <x:c r="AD868" s="28" t="n">
        <x:v>1</x:v>
      </x:c>
      <x:c r="AE868" s="28" t="n">
        <x:v>2</x:v>
      </x:c>
      <x:c r="AF868" s="28" t="n">
        <x:f>IF(Z868="Высокая",3,IF(Z868="Средняя",2,1))+AD868*2+MIN(AE868,3)</x:f>
        <x:v>6</x:v>
      </x:c>
    </x:row>
    <x:row r="869" ht="64" customHeight="1">
      <x:c r="A869" s="28" t="str">
        <x:v>VEG-0868</x:v>
      </x:c>
      <x:c r="B869" s="28" t="str">
        <x:v>томат</x:v>
      </x:c>
      <x:c r="C869" s="28" t="str">
        <x:v>Десерты и выпечка</x:v>
      </x:c>
      <x:c r="D869" s="28" t="str">
        <x:v>томат</x:v>
      </x:c>
      <x:c r="E869" s="28" t="str">
        <x:v>tomato and tomato puree</x:v>
      </x:c>
      <x:c r="F869" s="28" t="str">
        <x:v>Плодовые овощи</x:v>
      </x:c>
      <x:c r="G869" s="28" t="str">
        <x:v>молочный шоколад</x:v>
      </x:c>
      <x:c r="H869" s="28" t="str">
        <x:v>milk chocolate</x:v>
      </x:c>
      <x:c r="I869" s="28" t="str">
        <x:v>Какао и шоколад</x:v>
      </x:c>
      <x:c r="J869" s="28" t="str">
        <x:v>зелёный, фруктовый, листовой, сернистый и умами</x:v>
      </x:c>
      <x:c r="K869" s="28" t="str">
        <x:v>жареный, какаовый, карамельный</x:v>
      </x:c>
      <x:c r="L869" s="28" t="str">
        <x:v>цис-3-гексеналь, гексаналь, β-ионон, метиональ, глутамат</x:v>
      </x:c>
      <x:c r="M869" s="28" t="str">
        <x:v>пиразины, фураны</x:v>
      </x:c>
      <x:c r="N869" s="28" t="str">
        <x:v>прямое пересечение семейств не подтверждено</x:v>
      </x:c>
      <x:c r="O869" s="28" t="str">
        <x:v>надёжная общая ключевая молекула не установлена</x:v>
      </x:c>
      <x:c r="P869" s="28" t="str">
        <x:v>сенсорная комплементарность</x:v>
      </x:c>
      <x:c r="Q86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69" s="28" t="str">
        <x:v>минимальный</x:v>
      </x:c>
      <x:c r="S869" s="28" t="str">
        <x:v>водная кислая матрица с пектином и глутаматом</x:v>
      </x:c>
      <x:c r="T86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69" s="28" t="str">
        <x:v>Томат имеет профиль «зелёный, фруктовый, листовой, сернистый и умами». Партнёр «молочный 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869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W869" s="28" t="str">
        <x:v>сливки, орех или карамель</x:v>
      </x:c>
      <x:c r="X869" s="28" t="str">
        <x:v>сок, кордиал, гаспачо, салат, соус, маринад или коктейльный компонент с молочный шоколад</x:v>
      </x:c>
      <x:c r="Y869" s="28" t="str">
        <x:v>десерты</x:v>
      </x:c>
      <x:c r="Z869" s="28" t="str">
        <x:v>Средняя</x:v>
      </x:c>
      <x:c r="AA869" s="28" t="str">
        <x:v>The Art &amp; Science of Foodpairing.pdf</x:v>
      </x:c>
      <x:c r="AB869" s="28" t="str">
        <x:v>The Art &amp; Science of Foodpairing.pdf: 161</x:v>
      </x:c>
      <x:c r="AC869" s="28" t="str">
        <x:v>связь из pairing grid, стр. 161</x:v>
      </x:c>
      <x:c r="AD869" s="28" t="n">
        <x:v>1</x:v>
      </x:c>
      <x:c r="AE869" s="28" t="n">
        <x:v>1</x:v>
      </x:c>
      <x:c r="AF869" s="28" t="n">
        <x:f>IF(Z869="Высокая",3,IF(Z869="Средняя",2,1))+AD869*2+MIN(AE869,3)</x:f>
        <x:v>5</x:v>
      </x:c>
    </x:row>
    <x:row r="870" ht="64" customHeight="1">
      <x:c r="A870" s="28" t="str">
        <x:v>VEG-0869</x:v>
      </x:c>
      <x:c r="B870" s="28" t="str">
        <x:v>томат</x:v>
      </x:c>
      <x:c r="C870" s="28" t="str">
        <x:v>Универсальные</x:v>
      </x:c>
      <x:c r="D870" s="28" t="str">
        <x:v>томат</x:v>
      </x:c>
      <x:c r="E870" s="28" t="str">
        <x:v>томат</x:v>
      </x:c>
      <x:c r="F870" s="28" t="str">
        <x:v>Плодовые овощи</x:v>
      </x:c>
      <x:c r="G870" s="28" t="str">
        <x:v>морковь</x:v>
      </x:c>
      <x:c r="H870" s="28" t="str">
        <x:v>Морковь</x:v>
      </x:c>
      <x:c r="I870" s="28" t="str">
        <x:v>Корнеплоды</x:v>
      </x:c>
      <x:c r="J870" s="28" t="str">
        <x:v>зелёный, фруктовый, листовой, сернистый и умами</x:v>
      </x:c>
      <x:c r="K870" s="28" t="str">
        <x:v>сладкий, землистый, древесный и слегка цитрусовый</x:v>
      </x:c>
      <x:c r="L870" s="28" t="str">
        <x:v>цис-3-гексеналь, гексаналь, β-ионон, метиональ, глутамат</x:v>
      </x:c>
      <x:c r="M870" s="28" t="str">
        <x:v>β-ионон, каротол, пинены, терпинолен</x:v>
      </x:c>
      <x:c r="N870" s="28" t="str">
        <x:v>прямое пересечение семейств не подтверждено</x:v>
      </x:c>
      <x:c r="O870" s="28" t="str">
        <x:v>β-ионон</x:v>
      </x:c>
      <x:c r="P870" s="28" t="str">
        <x:v>общие характерные молекулы</x:v>
      </x:c>
      <x:c r="Q87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0" s="28" t="str">
        <x:v>минимальный</x:v>
      </x:c>
      <x:c r="S870" s="28" t="str">
        <x:v>водная кислая матрица с пектином и глутаматом</x:v>
      </x:c>
      <x:c r="T87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0" s="28" t="str">
        <x:v>Томат имеет профиль «зелёный, фруктовый, листовой, сернистый и умами». Партнёр «морковь» относится к группе «Корнеплоды» и даёт сладкий, землистый, древесный и слегка цитрусовый. Вероятный молекулярный мост: β-ионон. Совместимость формируется за счёт баланса сладости, кислотности, горечи, умами и текстуры.</x:v>
      </x:c>
      <x:c r="V870" s="28" t="str">
        <x:v>незрелые плоды слишком зелёные; длительное кипячение стирает свежесть; кислота влияет на молочные эмульсии</x:v>
      </x:c>
      <x:c r="W870" s="28" t="str">
        <x:v>соль, кислота или ароматический жир</x:v>
      </x:c>
      <x:c r="X870" s="28" t="str">
        <x:v>сок, кордиал, гаспачо, салат, соус, маринад или коктейльный компонент с морковь</x:v>
      </x:c>
      <x:c r="Y870" s="28" t="str">
        <x:v>универсальное</x:v>
      </x:c>
      <x:c r="Z870" s="28" t="str">
        <x:v>Гипотеза / практическая</x:v>
      </x:c>
      <x:c r="AA870" s="28" t="str">
        <x:v>Таблица сочетания(1).pdf</x:v>
      </x:c>
      <x:c r="AB870" s="28" t="str">
        <x:v>Таблица сочетания(1).pdf: 4</x:v>
      </x:c>
      <x:c r="AC870" s="28" t="str">
        <x:v>рекомендация таблицы, стр. 4</x:v>
      </x:c>
      <x:c r="AD870" s="28" t="n">
        <x:v>1</x:v>
      </x:c>
      <x:c r="AE870" s="28" t="n">
        <x:v>1</x:v>
      </x:c>
      <x:c r="AF870" s="28" t="n">
        <x:f>IF(Z870="Высокая",3,IF(Z870="Средняя",2,1))+AD870*2+MIN(AE870,3)</x:f>
        <x:v>4</x:v>
      </x:c>
    </x:row>
    <x:row r="871" ht="64" customHeight="1">
      <x:c r="A871" s="28" t="str">
        <x:v>VEG-0870</x:v>
      </x:c>
      <x:c r="B871" s="28" t="str">
        <x:v>томат</x:v>
      </x:c>
      <x:c r="C871" s="28" t="str">
        <x:v>Универсальные</x:v>
      </x:c>
      <x:c r="D871" s="28" t="str">
        <x:v>томат</x:v>
      </x:c>
      <x:c r="E871" s="28" t="str">
        <x:v>tomato and tomato puree</x:v>
      </x:c>
      <x:c r="F871" s="28" t="str">
        <x:v>Плодовые овощи</x:v>
      </x:c>
      <x:c r="G871" s="28" t="str">
        <x:v>моцарелла буйволицы</x:v>
      </x:c>
      <x:c r="H871" s="28" t="str">
        <x:v>buffalo mozzarella</x:v>
      </x:c>
      <x:c r="I871" s="28" t="str">
        <x:v>Прочее</x:v>
      </x:c>
      <x:c r="J871" s="28" t="str">
        <x:v>зелёный, фруктовый, листовой, сернистый и умами</x:v>
      </x:c>
      <x:c r="K871" s="28" t="str">
        <x:v>профиль зависит от конкретного продукта</x:v>
      </x:c>
      <x:c r="L871" s="28" t="str">
        <x:v>цис-3-гексеналь, гексаналь, β-ионон, метиональ, глутамат</x:v>
      </x:c>
      <x:c r="M871" s="28" t="str">
        <x:v>конкретный молекулярный профиль не указан</x:v>
      </x:c>
      <x:c r="N871" s="28" t="str">
        <x:v>прямое пересечение семейств не подтверждено</x:v>
      </x:c>
      <x:c r="O871" s="28" t="str">
        <x:v>надёжная общая ключевая молекула не установлена</x:v>
      </x:c>
      <x:c r="P871" s="28" t="str">
        <x:v>сенсорная комплементарность</x:v>
      </x:c>
      <x:c r="Q87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1" s="28" t="str">
        <x:v>минимальный</x:v>
      </x:c>
      <x:c r="S871" s="28" t="str">
        <x:v>водная кислая матрица с пектином и глутаматом</x:v>
      </x:c>
      <x:c r="T87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1" s="28" t="str">
        <x:v>Томат имеет профиль «зелёный, фруктовый, листовой, сернистый и умами». Партнёр «моцарелла буйволицы»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71" s="28" t="str">
        <x:v>незрелые плоды слишком зелёные; длительное кипячение стирает свежесть; кислота влияет на молочные эмульсии</x:v>
      </x:c>
      <x:c r="W871" s="28" t="str">
        <x:v>соль, кислота или ароматический жир</x:v>
      </x:c>
      <x:c r="X871" s="28" t="str">
        <x:v>сок, кордиал, гаспачо, салат, соус, маринад или коктейльный компонент с моцарелла буйволицы</x:v>
      </x:c>
      <x:c r="Y871" s="28" t="str">
        <x:v>универсальное</x:v>
      </x:c>
      <x:c r="Z871" s="28" t="str">
        <x:v>Средняя</x:v>
      </x:c>
      <x:c r="AA871" s="28" t="str">
        <x:v>The Art &amp; Science of Foodpairing.pdf</x:v>
      </x:c>
      <x:c r="AB871" s="28" t="str">
        <x:v>The Art &amp; Science of Foodpairing.pdf: 161</x:v>
      </x:c>
      <x:c r="AC871" s="28" t="str">
        <x:v>связь из pairing grid, стр. 161</x:v>
      </x:c>
      <x:c r="AD871" s="28" t="n">
        <x:v>1</x:v>
      </x:c>
      <x:c r="AE871" s="28" t="n">
        <x:v>1</x:v>
      </x:c>
      <x:c r="AF871" s="28" t="n">
        <x:f>IF(Z871="Высокая",3,IF(Z871="Средняя",2,1))+AD871*2+MIN(AE871,3)</x:f>
        <x:v>5</x:v>
      </x:c>
    </x:row>
    <x:row r="872" ht="64" customHeight="1">
      <x:c r="A872" s="28" t="str">
        <x:v>VEG-0871</x:v>
      </x:c>
      <x:c r="B872" s="28" t="str">
        <x:v>томат</x:v>
      </x:c>
      <x:c r="C872" s="28" t="str">
        <x:v>Универсальные</x:v>
      </x:c>
      <x:c r="D872" s="28" t="str">
        <x:v>томат</x:v>
      </x:c>
      <x:c r="E872" s="28" t="str">
        <x:v>tomato | tomato and tomato puree</x:v>
      </x:c>
      <x:c r="F872" s="28" t="str">
        <x:v>Плодовые овощи</x:v>
      </x:c>
      <x:c r="G872" s="28" t="str">
        <x:v>муравьи саува</x:v>
      </x:c>
      <x:c r="H872" s="28" t="str">
        <x:v>Brazilian saliva ant | Brazilian sauva ant</x:v>
      </x:c>
      <x:c r="I872" s="28" t="str">
        <x:v>Прочее</x:v>
      </x:c>
      <x:c r="J872" s="28" t="str">
        <x:v>зелёный, фруктовый, листовой, сернистый и умами</x:v>
      </x:c>
      <x:c r="K872" s="28" t="str">
        <x:v>профиль зависит от конкретного продукта</x:v>
      </x:c>
      <x:c r="L872" s="28" t="str">
        <x:v>цис-3-гексеналь, гексаналь, β-ионон, метиональ, глутамат</x:v>
      </x:c>
      <x:c r="M872" s="28" t="str">
        <x:v>конкретный молекулярный профиль не указан</x:v>
      </x:c>
      <x:c r="N872" s="28" t="str">
        <x:v>прямое пересечение семейств не подтверждено</x:v>
      </x:c>
      <x:c r="O872" s="28" t="str">
        <x:v>надёжная общая ключевая молекула не установлена</x:v>
      </x:c>
      <x:c r="P872" s="28" t="str">
        <x:v>сенсорная комплементарность</x:v>
      </x:c>
      <x:c r="Q87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2" s="28" t="str">
        <x:v>минимальный</x:v>
      </x:c>
      <x:c r="S872" s="28" t="str">
        <x:v>водная кислая матрица с пектином и глутаматом</x:v>
      </x:c>
      <x:c r="T87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2" s="28" t="str">
        <x:v>Томат имеет профиль «зелёный, фруктовый, листовой, сернистый и умами». Партнёр «муравьи саува»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72" s="28" t="str">
        <x:v>незрелые плоды слишком зелёные; длительное кипячение стирает свежесть; кислота влияет на молочные эмульсии</x:v>
      </x:c>
      <x:c r="W872" s="28" t="str">
        <x:v>соль, кислота или ароматический жир</x:v>
      </x:c>
      <x:c r="X872" s="28" t="str">
        <x:v>сок, кордиал, гаспачо, салат, соус, маринад или коктейльный компонент с муравьи саува</x:v>
      </x:c>
      <x:c r="Y872" s="28" t="str">
        <x:v>универсальное</x:v>
      </x:c>
      <x:c r="Z872" s="28" t="str">
        <x:v>Средняя</x:v>
      </x:c>
      <x:c r="AA872" s="28" t="str">
        <x:v>The Art &amp; Science of Foodpairing.pdf</x:v>
      </x:c>
      <x:c r="AB872" s="28" t="str">
        <x:v>The Art &amp; Science of Foodpairing.pdf: 147, 161</x:v>
      </x:c>
      <x:c r="AC872" s="28" t="str">
        <x:v>связь из pairing grid, стр. 147; связь из pairing grid, стр. 161</x:v>
      </x:c>
      <x:c r="AD872" s="28" t="n">
        <x:v>1</x:v>
      </x:c>
      <x:c r="AE872" s="28" t="n">
        <x:v>2</x:v>
      </x:c>
      <x:c r="AF872" s="28" t="n">
        <x:f>IF(Z872="Высокая",3,IF(Z872="Средняя",2,1))+AD872*2+MIN(AE872,3)</x:f>
        <x:v>6</x:v>
      </x:c>
    </x:row>
    <x:row r="873" ht="64" customHeight="1">
      <x:c r="A873" s="28" t="str">
        <x:v>VEG-0872</x:v>
      </x:c>
      <x:c r="B873" s="28" t="str">
        <x:v>томат</x:v>
      </x:c>
      <x:c r="C873" s="28" t="str">
        <x:v>Еда и соусы</x:v>
      </x:c>
      <x:c r="D873" s="28" t="str">
        <x:v>томат</x:v>
      </x:c>
      <x:c r="E873" s="28" t="str">
        <x:v>Томаты | томаты</x:v>
      </x:c>
      <x:c r="F873" s="28" t="str">
        <x:v>Плодовые овощи</x:v>
      </x:c>
      <x:c r="G873" s="28" t="str">
        <x:v>мускатный орех</x:v>
      </x:c>
      <x:c r="H873" s="28" t="str">
        <x:v>Мускатный орех | мускатный орех</x:v>
      </x:c>
      <x:c r="I873" s="28" t="str">
        <x:v>Рыба и морепродукты</x:v>
      </x:c>
      <x:c r="J873" s="28" t="str">
        <x:v>зелёный, фруктовый, листовой, сернистый и умами</x:v>
      </x:c>
      <x:c r="K873" s="28" t="str">
        <x:v>камфорный, ореховый, пряный</x:v>
      </x:c>
      <x:c r="L873" s="28" t="str">
        <x:v>цис-3-гексеналь, гексаналь, β-ионон, метиональ, глутамат</x:v>
      </x:c>
      <x:c r="M873" s="28" t="str">
        <x:v>пинены, сабинен</x:v>
      </x:c>
      <x:c r="N873" s="28" t="str">
        <x:v>прямое пересечение семейств не подтверждено</x:v>
      </x:c>
      <x:c r="O873" s="28" t="str">
        <x:v>надёжная общая ключевая молекула не установлена</x:v>
      </x:c>
      <x:c r="P873" s="28" t="str">
        <x:v>умами и солёный контраст</x:v>
      </x:c>
      <x:c r="Q87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3" s="28" t="str">
        <x:v>минимальный</x:v>
      </x:c>
      <x:c r="S873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7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3" s="28" t="str">
        <x:v>Томат имеет профиль «зелёный, фруктовый, листовой, сернистый и умами».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873" s="28" t="str">
        <x:v>незрелые плоды слишком зелёные; длительное кипячение стирает свежесть; кислота влияет на молочные эмульсии</x:v>
      </x:c>
      <x:c r="W873" s="28" t="str">
        <x:v>сливочное масло, соевый соус или тимьян</x:v>
      </x:c>
      <x:c r="X873" s="28" t="str">
        <x:v>сок, кордиал, гаспачо, салат, соус, маринад или коктейльный компонент с мускатный орех</x:v>
      </x:c>
      <x:c r="Y873" s="28" t="str">
        <x:v>еда, соусы/маринады</x:v>
      </x:c>
      <x:c r="Z873" s="28" t="str">
        <x:v>Средняя</x:v>
      </x:c>
      <x:c r="AA873" s="28" t="str">
        <x:v>Тезариус вкусов (Ники Сегнит)(1).pdf</x:v>
      </x:c>
      <x:c r="AB873" s="28" t="str">
        <x:v>Тезариус вкусов (Ники Сегнит)(1).pdf: 590, 688</x:v>
      </x:c>
      <x:c r="AC873" s="28" t="str">
        <x:v>развёрнутая пара/статья, стр. 590; развёрнутая пара/статья, стр. 688</x:v>
      </x:c>
      <x:c r="AD873" s="28" t="n">
        <x:v>1</x:v>
      </x:c>
      <x:c r="AE873" s="28" t="n">
        <x:v>2</x:v>
      </x:c>
      <x:c r="AF873" s="28" t="n">
        <x:f>IF(Z873="Высокая",3,IF(Z873="Средняя",2,1))+AD873*2+MIN(AE873,3)</x:f>
        <x:v>6</x:v>
      </x:c>
    </x:row>
    <x:row r="874" ht="64" customHeight="1">
      <x:c r="A874" s="28" t="str">
        <x:v>VEG-0873</x:v>
      </x:c>
      <x:c r="B874" s="28" t="str">
        <x:v>томат</x:v>
      </x:c>
      <x:c r="C874" s="28" t="str">
        <x:v>Десерты и выпечка</x:v>
      </x:c>
      <x:c r="D874" s="28" t="str">
        <x:v>томат</x:v>
      </x:c>
      <x:c r="E874" s="28" t="str">
        <x:v>Томаты | томаты</x:v>
      </x:c>
      <x:c r="F874" s="28" t="str">
        <x:v>Плодовые овощи</x:v>
      </x:c>
      <x:c r="G874" s="28" t="str">
        <x:v>мягкий сыр</x:v>
      </x:c>
      <x:c r="H874" s="28" t="str">
        <x:v>Мягкий сыр | мягкий сыр</x:v>
      </x:c>
      <x:c r="I874" s="28" t="str">
        <x:v>Молочные продукты и сыры</x:v>
      </x:c>
      <x:c r="J874" s="28" t="str">
        <x:v>зелёный, фруктовый, листовой, сернистый и умами</x:v>
      </x:c>
      <x:c r="K874" s="28" t="str">
        <x:v>молочный, умами, ферментированный</x:v>
      </x:c>
      <x:c r="L874" s="28" t="str">
        <x:v>цис-3-гексеналь, гексаналь, β-ионон, метиональ, глутамат</x:v>
      </x:c>
      <x:c r="M874" s="28" t="str">
        <x:v>диацетил, жирные кислоты</x:v>
      </x:c>
      <x:c r="N874" s="28" t="str">
        <x:v>умами</x:v>
      </x:c>
      <x:c r="O874" s="28" t="str">
        <x:v>надёжная общая ключевая молекула не установлена</x:v>
      </x:c>
      <x:c r="P874" s="28" t="str">
        <x:v>пересечение ароматических семейств; жировая матрица</x:v>
      </x:c>
      <x:c r="Q87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4" s="28" t="str">
        <x:v>минимальный</x:v>
      </x:c>
      <x:c r="S874" s="28" t="str">
        <x:v>водная кислая матрица с пектином и глутаматом Жировая фаза удерживает гидрофобные молекулы, но может сделать вкус тяжёлым.</x:v>
      </x:c>
      <x:c r="T87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4" s="28" t="str">
        <x:v>Томат имеет профиль «зелёный, фруктовый, листовой, сернистый и умами».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874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W874" s="28" t="str">
        <x:v>кислота, зелень или жареный орех</x:v>
      </x:c>
      <x:c r="X874" s="28" t="str">
        <x:v>сок, кордиал, гаспачо, салат, соус, маринад или коктейльный компонент с мягкий сыр</x:v>
      </x:c>
      <x:c r="Y874" s="28" t="str">
        <x:v>десерты</x:v>
      </x:c>
      <x:c r="Z874" s="28" t="str">
        <x:v>Средняя</x:v>
      </x:c>
      <x:c r="AA874" s="28" t="str">
        <x:v>Тезариус вкусов (Ники Сегнит)(1).pdf</x:v>
      </x:c>
      <x:c r="AB874" s="28" t="str">
        <x:v>Тезариус вкусов (Ники Сегнит)(1).pdf: 187, 689</x:v>
      </x:c>
      <x:c r="AC874" s="28" t="str">
        <x:v>развёрнутая пара/статья, стр. 187; развёрнутая пара/статья, стр. 689</x:v>
      </x:c>
      <x:c r="AD874" s="28" t="n">
        <x:v>1</x:v>
      </x:c>
      <x:c r="AE874" s="28" t="n">
        <x:v>2</x:v>
      </x:c>
      <x:c r="AF874" s="28" t="n">
        <x:f>IF(Z874="Высокая",3,IF(Z874="Средняя",2,1))+AD874*2+MIN(AE874,3)</x:f>
        <x:v>6</x:v>
      </x:c>
    </x:row>
    <x:row r="875" ht="64" customHeight="1">
      <x:c r="A875" s="28" t="str">
        <x:v>VEG-0874</x:v>
      </x:c>
      <x:c r="B875" s="28" t="str">
        <x:v>томат</x:v>
      </x:c>
      <x:c r="C875" s="28" t="str">
        <x:v>Еда и соусы</x:v>
      </x:c>
      <x:c r="D875" s="28" t="str">
        <x:v>томат</x:v>
      </x:c>
      <x:c r="E875" s="28" t="str">
        <x:v>Italian vine tomato</x:v>
      </x:c>
      <x:c r="F875" s="28" t="str">
        <x:v>Плодовые овощи</x:v>
      </x:c>
      <x:c r="G875" s="28" t="str">
        <x:v>мясо</x:v>
      </x:c>
      <x:c r="H875" s="28" t="str">
        <x:v>meat</x:v>
      </x:c>
      <x:c r="I875" s="28" t="str">
        <x:v>Мясо и птица</x:v>
      </x:c>
      <x:c r="J875" s="28" t="str">
        <x:v>зелёный, фруктовый, листовой, сернистый и умами</x:v>
      </x:c>
      <x:c r="K875" s="28" t="str">
        <x:v>жареный, жирный, умами</x:v>
      </x:c>
      <x:c r="L875" s="28" t="str">
        <x:v>цис-3-гексеналь, гексаналь, β-ионон, метиональ, глутамат</x:v>
      </x:c>
      <x:c r="M875" s="28" t="str">
        <x:v>пиразины, сернистые соединения</x:v>
      </x:c>
      <x:c r="N875" s="28" t="str">
        <x:v>умами</x:v>
      </x:c>
      <x:c r="O875" s="28" t="str">
        <x:v>надёжная общая ключевая молекула не установлена</x:v>
      </x:c>
      <x:c r="P875" s="28" t="str">
        <x:v>пересечение ароматических семейств; умами и солёный контраст</x:v>
      </x:c>
      <x:c r="Q87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5" s="28" t="str">
        <x:v>минимальный</x:v>
      </x:c>
      <x:c r="S875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7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5" s="28" t="str">
        <x:v>Томат имеет профиль «зелёный, фруктовый, листовой, сернистый и умами». Партнёр «мясо» относится к группе «Мясо и птица» и даёт жареный, жирный,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75" s="28" t="str">
        <x:v>незрелые плоды слишком зелёные; длительное кипячение стирает свежесть; кислота влияет на молочные эмульсии</x:v>
      </x:c>
      <x:c r="W875" s="28" t="str">
        <x:v>сливочное масло, соевый соус или тимьян</x:v>
      </x:c>
      <x:c r="X875" s="28" t="str">
        <x:v>сок, кордиал, гаспачо, салат, соус, маринад или коктейльный компонент с мясо</x:v>
      </x:c>
      <x:c r="Y875" s="28" t="str">
        <x:v>еда, соусы/маринады</x:v>
      </x:c>
      <x:c r="Z875" s="28" t="str">
        <x:v>Средняя</x:v>
      </x:c>
      <x:c r="AA875" s="28" t="str">
        <x:v>The Art &amp; Science of Foodpairing.pdf</x:v>
      </x:c>
      <x:c r="AB875" s="28" t="str">
        <x:v>The Art &amp; Science of Foodpairing.pdf: 186</x:v>
      </x:c>
      <x:c r="AC875" s="28" t="str">
        <x:v>связь из pairing grid, стр. 186</x:v>
      </x:c>
      <x:c r="AD875" s="28" t="n">
        <x:v>1</x:v>
      </x:c>
      <x:c r="AE875" s="28" t="n">
        <x:v>1</x:v>
      </x:c>
      <x:c r="AF875" s="28" t="n">
        <x:f>IF(Z875="Высокая",3,IF(Z875="Средняя",2,1))+AD875*2+MIN(AE875,3)</x:f>
        <x:v>5</x:v>
      </x:c>
    </x:row>
    <x:row r="876" ht="64" customHeight="1">
      <x:c r="A876" s="28" t="str">
        <x:v>VEG-0875</x:v>
      </x:c>
      <x:c r="B876" s="28" t="str">
        <x:v>томат</x:v>
      </x:c>
      <x:c r="C876" s="28" t="str">
        <x:v>Универсальные</x:v>
      </x:c>
      <x:c r="D876" s="28" t="str">
        <x:v>томат</x:v>
      </x:c>
      <x:c r="E876" s="28" t="str">
        <x:v>tomato and tomato puree</x:v>
      </x:c>
      <x:c r="F876" s="28" t="str">
        <x:v>Плодовые овощи</x:v>
      </x:c>
      <x:c r="G876" s="28" t="str">
        <x:v>мята</x:v>
      </x:c>
      <x:c r="H876" s="28" t="str">
        <x:v>huacatay (Peruvian black mint) | mint</x:v>
      </x:c>
      <x:c r="I876" s="28" t="str">
        <x:v>Травы, цветы и листья</x:v>
      </x:c>
      <x:c r="J876" s="28" t="str">
        <x:v>зелёный, фруктовый, листовой, сернистый и умами</x:v>
      </x:c>
      <x:c r="K876" s="28" t="str">
        <x:v>зелёный, холодящий</x:v>
      </x:c>
      <x:c r="L876" s="28" t="str">
        <x:v>цис-3-гексеналь, гексаналь, β-ионон, метиональ, глутамат</x:v>
      </x:c>
      <x:c r="M876" s="28" t="str">
        <x:v>ментол</x:v>
      </x:c>
      <x:c r="N876" s="28" t="str">
        <x:v>зелёный</x:v>
      </x:c>
      <x:c r="O876" s="28" t="str">
        <x:v>надёжная общая ключевая молекула не установлена</x:v>
      </x:c>
      <x:c r="P876" s="28" t="str">
        <x:v>пересечение ароматических семейств</x:v>
      </x:c>
      <x:c r="Q87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6" s="28" t="str">
        <x:v>минимальный</x:v>
      </x:c>
      <x:c r="S876" s="28" t="str">
        <x:v>водная кислая матрица с пектином и глутаматом</x:v>
      </x:c>
      <x:c r="T87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6" s="28" t="str">
        <x:v>Томат имеет профиль «зелёный, фруктовый, листовой, сернистый и умами».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876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W876" s="28" t="str">
        <x:v>оливковое масло, лимон или сыр</x:v>
      </x:c>
      <x:c r="X876" s="28" t="str">
        <x:v>сок, кордиал, гаспачо, салат, соус, маринад или коктейльный компонент с мята</x:v>
      </x:c>
      <x:c r="Y876" s="28" t="str">
        <x:v>универсальное</x:v>
      </x:c>
      <x:c r="Z876" s="28" t="str">
        <x:v>Средняя</x:v>
      </x:c>
      <x:c r="AA876" s="28" t="str">
        <x:v>The Art &amp; Science of Foodpairing.pdf</x:v>
      </x:c>
      <x:c r="AB876" s="28" t="str">
        <x:v>The Art &amp; Science of Foodpairing.pdf: 161</x:v>
      </x:c>
      <x:c r="AC876" s="28" t="str">
        <x:v>связь из pairing grid, стр. 161; связь из pairing grid, стр. 161</x:v>
      </x:c>
      <x:c r="AD876" s="28" t="n">
        <x:v>1</x:v>
      </x:c>
      <x:c r="AE876" s="28" t="n">
        <x:v>2</x:v>
      </x:c>
      <x:c r="AF876" s="28" t="n">
        <x:f>IF(Z876="Высокая",3,IF(Z876="Средняя",2,1))+AD876*2+MIN(AE876,3)</x:f>
        <x:v>6</x:v>
      </x:c>
    </x:row>
    <x:row r="877" ht="64" customHeight="1">
      <x:c r="A877" s="28" t="str">
        <x:v>VEG-0876</x:v>
      </x:c>
      <x:c r="B877" s="28" t="str">
        <x:v>томат</x:v>
      </x:c>
      <x:c r="C877" s="28" t="str">
        <x:v>Универсальные</x:v>
      </x:c>
      <x:c r="D877" s="28" t="str">
        <x:v>томат</x:v>
      </x:c>
      <x:c r="E877" s="28" t="str">
        <x:v>tomato and tomato puree</x:v>
      </x:c>
      <x:c r="F877" s="28" t="str">
        <x:v>Плодовые овощи</x:v>
      </x:c>
      <x:c r="G877" s="28" t="str">
        <x:v>овощной бульон</x:v>
      </x:c>
      <x:c r="H877" s="28" t="str">
        <x:v>vegetable broth</x:v>
      </x:c>
      <x:c r="I877" s="28" t="str">
        <x:v>Прочее</x:v>
      </x:c>
      <x:c r="J877" s="28" t="str">
        <x:v>зелёный, фруктовый, листовой, сернистый и умами</x:v>
      </x:c>
      <x:c r="K877" s="28" t="str">
        <x:v>профиль зависит от конкретного продукта</x:v>
      </x:c>
      <x:c r="L877" s="28" t="str">
        <x:v>цис-3-гексеналь, гексаналь, β-ионон, метиональ, глутамат</x:v>
      </x:c>
      <x:c r="M877" s="28" t="str">
        <x:v>конкретный молекулярный профиль не указан</x:v>
      </x:c>
      <x:c r="N877" s="28" t="str">
        <x:v>прямое пересечение семейств не подтверждено</x:v>
      </x:c>
      <x:c r="O877" s="28" t="str">
        <x:v>надёжная общая ключевая молекула не установлена</x:v>
      </x:c>
      <x:c r="P877" s="28" t="str">
        <x:v>сенсорная комплементарность</x:v>
      </x:c>
      <x:c r="Q87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7" s="28" t="str">
        <x:v>минимальный</x:v>
      </x:c>
      <x:c r="S877" s="28" t="str">
        <x:v>водная кислая матрица с пектином и глутаматом</x:v>
      </x:c>
      <x:c r="T87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7" s="28" t="str">
        <x:v>Томат имеет профиль «зелёный, фруктовый, листовой, сернистый и умами». Партнёр «овощной бульон»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77" s="28" t="str">
        <x:v>незрелые плоды слишком зелёные; длительное кипячение стирает свежесть; кислота влияет на молочные эмульсии</x:v>
      </x:c>
      <x:c r="W877" s="28" t="str">
        <x:v>соль, кислота или ароматический жир</x:v>
      </x:c>
      <x:c r="X877" s="28" t="str">
        <x:v>сок, кордиал, гаспачо, салат, соус, маринад или коктейльный компонент с овощной бульон</x:v>
      </x:c>
      <x:c r="Y877" s="28" t="str">
        <x:v>универсальное</x:v>
      </x:c>
      <x:c r="Z877" s="28" t="str">
        <x:v>Средняя</x:v>
      </x:c>
      <x:c r="AA877" s="28" t="str">
        <x:v>The Art &amp; Science of Foodpairing.pdf</x:v>
      </x:c>
      <x:c r="AB877" s="28" t="str">
        <x:v>The Art &amp; Science of Foodpairing.pdf: 161</x:v>
      </x:c>
      <x:c r="AC877" s="28" t="str">
        <x:v>связь из pairing grid, стр. 161</x:v>
      </x:c>
      <x:c r="AD877" s="28" t="n">
        <x:v>1</x:v>
      </x:c>
      <x:c r="AE877" s="28" t="n">
        <x:v>1</x:v>
      </x:c>
      <x:c r="AF877" s="28" t="n">
        <x:f>IF(Z877="Высокая",3,IF(Z877="Средняя",2,1))+AD877*2+MIN(AE877,3)</x:f>
        <x:v>5</x:v>
      </x:c>
    </x:row>
    <x:row r="878" ht="64" customHeight="1">
      <x:c r="A878" s="28" t="str">
        <x:v>VEG-0877</x:v>
      </x:c>
      <x:c r="B878" s="28" t="str">
        <x:v>томат</x:v>
      </x:c>
      <x:c r="C878" s="28" t="str">
        <x:v>Универсальные</x:v>
      </x:c>
      <x:c r="D878" s="28" t="str">
        <x:v>томат</x:v>
      </x:c>
      <x:c r="E878" s="28" t="str">
        <x:v>Томаты | томаты</x:v>
      </x:c>
      <x:c r="F878" s="28" t="str">
        <x:v>Плодовые овощи</x:v>
      </x:c>
      <x:c r="G878" s="28" t="str">
        <x:v>огурец</x:v>
      </x:c>
      <x:c r="H878" s="28" t="str">
        <x:v>Огурцы | огурцы</x:v>
      </x:c>
      <x:c r="I878" s="28" t="str">
        <x:v>Тыквенные</x:v>
      </x:c>
      <x:c r="J878" s="28" t="str">
        <x:v>зелёный, фруктовый, листовой, сернистый и умами</x:v>
      </x:c>
      <x:c r="K878" s="28" t="str">
        <x:v>зелёный, водянистый, свежий и дынный</x:v>
      </x:c>
      <x:c r="L878" s="28" t="str">
        <x:v>цис-3-гексеналь, гексаналь, β-ионон, метиональ, глутамат</x:v>
      </x:c>
      <x:c r="M878" s="28" t="str">
        <x:v>(E)-2-ноненаль, (E,Z)-2,6-нонадиеналь, гексаналь</x:v>
      </x:c>
      <x:c r="N878" s="28" t="str">
        <x:v>зелёный</x:v>
      </x:c>
      <x:c r="O878" s="28" t="str">
        <x:v>гексаналь</x:v>
      </x:c>
      <x:c r="P878" s="28" t="str">
        <x:v>общие характерные молекулы; пересечение ароматических семейств</x:v>
      </x:c>
      <x:c r="Q87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8" s="28" t="str">
        <x:v>минимальный</x:v>
      </x:c>
      <x:c r="S878" s="28" t="str">
        <x:v>водная кислая матрица с пектином и глутаматом</x:v>
      </x:c>
      <x:c r="T87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8" s="28" t="str">
        <x:v>Томат имеет профиль «зелёный, фруктовый, листовой, сернистый и умами». Партнёр «огурец» относится к группе «Тыквенные» и даёт зелёный, водянистый, свежий и дынный. Вероятный молекулярный мост: гексаналь. Совместимость формируется за счёт баланса сладости, кислотности, горечи, умами и текстуры.</x:v>
      </x:c>
      <x:c r="V878" s="28" t="str">
        <x:v>незрелые плоды слишком зелёные; длительное кипячение стирает свежесть; кислота влияет на молочные эмульсии</x:v>
      </x:c>
      <x:c r="W878" s="28" t="str">
        <x:v>соль, кислота или ароматический жир</x:v>
      </x:c>
      <x:c r="X878" s="28" t="str">
        <x:v>сок, кордиал, гаспачо, салат, соус, маринад или коктейльный компонент с огурец</x:v>
      </x:c>
      <x:c r="Y878" s="28" t="str">
        <x:v>универсальное</x:v>
      </x:c>
      <x:c r="Z878" s="28" t="str">
        <x:v>Средняя</x:v>
      </x:c>
      <x:c r="AA878" s="28" t="str">
        <x:v>Тезариус вкусов (Ники Сегнит)(1).pdf</x:v>
      </x:c>
      <x:c r="AB878" s="28" t="str">
        <x:v>Тезариус вкусов (Ники Сегнит)(1).pdf: 497, 689</x:v>
      </x:c>
      <x:c r="AC878" s="28" t="str">
        <x:v>развёрнутая пара/статья, стр. 497; развёрнутая пара/статья, стр. 689</x:v>
      </x:c>
      <x:c r="AD878" s="28" t="n">
        <x:v>1</x:v>
      </x:c>
      <x:c r="AE878" s="28" t="n">
        <x:v>2</x:v>
      </x:c>
      <x:c r="AF878" s="28" t="n">
        <x:f>IF(Z878="Высокая",3,IF(Z878="Средняя",2,1))+AD878*2+MIN(AE878,3)</x:f>
        <x:v>6</x:v>
      </x:c>
    </x:row>
    <x:row r="879" ht="64" customHeight="1">
      <x:c r="A879" s="28" t="str">
        <x:v>VEG-0878</x:v>
      </x:c>
      <x:c r="B879" s="28" t="str">
        <x:v>томат</x:v>
      </x:c>
      <x:c r="C879" s="28" t="str">
        <x:v>Универсальные</x:v>
      </x:c>
      <x:c r="D879" s="28" t="str">
        <x:v>томат</x:v>
      </x:c>
      <x:c r="E879" s="28" t="str">
        <x:v>Томаты | томаты</x:v>
      </x:c>
      <x:c r="F879" s="28" t="str">
        <x:v>Плодовые овощи</x:v>
      </x:c>
      <x:c r="G879" s="28" t="str">
        <x:v>оливки</x:v>
      </x:c>
      <x:c r="H879" s="28" t="str">
        <x:v>Оливки | оливки</x:v>
      </x:c>
      <x:c r="I879" s="28" t="str">
        <x:v>Прочее</x:v>
      </x:c>
      <x:c r="J879" s="28" t="str">
        <x:v>зелёный, фруктовый, листовой, сернистый и умами</x:v>
      </x:c>
      <x:c r="K879" s="28" t="str">
        <x:v>профиль зависит от конкретного продукта</x:v>
      </x:c>
      <x:c r="L879" s="28" t="str">
        <x:v>цис-3-гексеналь, гексаналь, β-ионон, метиональ, глутамат</x:v>
      </x:c>
      <x:c r="M879" s="28" t="str">
        <x:v>конкретный молекулярный профиль не указан</x:v>
      </x:c>
      <x:c r="N879" s="28" t="str">
        <x:v>прямое пересечение семейств не подтверждено</x:v>
      </x:c>
      <x:c r="O879" s="28" t="str">
        <x:v>надёжная общая ключевая молекула не установлена</x:v>
      </x:c>
      <x:c r="P879" s="28" t="str">
        <x:v>сенсорная комплементарность</x:v>
      </x:c>
      <x:c r="Q87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79" s="28" t="str">
        <x:v>минимальный</x:v>
      </x:c>
      <x:c r="S879" s="28" t="str">
        <x:v>водная кислая матрица с пектином и глутаматом</x:v>
      </x:c>
      <x:c r="T87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79" s="28" t="str">
        <x:v>Томат имеет профиль «зелёный, фруктовый, листовой, сернистый и умами».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79" s="28" t="str">
        <x:v>незрелые плоды слишком зелёные; длительное кипячение стирает свежесть; кислота влияет на молочные эмульсии</x:v>
      </x:c>
      <x:c r="W879" s="28" t="str">
        <x:v>соль, кислота или ароматический жир</x:v>
      </x:c>
      <x:c r="X879" s="28" t="str">
        <x:v>сок, кордиал, гаспачо, салат, соус, маринад или коктейльный компонент с оливки</x:v>
      </x:c>
      <x:c r="Y879" s="28" t="str">
        <x:v>универсальное</x:v>
      </x:c>
      <x:c r="Z879" s="28" t="str">
        <x:v>Средняя</x:v>
      </x:c>
      <x:c r="AA879" s="28" t="str">
        <x:v>Тезариус вкусов (Ники Сегнит)(1).pdf</x:v>
      </x:c>
      <x:c r="AB879" s="28" t="str">
        <x:v>Тезариус вкусов (Ники Сегнит)(1).pdf: 470, 689</x:v>
      </x:c>
      <x:c r="AC879" s="28" t="str">
        <x:v>развёрнутая пара/статья, стр. 470; развёрнутая пара/статья, стр. 689</x:v>
      </x:c>
      <x:c r="AD879" s="28" t="n">
        <x:v>1</x:v>
      </x:c>
      <x:c r="AE879" s="28" t="n">
        <x:v>2</x:v>
      </x:c>
      <x:c r="AF879" s="28" t="n">
        <x:f>IF(Z879="Высокая",3,IF(Z879="Средняя",2,1))+AD879*2+MIN(AE879,3)</x:f>
        <x:v>6</x:v>
      </x:c>
    </x:row>
    <x:row r="880" ht="64" customHeight="1">
      <x:c r="A880" s="28" t="str">
        <x:v>VEG-0879</x:v>
      </x:c>
      <x:c r="B880" s="28" t="str">
        <x:v>томат</x:v>
      </x:c>
      <x:c r="C880" s="28" t="str">
        <x:v>Универсальные</x:v>
      </x:c>
      <x:c r="D880" s="28" t="str">
        <x:v>томат</x:v>
      </x:c>
      <x:c r="E880" s="28" t="str">
        <x:v>tomato and tomato puree</x:v>
      </x:c>
      <x:c r="F880" s="28" t="str">
        <x:v>Плодовые овощи</x:v>
      </x:c>
      <x:c r="G880" s="28" t="str">
        <x:v>оливковое масло пикваль</x:v>
      </x:c>
      <x:c r="H880" s="28" t="str">
        <x:v>Picualoliveoil</x:v>
      </x:c>
      <x:c r="I880" s="28" t="str">
        <x:v>Масла и жиры</x:v>
      </x:c>
      <x:c r="J880" s="28" t="str">
        <x:v>зелёный, фруктовый, листовой, сернистый и умами</x:v>
      </x:c>
      <x:c r="K880" s="28" t="str">
        <x:v>жирный и мягкий</x:v>
      </x:c>
      <x:c r="L880" s="28" t="str">
        <x:v>цис-3-гексеналь, гексаналь, β-ионон, метиональ, глутамат</x:v>
      </x:c>
      <x:c r="M880" s="28" t="str">
        <x:v>альдегиды, лактоны</x:v>
      </x:c>
      <x:c r="N880" s="28" t="str">
        <x:v>прямое пересечение семейств не подтверждено</x:v>
      </x:c>
      <x:c r="O880" s="28" t="str">
        <x:v>надёжная общая ключевая молекула не установлена</x:v>
      </x:c>
      <x:c r="P880" s="28" t="str">
        <x:v>жировая матрица</x:v>
      </x:c>
      <x:c r="Q88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0" s="28" t="str">
        <x:v>минимальный</x:v>
      </x:c>
      <x:c r="S880" s="28" t="str">
        <x:v>водная кислая матрица с пектином и глутаматом Жировая фаза удерживает гидрофобные молекулы, но может сделать вкус тяжёлым.</x:v>
      </x:c>
      <x:c r="T88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0" s="28" t="str">
        <x:v>Томат имеет профиль «зелёный, фруктовый, листовой, сернистый и умами».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880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W880" s="28" t="str">
        <x:v>кислота, зелень или жареный орех</x:v>
      </x:c>
      <x:c r="X880" s="28" t="str">
        <x:v>сок, кордиал, гаспачо, салат, соус, маринад или коктейльный компонент с оливковое масло пикваль</x:v>
      </x:c>
      <x:c r="Y880" s="28" t="str">
        <x:v>универсальное</x:v>
      </x:c>
      <x:c r="Z880" s="28" t="str">
        <x:v>Средняя</x:v>
      </x:c>
      <x:c r="AA880" s="28" t="str">
        <x:v>The Art &amp; Science of Foodpairing.pdf</x:v>
      </x:c>
      <x:c r="AB880" s="28" t="str">
        <x:v>The Art &amp; Science of Foodpairing.pdf: 161</x:v>
      </x:c>
      <x:c r="AC880" s="28" t="str">
        <x:v>связь из pairing grid, стр. 161</x:v>
      </x:c>
      <x:c r="AD880" s="28" t="n">
        <x:v>1</x:v>
      </x:c>
      <x:c r="AE880" s="28" t="n">
        <x:v>1</x:v>
      </x:c>
      <x:c r="AF880" s="28" t="n">
        <x:f>IF(Z880="Высокая",3,IF(Z880="Средняя",2,1))+AD880*2+MIN(AE880,3)</x:f>
        <x:v>5</x:v>
      </x:c>
    </x:row>
    <x:row r="881" ht="64" customHeight="1">
      <x:c r="A881" s="28" t="str">
        <x:v>VEG-0880</x:v>
      </x:c>
      <x:c r="B881" s="28" t="str">
        <x:v>томат</x:v>
      </x:c>
      <x:c r="C881" s="28" t="str">
        <x:v>Универсальные</x:v>
      </x:c>
      <x:c r="D881" s="28" t="str">
        <x:v>томат</x:v>
      </x:c>
      <x:c r="E881" s="28" t="str">
        <x:v>tomato and tomato puree</x:v>
      </x:c>
      <x:c r="F881" s="28" t="str">
        <x:v>Плодовые овощи</x:v>
      </x:c>
      <x:c r="G881" s="28" t="str">
        <x:v>папайя</x:v>
      </x:c>
      <x:c r="H881" s="28" t="str">
        <x:v>papaya</x:v>
      </x:c>
      <x:c r="I881" s="28" t="str">
        <x:v>Прочее</x:v>
      </x:c>
      <x:c r="J881" s="28" t="str">
        <x:v>зелёный, фруктовый, листовой, сернистый и умами</x:v>
      </x:c>
      <x:c r="K881" s="28" t="str">
        <x:v>профиль зависит от конкретного продукта</x:v>
      </x:c>
      <x:c r="L881" s="28" t="str">
        <x:v>цис-3-гексеналь, гексаналь, β-ионон, метиональ, глутамат</x:v>
      </x:c>
      <x:c r="M881" s="28" t="str">
        <x:v>конкретный молекулярный профиль не указан</x:v>
      </x:c>
      <x:c r="N881" s="28" t="str">
        <x:v>прямое пересечение семейств не подтверждено</x:v>
      </x:c>
      <x:c r="O881" s="28" t="str">
        <x:v>надёжная общая ключевая молекула не установлена</x:v>
      </x:c>
      <x:c r="P881" s="28" t="str">
        <x:v>сенсорная комплементарность</x:v>
      </x:c>
      <x:c r="Q88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1" s="28" t="str">
        <x:v>минимальный</x:v>
      </x:c>
      <x:c r="S881" s="28" t="str">
        <x:v>водная кислая матрица с пектином и глутаматом</x:v>
      </x:c>
      <x:c r="T88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1" s="28" t="str">
        <x:v>Томат имеет профиль «зелёный, фруктовый, листовой, сернистый и умами». Партнёр «папайя»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81" s="28" t="str">
        <x:v>незрелые плоды слишком зелёные; длительное кипячение стирает свежесть; кислота влияет на молочные эмульсии</x:v>
      </x:c>
      <x:c r="W881" s="28" t="str">
        <x:v>соль, кислота или ароматический жир</x:v>
      </x:c>
      <x:c r="X881" s="28" t="str">
        <x:v>сок, кордиал, гаспачо, салат, соус, маринад или коктейльный компонент с папайя</x:v>
      </x:c>
      <x:c r="Y881" s="28" t="str">
        <x:v>универсальное</x:v>
      </x:c>
      <x:c r="Z881" s="28" t="str">
        <x:v>Средняя</x:v>
      </x:c>
      <x:c r="AA881" s="28" t="str">
        <x:v>The Art &amp; Science of Foodpairing.pdf</x:v>
      </x:c>
      <x:c r="AB881" s="28" t="str">
        <x:v>The Art &amp; Science of Foodpairing.pdf: 161</x:v>
      </x:c>
      <x:c r="AC881" s="28" t="str">
        <x:v>связь из pairing grid, стр. 161</x:v>
      </x:c>
      <x:c r="AD881" s="28" t="n">
        <x:v>1</x:v>
      </x:c>
      <x:c r="AE881" s="28" t="n">
        <x:v>1</x:v>
      </x:c>
      <x:c r="AF881" s="28" t="n">
        <x:f>IF(Z881="Высокая",3,IF(Z881="Средняя",2,1))+AD881*2+MIN(AE881,3)</x:f>
        <x:v>5</x:v>
      </x:c>
    </x:row>
    <x:row r="882" ht="64" customHeight="1">
      <x:c r="A882" s="28" t="str">
        <x:v>VEG-0881</x:v>
      </x:c>
      <x:c r="B882" s="28" t="str">
        <x:v>томат</x:v>
      </x:c>
      <x:c r="C882" s="28" t="str">
        <x:v>Десерты и выпечка</x:v>
      </x:c>
      <x:c r="D882" s="28" t="str">
        <x:v>томат</x:v>
      </x:c>
      <x:c r="E882" s="28" t="str">
        <x:v>tomato and tomato puree</x:v>
      </x:c>
      <x:c r="F882" s="28" t="str">
        <x:v>Плодовые овощи</x:v>
      </x:c>
      <x:c r="G882" s="28" t="str">
        <x:v>паста карри мадрас</x:v>
      </x:c>
      <x:c r="H882" s="28" t="str">
        <x:v>Madras curry paste</x:v>
      </x:c>
      <x:c r="I882" s="28" t="str">
        <x:v>Выпечка, крупы, сахара и десерты</x:v>
      </x:c>
      <x:c r="J882" s="28" t="str">
        <x:v>зелёный, фруктовый, листовой, сернистый и умами</x:v>
      </x:c>
      <x:c r="K882" s="28" t="str">
        <x:v>сладкий, карамельный и жареный</x:v>
      </x:c>
      <x:c r="L882" s="28" t="str">
        <x:v>цис-3-гексеналь, гексаналь, β-ионон, метиональ, глутамат</x:v>
      </x:c>
      <x:c r="M882" s="28" t="str">
        <x:v>мальтол, пиразины, фураны</x:v>
      </x:c>
      <x:c r="N882" s="28" t="str">
        <x:v>прямое пересечение семейств не подтверждено</x:v>
      </x:c>
      <x:c r="O882" s="28" t="str">
        <x:v>надёжная общая ключевая молекула не установлена</x:v>
      </x:c>
      <x:c r="P882" s="28" t="str">
        <x:v>сенсорная комплементарность</x:v>
      </x:c>
      <x:c r="Q88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2" s="28" t="str">
        <x:v>минимальный</x:v>
      </x:c>
      <x:c r="S882" s="28" t="str">
        <x:v>водная кислая матрица с пектином и глутаматом</x:v>
      </x:c>
      <x:c r="T88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2" s="28" t="str">
        <x:v>Томат имеет профиль «зелёный, фруктовый, листовой, сернистый и умами». Партнёр «паста карри мадрас»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882" s="28" t="str">
        <x:v>незрелые плоды слишком зелёные; длительное кипячение стирает свежесть; кислота влияет на молочные эмульсии</x:v>
      </x:c>
      <x:c r="W882" s="28" t="str">
        <x:v>соль, кислота или ароматический жир</x:v>
      </x:c>
      <x:c r="X882" s="28" t="str">
        <x:v>сок, кордиал, гаспачо, салат, соус, маринад или коктейльный компонент с паста карри мадрас</x:v>
      </x:c>
      <x:c r="Y882" s="28" t="str">
        <x:v>десерты</x:v>
      </x:c>
      <x:c r="Z882" s="28" t="str">
        <x:v>Средняя</x:v>
      </x:c>
      <x:c r="AA882" s="28" t="str">
        <x:v>The Art &amp; Science of Foodpairing.pdf</x:v>
      </x:c>
      <x:c r="AB882" s="28" t="str">
        <x:v>The Art &amp; Science of Foodpairing.pdf: 161</x:v>
      </x:c>
      <x:c r="AC882" s="28" t="str">
        <x:v>связь из pairing grid, стр. 161</x:v>
      </x:c>
      <x:c r="AD882" s="28" t="n">
        <x:v>1</x:v>
      </x:c>
      <x:c r="AE882" s="28" t="n">
        <x:v>1</x:v>
      </x:c>
      <x:c r="AF882" s="28" t="n">
        <x:f>IF(Z882="Высокая",3,IF(Z882="Средняя",2,1))+AD882*2+MIN(AE882,3)</x:f>
        <x:v>5</x:v>
      </x:c>
    </x:row>
    <x:row r="883" ht="64" customHeight="1">
      <x:c r="A883" s="28" t="str">
        <x:v>VEG-0882</x:v>
      </x:c>
      <x:c r="B883" s="28" t="str">
        <x:v>томат</x:v>
      </x:c>
      <x:c r="C883" s="28" t="str">
        <x:v>Десерты и выпечка</x:v>
      </x:c>
      <x:c r="D883" s="28" t="str">
        <x:v>томат</x:v>
      </x:c>
      <x:c r="E883" s="28" t="str">
        <x:v>tomato and tomato puree</x:v>
      </x:c>
      <x:c r="F883" s="28" t="str">
        <x:v>Плодовые овощи</x:v>
      </x:c>
      <x:c r="G883" s="28" t="str">
        <x:v>паста тикка масала</x:v>
      </x:c>
      <x:c r="H883" s="28" t="str">
        <x:v>tikka masala paste</x:v>
      </x:c>
      <x:c r="I883" s="28" t="str">
        <x:v>Выпечка, крупы, сахара и десерты</x:v>
      </x:c>
      <x:c r="J883" s="28" t="str">
        <x:v>зелёный, фруктовый, листовой, сернистый и умами</x:v>
      </x:c>
      <x:c r="K883" s="28" t="str">
        <x:v>сладкий, карамельный и жареный</x:v>
      </x:c>
      <x:c r="L883" s="28" t="str">
        <x:v>цис-3-гексеналь, гексаналь, β-ионон, метиональ, глутамат</x:v>
      </x:c>
      <x:c r="M883" s="28" t="str">
        <x:v>мальтол, пиразины, фураны</x:v>
      </x:c>
      <x:c r="N883" s="28" t="str">
        <x:v>прямое пересечение семейств не подтверждено</x:v>
      </x:c>
      <x:c r="O883" s="28" t="str">
        <x:v>надёжная общая ключевая молекула не установлена</x:v>
      </x:c>
      <x:c r="P883" s="28" t="str">
        <x:v>сенсорная комплементарность</x:v>
      </x:c>
      <x:c r="Q88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3" s="28" t="str">
        <x:v>минимальный</x:v>
      </x:c>
      <x:c r="S883" s="28" t="str">
        <x:v>водная кислая матрица с пектином и глутаматом</x:v>
      </x:c>
      <x:c r="T88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3" s="28" t="str">
        <x:v>Томат имеет профиль «зелёный, фруктовый, листовой, сернистый и умами». Партнёр «паста тикка масала»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883" s="28" t="str">
        <x:v>незрелые плоды слишком зелёные; длительное кипячение стирает свежесть; кислота влияет на молочные эмульсии</x:v>
      </x:c>
      <x:c r="W883" s="28" t="str">
        <x:v>соль, кислота или ароматический жир</x:v>
      </x:c>
      <x:c r="X883" s="28" t="str">
        <x:v>сок, кордиал, гаспачо, салат, соус, маринад или коктейльный компонент с паста тикка масала</x:v>
      </x:c>
      <x:c r="Y883" s="28" t="str">
        <x:v>десерты</x:v>
      </x:c>
      <x:c r="Z883" s="28" t="str">
        <x:v>Средняя</x:v>
      </x:c>
      <x:c r="AA883" s="28" t="str">
        <x:v>The Art &amp; Science of Foodpairing.pdf</x:v>
      </x:c>
      <x:c r="AB883" s="28" t="str">
        <x:v>The Art &amp; Science of Foodpairing.pdf: 161</x:v>
      </x:c>
      <x:c r="AC883" s="28" t="str">
        <x:v>связь из pairing grid, стр. 161</x:v>
      </x:c>
      <x:c r="AD883" s="28" t="n">
        <x:v>1</x:v>
      </x:c>
      <x:c r="AE883" s="28" t="n">
        <x:v>1</x:v>
      </x:c>
      <x:c r="AF883" s="28" t="n">
        <x:f>IF(Z883="Высокая",3,IF(Z883="Средняя",2,1))+AD883*2+MIN(AE883,3)</x:f>
        <x:v>5</x:v>
      </x:c>
    </x:row>
    <x:row r="884" ht="64" customHeight="1">
      <x:c r="A884" s="28" t="str">
        <x:v>VEG-0883</x:v>
      </x:c>
      <x:c r="B884" s="28" t="str">
        <x:v>томат</x:v>
      </x:c>
      <x:c r="C884" s="28" t="str">
        <x:v>Универсальные</x:v>
      </x:c>
      <x:c r="D884" s="28" t="str">
        <x:v>томат</x:v>
      </x:c>
      <x:c r="E884" s="28" t="str">
        <x:v>tomato and tomato puree</x:v>
      </x:c>
      <x:c r="F884" s="28" t="str">
        <x:v>Плодовые овощи</x:v>
      </x:c>
      <x:c r="G884" s="28" t="str">
        <x:v>пекан</x:v>
      </x:c>
      <x:c r="H884" s="28" t="str">
        <x:v>pecan</x:v>
      </x:c>
      <x:c r="I884" s="28" t="str">
        <x:v>Прочее</x:v>
      </x:c>
      <x:c r="J884" s="28" t="str">
        <x:v>зелёный, фруктовый, листовой, сернистый и умами</x:v>
      </x:c>
      <x:c r="K884" s="28" t="str">
        <x:v>профиль зависит от конкретного продукта</x:v>
      </x:c>
      <x:c r="L884" s="28" t="str">
        <x:v>цис-3-гексеналь, гексаналь, β-ионон, метиональ, глутамат</x:v>
      </x:c>
      <x:c r="M884" s="28" t="str">
        <x:v>конкретный молекулярный профиль не указан</x:v>
      </x:c>
      <x:c r="N884" s="28" t="str">
        <x:v>прямое пересечение семейств не подтверждено</x:v>
      </x:c>
      <x:c r="O884" s="28" t="str">
        <x:v>надёжная общая ключевая молекула не установлена</x:v>
      </x:c>
      <x:c r="P884" s="28" t="str">
        <x:v>сенсорная комплементарность</x:v>
      </x:c>
      <x:c r="Q88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4" s="28" t="str">
        <x:v>минимальный</x:v>
      </x:c>
      <x:c r="S884" s="28" t="str">
        <x:v>водная кислая матрица с пектином и глутаматом</x:v>
      </x:c>
      <x:c r="T88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4" s="28" t="str">
        <x:v>Томат имеет профиль «зелёный, фруктовый, листовой, сернистый и умами». Партнёр «пекан»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84" s="28" t="str">
        <x:v>незрелые плоды слишком зелёные; длительное кипячение стирает свежесть; кислота влияет на молочные эмульсии</x:v>
      </x:c>
      <x:c r="W884" s="28" t="str">
        <x:v>соль, кислота или ароматический жир</x:v>
      </x:c>
      <x:c r="X884" s="28" t="str">
        <x:v>сок, кордиал, гаспачо, салат, соус, маринад или коктейльный компонент с пекан</x:v>
      </x:c>
      <x:c r="Y884" s="28" t="str">
        <x:v>универсальное</x:v>
      </x:c>
      <x:c r="Z884" s="28" t="str">
        <x:v>Средняя</x:v>
      </x:c>
      <x:c r="AA884" s="28" t="str">
        <x:v>The Art &amp; Science of Foodpairing.pdf</x:v>
      </x:c>
      <x:c r="AB884" s="28" t="str">
        <x:v>The Art &amp; Science of Foodpairing.pdf: 161</x:v>
      </x:c>
      <x:c r="AC884" s="28" t="str">
        <x:v>связь из pairing grid, стр. 161</x:v>
      </x:c>
      <x:c r="AD884" s="28" t="n">
        <x:v>1</x:v>
      </x:c>
      <x:c r="AE884" s="28" t="n">
        <x:v>1</x:v>
      </x:c>
      <x:c r="AF884" s="28" t="n">
        <x:f>IF(Z884="Высокая",3,IF(Z884="Средняя",2,1))+AD884*2+MIN(AE884,3)</x:f>
        <x:v>5</x:v>
      </x:c>
    </x:row>
    <x:row r="885" ht="64" customHeight="1">
      <x:c r="A885" s="28" t="str">
        <x:v>VEG-0884</x:v>
      </x:c>
      <x:c r="B885" s="28" t="str">
        <x:v>томат</x:v>
      </x:c>
      <x:c r="C885" s="28" t="str">
        <x:v>Универсальные</x:v>
      </x:c>
      <x:c r="D885" s="28" t="str">
        <x:v>томат</x:v>
      </x:c>
      <x:c r="E885" s="28" t="str">
        <x:v>томат</x:v>
      </x:c>
      <x:c r="F885" s="28" t="str">
        <x:v>Плодовые овощи</x:v>
      </x:c>
      <x:c r="G885" s="28" t="str">
        <x:v>перец</x:v>
      </x:c>
      <x:c r="H885" s="28" t="str">
        <x:v>Перец</x:v>
      </x:c>
      <x:c r="I885" s="28" t="str">
        <x:v>Прочее</x:v>
      </x:c>
      <x:c r="J885" s="28" t="str">
        <x:v>зелёный, фруктовый, листовой, сернистый и умами</x:v>
      </x:c>
      <x:c r="K885" s="28" t="str">
        <x:v>профиль зависит от конкретного продукта</x:v>
      </x:c>
      <x:c r="L885" s="28" t="str">
        <x:v>цис-3-гексеналь, гексаналь, β-ионон, метиональ, глутамат</x:v>
      </x:c>
      <x:c r="M885" s="28" t="str">
        <x:v>конкретный молекулярный профиль не указан</x:v>
      </x:c>
      <x:c r="N885" s="28" t="str">
        <x:v>прямое пересечение семейств не подтверждено</x:v>
      </x:c>
      <x:c r="O885" s="28" t="str">
        <x:v>надёжная общая ключевая молекула не установлена</x:v>
      </x:c>
      <x:c r="P885" s="28" t="str">
        <x:v>сенсорная комплементарность</x:v>
      </x:c>
      <x:c r="Q88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5" s="28" t="str">
        <x:v>минимальный</x:v>
      </x:c>
      <x:c r="S885" s="28" t="str">
        <x:v>водная кислая матрица с пектином и глутаматом</x:v>
      </x:c>
      <x:c r="T88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5" s="28" t="str">
        <x:v>Томат имеет профиль «зелёный, фруктовый, листовой, сернистый и умами». Партнёр «перец»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85" s="28" t="str">
        <x:v>незрелые плоды слишком зелёные; длительное кипячение стирает свежесть; кислота влияет на молочные эмульсии</x:v>
      </x:c>
      <x:c r="W885" s="28" t="str">
        <x:v>соль, кислота или ароматический жир</x:v>
      </x:c>
      <x:c r="X885" s="28" t="str">
        <x:v>сок, кордиал, гаспачо, салат, соус, маринад или коктейльный компонент с перец</x:v>
      </x:c>
      <x:c r="Y885" s="28" t="str">
        <x:v>универсальное</x:v>
      </x:c>
      <x:c r="Z885" s="28" t="str">
        <x:v>Гипотеза / практическая</x:v>
      </x:c>
      <x:c r="AA885" s="28" t="str">
        <x:v>Таблица сочетания(1).pdf</x:v>
      </x:c>
      <x:c r="AB885" s="28" t="str">
        <x:v>Таблица сочетания(1).pdf: 16</x:v>
      </x:c>
      <x:c r="AC885" s="28" t="str">
        <x:v>рекомендация таблицы, стр. 16</x:v>
      </x:c>
      <x:c r="AD885" s="28" t="n">
        <x:v>1</x:v>
      </x:c>
      <x:c r="AE885" s="28" t="n">
        <x:v>1</x:v>
      </x:c>
      <x:c r="AF885" s="28" t="n">
        <x:f>IF(Z885="Высокая",3,IF(Z885="Средняя",2,1))+AD885*2+MIN(AE885,3)</x:f>
        <x:v>4</x:v>
      </x:c>
    </x:row>
    <x:row r="886" ht="64" customHeight="1">
      <x:c r="A886" s="28" t="str">
        <x:v>VEG-0885</x:v>
      </x:c>
      <x:c r="B886" s="28" t="str">
        <x:v>томат</x:v>
      </x:c>
      <x:c r="C886" s="28" t="str">
        <x:v>Еда и соусы</x:v>
      </x:c>
      <x:c r="D886" s="28" t="str">
        <x:v>томат</x:v>
      </x:c>
      <x:c r="E886" s="28" t="str">
        <x:v>Томаты | томаты</x:v>
      </x:c>
      <x:c r="F886" s="28" t="str">
        <x:v>Плодовые овощи</x:v>
      </x:c>
      <x:c r="G886" s="28" t="str">
        <x:v>прошутто</x:v>
      </x:c>
      <x:c r="H886" s="28" t="str">
        <x:v>Прошутто | прошутто</x:v>
      </x:c>
      <x:c r="I886" s="28" t="str">
        <x:v>Мясо и птица</x:v>
      </x:c>
      <x:c r="J886" s="28" t="str">
        <x:v>зелёный, фруктовый, листовой, сернистый и умами</x:v>
      </x:c>
      <x:c r="K886" s="28" t="str">
        <x:v>жареный, мясной и умами</x:v>
      </x:c>
      <x:c r="L886" s="28" t="str">
        <x:v>цис-3-гексеналь, гексаналь, β-ионон, метиональ, глутамат</x:v>
      </x:c>
      <x:c r="M886" s="28" t="str">
        <x:v>пиразины, сернистые соединения</x:v>
      </x:c>
      <x:c r="N886" s="28" t="str">
        <x:v>умами</x:v>
      </x:c>
      <x:c r="O886" s="28" t="str">
        <x:v>надёжная общая ключевая молекула не установлена</x:v>
      </x:c>
      <x:c r="P886" s="28" t="str">
        <x:v>пересечение ароматических семейств; умами и солёный контраст</x:v>
      </x:c>
      <x:c r="Q88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6" s="28" t="str">
        <x:v>минимальный</x:v>
      </x:c>
      <x:c r="S886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8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6" s="28" t="str">
        <x:v>Томат имеет профиль «зелёный, фруктовый, листовой, сернистый и умами». Партнёр «прошутто»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86" s="28" t="str">
        <x:v>незрелые плоды слишком зелёные; длительное кипячение стирает свежесть; кислота влияет на молочные эмульсии</x:v>
      </x:c>
      <x:c r="W886" s="28" t="str">
        <x:v>сливочное масло, соевый соус или тимьян</x:v>
      </x:c>
      <x:c r="X886" s="28" t="str">
        <x:v>сок, кордиал, гаспачо, салат, соус, маринад или коктейльный компонент с прошутто</x:v>
      </x:c>
      <x:c r="Y886" s="28" t="str">
        <x:v>еда, соусы/маринады</x:v>
      </x:c>
      <x:c r="Z886" s="28" t="str">
        <x:v>Средняя</x:v>
      </x:c>
      <x:c r="AA886" s="28" t="str">
        <x:v>Тезариус вкусов (Ники Сегнит)(1).pdf</x:v>
      </x:c>
      <x:c r="AB886" s="28" t="str">
        <x:v>Тезариус вкусов (Ники Сегнит)(1).pdf: 460, 689</x:v>
      </x:c>
      <x:c r="AC886" s="28" t="str">
        <x:v>развёрнутая пара/статья, стр. 460; развёрнутая пара/статья, стр. 689</x:v>
      </x:c>
      <x:c r="AD886" s="28" t="n">
        <x:v>1</x:v>
      </x:c>
      <x:c r="AE886" s="28" t="n">
        <x:v>2</x:v>
      </x:c>
      <x:c r="AF886" s="28" t="n">
        <x:f>IF(Z886="Высокая",3,IF(Z886="Средняя",2,1))+AD886*2+MIN(AE886,3)</x:f>
        <x:v>6</x:v>
      </x:c>
    </x:row>
    <x:row r="887" ht="64" customHeight="1">
      <x:c r="A887" s="28" t="str">
        <x:v>VEG-0886</x:v>
      </x:c>
      <x:c r="B887" s="28" t="str">
        <x:v>томат</x:v>
      </x:c>
      <x:c r="C887" s="28" t="str">
        <x:v>Универсальные</x:v>
      </x:c>
      <x:c r="D887" s="28" t="str">
        <x:v>томат</x:v>
      </x:c>
      <x:c r="E887" s="28" t="str">
        <x:v>tomato and tomato puree</x:v>
      </x:c>
      <x:c r="F887" s="28" t="str">
        <x:v>Плодовые овощи</x:v>
      </x:c>
      <x:c r="G887" s="28" t="str">
        <x:v>рапсовое масло</x:v>
      </x:c>
      <x:c r="H887" s="28" t="str">
        <x:v>rapeseed oil</x:v>
      </x:c>
      <x:c r="I887" s="28" t="str">
        <x:v>Масла и жиры</x:v>
      </x:c>
      <x:c r="J887" s="28" t="str">
        <x:v>зелёный, фруктовый, листовой, сернистый и умами</x:v>
      </x:c>
      <x:c r="K887" s="28" t="str">
        <x:v>жирный и мягкий</x:v>
      </x:c>
      <x:c r="L887" s="28" t="str">
        <x:v>цис-3-гексеналь, гексаналь, β-ионон, метиональ, глутамат</x:v>
      </x:c>
      <x:c r="M887" s="28" t="str">
        <x:v>альдегиды, лактоны</x:v>
      </x:c>
      <x:c r="N887" s="28" t="str">
        <x:v>прямое пересечение семейств не подтверждено</x:v>
      </x:c>
      <x:c r="O887" s="28" t="str">
        <x:v>надёжная общая ключевая молекула не установлена</x:v>
      </x:c>
      <x:c r="P887" s="28" t="str">
        <x:v>жировая матрица</x:v>
      </x:c>
      <x:c r="Q88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7" s="28" t="str">
        <x:v>минимальный</x:v>
      </x:c>
      <x:c r="S887" s="28" t="str">
        <x:v>водная кислая матрица с пектином и глутаматом Жировая фаза удерживает гидрофобные молекулы, но может сделать вкус тяжёлым.</x:v>
      </x:c>
      <x:c r="T88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7" s="28" t="str">
        <x:v>Томат имеет профиль «зелёный, фруктовый, листовой, сернистый и умами». Партнёр «рапсовое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887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W887" s="28" t="str">
        <x:v>кислота, зелень или жареный орех</x:v>
      </x:c>
      <x:c r="X887" s="28" t="str">
        <x:v>сок, кордиал, гаспачо, салат, соус, маринад или коктейльный компонент с рапсовое масло</x:v>
      </x:c>
      <x:c r="Y887" s="28" t="str">
        <x:v>универсальное</x:v>
      </x:c>
      <x:c r="Z887" s="28" t="str">
        <x:v>Средняя</x:v>
      </x:c>
      <x:c r="AA887" s="28" t="str">
        <x:v>The Art &amp; Science of Foodpairing.pdf</x:v>
      </x:c>
      <x:c r="AB887" s="28" t="str">
        <x:v>The Art &amp; Science of Foodpairing.pdf: 161</x:v>
      </x:c>
      <x:c r="AC887" s="28" t="str">
        <x:v>связь из pairing grid, стр. 161</x:v>
      </x:c>
      <x:c r="AD887" s="28" t="n">
        <x:v>1</x:v>
      </x:c>
      <x:c r="AE887" s="28" t="n">
        <x:v>1</x:v>
      </x:c>
      <x:c r="AF887" s="28" t="n">
        <x:f>IF(Z887="Высокая",3,IF(Z887="Средняя",2,1))+AD887*2+MIN(AE887,3)</x:f>
        <x:v>5</x:v>
      </x:c>
    </x:row>
    <x:row r="888" ht="64" customHeight="1">
      <x:c r="A888" s="28" t="str">
        <x:v>VEG-0887</x:v>
      </x:c>
      <x:c r="B888" s="28" t="str">
        <x:v>томат</x:v>
      </x:c>
      <x:c r="C888" s="28" t="str">
        <x:v>Десерты и выпечка</x:v>
      </x:c>
      <x:c r="D888" s="28" t="str">
        <x:v>томат</x:v>
      </x:c>
      <x:c r="E888" s="28" t="str">
        <x:v>tomato and tomato puree</x:v>
      </x:c>
      <x:c r="F888" s="28" t="str">
        <x:v>Плодовые овощи</x:v>
      </x:c>
      <x:c r="G888" s="28" t="str">
        <x:v>рапсовый мёд</x:v>
      </x:c>
      <x:c r="H888" s="28" t="str">
        <x:v>rapeseedhoney</x:v>
      </x:c>
      <x:c r="I888" s="28" t="str">
        <x:v>Выпечка, крупы, сахара и десерты</x:v>
      </x:c>
      <x:c r="J888" s="28" t="str">
        <x:v>зелёный, фруктовый, листовой, сернистый и умами</x:v>
      </x:c>
      <x:c r="K888" s="28" t="str">
        <x:v>медовый, сладкий, цветочный</x:v>
      </x:c>
      <x:c r="L888" s="28" t="str">
        <x:v>цис-3-гексеналь, гексаналь, β-ионон, метиональ, глутамат</x:v>
      </x:c>
      <x:c r="M888" s="28" t="str">
        <x:v>норизопреноиды, фенилуксусная кислота</x:v>
      </x:c>
      <x:c r="N888" s="28" t="str">
        <x:v>прямое пересечение семейств не подтверждено</x:v>
      </x:c>
      <x:c r="O888" s="28" t="str">
        <x:v>надёжная общая ключевая молекула не установлена</x:v>
      </x:c>
      <x:c r="P888" s="28" t="str">
        <x:v>сенсорная комплементарность</x:v>
      </x:c>
      <x:c r="Q88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8" s="28" t="str">
        <x:v>минимальный</x:v>
      </x:c>
      <x:c r="S888" s="28" t="str">
        <x:v>водная кислая матрица с пектином и глутаматом</x:v>
      </x:c>
      <x:c r="T88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8" s="28" t="str">
        <x:v>Томат имеет профиль «зелёный, фруктовый, листовой, сернистый и умами». Партнёр «рапсовый 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888" s="28" t="str">
        <x:v>незрелые плоды слишком зелёные; длительное кипячение стирает свежесть; кислота влияет на молочные эмульсии</x:v>
      </x:c>
      <x:c r="W888" s="28" t="str">
        <x:v>соль, кислота или ароматический жир</x:v>
      </x:c>
      <x:c r="X888" s="28" t="str">
        <x:v>сок, кордиал, гаспачо, салат, соус, маринад или коктейльный компонент с рапсовый мёд</x:v>
      </x:c>
      <x:c r="Y888" s="28" t="str">
        <x:v>десерты</x:v>
      </x:c>
      <x:c r="Z888" s="28" t="str">
        <x:v>Средняя</x:v>
      </x:c>
      <x:c r="AA888" s="28" t="str">
        <x:v>The Art &amp; Science of Foodpairing.pdf</x:v>
      </x:c>
      <x:c r="AB888" s="28" t="str">
        <x:v>The Art &amp; Science of Foodpairing.pdf: 161</x:v>
      </x:c>
      <x:c r="AC888" s="28" t="str">
        <x:v>связь из pairing grid, стр. 161</x:v>
      </x:c>
      <x:c r="AD888" s="28" t="n">
        <x:v>1</x:v>
      </x:c>
      <x:c r="AE888" s="28" t="n">
        <x:v>1</x:v>
      </x:c>
      <x:c r="AF888" s="28" t="n">
        <x:f>IF(Z888="Высокая",3,IF(Z888="Средняя",2,1))+AD888*2+MIN(AE888,3)</x:f>
        <x:v>5</x:v>
      </x:c>
    </x:row>
    <x:row r="889" ht="64" customHeight="1">
      <x:c r="A889" s="28" t="str">
        <x:v>VEG-0888</x:v>
      </x:c>
      <x:c r="B889" s="28" t="str">
        <x:v>томат</x:v>
      </x:c>
      <x:c r="C889" s="28" t="str">
        <x:v>Еда и соусы</x:v>
      </x:c>
      <x:c r="D889" s="28" t="str">
        <x:v>томат</x:v>
      </x:c>
      <x:c r="E889" s="28" t="str">
        <x:v>Томаты | томаты</x:v>
      </x:c>
      <x:c r="F889" s="28" t="str">
        <x:v>Плодовые овощи</x:v>
      </x:c>
      <x:c r="G889" s="28" t="str">
        <x:v>свинина</x:v>
      </x:c>
      <x:c r="H889" s="28" t="str">
        <x:v>Свинина | свинина</x:v>
      </x:c>
      <x:c r="I889" s="28" t="str">
        <x:v>Мясо и птица</x:v>
      </x:c>
      <x:c r="J889" s="28" t="str">
        <x:v>зелёный, фруктовый, листовой, сернистый и умами</x:v>
      </x:c>
      <x:c r="K889" s="28" t="str">
        <x:v>жареный, мясной и умами</x:v>
      </x:c>
      <x:c r="L889" s="28" t="str">
        <x:v>цис-3-гексеналь, гексаналь, β-ионон, метиональ, глутамат</x:v>
      </x:c>
      <x:c r="M889" s="28" t="str">
        <x:v>пиразины, сернистые соединения</x:v>
      </x:c>
      <x:c r="N889" s="28" t="str">
        <x:v>умами</x:v>
      </x:c>
      <x:c r="O889" s="28" t="str">
        <x:v>надёжная общая ключевая молекула не установлена</x:v>
      </x:c>
      <x:c r="P889" s="28" t="str">
        <x:v>пересечение ароматических семейств; умами и солёный контраст</x:v>
      </x:c>
      <x:c r="Q88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89" s="28" t="str">
        <x:v>минимальный</x:v>
      </x:c>
      <x:c r="S889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8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89" s="28" t="str">
        <x:v>Томат имеет профиль «зелёный, фруктовый, листовой, сернистый и умами». Партнёр «свинина»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89" s="28" t="str">
        <x:v>незрелые плоды слишком зелёные; длительное кипячение стирает свежесть; кислота влияет на молочные эмульсии</x:v>
      </x:c>
      <x:c r="W889" s="28" t="str">
        <x:v>сливочное масло, соевый соус или тимьян</x:v>
      </x:c>
      <x:c r="X889" s="28" t="str">
        <x:v>сок, кордиал, гаспачо, салат, соус, маринад или коктейльный компонент с свинина</x:v>
      </x:c>
      <x:c r="Y889" s="28" t="str">
        <x:v>еда, соусы/маринады</x:v>
      </x:c>
      <x:c r="Z889" s="28" t="str">
        <x:v>Средняя</x:v>
      </x:c>
      <x:c r="AA889" s="28" t="str">
        <x:v>Тезариус вкусов (Ники Сегнит)(1).pdf</x:v>
      </x:c>
      <x:c r="AB889" s="28" t="str">
        <x:v>Тезариус вкусов (Ники Сегнит)(1).pdf: 87, 689</x:v>
      </x:c>
      <x:c r="AC889" s="28" t="str">
        <x:v>развёрнутая пара/статья, стр. 87; развёрнутая пара/статья, стр. 689</x:v>
      </x:c>
      <x:c r="AD889" s="28" t="n">
        <x:v>1</x:v>
      </x:c>
      <x:c r="AE889" s="28" t="n">
        <x:v>2</x:v>
      </x:c>
      <x:c r="AF889" s="28" t="n">
        <x:f>IF(Z889="Высокая",3,IF(Z889="Средняя",2,1))+AD889*2+MIN(AE889,3)</x:f>
        <x:v>6</x:v>
      </x:c>
    </x:row>
    <x:row r="890" ht="64" customHeight="1">
      <x:c r="A890" s="28" t="str">
        <x:v>VEG-0889</x:v>
      </x:c>
      <x:c r="B890" s="28" t="str">
        <x:v>томат</x:v>
      </x:c>
      <x:c r="C890" s="28" t="str">
        <x:v>Еда и соусы</x:v>
      </x:c>
      <x:c r="D890" s="28" t="str">
        <x:v>томат</x:v>
      </x:c>
      <x:c r="E890" s="28" t="str">
        <x:v>tomato and tomato puree</x:v>
      </x:c>
      <x:c r="F890" s="28" t="str">
        <x:v>Плодовые овощи</x:v>
      </x:c>
      <x:c r="G890" s="28" t="str">
        <x:v>сибас</x:v>
      </x:c>
      <x:c r="H890" s="28" t="str">
        <x:v>baked European sea bass</x:v>
      </x:c>
      <x:c r="I890" s="28" t="str">
        <x:v>Рыба и морепродукты</x:v>
      </x:c>
      <x:c r="J890" s="28" t="str">
        <x:v>зелёный, фруктовый, листовой, сернистый и умами</x:v>
      </x:c>
      <x:c r="K890" s="28" t="str">
        <x:v>морской, солоноватый и умами</x:v>
      </x:c>
      <x:c r="L890" s="28" t="str">
        <x:v>цис-3-гексеналь, гексаналь, β-ионон, метиональ, глутамат</x:v>
      </x:c>
      <x:c r="M890" s="28" t="str">
        <x:v>альдегиды, амины</x:v>
      </x:c>
      <x:c r="N890" s="28" t="str">
        <x:v>умами</x:v>
      </x:c>
      <x:c r="O890" s="28" t="str">
        <x:v>надёжная общая ключевая молекула не установлена</x:v>
      </x:c>
      <x:c r="P890" s="28" t="str">
        <x:v>пересечение ароматических семейств; умами и солёный контраст</x:v>
      </x:c>
      <x:c r="Q89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0" s="28" t="str">
        <x:v>минимальный</x:v>
      </x:c>
      <x:c r="S890" s="28" t="str">
        <x:v>водная кислая матрица с пектином и глутаматом Белок и жир требуют контроля воды: для жареной ароматики поверхность должна подсохнуть.</x:v>
      </x:c>
      <x:c r="T89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0" s="28" t="str">
        <x:v>Томат имеет профиль «зелёный, фруктовый, листовой, сернистый и умами». Партнёр «сибас»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V890" s="28" t="str">
        <x:v>незрелые плоды слишком зелёные; длительное кипячение стирает свежесть; кислота влияет на молочные эмульсии</x:v>
      </x:c>
      <x:c r="W890" s="28" t="str">
        <x:v>сливочное масло, соевый соус или тимьян</x:v>
      </x:c>
      <x:c r="X890" s="28" t="str">
        <x:v>сок, кордиал, гаспачо, салат, соус, маринад или коктейльный компонент с сибас</x:v>
      </x:c>
      <x:c r="Y890" s="28" t="str">
        <x:v>еда, соусы/маринады</x:v>
      </x:c>
      <x:c r="Z890" s="28" t="str">
        <x:v>Средняя</x:v>
      </x:c>
      <x:c r="AA890" s="28" t="str">
        <x:v>The Art &amp; Science of Foodpairing.pdf</x:v>
      </x:c>
      <x:c r="AB890" s="28" t="str">
        <x:v>The Art &amp; Science of Foodpairing.pdf: 161</x:v>
      </x:c>
      <x:c r="AC890" s="28" t="str">
        <x:v>связь из pairing grid, стр. 161</x:v>
      </x:c>
      <x:c r="AD890" s="28" t="n">
        <x:v>1</x:v>
      </x:c>
      <x:c r="AE890" s="28" t="n">
        <x:v>1</x:v>
      </x:c>
      <x:c r="AF890" s="28" t="n">
        <x:f>IF(Z890="Высокая",3,IF(Z890="Средняя",2,1))+AD890*2+MIN(AE890,3)</x:f>
        <x:v>5</x:v>
      </x:c>
    </x:row>
    <x:row r="891" ht="64" customHeight="1">
      <x:c r="A891" s="28" t="str">
        <x:v>VEG-0890</x:v>
      </x:c>
      <x:c r="B891" s="28" t="str">
        <x:v>томат</x:v>
      </x:c>
      <x:c r="C891" s="28" t="str">
        <x:v>Универсальные</x:v>
      </x:c>
      <x:c r="D891" s="28" t="str">
        <x:v>томат</x:v>
      </x:c>
      <x:c r="E891" s="28" t="str">
        <x:v>tomato and tomato puree</x:v>
      </x:c>
      <x:c r="F891" s="28" t="str">
        <x:v>Плодовые овощи</x:v>
      </x:c>
      <x:c r="G891" s="28" t="str">
        <x:v>скумбрия</x:v>
      </x:c>
      <x:c r="H891" s="28" t="str">
        <x:v>mackerel</x:v>
      </x:c>
      <x:c r="I891" s="28" t="str">
        <x:v>Прочее</x:v>
      </x:c>
      <x:c r="J891" s="28" t="str">
        <x:v>зелёный, фруктовый, листовой, сернистый и умами</x:v>
      </x:c>
      <x:c r="K891" s="28" t="str">
        <x:v>профиль зависит от конкретного продукта</x:v>
      </x:c>
      <x:c r="L891" s="28" t="str">
        <x:v>цис-3-гексеналь, гексаналь, β-ионон, метиональ, глутамат</x:v>
      </x:c>
      <x:c r="M891" s="28" t="str">
        <x:v>конкретный молекулярный профиль не указан</x:v>
      </x:c>
      <x:c r="N891" s="28" t="str">
        <x:v>прямое пересечение семейств не подтверждено</x:v>
      </x:c>
      <x:c r="O891" s="28" t="str">
        <x:v>надёжная общая ключевая молекула не установлена</x:v>
      </x:c>
      <x:c r="P891" s="28" t="str">
        <x:v>сенсорная комплементарность</x:v>
      </x:c>
      <x:c r="Q89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1" s="28" t="str">
        <x:v>минимальный</x:v>
      </x:c>
      <x:c r="S891" s="28" t="str">
        <x:v>водная кислая матрица с пектином и глутаматом</x:v>
      </x:c>
      <x:c r="T89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1" s="28" t="str">
        <x:v>Томат имеет профиль «зелёный, фруктовый, листовой, сернистый и умами». Партнёр «скумбрия»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91" s="28" t="str">
        <x:v>незрелые плоды слишком зелёные; длительное кипячение стирает свежесть; кислота влияет на молочные эмульсии</x:v>
      </x:c>
      <x:c r="W891" s="28" t="str">
        <x:v>соль, кислота или ароматический жир</x:v>
      </x:c>
      <x:c r="X891" s="28" t="str">
        <x:v>сок, кордиал, гаспачо, салат, соус, маринад или коктейльный компонент с скумбрия</x:v>
      </x:c>
      <x:c r="Y891" s="28" t="str">
        <x:v>универсальное</x:v>
      </x:c>
      <x:c r="Z891" s="28" t="str">
        <x:v>Средняя</x:v>
      </x:c>
      <x:c r="AA891" s="28" t="str">
        <x:v>The Art &amp; Science of Foodpairing.pdf</x:v>
      </x:c>
      <x:c r="AB891" s="28" t="str">
        <x:v>The Art &amp; Science of Foodpairing.pdf: 161</x:v>
      </x:c>
      <x:c r="AC891" s="28" t="str">
        <x:v>связь из pairing grid, стр. 161</x:v>
      </x:c>
      <x:c r="AD891" s="28" t="n">
        <x:v>1</x:v>
      </x:c>
      <x:c r="AE891" s="28" t="n">
        <x:v>1</x:v>
      </x:c>
      <x:c r="AF891" s="28" t="n">
        <x:f>IF(Z891="Высокая",3,IF(Z891="Средняя",2,1))+AD891*2+MIN(AE891,3)</x:f>
        <x:v>5</x:v>
      </x:c>
    </x:row>
    <x:row r="892" ht="64" customHeight="1">
      <x:c r="A892" s="28" t="str">
        <x:v>VEG-0891</x:v>
      </x:c>
      <x:c r="B892" s="28" t="str">
        <x:v>томат</x:v>
      </x:c>
      <x:c r="C892" s="28" t="str">
        <x:v>Универсальные</x:v>
      </x:c>
      <x:c r="D892" s="28" t="str">
        <x:v>томат</x:v>
      </x:c>
      <x:c r="E892" s="28" t="str">
        <x:v>squid Potential pairing: Sauvignon Blanc, crayfish and tomato</x:v>
      </x:c>
      <x:c r="F892" s="28" t="str">
        <x:v>Плодовые овощи</x:v>
      </x:c>
      <x:c r="G892" s="28" t="str">
        <x:v>совиньон блан</x:v>
      </x:c>
      <x:c r="H892" s="28" t="str">
        <x:v>Sauvignon Blanc</x:v>
      </x:c>
      <x:c r="I892" s="28" t="str">
        <x:v>Прочее</x:v>
      </x:c>
      <x:c r="J892" s="28" t="str">
        <x:v>зелёный, фруктовый, листовой, сернистый и умами</x:v>
      </x:c>
      <x:c r="K892" s="28" t="str">
        <x:v>профиль зависит от конкретного продукта</x:v>
      </x:c>
      <x:c r="L892" s="28" t="str">
        <x:v>цис-3-гексеналь, гексаналь, β-ионон, метиональ, глутамат</x:v>
      </x:c>
      <x:c r="M892" s="28" t="str">
        <x:v>конкретный молекулярный профиль не указан</x:v>
      </x:c>
      <x:c r="N892" s="28" t="str">
        <x:v>прямое пересечение семейств не подтверждено</x:v>
      </x:c>
      <x:c r="O892" s="28" t="str">
        <x:v>надёжная общая ключевая молекула не установлена</x:v>
      </x:c>
      <x:c r="P892" s="28" t="str">
        <x:v>сенсорная комплементарность</x:v>
      </x:c>
      <x:c r="Q89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2" s="28" t="str">
        <x:v>минимальный</x:v>
      </x:c>
      <x:c r="S892" s="28" t="str">
        <x:v>водная кислая матрица с пектином и глутаматом</x:v>
      </x:c>
      <x:c r="T89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2" s="28" t="str">
        <x:v>Томат имеет профиль «зелёный, фруктовый, листовой, сернистый и умами». Партнёр «совиньон блан»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92" s="28" t="str">
        <x:v>незрелые плоды слишком зелёные; длительное кипячение стирает свежесть; кислота влияет на молочные эмульсии</x:v>
      </x:c>
      <x:c r="W892" s="28" t="str">
        <x:v>соль, кислота или ароматический жир</x:v>
      </x:c>
      <x:c r="X892" s="28" t="str">
        <x:v>сок, кордиал, гаспачо, салат, соус, маринад или коктейльный компонент с совиньон блан</x:v>
      </x:c>
      <x:c r="Y892" s="28" t="str">
        <x:v>универсальное</x:v>
      </x:c>
      <x:c r="Z892" s="28" t="str">
        <x:v>Высокая</x:v>
      </x:c>
      <x:c r="AA892" s="28" t="str">
        <x:v>The Art &amp; Science of Foodpairing.pdf</x:v>
      </x:c>
      <x:c r="AB892" s="28" t="str">
        <x:v>The Art &amp; Science of Foodpairing.pdf: 157</x:v>
      </x:c>
      <x:c r="AC892" s="28" t="str">
        <x:v>прямая Classic pairing, стр. 157</x:v>
      </x:c>
      <x:c r="AD892" s="28" t="n">
        <x:v>1</x:v>
      </x:c>
      <x:c r="AE892" s="28" t="n">
        <x:v>1</x:v>
      </x:c>
      <x:c r="AF892" s="28" t="n">
        <x:f>IF(Z892="Высокая",3,IF(Z892="Средняя",2,1))+AD892*2+MIN(AE892,3)</x:f>
        <x:v>6</x:v>
      </x:c>
    </x:row>
    <x:row r="893" ht="64" customHeight="1">
      <x:c r="A893" s="28" t="str">
        <x:v>VEG-0892</x:v>
      </x:c>
      <x:c r="B893" s="28" t="str">
        <x:v>томат</x:v>
      </x:c>
      <x:c r="C893" s="28" t="str">
        <x:v>Универсальные</x:v>
      </x:c>
      <x:c r="D893" s="28" t="str">
        <x:v>томат</x:v>
      </x:c>
      <x:c r="E893" s="28" t="str">
        <x:v>tomato and tomato puree</x:v>
      </x:c>
      <x:c r="F893" s="28" t="str">
        <x:v>Плодовые овощи</x:v>
      </x:c>
      <x:c r="G893" s="28" t="str">
        <x:v>солод</x:v>
      </x:c>
      <x:c r="H893" s="28" t="str">
        <x:v>malt</x:v>
      </x:c>
      <x:c r="I893" s="28" t="str">
        <x:v>Прочее</x:v>
      </x:c>
      <x:c r="J893" s="28" t="str">
        <x:v>зелёный, фруктовый, листовой, сернистый и умами</x:v>
      </x:c>
      <x:c r="K893" s="28" t="str">
        <x:v>профиль зависит от конкретного продукта</x:v>
      </x:c>
      <x:c r="L893" s="28" t="str">
        <x:v>цис-3-гексеналь, гексаналь, β-ионон, метиональ, глутамат</x:v>
      </x:c>
      <x:c r="M893" s="28" t="str">
        <x:v>конкретный молекулярный профиль не указан</x:v>
      </x:c>
      <x:c r="N893" s="28" t="str">
        <x:v>прямое пересечение семейств не подтверждено</x:v>
      </x:c>
      <x:c r="O893" s="28" t="str">
        <x:v>надёжная общая ключевая молекула не установлена</x:v>
      </x:c>
      <x:c r="P893" s="28" t="str">
        <x:v>сенсорная комплементарность</x:v>
      </x:c>
      <x:c r="Q89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3" s="28" t="str">
        <x:v>минимальный</x:v>
      </x:c>
      <x:c r="S893" s="28" t="str">
        <x:v>водная кислая матрица с пектином и глутаматом</x:v>
      </x:c>
      <x:c r="T89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3" s="28" t="str">
        <x:v>Томат имеет профиль «зелёный, фруктовый, листовой, сернистый и умами». Партнёр «солод»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93" s="28" t="str">
        <x:v>незрелые плоды слишком зелёные; длительное кипячение стирает свежесть; кислота влияет на молочные эмульсии</x:v>
      </x:c>
      <x:c r="W893" s="28" t="str">
        <x:v>соль, кислота или ароматический жир</x:v>
      </x:c>
      <x:c r="X893" s="28" t="str">
        <x:v>сок, кордиал, гаспачо, салат, соус, маринад или коктейльный компонент с солод</x:v>
      </x:c>
      <x:c r="Y893" s="28" t="str">
        <x:v>универсальное</x:v>
      </x:c>
      <x:c r="Z893" s="28" t="str">
        <x:v>Средняя</x:v>
      </x:c>
      <x:c r="AA893" s="28" t="str">
        <x:v>The Art &amp; Science of Foodpairing.pdf</x:v>
      </x:c>
      <x:c r="AB893" s="28" t="str">
        <x:v>The Art &amp; Science of Foodpairing.pdf: 161</x:v>
      </x:c>
      <x:c r="AC893" s="28" t="str">
        <x:v>связь из pairing grid, стр. 161</x:v>
      </x:c>
      <x:c r="AD893" s="28" t="n">
        <x:v>1</x:v>
      </x:c>
      <x:c r="AE893" s="28" t="n">
        <x:v>1</x:v>
      </x:c>
      <x:c r="AF893" s="28" t="n">
        <x:f>IF(Z893="Высокая",3,IF(Z893="Средняя",2,1))+AD893*2+MIN(AE893,3)</x:f>
        <x:v>5</x:v>
      </x:c>
    </x:row>
    <x:row r="894" ht="64" customHeight="1">
      <x:c r="A894" s="28" t="str">
        <x:v>VEG-0893</x:v>
      </x:c>
      <x:c r="B894" s="28" t="str">
        <x:v>томат</x:v>
      </x:c>
      <x:c r="C894" s="28" t="str">
        <x:v>Универсальные</x:v>
      </x:c>
      <x:c r="D894" s="28" t="str">
        <x:v>томат</x:v>
      </x:c>
      <x:c r="E894" s="28" t="str">
        <x:v>tomato and tomato puree</x:v>
      </x:c>
      <x:c r="F894" s="28" t="str">
        <x:v>Плодовые овощи</x:v>
      </x:c>
      <x:c r="G894" s="28" t="str">
        <x:v>соус чили</x:v>
      </x:c>
      <x:c r="H894" s="28" t="str">
        <x:v>chilli sauce</x:v>
      </x:c>
      <x:c r="I894" s="28" t="str">
        <x:v>Специи</x:v>
      </x:c>
      <x:c r="J894" s="28" t="str">
        <x:v>зелёный, фруктовый, листовой, сернистый и умами</x:v>
      </x:c>
      <x:c r="K894" s="28" t="str">
        <x:v>пряный и древесный</x:v>
      </x:c>
      <x:c r="L894" s="28" t="str">
        <x:v>цис-3-гексеналь, гексаналь, β-ионон, метиональ, глутамат</x:v>
      </x:c>
      <x:c r="M894" s="28" t="str">
        <x:v>терпены, фенилпропаноиды</x:v>
      </x:c>
      <x:c r="N894" s="28" t="str">
        <x:v>прямое пересечение семейств не подтверждено</x:v>
      </x:c>
      <x:c r="O894" s="28" t="str">
        <x:v>надёжная общая ключевая молекула не установлена</x:v>
      </x:c>
      <x:c r="P894" s="28" t="str">
        <x:v>сенсорная комплементарность</x:v>
      </x:c>
      <x:c r="Q89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4" s="28" t="str">
        <x:v>минимальный</x:v>
      </x:c>
      <x:c r="S894" s="28" t="str">
        <x:v>водная кислая матрица с пектином и глутаматом</x:v>
      </x:c>
      <x:c r="T89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4" s="28" t="str">
        <x:v>Томат имеет профиль «зелёный, фруктовый, листовой, сернистый и умами». Партнёр «соус 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94" s="28" t="str">
        <x:v>незрелые плоды слишком зелёные; длительное кипячение стирает свежесть; кислота влияет на молочные эмульсии</x:v>
      </x:c>
      <x:c r="W894" s="28" t="str">
        <x:v>цитрус, йогурт или мёд</x:v>
      </x:c>
      <x:c r="X894" s="28" t="str">
        <x:v>сок, кордиал, гаспачо, салат, соус, маринад или коктейльный компонент с соус чили</x:v>
      </x:c>
      <x:c r="Y894" s="28" t="str">
        <x:v>соусы/маринады</x:v>
      </x:c>
      <x:c r="Z894" s="28" t="str">
        <x:v>Средняя</x:v>
      </x:c>
      <x:c r="AA894" s="28" t="str">
        <x:v>The Art &amp; Science of Foodpairing.pdf</x:v>
      </x:c>
      <x:c r="AB894" s="28" t="str">
        <x:v>The Art &amp; Science of Foodpairing.pdf: 161</x:v>
      </x:c>
      <x:c r="AC894" s="28" t="str">
        <x:v>связь из pairing grid, стр. 161</x:v>
      </x:c>
      <x:c r="AD894" s="28" t="n">
        <x:v>1</x:v>
      </x:c>
      <x:c r="AE894" s="28" t="n">
        <x:v>1</x:v>
      </x:c>
      <x:c r="AF894" s="28" t="n">
        <x:f>IF(Z894="Высокая",3,IF(Z894="Средняя",2,1))+AD894*2+MIN(AE894,3)</x:f>
        <x:v>5</x:v>
      </x:c>
    </x:row>
    <x:row r="895" ht="64" customHeight="1">
      <x:c r="A895" s="28" t="str">
        <x:v>VEG-0894</x:v>
      </x:c>
      <x:c r="B895" s="28" t="str">
        <x:v>томат</x:v>
      </x:c>
      <x:c r="C895" s="28" t="str">
        <x:v>Универсальные</x:v>
      </x:c>
      <x:c r="D895" s="28" t="str">
        <x:v>томат</x:v>
      </x:c>
      <x:c r="E895" s="28" t="str">
        <x:v>tomato and tomato puree</x:v>
      </x:c>
      <x:c r="F895" s="28" t="str">
        <x:v>Плодовые овощи</x:v>
      </x:c>
      <x:c r="G895" s="28" t="str">
        <x:v>стилтон</x:v>
      </x:c>
      <x:c r="H895" s="28" t="str">
        <x:v>Stilton</x:v>
      </x:c>
      <x:c r="I895" s="28" t="str">
        <x:v>Прочее</x:v>
      </x:c>
      <x:c r="J895" s="28" t="str">
        <x:v>зелёный, фруктовый, листовой, сернистый и умами</x:v>
      </x:c>
      <x:c r="K895" s="28" t="str">
        <x:v>профиль зависит от конкретного продукта</x:v>
      </x:c>
      <x:c r="L895" s="28" t="str">
        <x:v>цис-3-гексеналь, гексаналь, β-ионон, метиональ, глутамат</x:v>
      </x:c>
      <x:c r="M895" s="28" t="str">
        <x:v>конкретный молекулярный профиль не указан</x:v>
      </x:c>
      <x:c r="N895" s="28" t="str">
        <x:v>прямое пересечение семейств не подтверждено</x:v>
      </x:c>
      <x:c r="O895" s="28" t="str">
        <x:v>надёжная общая ключевая молекула не установлена</x:v>
      </x:c>
      <x:c r="P895" s="28" t="str">
        <x:v>сенсорная комплементарность</x:v>
      </x:c>
      <x:c r="Q89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5" s="28" t="str">
        <x:v>минимальный</x:v>
      </x:c>
      <x:c r="S895" s="28" t="str">
        <x:v>водная кислая матрица с пектином и глутаматом</x:v>
      </x:c>
      <x:c r="T89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5" s="28" t="str">
        <x:v>Томат имеет профиль «зелёный, фруктовый, листовой, сернистый и умами». Партнёр «стилтон»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895" s="28" t="str">
        <x:v>незрелые плоды слишком зелёные; длительное кипячение стирает свежесть; кислота влияет на молочные эмульсии</x:v>
      </x:c>
      <x:c r="W895" s="28" t="str">
        <x:v>соль, кислота или ароматический жир</x:v>
      </x:c>
      <x:c r="X895" s="28" t="str">
        <x:v>сок, кордиал, гаспачо, салат, соус, маринад или коктейльный компонент с стилтон</x:v>
      </x:c>
      <x:c r="Y895" s="28" t="str">
        <x:v>универсальное</x:v>
      </x:c>
      <x:c r="Z895" s="28" t="str">
        <x:v>Средняя</x:v>
      </x:c>
      <x:c r="AA895" s="28" t="str">
        <x:v>The Art &amp; Science of Foodpairing.pdf</x:v>
      </x:c>
      <x:c r="AB895" s="28" t="str">
        <x:v>The Art &amp; Science of Foodpairing.pdf: 161</x:v>
      </x:c>
      <x:c r="AC895" s="28" t="str">
        <x:v>связь из pairing grid, стр. 161</x:v>
      </x:c>
      <x:c r="AD895" s="28" t="n">
        <x:v>1</x:v>
      </x:c>
      <x:c r="AE895" s="28" t="n">
        <x:v>1</x:v>
      </x:c>
      <x:c r="AF895" s="28" t="n">
        <x:f>IF(Z895="Высокая",3,IF(Z895="Средняя",2,1))+AD895*2+MIN(AE895,3)</x:f>
        <x:v>5</x:v>
      </x:c>
    </x:row>
    <x:row r="896" ht="64" customHeight="1">
      <x:c r="A896" s="28" t="str">
        <x:v>VEG-0895</x:v>
      </x:c>
      <x:c r="B896" s="28" t="str">
        <x:v>томат</x:v>
      </x:c>
      <x:c r="C896" s="28" t="str">
        <x:v>Универсальные</x:v>
      </x:c>
      <x:c r="D896" s="28" t="str">
        <x:v>томат</x:v>
      </x:c>
      <x:c r="E896" s="28" t="str">
        <x:v>tomato and tomato puree</x:v>
      </x:c>
      <x:c r="F896" s="28" t="str">
        <x:v>Плодовые овощи</x:v>
      </x:c>
      <x:c r="G896" s="28" t="str">
        <x:v>сычуаньский перец</x:v>
      </x:c>
      <x:c r="H896" s="28" t="str">
        <x:v>Sichuan pepper</x:v>
      </x:c>
      <x:c r="I896" s="28" t="str">
        <x:v>Специи</x:v>
      </x:c>
      <x:c r="J896" s="28" t="str">
        <x:v>зелёный, фруктовый, листовой, сернистый и умами</x:v>
      </x:c>
      <x:c r="K896" s="28" t="str">
        <x:v>пряный и древесный</x:v>
      </x:c>
      <x:c r="L896" s="28" t="str">
        <x:v>цис-3-гексеналь, гексаналь, β-ионон, метиональ, глутамат</x:v>
      </x:c>
      <x:c r="M896" s="28" t="str">
        <x:v>терпены, фенилпропаноиды</x:v>
      </x:c>
      <x:c r="N896" s="28" t="str">
        <x:v>прямое пересечение семейств не подтверждено</x:v>
      </x:c>
      <x:c r="O896" s="28" t="str">
        <x:v>надёжная общая ключевая молекула не установлена</x:v>
      </x:c>
      <x:c r="P896" s="28" t="str">
        <x:v>сенсорная комплементарность</x:v>
      </x:c>
      <x:c r="Q89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6" s="28" t="str">
        <x:v>минимальный</x:v>
      </x:c>
      <x:c r="S896" s="28" t="str">
        <x:v>водная кислая матрица с пектином и глутаматом</x:v>
      </x:c>
      <x:c r="T89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6" s="28" t="str">
        <x:v>Томат имеет профиль «зелёный, фруктовый, листовой, сернистый и умами». Партнёр «сычуаньский перец»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896" s="28" t="str">
        <x:v>незрелые плоды слишком зелёные; длительное кипячение стирает свежесть; кислота влияет на молочные эмульсии</x:v>
      </x:c>
      <x:c r="W896" s="28" t="str">
        <x:v>цитрус, йогурт или мёд</x:v>
      </x:c>
      <x:c r="X896" s="28" t="str">
        <x:v>сок, кордиал, гаспачо, салат, соус, маринад или коктейльный компонент с сычуаньский перец</x:v>
      </x:c>
      <x:c r="Y896" s="28" t="str">
        <x:v>универсальное</x:v>
      </x:c>
      <x:c r="Z896" s="28" t="str">
        <x:v>Средняя</x:v>
      </x:c>
      <x:c r="AA896" s="28" t="str">
        <x:v>The Art &amp; Science of Foodpairing.pdf</x:v>
      </x:c>
      <x:c r="AB896" s="28" t="str">
        <x:v>The Art &amp; Science of Foodpairing.pdf: 161</x:v>
      </x:c>
      <x:c r="AC896" s="28" t="str">
        <x:v>связь из pairing grid, стр. 161</x:v>
      </x:c>
      <x:c r="AD896" s="28" t="n">
        <x:v>1</x:v>
      </x:c>
      <x:c r="AE896" s="28" t="n">
        <x:v>1</x:v>
      </x:c>
      <x:c r="AF896" s="28" t="n">
        <x:f>IF(Z896="Высокая",3,IF(Z896="Средняя",2,1))+AD896*2+MIN(AE896,3)</x:f>
        <x:v>5</x:v>
      </x:c>
    </x:row>
    <x:row r="897" ht="64" customHeight="1">
      <x:c r="A897" s="28" t="str">
        <x:v>VEG-0896</x:v>
      </x:c>
      <x:c r="B897" s="28" t="str">
        <x:v>томат</x:v>
      </x:c>
      <x:c r="C897" s="28" t="str">
        <x:v>Десерты и выпечка</x:v>
      </x:c>
      <x:c r="D897" s="28" t="str">
        <x:v>томат</x:v>
      </x:c>
      <x:c r="E897" s="28" t="str">
        <x:v>Томаты | томаты</x:v>
      </x:c>
      <x:c r="F897" s="28" t="str">
        <x:v>Плодовые овощи</x:v>
      </x:c>
      <x:c r="G897" s="28" t="str">
        <x:v>твердый сыр</x:v>
      </x:c>
      <x:c r="H897" s="28" t="str">
        <x:v>Твердый сыр | твердый сыр</x:v>
      </x:c>
      <x:c r="I897" s="28" t="str">
        <x:v>Молочные продукты и сыры</x:v>
      </x:c>
      <x:c r="J897" s="28" t="str">
        <x:v>зелёный, фруктовый, листовой, сернистый и умами</x:v>
      </x:c>
      <x:c r="K897" s="28" t="str">
        <x:v>молочный, умами, ферментированный</x:v>
      </x:c>
      <x:c r="L897" s="28" t="str">
        <x:v>цис-3-гексеналь, гексаналь, β-ионон, метиональ, глутамат</x:v>
      </x:c>
      <x:c r="M897" s="28" t="str">
        <x:v>диацетил, жирные кислоты</x:v>
      </x:c>
      <x:c r="N897" s="28" t="str">
        <x:v>умами</x:v>
      </x:c>
      <x:c r="O897" s="28" t="str">
        <x:v>надёжная общая ключевая молекула не установлена</x:v>
      </x:c>
      <x:c r="P897" s="28" t="str">
        <x:v>пересечение ароматических семейств; жировая матрица</x:v>
      </x:c>
      <x:c r="Q89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7" s="28" t="str">
        <x:v>минимальный</x:v>
      </x:c>
      <x:c r="S897" s="28" t="str">
        <x:v>водная кислая матрица с пектином и глутаматом Жировая фаза удерживает гидрофобные молекулы, но может сделать вкус тяжёлым.</x:v>
      </x:c>
      <x:c r="T89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7" s="28" t="str">
        <x:v>Томат имеет профиль «зелёный, фруктовый, листовой, сернистый и умами». Партнёр «твердый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V897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W897" s="28" t="str">
        <x:v>кислота, зелень или жареный орех</x:v>
      </x:c>
      <x:c r="X897" s="28" t="str">
        <x:v>сок, кордиал, гаспачо, салат, соус, маринад или коктейльный компонент с твердый сыр</x:v>
      </x:c>
      <x:c r="Y897" s="28" t="str">
        <x:v>десерты</x:v>
      </x:c>
      <x:c r="Z897" s="28" t="str">
        <x:v>Средняя</x:v>
      </x:c>
      <x:c r="AA897" s="28" t="str">
        <x:v>Тезариус вкусов (Ники Сегнит)(1).pdf</x:v>
      </x:c>
      <x:c r="AB897" s="28" t="str">
        <x:v>Тезариус вкусов (Ники Сегнит)(1).pdf: 176, 690</x:v>
      </x:c>
      <x:c r="AC897" s="28" t="str">
        <x:v>развёрнутая пара/статья, стр. 176; развёрнутая пара/статья, стр. 690</x:v>
      </x:c>
      <x:c r="AD897" s="28" t="n">
        <x:v>1</x:v>
      </x:c>
      <x:c r="AE897" s="28" t="n">
        <x:v>2</x:v>
      </x:c>
      <x:c r="AF897" s="28" t="n">
        <x:f>IF(Z897="Высокая",3,IF(Z897="Средняя",2,1))+AD897*2+MIN(AE897,3)</x:f>
        <x:v>6</x:v>
      </x:c>
    </x:row>
    <x:row r="898" ht="64" customHeight="1">
      <x:c r="A898" s="28" t="str">
        <x:v>VEG-0897</x:v>
      </x:c>
      <x:c r="B898" s="28" t="str">
        <x:v>томат</x:v>
      </x:c>
      <x:c r="C898" s="28" t="str">
        <x:v>Универсальные</x:v>
      </x:c>
      <x:c r="D898" s="28" t="str">
        <x:v>томат</x:v>
      </x:c>
      <x:c r="E898" s="28" t="str">
        <x:v>Томаты | томаты</x:v>
      </x:c>
      <x:c r="F898" s="28" t="str">
        <x:v>Плодовые овощи</x:v>
      </x:c>
      <x:c r="G898" s="28" t="str">
        <x:v>тимьян</x:v>
      </x:c>
      <x:c r="H898" s="28" t="str">
        <x:v>Тимьян | тимьян</x:v>
      </x:c>
      <x:c r="I898" s="28" t="str">
        <x:v>Травы, цветы и листья</x:v>
      </x:c>
      <x:c r="J898" s="28" t="str">
        <x:v>зелёный, фруктовый, листовой, сернистый и умами</x:v>
      </x:c>
      <x:c r="K898" s="28" t="str">
        <x:v>древесный, зелёный, фенольный</x:v>
      </x:c>
      <x:c r="L898" s="28" t="str">
        <x:v>цис-3-гексеналь, гексаналь, β-ионон, метиональ, глутамат</x:v>
      </x:c>
      <x:c r="M898" s="28" t="str">
        <x:v>карвакрол, тимол</x:v>
      </x:c>
      <x:c r="N898" s="28" t="str">
        <x:v>зелёный</x:v>
      </x:c>
      <x:c r="O898" s="28" t="str">
        <x:v>надёжная общая ключевая молекула не установлена</x:v>
      </x:c>
      <x:c r="P898" s="28" t="str">
        <x:v>пересечение ароматических семейств</x:v>
      </x:c>
      <x:c r="Q89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8" s="28" t="str">
        <x:v>минимальный</x:v>
      </x:c>
      <x:c r="S898" s="28" t="str">
        <x:v>водная кислая матрица с пектином и глутаматом</x:v>
      </x:c>
      <x:c r="T89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8" s="28" t="str">
        <x:v>Томат имеет профиль «зелёный, фруктовый, листовой, сернистый и умами». Партнёр «тимьян» относится к группе «Травы, цветы и листья» и даёт древесный, зелёный, фенольный.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898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W898" s="28" t="str">
        <x:v>оливковое масло, лимон или сыр</x:v>
      </x:c>
      <x:c r="X898" s="28" t="str">
        <x:v>сок, кордиал, гаспачо, салат, соус, маринад или коктейльный компонент с тимьян</x:v>
      </x:c>
      <x:c r="Y898" s="28" t="str">
        <x:v>универсальное</x:v>
      </x:c>
      <x:c r="Z898" s="28" t="str">
        <x:v>Средняя</x:v>
      </x:c>
      <x:c r="AA898" s="28" t="str">
        <x:v>Тезариус вкусов (Ники Сегнит)(1).pdf</x:v>
      </x:c>
      <x:c r="AB898" s="28" t="str">
        <x:v>Тезариус вкусов (Ники Сегнит)(1).pdf: 690, 861</x:v>
      </x:c>
      <x:c r="AC898" s="28" t="str">
        <x:v>развёрнутая пара/статья, стр. 690; развёрнутая пара/статья, стр. 861</x:v>
      </x:c>
      <x:c r="AD898" s="28" t="n">
        <x:v>1</x:v>
      </x:c>
      <x:c r="AE898" s="28" t="n">
        <x:v>2</x:v>
      </x:c>
      <x:c r="AF898" s="28" t="n">
        <x:f>IF(Z898="Высокая",3,IF(Z898="Средняя",2,1))+AD898*2+MIN(AE898,3)</x:f>
        <x:v>6</x:v>
      </x:c>
    </x:row>
    <x:row r="899" ht="64" customHeight="1">
      <x:c r="A899" s="28" t="str">
        <x:v>VEG-0898</x:v>
      </x:c>
      <x:c r="B899" s="28" t="str">
        <x:v>томат</x:v>
      </x:c>
      <x:c r="C899" s="28" t="str">
        <x:v>Еда и соусы</x:v>
      </x:c>
      <x:c r="D899" s="28" t="str">
        <x:v>томат</x:v>
      </x:c>
      <x:c r="E899" s="28" t="str">
        <x:v>tomato and tomato puree</x:v>
      </x:c>
      <x:c r="F899" s="28" t="str">
        <x:v>Плодовые овощи</x:v>
      </x:c>
      <x:c r="G899" s="28" t="str">
        <x:v>томатный сок</x:v>
      </x:c>
      <x:c r="H899" s="28" t="str">
        <x:v>pasteurized tomatojuice</x:v>
      </x:c>
      <x:c r="I899" s="28" t="str">
        <x:v>Плодовые и тыквенные овощи</x:v>
      </x:c>
      <x:c r="J899" s="28" t="str">
        <x:v>зелёный, фруктовый, листовой, сернистый и умами</x:v>
      </x:c>
      <x:c r="K899" s="28" t="str">
        <x:v>зелёный, фруктовый или водянистый</x:v>
      </x:c>
      <x:c r="L899" s="28" t="str">
        <x:v>цис-3-гексеналь, гексаналь, β-ионон, метиональ, глутамат</x:v>
      </x:c>
      <x:c r="M899" s="28" t="str">
        <x:v>альдегиды, эфиры</x:v>
      </x:c>
      <x:c r="N899" s="28" t="str">
        <x:v>зелёный, фруктовый</x:v>
      </x:c>
      <x:c r="O899" s="28" t="str">
        <x:v>надёжная общая ключевая молекула не установлена</x:v>
      </x:c>
      <x:c r="P899" s="28" t="str">
        <x:v>пересечение ароматических семейств</x:v>
      </x:c>
      <x:c r="Q89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899" s="28" t="str">
        <x:v>минимальный</x:v>
      </x:c>
      <x:c r="S899" s="28" t="str">
        <x:v>водная кислая матрица с пектином и глутаматом</x:v>
      </x:c>
      <x:c r="T89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899" s="28" t="str">
        <x:v>Томат имеет профиль «зелёный, фруктовый, листовой, сернистый и умами». Партнёр «томатный сок»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V899" s="28" t="str">
        <x:v>незрелые плоды слишком зелёные; длительное кипячение стирает свежесть; кислота влияет на молочные эмульсии</x:v>
      </x:c>
      <x:c r="W899" s="28" t="str">
        <x:v>соль, кислота или ароматический жир</x:v>
      </x:c>
      <x:c r="X899" s="28" t="str">
        <x:v>сок, кордиал, гаспачо, салат, соус, маринад или коктейльный компонент с томатный сок</x:v>
      </x:c>
      <x:c r="Y899" s="28" t="str">
        <x:v>напитки, еда, соусы/маринады</x:v>
      </x:c>
      <x:c r="Z899" s="28" t="str">
        <x:v>Средняя</x:v>
      </x:c>
      <x:c r="AA899" s="28" t="str">
        <x:v>The Art &amp; Science of Foodpairing.pdf</x:v>
      </x:c>
      <x:c r="AB899" s="28" t="str">
        <x:v>The Art &amp; Science of Foodpairing.pdf: 161</x:v>
      </x:c>
      <x:c r="AC899" s="28" t="str">
        <x:v>связь из pairing grid, стр. 161</x:v>
      </x:c>
      <x:c r="AD899" s="28" t="n">
        <x:v>1</x:v>
      </x:c>
      <x:c r="AE899" s="28" t="n">
        <x:v>1</x:v>
      </x:c>
      <x:c r="AF899" s="28" t="n">
        <x:f>IF(Z899="Высокая",3,IF(Z899="Средняя",2,1))+AD899*2+MIN(AE899,3)</x:f>
        <x:v>5</x:v>
      </x:c>
    </x:row>
    <x:row r="900" ht="64" customHeight="1">
      <x:c r="A900" s="28" t="str">
        <x:v>VEG-0899</x:v>
      </x:c>
      <x:c r="B900" s="28" t="str">
        <x:v>томат</x:v>
      </x:c>
      <x:c r="C900" s="28" t="str">
        <x:v>Универсальные</x:v>
      </x:c>
      <x:c r="D900" s="28" t="str">
        <x:v>томат</x:v>
      </x:c>
      <x:c r="E900" s="28" t="str">
        <x:v>tomato and tomato puree</x:v>
      </x:c>
      <x:c r="F900" s="28" t="str">
        <x:v>Плодовые овощи</x:v>
      </x:c>
      <x:c r="G900" s="28" t="str">
        <x:v>трипл-сек</x:v>
      </x:c>
      <x:c r="H900" s="28" t="str">
        <x:v>triple sec</x:v>
      </x:c>
      <x:c r="I900" s="28" t="str">
        <x:v>Прочее</x:v>
      </x:c>
      <x:c r="J900" s="28" t="str">
        <x:v>зелёный, фруктовый, листовой, сернистый и умами</x:v>
      </x:c>
      <x:c r="K900" s="28" t="str">
        <x:v>профиль зависит от конкретного продукта</x:v>
      </x:c>
      <x:c r="L900" s="28" t="str">
        <x:v>цис-3-гексеналь, гексаналь, β-ионон, метиональ, глутамат</x:v>
      </x:c>
      <x:c r="M900" s="28" t="str">
        <x:v>конкретный молекулярный профиль не указан</x:v>
      </x:c>
      <x:c r="N900" s="28" t="str">
        <x:v>прямое пересечение семейств не подтверждено</x:v>
      </x:c>
      <x:c r="O900" s="28" t="str">
        <x:v>надёжная общая ключевая молекула не установлена</x:v>
      </x:c>
      <x:c r="P900" s="28" t="str">
        <x:v>сенсорная комплементарность</x:v>
      </x:c>
      <x:c r="Q90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0" s="28" t="str">
        <x:v>минимальный</x:v>
      </x:c>
      <x:c r="S900" s="28" t="str">
        <x:v>водная кислая матрица с пектином и глутаматом</x:v>
      </x:c>
      <x:c r="T90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0" s="28" t="str">
        <x:v>Томат имеет профиль «зелёный, фруктовый, листовой, сернистый и умами». Партнёр «трипл-сек»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00" s="28" t="str">
        <x:v>незрелые плоды слишком зелёные; длительное кипячение стирает свежесть; кислота влияет на молочные эмульсии</x:v>
      </x:c>
      <x:c r="W900" s="28" t="str">
        <x:v>соль, кислота или ароматический жир</x:v>
      </x:c>
      <x:c r="X900" s="28" t="str">
        <x:v>сок, кордиал, гаспачо, салат, соус, маринад или коктейльный компонент с трипл-сек</x:v>
      </x:c>
      <x:c r="Y900" s="28" t="str">
        <x:v>универсальное</x:v>
      </x:c>
      <x:c r="Z900" s="28" t="str">
        <x:v>Средняя</x:v>
      </x:c>
      <x:c r="AA900" s="28" t="str">
        <x:v>The Art &amp; Science of Foodpairing.pdf</x:v>
      </x:c>
      <x:c r="AB900" s="28" t="str">
        <x:v>The Art &amp; Science of Foodpairing.pdf: 161</x:v>
      </x:c>
      <x:c r="AC900" s="28" t="str">
        <x:v>связь из pairing grid, стр. 161</x:v>
      </x:c>
      <x:c r="AD900" s="28" t="n">
        <x:v>1</x:v>
      </x:c>
      <x:c r="AE900" s="28" t="n">
        <x:v>1</x:v>
      </x:c>
      <x:c r="AF900" s="28" t="n">
        <x:f>IF(Z900="Высокая",3,IF(Z900="Средняя",2,1))+AD900*2+MIN(AE900,3)</x:f>
        <x:v>5</x:v>
      </x:c>
    </x:row>
    <x:row r="901" ht="64" customHeight="1">
      <x:c r="A901" s="28" t="str">
        <x:v>VEG-0900</x:v>
      </x:c>
      <x:c r="B901" s="28" t="str">
        <x:v>томат</x:v>
      </x:c>
      <x:c r="C901" s="28" t="str">
        <x:v>Десерты и выпечка</x:v>
      </x:c>
      <x:c r="D901" s="28" t="str">
        <x:v>томат</x:v>
      </x:c>
      <x:c r="E901" s="28" t="str">
        <x:v>tomato and tomato puree</x:v>
      </x:c>
      <x:c r="F901" s="28" t="str">
        <x:v>Плодовые овощи</x:v>
      </x:c>
      <x:c r="G901" s="28" t="str">
        <x:v>тёмный шоколад</x:v>
      </x:c>
      <x:c r="H901" s="28" t="str">
        <x:v>dark chocolate</x:v>
      </x:c>
      <x:c r="I901" s="28" t="str">
        <x:v>Какао и шоколад</x:v>
      </x:c>
      <x:c r="J901" s="28" t="str">
        <x:v>зелёный, фруктовый, листовой, сернистый и умами</x:v>
      </x:c>
      <x:c r="K901" s="28" t="str">
        <x:v>жареный, какаовый, карамельный</x:v>
      </x:c>
      <x:c r="L901" s="28" t="str">
        <x:v>цис-3-гексеналь, гексаналь, β-ионон, метиональ, глутамат</x:v>
      </x:c>
      <x:c r="M901" s="28" t="str">
        <x:v>пиразины, фураны</x:v>
      </x:c>
      <x:c r="N901" s="28" t="str">
        <x:v>прямое пересечение семейств не подтверждено</x:v>
      </x:c>
      <x:c r="O901" s="28" t="str">
        <x:v>надёжная общая ключевая молекула не установлена</x:v>
      </x:c>
      <x:c r="P901" s="28" t="str">
        <x:v>сенсорная комплементарность</x:v>
      </x:c>
      <x:c r="Q90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1" s="28" t="str">
        <x:v>минимальный</x:v>
      </x:c>
      <x:c r="S901" s="28" t="str">
        <x:v>водная кислая матрица с пектином и глутаматом</x:v>
      </x:c>
      <x:c r="T90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1" s="28" t="str">
        <x:v>Томат имеет профиль «зелёный, фруктовый, листовой, сернистый и умами». Партнёр «тёмный 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901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W901" s="28" t="str">
        <x:v>сливки, орех или карамель</x:v>
      </x:c>
      <x:c r="X901" s="28" t="str">
        <x:v>сок, кордиал, гаспачо, салат, соус, маринад или коктейльный компонент с тёмный шоколад</x:v>
      </x:c>
      <x:c r="Y901" s="28" t="str">
        <x:v>десерты</x:v>
      </x:c>
      <x:c r="Z901" s="28" t="str">
        <x:v>Средняя</x:v>
      </x:c>
      <x:c r="AA901" s="28" t="str">
        <x:v>The Art &amp; Science of Foodpairing.pdf</x:v>
      </x:c>
      <x:c r="AB901" s="28" t="str">
        <x:v>The Art &amp; Science of Foodpairing.pdf: 161</x:v>
      </x:c>
      <x:c r="AC901" s="28" t="str">
        <x:v>связь из pairing grid, стр. 161</x:v>
      </x:c>
      <x:c r="AD901" s="28" t="n">
        <x:v>1</x:v>
      </x:c>
      <x:c r="AE901" s="28" t="n">
        <x:v>1</x:v>
      </x:c>
      <x:c r="AF901" s="28" t="n">
        <x:f>IF(Z901="Высокая",3,IF(Z901="Средняя",2,1))+AD901*2+MIN(AE901,3)</x:f>
        <x:v>5</x:v>
      </x:c>
    </x:row>
    <x:row r="902" ht="64" customHeight="1">
      <x:c r="A902" s="28" t="str">
        <x:v>VEG-0901</x:v>
      </x:c>
      <x:c r="B902" s="28" t="str">
        <x:v>томат</x:v>
      </x:c>
      <x:c r="C902" s="28" t="str">
        <x:v>Универсальные</x:v>
      </x:c>
      <x:c r="D902" s="28" t="str">
        <x:v>томат</x:v>
      </x:c>
      <x:c r="E902" s="28" t="str">
        <x:v>tomato and tomato puree</x:v>
      </x:c>
      <x:c r="F902" s="28" t="str">
        <x:v>Плодовые овощи</x:v>
      </x:c>
      <x:c r="G902" s="28" t="str">
        <x:v>фонио</x:v>
      </x:c>
      <x:c r="H902" s="28" t="str">
        <x:v>cooked foniograin</x:v>
      </x:c>
      <x:c r="I902" s="28" t="str">
        <x:v>Прочее</x:v>
      </x:c>
      <x:c r="J902" s="28" t="str">
        <x:v>зелёный, фруктовый, листовой, сернистый и умами</x:v>
      </x:c>
      <x:c r="K902" s="28" t="str">
        <x:v>профиль зависит от конкретного продукта</x:v>
      </x:c>
      <x:c r="L902" s="28" t="str">
        <x:v>цис-3-гексеналь, гексаналь, β-ионон, метиональ, глутамат</x:v>
      </x:c>
      <x:c r="M902" s="28" t="str">
        <x:v>конкретный молекулярный профиль не указан</x:v>
      </x:c>
      <x:c r="N902" s="28" t="str">
        <x:v>прямое пересечение семейств не подтверждено</x:v>
      </x:c>
      <x:c r="O902" s="28" t="str">
        <x:v>надёжная общая ключевая молекула не установлена</x:v>
      </x:c>
      <x:c r="P902" s="28" t="str">
        <x:v>сенсорная комплементарность</x:v>
      </x:c>
      <x:c r="Q90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2" s="28" t="str">
        <x:v>минимальный</x:v>
      </x:c>
      <x:c r="S902" s="28" t="str">
        <x:v>водная кислая матрица с пектином и глутаматом</x:v>
      </x:c>
      <x:c r="T90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2" s="28" t="str">
        <x:v>Томат имеет профиль «зелёный, фруктовый, листовой, сернистый и умами». Партнёр «фонио»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02" s="28" t="str">
        <x:v>незрелые плоды слишком зелёные; длительное кипячение стирает свежесть; кислота влияет на молочные эмульсии</x:v>
      </x:c>
      <x:c r="W902" s="28" t="str">
        <x:v>соль, кислота или ароматический жир</x:v>
      </x:c>
      <x:c r="X902" s="28" t="str">
        <x:v>сок, кордиал, гаспачо, салат, соус, маринад или коктейльный компонент с фонио</x:v>
      </x:c>
      <x:c r="Y902" s="28" t="str">
        <x:v>универсальное</x:v>
      </x:c>
      <x:c r="Z902" s="28" t="str">
        <x:v>Средняя</x:v>
      </x:c>
      <x:c r="AA902" s="28" t="str">
        <x:v>The Art &amp; Science of Foodpairing.pdf</x:v>
      </x:c>
      <x:c r="AB902" s="28" t="str">
        <x:v>The Art &amp; Science of Foodpairing.pdf: 161</x:v>
      </x:c>
      <x:c r="AC902" s="28" t="str">
        <x:v>связь из pairing grid, стр. 161</x:v>
      </x:c>
      <x:c r="AD902" s="28" t="n">
        <x:v>1</x:v>
      </x:c>
      <x:c r="AE902" s="28" t="n">
        <x:v>1</x:v>
      </x:c>
      <x:c r="AF902" s="28" t="n">
        <x:f>IF(Z902="Высокая",3,IF(Z902="Средняя",2,1))+AD902*2+MIN(AE902,3)</x:f>
        <x:v>5</x:v>
      </x:c>
    </x:row>
    <x:row r="903" ht="64" customHeight="1">
      <x:c r="A903" s="28" t="str">
        <x:v>VEG-0902</x:v>
      </x:c>
      <x:c r="B903" s="28" t="str">
        <x:v>томат</x:v>
      </x:c>
      <x:c r="C903" s="28" t="str">
        <x:v>Десерты и выпечка</x:v>
      </x:c>
      <x:c r="D903" s="28" t="str">
        <x:v>томат</x:v>
      </x:c>
      <x:c r="E903" s="28" t="str">
        <x:v>orange tomato</x:v>
      </x:c>
      <x:c r="F903" s="28" t="str">
        <x:v>Плодовые овощи</x:v>
      </x:c>
      <x:c r="G903" s="28" t="str">
        <x:v>фундук</x:v>
      </x:c>
      <x:c r="H903" s="28" t="str">
        <x:v>hazelnut</x:v>
      </x:c>
      <x:c r="I903" s="28" t="str">
        <x:v>Орехи и семена</x:v>
      </x:c>
      <x:c r="J903" s="28" t="str">
        <x:v>зелёный, фруктовый, листовой, сернистый и умами</x:v>
      </x:c>
      <x:c r="K903" s="28" t="str">
        <x:v>жареный, какаовый, ореховый</x:v>
      </x:c>
      <x:c r="L903" s="28" t="str">
        <x:v>цис-3-гексеналь, гексаналь, β-ионон, метиональ, глутамат</x:v>
      </x:c>
      <x:c r="M903" s="28" t="str">
        <x:v>пиразины, фильбертон</x:v>
      </x:c>
      <x:c r="N903" s="28" t="str">
        <x:v>прямое пересечение семейств не подтверждено</x:v>
      </x:c>
      <x:c r="O903" s="28" t="str">
        <x:v>надёжная общая ключевая молекула не установлена</x:v>
      </x:c>
      <x:c r="P903" s="28" t="str">
        <x:v>сенсорная комплементарность</x:v>
      </x:c>
      <x:c r="Q90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3" s="28" t="str">
        <x:v>минимальный</x:v>
      </x:c>
      <x:c r="S903" s="28" t="str">
        <x:v>водная кислая матрица с пектином и глутаматом</x:v>
      </x:c>
      <x:c r="T90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3" s="28" t="str">
        <x:v>Томат имеет профиль «зелёный, фруктовый, листовой, сернистый и умами».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903" s="28" t="str">
        <x:v>незрелые плоды слишком зелёные; длительное кипячение стирает свежесть; кислота влияет на молочные эмульсии</x:v>
      </x:c>
      <x:c r="W903" s="28" t="str">
        <x:v>соль, кислота или ароматический жир</x:v>
      </x:c>
      <x:c r="X903" s="28" t="str">
        <x:v>сок, кордиал, гаспачо, салат, соус, маринад или коктейльный компонент с фундук</x:v>
      </x:c>
      <x:c r="Y903" s="28" t="str">
        <x:v>десерты</x:v>
      </x:c>
      <x:c r="Z903" s="28" t="str">
        <x:v>Средняя</x:v>
      </x:c>
      <x:c r="AA903" s="28" t="str">
        <x:v>The Art &amp; Science of Foodpairing.pdf</x:v>
      </x:c>
      <x:c r="AB903" s="28" t="str">
        <x:v>The Art &amp; Science of Foodpairing.pdf: 332</x:v>
      </x:c>
      <x:c r="AC903" s="28" t="str">
        <x:v>связь из pairing grid, стр. 332</x:v>
      </x:c>
      <x:c r="AD903" s="28" t="n">
        <x:v>1</x:v>
      </x:c>
      <x:c r="AE903" s="28" t="n">
        <x:v>1</x:v>
      </x:c>
      <x:c r="AF903" s="28" t="n">
        <x:f>IF(Z903="Высокая",3,IF(Z903="Средняя",2,1))+AD903*2+MIN(AE903,3)</x:f>
        <x:v>5</x:v>
      </x:c>
    </x:row>
    <x:row r="904" ht="64" customHeight="1">
      <x:c r="A904" s="28" t="str">
        <x:v>VEG-0903</x:v>
      </x:c>
      <x:c r="B904" s="28" t="str">
        <x:v>томат</x:v>
      </x:c>
      <x:c r="C904" s="28" t="str">
        <x:v>Универсальные</x:v>
      </x:c>
      <x:c r="D904" s="28" t="str">
        <x:v>томат</x:v>
      </x:c>
      <x:c r="E904" s="28" t="str">
        <x:v>Томаты | томаты</x:v>
      </x:c>
      <x:c r="F904" s="28" t="str">
        <x:v>Плодовые овощи</x:v>
      </x:c>
      <x:c r="G904" s="28" t="str">
        <x:v>хрен</x:v>
      </x:c>
      <x:c r="H904" s="28" t="str">
        <x:v>Хрен | хрен</x:v>
      </x:c>
      <x:c r="I904" s="28" t="str">
        <x:v>Прочее</x:v>
      </x:c>
      <x:c r="J904" s="28" t="str">
        <x:v>зелёный, фруктовый, листовой, сернистый и умами</x:v>
      </x:c>
      <x:c r="K904" s="28" t="str">
        <x:v>профиль зависит от конкретного продукта</x:v>
      </x:c>
      <x:c r="L904" s="28" t="str">
        <x:v>цис-3-гексеналь, гексаналь, β-ионон, метиональ, глутамат</x:v>
      </x:c>
      <x:c r="M904" s="28" t="str">
        <x:v>конкретный молекулярный профиль не указан</x:v>
      </x:c>
      <x:c r="N904" s="28" t="str">
        <x:v>прямое пересечение семейств не подтверждено</x:v>
      </x:c>
      <x:c r="O904" s="28" t="str">
        <x:v>надёжная общая ключевая молекула не установлена</x:v>
      </x:c>
      <x:c r="P904" s="28" t="str">
        <x:v>сенсорная комплементарность</x:v>
      </x:c>
      <x:c r="Q90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4" s="28" t="str">
        <x:v>минимальный</x:v>
      </x:c>
      <x:c r="S904" s="28" t="str">
        <x:v>водная кислая матрица с пектином и глутаматом</x:v>
      </x:c>
      <x:c r="T90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4" s="28" t="str">
        <x:v>Томат имеет профиль «зелёный, фруктовый, листовой, сернистый и умами».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04" s="28" t="str">
        <x:v>незрелые плоды слишком зелёные; длительное кипячение стирает свежесть; кислота влияет на молочные эмульсии</x:v>
      </x:c>
      <x:c r="W904" s="28" t="str">
        <x:v>соль, кислота или ароматический жир</x:v>
      </x:c>
      <x:c r="X904" s="28" t="str">
        <x:v>сок, кордиал, гаспачо, салат, соус, маринад или коктейльный компонент с хрен</x:v>
      </x:c>
      <x:c r="Y904" s="28" t="str">
        <x:v>универсальное</x:v>
      </x:c>
      <x:c r="Z904" s="28" t="str">
        <x:v>Средняя</x:v>
      </x:c>
      <x:c r="AA904" s="28" t="str">
        <x:v>Тезариус вкусов (Ники Сегнит)(1).pdf</x:v>
      </x:c>
      <x:c r="AB904" s="28" t="str">
        <x:v>Тезариус вкусов (Ники Сегнит)(1).pdf: 275, 690</x:v>
      </x:c>
      <x:c r="AC904" s="28" t="str">
        <x:v>развёрнутая пара/статья, стр. 275; развёрнутая пара/статья, стр. 690</x:v>
      </x:c>
      <x:c r="AD904" s="28" t="n">
        <x:v>1</x:v>
      </x:c>
      <x:c r="AE904" s="28" t="n">
        <x:v>2</x:v>
      </x:c>
      <x:c r="AF904" s="28" t="n">
        <x:f>IF(Z904="Высокая",3,IF(Z904="Средняя",2,1))+AD904*2+MIN(AE904,3)</x:f>
        <x:v>6</x:v>
      </x:c>
    </x:row>
    <x:row r="905" ht="64" customHeight="1">
      <x:c r="A905" s="28" t="str">
        <x:v>VEG-0904</x:v>
      </x:c>
      <x:c r="B905" s="28" t="str">
        <x:v>томат</x:v>
      </x:c>
      <x:c r="C905" s="28" t="str">
        <x:v>Универсальные</x:v>
      </x:c>
      <x:c r="D905" s="28" t="str">
        <x:v>томат</x:v>
      </x:c>
      <x:c r="E905" s="28" t="str">
        <x:v>cherry tomato</x:v>
      </x:c>
      <x:c r="F905" s="28" t="str">
        <x:v>Плодовые овощи</x:v>
      </x:c>
      <x:c r="G905" s="28" t="str">
        <x:v>хурма</x:v>
      </x:c>
      <x:c r="H905" s="28" t="str">
        <x:v>persimmon</x:v>
      </x:c>
      <x:c r="I905" s="28" t="str">
        <x:v>Прочее</x:v>
      </x:c>
      <x:c r="J905" s="28" t="str">
        <x:v>зелёный, фруктовый, листовой, сернистый и умами</x:v>
      </x:c>
      <x:c r="K905" s="28" t="str">
        <x:v>профиль зависит от конкретного продукта</x:v>
      </x:c>
      <x:c r="L905" s="28" t="str">
        <x:v>цис-3-гексеналь, гексаналь, β-ионон, метиональ, глутамат</x:v>
      </x:c>
      <x:c r="M905" s="28" t="str">
        <x:v>конкретный молекулярный профиль не указан</x:v>
      </x:c>
      <x:c r="N905" s="28" t="str">
        <x:v>прямое пересечение семейств не подтверждено</x:v>
      </x:c>
      <x:c r="O905" s="28" t="str">
        <x:v>надёжная общая ключевая молекула не установлена</x:v>
      </x:c>
      <x:c r="P905" s="28" t="str">
        <x:v>сенсорная комплементарность</x:v>
      </x:c>
      <x:c r="Q905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5" s="28" t="str">
        <x:v>минимальный</x:v>
      </x:c>
      <x:c r="S905" s="28" t="str">
        <x:v>водная кислая матрица с пектином и глутаматом</x:v>
      </x:c>
      <x:c r="T90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5" s="28" t="str">
        <x:v>Томат имеет профиль «зелёный, фруктовый, листовой, сернистый и умами». Партнёр «хурма»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05" s="28" t="str">
        <x:v>незрелые плоды слишком зелёные; длительное кипячение стирает свежесть; кислота влияет на молочные эмульсии</x:v>
      </x:c>
      <x:c r="W905" s="28" t="str">
        <x:v>соль, кислота или ароматический жир</x:v>
      </x:c>
      <x:c r="X905" s="28" t="str">
        <x:v>сок, кордиал, гаспачо, салат, соус, маринад или коктейльный компонент с хурма</x:v>
      </x:c>
      <x:c r="Y905" s="28" t="str">
        <x:v>универсальное</x:v>
      </x:c>
      <x:c r="Z905" s="28" t="str">
        <x:v>Высокая</x:v>
      </x:c>
      <x:c r="AA905" s="28" t="str">
        <x:v>The Art &amp; Science of Foodpairing.pdf</x:v>
      </x:c>
      <x:c r="AB905" s="28" t="str">
        <x:v>The Art &amp; Science of Foodpairing.pdf: 160</x:v>
      </x:c>
      <x:c r="AC905" s="28" t="str">
        <x:v>прямая Potential pairing, стр. 160</x:v>
      </x:c>
      <x:c r="AD905" s="28" t="n">
        <x:v>1</x:v>
      </x:c>
      <x:c r="AE905" s="28" t="n">
        <x:v>1</x:v>
      </x:c>
      <x:c r="AF905" s="28" t="n">
        <x:f>IF(Z905="Высокая",3,IF(Z905="Средняя",2,1))+AD905*2+MIN(AE905,3)</x:f>
        <x:v>6</x:v>
      </x:c>
    </x:row>
    <x:row r="906" ht="64" customHeight="1">
      <x:c r="A906" s="28" t="str">
        <x:v>VEG-0905</x:v>
      </x:c>
      <x:c r="B906" s="28" t="str">
        <x:v>томат</x:v>
      </x:c>
      <x:c r="C906" s="28" t="str">
        <x:v>Универсальные</x:v>
      </x:c>
      <x:c r="D906" s="28" t="str">
        <x:v>томат</x:v>
      </x:c>
      <x:c r="E906" s="28" t="str">
        <x:v>Томаты | томаты</x:v>
      </x:c>
      <x:c r="F906" s="28" t="str">
        <x:v>Плодовые овощи</x:v>
      </x:c>
      <x:c r="G906" s="28" t="str">
        <x:v>цыпленок</x:v>
      </x:c>
      <x:c r="H906" s="28" t="str">
        <x:v>Цыпленок | цыпленок</x:v>
      </x:c>
      <x:c r="I906" s="28" t="str">
        <x:v>Прочее</x:v>
      </x:c>
      <x:c r="J906" s="28" t="str">
        <x:v>зелёный, фруктовый, листовой, сернистый и умами</x:v>
      </x:c>
      <x:c r="K906" s="28" t="str">
        <x:v>профиль зависит от конкретного продукта</x:v>
      </x:c>
      <x:c r="L906" s="28" t="str">
        <x:v>цис-3-гексеналь, гексаналь, β-ионон, метиональ, глутамат</x:v>
      </x:c>
      <x:c r="M906" s="28" t="str">
        <x:v>конкретный молекулярный профиль не указан</x:v>
      </x:c>
      <x:c r="N906" s="28" t="str">
        <x:v>прямое пересечение семейств не подтверждено</x:v>
      </x:c>
      <x:c r="O906" s="28" t="str">
        <x:v>надёжная общая ключевая молекула не установлена</x:v>
      </x:c>
      <x:c r="P906" s="28" t="str">
        <x:v>сенсорная комплементарность</x:v>
      </x:c>
      <x:c r="Q906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6" s="28" t="str">
        <x:v>минимальный</x:v>
      </x:c>
      <x:c r="S906" s="28" t="str">
        <x:v>водная кислая матрица с пектином и глутаматом</x:v>
      </x:c>
      <x:c r="T90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6" s="28" t="str">
        <x:v>Томат имеет профиль «зелёный, фруктовый, листовой, сернистый и умами».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06" s="28" t="str">
        <x:v>незрелые плоды слишком зелёные; длительное кипячение стирает свежесть; кислота влияет на молочные эмульсии</x:v>
      </x:c>
      <x:c r="W906" s="28" t="str">
        <x:v>соль, кислота или ароматический жир</x:v>
      </x:c>
      <x:c r="X906" s="28" t="str">
        <x:v>сок, кордиал, гаспачо, салат, соус, маринад или коктейльный компонент с цыпленок</x:v>
      </x:c>
      <x:c r="Y906" s="28" t="str">
        <x:v>универсальное</x:v>
      </x:c>
      <x:c r="Z906" s="28" t="str">
        <x:v>Средняя</x:v>
      </x:c>
      <x:c r="AA906" s="28" t="str">
        <x:v>Тезариус вкусов (Ники Сегнит)(1).pdf</x:v>
      </x:c>
      <x:c r="AB906" s="28" t="str">
        <x:v>Тезариус вкусов (Ники Сегнит)(1).pdf: 73, 690</x:v>
      </x:c>
      <x:c r="AC906" s="28" t="str">
        <x:v>развёрнутая пара/статья, стр. 73; развёрнутая пара/статья, стр. 690</x:v>
      </x:c>
      <x:c r="AD906" s="28" t="n">
        <x:v>1</x:v>
      </x:c>
      <x:c r="AE906" s="28" t="n">
        <x:v>2</x:v>
      </x:c>
      <x:c r="AF906" s="28" t="n">
        <x:f>IF(Z906="Высокая",3,IF(Z906="Средняя",2,1))+AD906*2+MIN(AE906,3)</x:f>
        <x:v>6</x:v>
      </x:c>
    </x:row>
    <x:row r="907" ht="64" customHeight="1">
      <x:c r="A907" s="28" t="str">
        <x:v>VEG-0906</x:v>
      </x:c>
      <x:c r="B907" s="28" t="str">
        <x:v>томат</x:v>
      </x:c>
      <x:c r="C907" s="28" t="str">
        <x:v>Универсальные</x:v>
      </x:c>
      <x:c r="D907" s="28" t="str">
        <x:v>томат</x:v>
      </x:c>
      <x:c r="E907" s="28" t="str">
        <x:v>tomato and tomato puree</x:v>
      </x:c>
      <x:c r="F907" s="28" t="str">
        <x:v>Плодовые овощи</x:v>
      </x:c>
      <x:c r="G907" s="28" t="str">
        <x:v>черешня</x:v>
      </x:c>
      <x:c r="H907" s="28" t="str">
        <x:v>sweet cherry</x:v>
      </x:c>
      <x:c r="I907" s="28" t="str">
        <x:v>Прочее</x:v>
      </x:c>
      <x:c r="J907" s="28" t="str">
        <x:v>зелёный, фруктовый, листовой, сернистый и умами</x:v>
      </x:c>
      <x:c r="K907" s="28" t="str">
        <x:v>профиль зависит от конкретного продукта</x:v>
      </x:c>
      <x:c r="L907" s="28" t="str">
        <x:v>цис-3-гексеналь, гексаналь, β-ионон, метиональ, глутамат</x:v>
      </x:c>
      <x:c r="M907" s="28" t="str">
        <x:v>конкретный молекулярный профиль не указан</x:v>
      </x:c>
      <x:c r="N907" s="28" t="str">
        <x:v>прямое пересечение семейств не подтверждено</x:v>
      </x:c>
      <x:c r="O907" s="28" t="str">
        <x:v>надёжная общая ключевая молекула не установлена</x:v>
      </x:c>
      <x:c r="P907" s="28" t="str">
        <x:v>сенсорная комплементарность</x:v>
      </x:c>
      <x:c r="Q907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7" s="28" t="str">
        <x:v>минимальный</x:v>
      </x:c>
      <x:c r="S907" s="28" t="str">
        <x:v>водная кислая матрица с пектином и глутаматом</x:v>
      </x:c>
      <x:c r="T90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7" s="28" t="str">
        <x:v>Томат имеет профиль «зелёный, фруктовый, листовой, сернистый и умами». Партнёр «черешня»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07" s="28" t="str">
        <x:v>незрелые плоды слишком зелёные; длительное кипячение стирает свежесть; кислота влияет на молочные эмульсии</x:v>
      </x:c>
      <x:c r="W907" s="28" t="str">
        <x:v>соль, кислота или ароматический жир</x:v>
      </x:c>
      <x:c r="X907" s="28" t="str">
        <x:v>сок, кордиал, гаспачо, салат, соус, маринад или коктейльный компонент с черешня</x:v>
      </x:c>
      <x:c r="Y907" s="28" t="str">
        <x:v>универсальное</x:v>
      </x:c>
      <x:c r="Z907" s="28" t="str">
        <x:v>Средняя</x:v>
      </x:c>
      <x:c r="AA907" s="28" t="str">
        <x:v>The Art &amp; Science of Foodpairing.pdf</x:v>
      </x:c>
      <x:c r="AB907" s="28" t="str">
        <x:v>The Art &amp; Science of Foodpairing.pdf: 161</x:v>
      </x:c>
      <x:c r="AC907" s="28" t="str">
        <x:v>связь из pairing grid, стр. 161</x:v>
      </x:c>
      <x:c r="AD907" s="28" t="n">
        <x:v>1</x:v>
      </x:c>
      <x:c r="AE907" s="28" t="n">
        <x:v>1</x:v>
      </x:c>
      <x:c r="AF907" s="28" t="n">
        <x:f>IF(Z907="Высокая",3,IF(Z907="Средняя",2,1))+AD907*2+MIN(AE907,3)</x:f>
        <x:v>5</x:v>
      </x:c>
    </x:row>
    <x:row r="908" ht="64" customHeight="1">
      <x:c r="A908" s="28" t="str">
        <x:v>VEG-0907</x:v>
      </x:c>
      <x:c r="B908" s="28" t="str">
        <x:v>томат</x:v>
      </x:c>
      <x:c r="C908" s="28" t="str">
        <x:v>Универсальные</x:v>
      </x:c>
      <x:c r="D908" s="28" t="str">
        <x:v>томат</x:v>
      </x:c>
      <x:c r="E908" s="28" t="str">
        <x:v>Томаты | томаты</x:v>
      </x:c>
      <x:c r="F908" s="28" t="str">
        <x:v>Плодовые овощи</x:v>
      </x:c>
      <x:c r="G908" s="28" t="str">
        <x:v>чили</x:v>
      </x:c>
      <x:c r="H908" s="28" t="str">
        <x:v>Чили | чили</x:v>
      </x:c>
      <x:c r="I908" s="28" t="str">
        <x:v>Специи</x:v>
      </x:c>
      <x:c r="J908" s="28" t="str">
        <x:v>зелёный, фруктовый, листовой, сернистый и умами</x:v>
      </x:c>
      <x:c r="K908" s="28" t="str">
        <x:v>пряный и древесный</x:v>
      </x:c>
      <x:c r="L908" s="28" t="str">
        <x:v>цис-3-гексеналь, гексаналь, β-ионон, метиональ, глутамат</x:v>
      </x:c>
      <x:c r="M908" s="28" t="str">
        <x:v>терпены, фенилпропаноиды</x:v>
      </x:c>
      <x:c r="N908" s="28" t="str">
        <x:v>прямое пересечение семейств не подтверждено</x:v>
      </x:c>
      <x:c r="O908" s="28" t="str">
        <x:v>надёжная общая ключевая молекула не установлена</x:v>
      </x:c>
      <x:c r="P908" s="28" t="str">
        <x:v>сенсорная комплементарность</x:v>
      </x:c>
      <x:c r="Q908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8" s="28" t="str">
        <x:v>минимальный</x:v>
      </x:c>
      <x:c r="S908" s="28" t="str">
        <x:v>водная кислая матрица с пектином и глутаматом</x:v>
      </x:c>
      <x:c r="T90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8" s="28" t="str">
        <x:v>Томат имеет профиль «зелёный, фруктовый, листовой, сернистый и умами».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908" s="28" t="str">
        <x:v>незрелые плоды слишком зелёные; длительное кипячение стирает свежесть; кислота влияет на молочные эмульсии</x:v>
      </x:c>
      <x:c r="W908" s="28" t="str">
        <x:v>цитрус, йогурт или мёд</x:v>
      </x:c>
      <x:c r="X908" s="28" t="str">
        <x:v>сок, кордиал, гаспачо, салат, соус, маринад или коктейльный компонент с чили</x:v>
      </x:c>
      <x:c r="Y908" s="28" t="str">
        <x:v>универсальное</x:v>
      </x:c>
      <x:c r="Z908" s="28" t="str">
        <x:v>Средняя</x:v>
      </x:c>
      <x:c r="AA908" s="28" t="str">
        <x:v>Тезариус вкусов (Ники Сегнит)(1).pdf</x:v>
      </x:c>
      <x:c r="AB908" s="28" t="str">
        <x:v>Тезариус вкусов (Ники Сегнит)(1).pdf: 559, 691</x:v>
      </x:c>
      <x:c r="AC908" s="28" t="str">
        <x:v>развёрнутая пара/статья, стр. 559; развёрнутая пара/статья, стр. 691</x:v>
      </x:c>
      <x:c r="AD908" s="28" t="n">
        <x:v>1</x:v>
      </x:c>
      <x:c r="AE908" s="28" t="n">
        <x:v>2</x:v>
      </x:c>
      <x:c r="AF908" s="28" t="n">
        <x:f>IF(Z908="Высокая",3,IF(Z908="Средняя",2,1))+AD908*2+MIN(AE908,3)</x:f>
        <x:v>6</x:v>
      </x:c>
    </x:row>
    <x:row r="909" ht="64" customHeight="1">
      <x:c r="A909" s="28" t="str">
        <x:v>VEG-0908</x:v>
      </x:c>
      <x:c r="B909" s="28" t="str">
        <x:v>томат</x:v>
      </x:c>
      <x:c r="C909" s="28" t="str">
        <x:v>Универсальные</x:v>
      </x:c>
      <x:c r="D909" s="28" t="str">
        <x:v>томат</x:v>
      </x:c>
      <x:c r="E909" s="28" t="str">
        <x:v>tomato puree | Томат</x:v>
      </x:c>
      <x:c r="F909" s="28" t="str">
        <x:v>Плодовые овощи</x:v>
      </x:c>
      <x:c r="G909" s="28" t="str">
        <x:v>чёрный перец</x:v>
      </x:c>
      <x:c r="H909" s="28" t="str">
        <x:v>peppercorns | чёрный перец</x:v>
      </x:c>
      <x:c r="I909" s="28" t="str">
        <x:v>Специи</x:v>
      </x:c>
      <x:c r="J909" s="28" t="str">
        <x:v>зелёный, фруктовый, листовой, сернистый и умами</x:v>
      </x:c>
      <x:c r="K909" s="28" t="str">
        <x:v>древесный, пряный, цитрусовый</x:v>
      </x:c>
      <x:c r="L909" s="28" t="str">
        <x:v>цис-3-гексеналь, гексаналь, β-ионон, метиональ, глутамат</x:v>
      </x:c>
      <x:c r="M909" s="28" t="str">
        <x:v>лимонен, пинен, пиперин</x:v>
      </x:c>
      <x:c r="N909" s="28" t="str">
        <x:v>прямое пересечение семейств не подтверждено</x:v>
      </x:c>
      <x:c r="O909" s="28" t="str">
        <x:v>надёжная общая ключевая молекула не установлена</x:v>
      </x:c>
      <x:c r="P909" s="28" t="str">
        <x:v>сенсорная комплементарность</x:v>
      </x:c>
      <x:c r="Q909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09" s="28" t="str">
        <x:v>минимальный</x:v>
      </x:c>
      <x:c r="S909" s="28" t="str">
        <x:v>водная кислая матрица с пектином и глутаматом</x:v>
      </x:c>
      <x:c r="T90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09" s="28" t="str">
        <x:v>Томат имеет профиль «зелёный, фруктовый, листовой, сернистый и умами».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909" s="28" t="str">
        <x:v>незрелые плоды слишком зелёные; длительное кипячение стирает свежесть; кислота влияет на молочные эмульсии</x:v>
      </x:c>
      <x:c r="W909" s="28" t="str">
        <x:v>цитрус, йогурт или мёд</x:v>
      </x:c>
      <x:c r="X909" s="28" t="str">
        <x:v>сок, кордиал, гаспачо, салат, соус, маринад или коктейльный компонент с чёрный перец</x:v>
      </x:c>
      <x:c r="Y909" s="28" t="str">
        <x:v>универсальное</x:v>
      </x:c>
      <x:c r="Z909" s="28" t="str">
        <x:v>Высокая</x:v>
      </x:c>
      <x:c r="AA909" s="28" t="str">
        <x:v>The Art &amp; Science of Foodpairing.pdf | Таблица сочетания(1).pdf</x:v>
      </x:c>
      <x:c r="AB909" s="28" t="str">
        <x:v>Таблица сочетания(1).pdf: 21; The Art &amp; Science of Foodpairing.pdf: 273</x:v>
      </x:c>
      <x:c r="AC909" s="28" t="str">
        <x:v>связь из pairing grid, стр. 273; рекомендация таблицы, стр. 21</x:v>
      </x:c>
      <x:c r="AD909" s="28" t="n">
        <x:v>2</x:v>
      </x:c>
      <x:c r="AE909" s="28" t="n">
        <x:v>2</x:v>
      </x:c>
      <x:c r="AF909" s="28" t="n">
        <x:f>IF(Z909="Высокая",3,IF(Z909="Средняя",2,1))+AD909*2+MIN(AE909,3)</x:f>
        <x:v>9</x:v>
      </x:c>
    </x:row>
    <x:row r="910" ht="64" customHeight="1">
      <x:c r="A910" s="28" t="str">
        <x:v>VEG-0909</x:v>
      </x:c>
      <x:c r="B910" s="28" t="str">
        <x:v>томат</x:v>
      </x:c>
      <x:c r="C910" s="28" t="str">
        <x:v>Универсальные</x:v>
      </x:c>
      <x:c r="D910" s="28" t="str">
        <x:v>томат</x:v>
      </x:c>
      <x:c r="E910" s="28" t="str">
        <x:v>Томаты | томаты</x:v>
      </x:c>
      <x:c r="F910" s="28" t="str">
        <x:v>Плодовые овощи</x:v>
      </x:c>
      <x:c r="G910" s="28" t="str">
        <x:v>шалфей</x:v>
      </x:c>
      <x:c r="H910" s="28" t="str">
        <x:v>Шалфей | шалфей</x:v>
      </x:c>
      <x:c r="I910" s="28" t="str">
        <x:v>Травы, цветы и листья</x:v>
      </x:c>
      <x:c r="J910" s="28" t="str">
        <x:v>зелёный, фруктовый, листовой, сернистый и умами</x:v>
      </x:c>
      <x:c r="K910" s="28" t="str">
        <x:v>древесный, камфорный</x:v>
      </x:c>
      <x:c r="L910" s="28" t="str">
        <x:v>цис-3-гексеналь, гексаналь, β-ионон, метиональ, глутамат</x:v>
      </x:c>
      <x:c r="M910" s="28" t="str">
        <x:v>1,8-цинеол, туйон</x:v>
      </x:c>
      <x:c r="N910" s="28" t="str">
        <x:v>прямое пересечение семейств не подтверждено</x:v>
      </x:c>
      <x:c r="O910" s="28" t="str">
        <x:v>надёжная общая ключевая молекула не установлена</x:v>
      </x:c>
      <x:c r="P910" s="28" t="str">
        <x:v>сенсорная комплементарность</x:v>
      </x:c>
      <x:c r="Q910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10" s="28" t="str">
        <x:v>минимальный</x:v>
      </x:c>
      <x:c r="S910" s="28" t="str">
        <x:v>водная кислая матрица с пектином и глутаматом</x:v>
      </x:c>
      <x:c r="T91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10" s="28" t="str">
        <x:v>Томат имеет профиль «зелёный, фруктовый, листовой, сернистый и умами».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V910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W910" s="28" t="str">
        <x:v>оливковое масло, лимон или сыр</x:v>
      </x:c>
      <x:c r="X910" s="28" t="str">
        <x:v>сок, кордиал, гаспачо, салат, соус, маринад или коктейльный компонент с шалфей</x:v>
      </x:c>
      <x:c r="Y910" s="28" t="str">
        <x:v>универсальное</x:v>
      </x:c>
      <x:c r="Z910" s="28" t="str">
        <x:v>Средняя</x:v>
      </x:c>
      <x:c r="AA910" s="28" t="str">
        <x:v>Тезариус вкусов (Ники Сегнит)(1).pdf</x:v>
      </x:c>
      <x:c r="AB910" s="28" t="str">
        <x:v>Тезариус вкусов (Ники Сегнит)(1).pdf: 691, 846</x:v>
      </x:c>
      <x:c r="AC910" s="28" t="str">
        <x:v>развёрнутая пара/статья, стр. 691; развёрнутая пара/статья, стр. 846</x:v>
      </x:c>
      <x:c r="AD910" s="28" t="n">
        <x:v>1</x:v>
      </x:c>
      <x:c r="AE910" s="28" t="n">
        <x:v>2</x:v>
      </x:c>
      <x:c r="AF910" s="28" t="n">
        <x:f>IF(Z910="Высокая",3,IF(Z910="Средняя",2,1))+AD910*2+MIN(AE910,3)</x:f>
        <x:v>6</x:v>
      </x:c>
    </x:row>
    <x:row r="911" ht="64" customHeight="1">
      <x:c r="A911" s="28" t="str">
        <x:v>VEG-0910</x:v>
      </x:c>
      <x:c r="B911" s="28" t="str">
        <x:v>томат</x:v>
      </x:c>
      <x:c r="C911" s="28" t="str">
        <x:v>Универсальные</x:v>
      </x:c>
      <x:c r="D911" s="28" t="str">
        <x:v>томат</x:v>
      </x:c>
      <x:c r="E911" s="28" t="str">
        <x:v>tomato and tomato puree</x:v>
      </x:c>
      <x:c r="F911" s="28" t="str">
        <x:v>Плодовые овощи</x:v>
      </x:c>
      <x:c r="G911" s="28" t="str">
        <x:v>шелковица</x:v>
      </x:c>
      <x:c r="H911" s="28" t="str">
        <x:v>mulberry</x:v>
      </x:c>
      <x:c r="I911" s="28" t="str">
        <x:v>Прочее</x:v>
      </x:c>
      <x:c r="J911" s="28" t="str">
        <x:v>зелёный, фруктовый, листовой, сернистый и умами</x:v>
      </x:c>
      <x:c r="K911" s="28" t="str">
        <x:v>профиль зависит от конкретного продукта</x:v>
      </x:c>
      <x:c r="L911" s="28" t="str">
        <x:v>цис-3-гексеналь, гексаналь, β-ионон, метиональ, глутамат</x:v>
      </x:c>
      <x:c r="M911" s="28" t="str">
        <x:v>конкретный молекулярный профиль не указан</x:v>
      </x:c>
      <x:c r="N911" s="28" t="str">
        <x:v>прямое пересечение семейств не подтверждено</x:v>
      </x:c>
      <x:c r="O911" s="28" t="str">
        <x:v>надёжная общая ключевая молекула не установлена</x:v>
      </x:c>
      <x:c r="P911" s="28" t="str">
        <x:v>сенсорная комплементарность</x:v>
      </x:c>
      <x:c r="Q911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11" s="28" t="str">
        <x:v>минимальный</x:v>
      </x:c>
      <x:c r="S911" s="28" t="str">
        <x:v>водная кислая матрица с пектином и глутаматом</x:v>
      </x:c>
      <x:c r="T91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11" s="28" t="str">
        <x:v>Томат имеет профиль «зелёный, фруктовый, листовой, сернистый и умами». Партнёр «шелковица»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11" s="28" t="str">
        <x:v>незрелые плоды слишком зелёные; длительное кипячение стирает свежесть; кислота влияет на молочные эмульсии</x:v>
      </x:c>
      <x:c r="W911" s="28" t="str">
        <x:v>соль, кислота или ароматический жир</x:v>
      </x:c>
      <x:c r="X911" s="28" t="str">
        <x:v>сок, кордиал, гаспачо, салат, соус, маринад или коктейльный компонент с шелковица</x:v>
      </x:c>
      <x:c r="Y911" s="28" t="str">
        <x:v>универсальное</x:v>
      </x:c>
      <x:c r="Z911" s="28" t="str">
        <x:v>Средняя</x:v>
      </x:c>
      <x:c r="AA911" s="28" t="str">
        <x:v>The Art &amp; Science of Foodpairing.pdf</x:v>
      </x:c>
      <x:c r="AB911" s="28" t="str">
        <x:v>The Art &amp; Science of Foodpairing.pdf: 161</x:v>
      </x:c>
      <x:c r="AC911" s="28" t="str">
        <x:v>связь из pairing grid, стр. 161</x:v>
      </x:c>
      <x:c r="AD911" s="28" t="n">
        <x:v>1</x:v>
      </x:c>
      <x:c r="AE911" s="28" t="n">
        <x:v>1</x:v>
      </x:c>
      <x:c r="AF911" s="28" t="n">
        <x:f>IF(Z911="Высокая",3,IF(Z911="Средняя",2,1))+AD911*2+MIN(AE911,3)</x:f>
        <x:v>5</x:v>
      </x:c>
    </x:row>
    <x:row r="912" ht="64" customHeight="1">
      <x:c r="A912" s="28" t="str">
        <x:v>VEG-0911</x:v>
      </x:c>
      <x:c r="B912" s="28" t="str">
        <x:v>томат</x:v>
      </x:c>
      <x:c r="C912" s="28" t="str">
        <x:v>Универсальные</x:v>
      </x:c>
      <x:c r="D912" s="28" t="str">
        <x:v>томат</x:v>
      </x:c>
      <x:c r="E912" s="28" t="str">
        <x:v>tomato and tomato puree</x:v>
      </x:c>
      <x:c r="F912" s="28" t="str">
        <x:v>Плодовые овощи</x:v>
      </x:c>
      <x:c r="G912" s="28" t="str">
        <x:v>шиповник</x:v>
      </x:c>
      <x:c r="H912" s="28" t="str">
        <x:v>dried rose hip</x:v>
      </x:c>
      <x:c r="I912" s="28" t="str">
        <x:v>Прочее</x:v>
      </x:c>
      <x:c r="J912" s="28" t="str">
        <x:v>зелёный, фруктовый, листовой, сернистый и умами</x:v>
      </x:c>
      <x:c r="K912" s="28" t="str">
        <x:v>профиль зависит от конкретного продукта</x:v>
      </x:c>
      <x:c r="L912" s="28" t="str">
        <x:v>цис-3-гексеналь, гексаналь, β-ионон, метиональ, глутамат</x:v>
      </x:c>
      <x:c r="M912" s="28" t="str">
        <x:v>конкретный молекулярный профиль не указан</x:v>
      </x:c>
      <x:c r="N912" s="28" t="str">
        <x:v>прямое пересечение семейств не подтверждено</x:v>
      </x:c>
      <x:c r="O912" s="28" t="str">
        <x:v>надёжная общая ключевая молекула не установлена</x:v>
      </x:c>
      <x:c r="P912" s="28" t="str">
        <x:v>сенсорная комплементарность</x:v>
      </x:c>
      <x:c r="Q912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12" s="28" t="str">
        <x:v>минимальный</x:v>
      </x:c>
      <x:c r="S912" s="28" t="str">
        <x:v>водная кислая матрица с пектином и глутаматом</x:v>
      </x:c>
      <x:c r="T91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12" s="28" t="str">
        <x:v>Томат имеет профиль «зелёный, фруктовый, листовой, сернистый и умами». Партнёр «шиповник»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12" s="28" t="str">
        <x:v>незрелые плоды слишком зелёные; длительное кипячение стирает свежесть; кислота влияет на молочные эмульсии</x:v>
      </x:c>
      <x:c r="W912" s="28" t="str">
        <x:v>соль, кислота или ароматический жир</x:v>
      </x:c>
      <x:c r="X912" s="28" t="str">
        <x:v>сок, кордиал, гаспачо, салат, соус, маринад или коктейльный компонент с шиповник</x:v>
      </x:c>
      <x:c r="Y912" s="28" t="str">
        <x:v>универсальное</x:v>
      </x:c>
      <x:c r="Z912" s="28" t="str">
        <x:v>Средняя</x:v>
      </x:c>
      <x:c r="AA912" s="28" t="str">
        <x:v>The Art &amp; Science of Foodpairing.pdf</x:v>
      </x:c>
      <x:c r="AB912" s="28" t="str">
        <x:v>The Art &amp; Science of Foodpairing.pdf: 161</x:v>
      </x:c>
      <x:c r="AC912" s="28" t="str">
        <x:v>связь из pairing grid, стр. 161; связь из pairing grid, стр. 161</x:v>
      </x:c>
      <x:c r="AD912" s="28" t="n">
        <x:v>1</x:v>
      </x:c>
      <x:c r="AE912" s="28" t="n">
        <x:v>2</x:v>
      </x:c>
      <x:c r="AF912" s="28" t="n">
        <x:f>IF(Z912="Высокая",3,IF(Z912="Средняя",2,1))+AD912*2+MIN(AE912,3)</x:f>
        <x:v>6</x:v>
      </x:c>
    </x:row>
    <x:row r="913" ht="64" customHeight="1">
      <x:c r="A913" s="28" t="str">
        <x:v>VEG-0912</x:v>
      </x:c>
      <x:c r="B913" s="28" t="str">
        <x:v>томат</x:v>
      </x:c>
      <x:c r="C913" s="28" t="str">
        <x:v>Десерты и выпечка</x:v>
      </x:c>
      <x:c r="D913" s="28" t="str">
        <x:v>томат</x:v>
      </x:c>
      <x:c r="E913" s="28" t="str">
        <x:v>cherry tomato | Томаты | томаты</x:v>
      </x:c>
      <x:c r="F913" s="28" t="str">
        <x:v>Плодовые овощи</x:v>
      </x:c>
      <x:c r="G913" s="28" t="str">
        <x:v>шоколад</x:v>
      </x:c>
      <x:c r="H913" s="28" t="str">
        <x:v>chocolate | Шоколад | шоколад</x:v>
      </x:c>
      <x:c r="I913" s="28" t="str">
        <x:v>Какао и шоколад</x:v>
      </x:c>
      <x:c r="J913" s="28" t="str">
        <x:v>зелёный, фруктовый, листовой, сернистый и умами</x:v>
      </x:c>
      <x:c r="K913" s="28" t="str">
        <x:v>жареный, какаовый, карамельный</x:v>
      </x:c>
      <x:c r="L913" s="28" t="str">
        <x:v>цис-3-гексеналь, гексаналь, β-ионон, метиональ, глутамат</x:v>
      </x:c>
      <x:c r="M913" s="28" t="str">
        <x:v>пиразины, фураны</x:v>
      </x:c>
      <x:c r="N913" s="28" t="str">
        <x:v>прямое пересечение семейств не подтверждено</x:v>
      </x:c>
      <x:c r="O913" s="28" t="str">
        <x:v>надёжная общая ключевая молекула не установлена</x:v>
      </x:c>
      <x:c r="P913" s="28" t="str">
        <x:v>сенсорная комплементарность</x:v>
      </x:c>
      <x:c r="Q913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13" s="28" t="str">
        <x:v>минимальный</x:v>
      </x:c>
      <x:c r="S913" s="28" t="str">
        <x:v>водная кислая матрица с пектином и глутаматом</x:v>
      </x:c>
      <x:c r="T91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13" s="28" t="str">
        <x:v>Томат имеет профиль «зелёный, фруктовый, листовой, сернистый и умами».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913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W913" s="28" t="str">
        <x:v>сливки, орех или карамель</x:v>
      </x:c>
      <x:c r="X913" s="28" t="str">
        <x:v>сок, кордиал, гаспачо, салат, соус, маринад или коктейльный компонент с шоколад</x:v>
      </x:c>
      <x:c r="Y913" s="28" t="str">
        <x:v>десерты</x:v>
      </x:c>
      <x:c r="Z913" s="28" t="str">
        <x:v>Высокая</x:v>
      </x:c>
      <x:c r="AA913" s="28" t="str">
        <x:v>The Art &amp; Science of Foodpairing.pdf | Тезариус вкусов (Ники Сегнит)(1).pdf</x:v>
      </x:c>
      <x:c r="AB913" s="28" t="str">
        <x:v>Тезариус вкусов (Ники Сегнит)(1).pdf: 35, 691; The Art &amp; Science of Foodpairing.pdf: 62</x:v>
      </x:c>
      <x:c r="AC913" s="28" t="str">
        <x:v>развёрнутая пара/статья, стр. 35; развёрнутая пара/статья, стр. 691; связь из pairing grid, стр. 62</x:v>
      </x:c>
      <x:c r="AD913" s="28" t="n">
        <x:v>2</x:v>
      </x:c>
      <x:c r="AE913" s="28" t="n">
        <x:v>3</x:v>
      </x:c>
      <x:c r="AF913" s="28" t="n">
        <x:f>IF(Z913="Высокая",3,IF(Z913="Средняя",2,1))+AD913*2+MIN(AE913,3)</x:f>
        <x:v>10</x:v>
      </x:c>
    </x:row>
    <x:row r="914" ht="64" customHeight="1">
      <x:c r="A914" s="28" t="str">
        <x:v>VEG-0913</x:v>
      </x:c>
      <x:c r="B914" s="28" t="str">
        <x:v>томат</x:v>
      </x:c>
      <x:c r="C914" s="28" t="str">
        <x:v>Универсальные</x:v>
      </x:c>
      <x:c r="D914" s="28" t="str">
        <x:v>томат</x:v>
      </x:c>
      <x:c r="E914" s="28" t="str">
        <x:v>Томаты | томаты</x:v>
      </x:c>
      <x:c r="F914" s="28" t="str">
        <x:v>Плодовые овощи</x:v>
      </x:c>
      <x:c r="G914" s="28" t="str">
        <x:v>яйца</x:v>
      </x:c>
      <x:c r="H914" s="28" t="str">
        <x:v>Яйца | яйца</x:v>
      </x:c>
      <x:c r="I914" s="28" t="str">
        <x:v>Прочее</x:v>
      </x:c>
      <x:c r="J914" s="28" t="str">
        <x:v>зелёный, фруктовый, листовой, сернистый и умами</x:v>
      </x:c>
      <x:c r="K914" s="28" t="str">
        <x:v>профиль зависит от конкретного продукта</x:v>
      </x:c>
      <x:c r="L914" s="28" t="str">
        <x:v>цис-3-гексеналь, гексаналь, β-ионон, метиональ, глутамат</x:v>
      </x:c>
      <x:c r="M914" s="28" t="str">
        <x:v>конкретный молекулярный профиль не указан</x:v>
      </x:c>
      <x:c r="N914" s="28" t="str">
        <x:v>прямое пересечение семейств не подтверждено</x:v>
      </x:c>
      <x:c r="O914" s="28" t="str">
        <x:v>надёжная общая ключевая молекула не установлена</x:v>
      </x:c>
      <x:c r="P914" s="28" t="str">
        <x:v>сенсорная комплементарность</x:v>
      </x:c>
      <x:c r="Q914" s="28" t="str">
        <x:v>Умами и лёгкая кислотность поддерживаются солью и жиром; сладость округляет жареную горечь, а кислота предотвращает тяжесть.</x:v>
      </x:c>
      <x:c r="R914" s="28" t="str">
        <x:v>минимальный</x:v>
      </x:c>
      <x:c r="S914" s="28" t="str">
        <x:v>водная кислая матрица с пектином и глутаматом</x:v>
      </x:c>
      <x:c r="T91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U914" s="28" t="str">
        <x:v>Томат имеет профиль «зелёный, фруктовый, листовой, сернистый и умами».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14" s="28" t="str">
        <x:v>незрелые плоды слишком зелёные; длительное кипячение стирает свежесть; кислота влияет на молочные эмульсии</x:v>
      </x:c>
      <x:c r="W914" s="28" t="str">
        <x:v>соль, кислота или ароматический жир</x:v>
      </x:c>
      <x:c r="X914" s="28" t="str">
        <x:v>сок, кордиал, гаспачо, салат, соус, маринад или коктейльный компонент с яйца</x:v>
      </x:c>
      <x:c r="Y914" s="28" t="str">
        <x:v>универсальное</x:v>
      </x:c>
      <x:c r="Z914" s="28" t="str">
        <x:v>Средняя</x:v>
      </x:c>
      <x:c r="AA914" s="28" t="str">
        <x:v>Тезариус вкусов (Ники Сегнит)(1).pdf</x:v>
      </x:c>
      <x:c r="AB914" s="28" t="str">
        <x:v>Тезариус вкусов (Ники Сегнит)(1).pdf: 360, 691</x:v>
      </x:c>
      <x:c r="AC914" s="28" t="str">
        <x:v>развёрнутая пара/статья, стр. 360; развёрнутая пара/статья, стр. 691</x:v>
      </x:c>
      <x:c r="AD914" s="28" t="n">
        <x:v>1</x:v>
      </x:c>
      <x:c r="AE914" s="28" t="n">
        <x:v>2</x:v>
      </x:c>
      <x:c r="AF914" s="28" t="n">
        <x:f>IF(Z914="Высокая",3,IF(Z914="Средняя",2,1))+AD914*2+MIN(AE914,3)</x:f>
        <x:v>6</x:v>
      </x:c>
    </x:row>
    <x:row r="915" ht="64" customHeight="1">
      <x:c r="A915" s="28" t="str">
        <x:v>VEG-0914</x:v>
      </x:c>
      <x:c r="B915" s="28" t="str">
        <x:v>тыква</x:v>
      </x:c>
      <x:c r="C915" s="28" t="str">
        <x:v>Десерты и выпечка</x:v>
      </x:c>
      <x:c r="D915" s="28" t="str">
        <x:v>тыква</x:v>
      </x:c>
      <x:c r="E915" s="28" t="str">
        <x:v>roasted pumpkin seeds</x:v>
      </x:c>
      <x:c r="F915" s="28" t="str">
        <x:v>Тыквенные</x:v>
      </x:c>
      <x:c r="G915" s="28" t="str">
        <x:v>банан</x:v>
      </x:c>
      <x:c r="H915" s="28" t="str">
        <x:v>banana</x:v>
      </x:c>
      <x:c r="I915" s="28" t="str">
        <x:v>Фрукты и ягоды</x:v>
      </x:c>
      <x:c r="J915" s="28" t="str">
        <x:v>сладкий, крахмалистый, ореховый и слегка цветочный</x:v>
      </x:c>
      <x:c r="K915" s="28" t="str">
        <x:v>фруктовый, цветочный и свежий</x:v>
      </x:c>
      <x:c r="L915" s="28" t="str">
        <x:v>лактоны, норизопреноиды, фураны, пиразины</x:v>
      </x:c>
      <x:c r="M915" s="28" t="str">
        <x:v>альдегиды, эфиры</x:v>
      </x:c>
      <x:c r="N915" s="28" t="str">
        <x:v>прямое пересечение семейств не подтверждено</x:v>
      </x:c>
      <x:c r="O915" s="28" t="str">
        <x:v>надёжная общая ключевая молекула не установлена</x:v>
      </x:c>
      <x:c r="P915" s="28" t="str">
        <x:v>кислотно-сладкий баланс</x:v>
      </x:c>
      <x:c r="Q915" s="28" t="str">
        <x:v>Сладость и землистость балансируются кислотой, солью, горечью и умами; жир усиливает ощущение округлости.</x:v>
      </x:c>
      <x:c r="R915" s="28" t="str">
        <x:v>минимальный</x:v>
      </x:c>
      <x:c r="S915" s="28" t="str">
        <x:v>водно-крахмалистая матрица; хорошо принимает жир и специи Водная кислая фаза усиливает свежесть, но может разжижать пюре и нарушать молочную эмульсию.</x:v>
      </x:c>
      <x:c r="T915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15" s="28" t="str">
        <x:v>Тыква имеет профиль «сладкий, крахмалистый, ореховый и слегка цветочный».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915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915" s="28" t="str">
        <x:v>цитрус, мёд или мягкая трава</x:v>
      </x:c>
      <x:c r="X915" s="28" t="str">
        <x:v>пюре, суп, запекание, крем, гарнир, соус или десертная разработка с банан</x:v>
      </x:c>
      <x:c r="Y915" s="28" t="str">
        <x:v>десерты</x:v>
      </x:c>
      <x:c r="Z915" s="28" t="str">
        <x:v>Средняя</x:v>
      </x:c>
      <x:c r="AA915" s="28" t="str">
        <x:v>The Art &amp; Science of Foodpairing.pdf</x:v>
      </x:c>
      <x:c r="AB915" s="28" t="str">
        <x:v>The Art &amp; Science of Foodpairing.pdf: 342</x:v>
      </x:c>
      <x:c r="AC915" s="28" t="str">
        <x:v>связь из pairing grid, стр. 342</x:v>
      </x:c>
      <x:c r="AD915" s="28" t="n">
        <x:v>1</x:v>
      </x:c>
      <x:c r="AE915" s="28" t="n">
        <x:v>1</x:v>
      </x:c>
      <x:c r="AF915" s="28" t="n">
        <x:f>IF(Z915="Высокая",3,IF(Z915="Средняя",2,1))+AD915*2+MIN(AE915,3)</x:f>
        <x:v>5</x:v>
      </x:c>
    </x:row>
    <x:row r="916" ht="64" customHeight="1">
      <x:c r="A916" s="28" t="str">
        <x:v>VEG-0915</x:v>
      </x:c>
      <x:c r="B916" s="28" t="str">
        <x:v>тыква</x:v>
      </x:c>
      <x:c r="C916" s="28" t="str">
        <x:v>Универсальные</x:v>
      </x:c>
      <x:c r="D916" s="28" t="str">
        <x:v>тыква</x:v>
      </x:c>
      <x:c r="E916" s="28" t="str">
        <x:v>Тыква</x:v>
      </x:c>
      <x:c r="F916" s="28" t="str">
        <x:v>Тыквенные</x:v>
      </x:c>
      <x:c r="G916" s="28" t="str">
        <x:v>ваниль</x:v>
      </x:c>
      <x:c r="H916" s="28" t="str">
        <x:v>ваниль</x:v>
      </x:c>
      <x:c r="I916" s="28" t="str">
        <x:v>Специи</x:v>
      </x:c>
      <x:c r="J916" s="28" t="str">
        <x:v>сладкий, крахмалистый, ореховый и слегка цветочный</x:v>
      </x:c>
      <x:c r="K916" s="28" t="str">
        <x:v>ванильный, древесный, цветочный</x:v>
      </x:c>
      <x:c r="L916" s="28" t="str">
        <x:v>лактоны, норизопреноиды, фураны, пиразины</x:v>
      </x:c>
      <x:c r="M916" s="28" t="str">
        <x:v>ванилин</x:v>
      </x:c>
      <x:c r="N916" s="28" t="str">
        <x:v>прямое пересечение семейств не подтверждено</x:v>
      </x:c>
      <x:c r="O916" s="28" t="str">
        <x:v>надёжная общая ключевая молекула не установлена</x:v>
      </x:c>
      <x:c r="P916" s="28" t="str">
        <x:v>сенсорная комплементарность</x:v>
      </x:c>
      <x:c r="Q916" s="28" t="str">
        <x:v>Сладость и землистость балансируются кислотой, солью, горечью и умами; жир усиливает ощущение округлости.</x:v>
      </x:c>
      <x:c r="R916" s="28" t="str">
        <x:v>минимальный</x:v>
      </x:c>
      <x:c r="S916" s="28" t="str">
        <x:v>водно-крахмалистая матрица; хорошо принимает жир и специи</x:v>
      </x:c>
      <x:c r="T916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16" s="28" t="str">
        <x:v>Тыква имеет профиль «сладкий, крахмалистый, ореховый и слегка цветочный».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16" s="28" t="str">
        <x:v>водянистые сорта размывают вкус; сильная сладость требует кислоты, соли или горечи</x:v>
      </x:c>
      <x:c r="W916" s="28" t="str">
        <x:v>цитрус, йогурт или мёд</x:v>
      </x:c>
      <x:c r="X916" s="28" t="str">
        <x:v>пюре, суп, запекание, крем, гарнир, соус или десертная разработка с ваниль</x:v>
      </x:c>
      <x:c r="Y916" s="28" t="str">
        <x:v>универсальное</x:v>
      </x:c>
      <x:c r="Z916" s="28" t="str">
        <x:v>Гипотеза / практическая</x:v>
      </x:c>
      <x:c r="AA916" s="28" t="str">
        <x:v>Таблица сочетания(1).pdf</x:v>
      </x:c>
      <x:c r="AB916" s="28" t="str">
        <x:v>Таблица сочетания(1).pdf: 18</x:v>
      </x:c>
      <x:c r="AC916" s="28" t="str">
        <x:v>рекомендация таблицы, стр. 18</x:v>
      </x:c>
      <x:c r="AD916" s="28" t="n">
        <x:v>1</x:v>
      </x:c>
      <x:c r="AE916" s="28" t="n">
        <x:v>1</x:v>
      </x:c>
      <x:c r="AF916" s="28" t="n">
        <x:f>IF(Z916="Высокая",3,IF(Z916="Средняя",2,1))+AD916*2+MIN(AE916,3)</x:f>
        <x:v>4</x:v>
      </x:c>
    </x:row>
    <x:row r="917" ht="64" customHeight="1">
      <x:c r="A917" s="28" t="str">
        <x:v>VEG-0916</x:v>
      </x:c>
      <x:c r="B917" s="28" t="str">
        <x:v>тыква</x:v>
      </x:c>
      <x:c r="C917" s="28" t="str">
        <x:v>Универсальные</x:v>
      </x:c>
      <x:c r="D917" s="28" t="str">
        <x:v>тыква</x:v>
      </x:c>
      <x:c r="E917" s="28" t="str">
        <x:v>pumpkin</x:v>
      </x:c>
      <x:c r="F917" s="28" t="str">
        <x:v>Тыквенные</x:v>
      </x:c>
      <x:c r="G917" s="28" t="str">
        <x:v>водоросли</x:v>
      </x:c>
      <x:c r="H917" s="28" t="str">
        <x:v>seaweed</x:v>
      </x:c>
      <x:c r="I917" s="28" t="str">
        <x:v>Прочее</x:v>
      </x:c>
      <x:c r="J917" s="28" t="str">
        <x:v>сладкий, крахмалистый, ореховый и слегка цветочный</x:v>
      </x:c>
      <x:c r="K917" s="28" t="str">
        <x:v>профиль зависит от конкретного продукта</x:v>
      </x:c>
      <x:c r="L917" s="28" t="str">
        <x:v>лактоны, норизопреноиды, фураны, пиразины</x:v>
      </x:c>
      <x:c r="M917" s="28" t="str">
        <x:v>конкретный молекулярный профиль не указан</x:v>
      </x:c>
      <x:c r="N917" s="28" t="str">
        <x:v>прямое пересечение семейств не подтверждено</x:v>
      </x:c>
      <x:c r="O917" s="28" t="str">
        <x:v>надёжная общая ключевая молекула не установлена</x:v>
      </x:c>
      <x:c r="P917" s="28" t="str">
        <x:v>сенсорная комплементарность</x:v>
      </x:c>
      <x:c r="Q917" s="28" t="str">
        <x:v>Сладость и землистость балансируются кислотой, солью, горечью и умами; жир усиливает ощущение округлости.</x:v>
      </x:c>
      <x:c r="R917" s="28" t="str">
        <x:v>минимальный</x:v>
      </x:c>
      <x:c r="S917" s="28" t="str">
        <x:v>водно-крахмалистая матрица; хорошо принимает жир и специи</x:v>
      </x:c>
      <x:c r="T917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17" s="28" t="str">
        <x:v>Тыква имеет профиль «сладкий, крахмалистый, ореховый и слегка цветочный».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17" s="28" t="str">
        <x:v>водянистые сорта размывают вкус; сильная сладость требует кислоты, соли или горечи</x:v>
      </x:c>
      <x:c r="W917" s="28" t="str">
        <x:v>соль, кислота или ароматический жир</x:v>
      </x:c>
      <x:c r="X917" s="28" t="str">
        <x:v>пюре, суп, запекание, крем, гарнир, соус или десертная разработка с водоросли</x:v>
      </x:c>
      <x:c r="Y917" s="28" t="str">
        <x:v>универсальное</x:v>
      </x:c>
      <x:c r="Z917" s="28" t="str">
        <x:v>Средняя</x:v>
      </x:c>
      <x:c r="AA917" s="28" t="str">
        <x:v>The Art &amp; Science of Foodpairing.pdf</x:v>
      </x:c>
      <x:c r="AB917" s="28" t="str">
        <x:v>The Art &amp; Science of Foodpairing.pdf: 267</x:v>
      </x:c>
      <x:c r="AC917" s="28" t="str">
        <x:v>связь из pairing grid, стр. 267</x:v>
      </x:c>
      <x:c r="AD917" s="28" t="n">
        <x:v>1</x:v>
      </x:c>
      <x:c r="AE917" s="28" t="n">
        <x:v>1</x:v>
      </x:c>
      <x:c r="AF917" s="28" t="n">
        <x:f>IF(Z917="Высокая",3,IF(Z917="Средняя",2,1))+AD917*2+MIN(AE917,3)</x:f>
        <x:v>5</x:v>
      </x:c>
    </x:row>
    <x:row r="918" ht="64" customHeight="1">
      <x:c r="A918" s="28" t="str">
        <x:v>VEG-0917</x:v>
      </x:c>
      <x:c r="B918" s="28" t="str">
        <x:v>тыква</x:v>
      </x:c>
      <x:c r="C918" s="28" t="str">
        <x:v>Универсальные</x:v>
      </x:c>
      <x:c r="D918" s="28" t="str">
        <x:v>тыква</x:v>
      </x:c>
      <x:c r="E918" s="28" t="str">
        <x:v>Тыква</x:v>
      </x:c>
      <x:c r="F918" s="28" t="str">
        <x:v>Тыквенные</x:v>
      </x:c>
      <x:c r="G918" s="28" t="str">
        <x:v>гвоздика</x:v>
      </x:c>
      <x:c r="H918" s="28" t="str">
        <x:v>гвоздика</x:v>
      </x:c>
      <x:c r="I918" s="28" t="str">
        <x:v>Специи</x:v>
      </x:c>
      <x:c r="J918" s="28" t="str">
        <x:v>сладкий, крахмалистый, ореховый и слегка цветочный</x:v>
      </x:c>
      <x:c r="K918" s="28" t="str">
        <x:v>древесный, пряный, фенольный</x:v>
      </x:c>
      <x:c r="L918" s="28" t="str">
        <x:v>лактоны, норизопреноиды, фураны, пиразины</x:v>
      </x:c>
      <x:c r="M918" s="28" t="str">
        <x:v>эвгенол</x:v>
      </x:c>
      <x:c r="N918" s="28" t="str">
        <x:v>прямое пересечение семейств не подтверждено</x:v>
      </x:c>
      <x:c r="O918" s="28" t="str">
        <x:v>надёжная общая ключевая молекула не установлена</x:v>
      </x:c>
      <x:c r="P918" s="28" t="str">
        <x:v>сенсорная комплементарность</x:v>
      </x:c>
      <x:c r="Q918" s="28" t="str">
        <x:v>Сладость и землистость балансируются кислотой, солью, горечью и умами; жир усиливает ощущение округлости.</x:v>
      </x:c>
      <x:c r="R918" s="28" t="str">
        <x:v>минимальный</x:v>
      </x:c>
      <x:c r="S918" s="28" t="str">
        <x:v>водно-крахмалистая матрица; хорошо принимает жир и специи</x:v>
      </x:c>
      <x:c r="T918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18" s="28" t="str">
        <x:v>Тыква имеет профиль «сладкий, крахмалистый, ореховый и слегка цветочный».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18" s="28" t="str">
        <x:v>водянистые сорта размывают вкус; сильная сладость требует кислоты, соли или горечи</x:v>
      </x:c>
      <x:c r="W918" s="28" t="str">
        <x:v>цитрус, йогурт или мёд</x:v>
      </x:c>
      <x:c r="X918" s="28" t="str">
        <x:v>пюре, суп, запекание, крем, гарнир, соус или десертная разработка с гвоздика</x:v>
      </x:c>
      <x:c r="Y918" s="28" t="str">
        <x:v>универсальное</x:v>
      </x:c>
      <x:c r="Z918" s="28" t="str">
        <x:v>Гипотеза / практическая</x:v>
      </x:c>
      <x:c r="AA918" s="28" t="str">
        <x:v>Таблица сочетания(1).pdf</x:v>
      </x:c>
      <x:c r="AB918" s="28" t="str">
        <x:v>Таблица сочетания(1).pdf: 18</x:v>
      </x:c>
      <x:c r="AC918" s="28" t="str">
        <x:v>рекомендация таблицы, стр. 18</x:v>
      </x:c>
      <x:c r="AD918" s="28" t="n">
        <x:v>1</x:v>
      </x:c>
      <x:c r="AE918" s="28" t="n">
        <x:v>1</x:v>
      </x:c>
      <x:c r="AF918" s="28" t="n">
        <x:f>IF(Z918="Высокая",3,IF(Z918="Средняя",2,1))+AD918*2+MIN(AE918,3)</x:f>
        <x:v>4</x:v>
      </x:c>
    </x:row>
    <x:row r="919" ht="64" customHeight="1">
      <x:c r="A919" s="28" t="str">
        <x:v>VEG-0918</x:v>
      </x:c>
      <x:c r="B919" s="28" t="str">
        <x:v>тыква</x:v>
      </x:c>
      <x:c r="C919" s="28" t="str">
        <x:v>Десерты и выпечка</x:v>
      </x:c>
      <x:c r="D919" s="28" t="str">
        <x:v>тыква</x:v>
      </x:c>
      <x:c r="E919" s="28" t="str">
        <x:v>pumpkin seed oil</x:v>
      </x:c>
      <x:c r="F919" s="28" t="str">
        <x:v>Тыквенные</x:v>
      </x:c>
      <x:c r="G919" s="28" t="str">
        <x:v>голубой сыр</x:v>
      </x:c>
      <x:c r="H919" s="28" t="str">
        <x:v>blue cheese</x:v>
      </x:c>
      <x:c r="I919" s="28" t="str">
        <x:v>Молочные продукты и сыры</x:v>
      </x:c>
      <x:c r="J919" s="28" t="str">
        <x:v>сладкий, крахмалистый, ореховый и слегка цветочный</x:v>
      </x:c>
      <x:c r="K919" s="28" t="str">
        <x:v>молочный, умами, ферментированный</x:v>
      </x:c>
      <x:c r="L919" s="28" t="str">
        <x:v>лактоны, норизопреноиды, фураны, пиразины</x:v>
      </x:c>
      <x:c r="M919" s="28" t="str">
        <x:v>диацетил, жирные кислоты</x:v>
      </x:c>
      <x:c r="N919" s="28" t="str">
        <x:v>прямое пересечение семейств не подтверждено</x:v>
      </x:c>
      <x:c r="O919" s="28" t="str">
        <x:v>надёжная общая ключевая молекула не установлена</x:v>
      </x:c>
      <x:c r="P919" s="28" t="str">
        <x:v>жировая матрица</x:v>
      </x:c>
      <x:c r="Q919" s="28" t="str">
        <x:v>Сладость и землистость балансируются кислотой, солью, горечью и умами; жир усиливает ощущение округлости.</x:v>
      </x:c>
      <x:c r="R919" s="28" t="str">
        <x:v>минимальный</x:v>
      </x:c>
      <x:c r="S919" s="28" t="str">
        <x:v>водно-крахмалистая матрица; хорошо принимает жир и специи Жировая фаза удерживает гидрофобные молекулы, но может сделать вкус тяжёлым.</x:v>
      </x:c>
      <x:c r="T919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19" s="28" t="str">
        <x:v>Тыква имеет профиль «сладкий, крахмалистый, ореховый и слегка цветочный».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919" s="28" t="str">
        <x:v>водянистые сорта размывают вкус; сильная сладость требует кислоты, соли или горечи; жир способен приглушить свежую зелёную ароматику</x:v>
      </x:c>
      <x:c r="W919" s="28" t="str">
        <x:v>кислота, зелень или жареный орех</x:v>
      </x:c>
      <x:c r="X919" s="28" t="str">
        <x:v>пюре, суп, запекание, крем, гарнир, соус или десертная разработка с голубой сыр</x:v>
      </x:c>
      <x:c r="Y919" s="28" t="str">
        <x:v>десерты</x:v>
      </x:c>
      <x:c r="Z919" s="28" t="str">
        <x:v>Средняя</x:v>
      </x:c>
      <x:c r="AA919" s="28" t="str">
        <x:v>The Art &amp; Science of Foodpairing.pdf</x:v>
      </x:c>
      <x:c r="AB919" s="28" t="str">
        <x:v>The Art &amp; Science of Foodpairing.pdf: 164</x:v>
      </x:c>
      <x:c r="AC919" s="28" t="str">
        <x:v>связь из pairing grid, стр. 164</x:v>
      </x:c>
      <x:c r="AD919" s="28" t="n">
        <x:v>1</x:v>
      </x:c>
      <x:c r="AE919" s="28" t="n">
        <x:v>1</x:v>
      </x:c>
      <x:c r="AF919" s="28" t="n">
        <x:f>IF(Z919="Высокая",3,IF(Z919="Средняя",2,1))+AD919*2+MIN(AE919,3)</x:f>
        <x:v>5</x:v>
      </x:c>
    </x:row>
    <x:row r="920" ht="64" customHeight="1">
      <x:c r="A920" s="28" t="str">
        <x:v>VEG-0919</x:v>
      </x:c>
      <x:c r="B920" s="28" t="str">
        <x:v>тыква</x:v>
      </x:c>
      <x:c r="C920" s="28" t="str">
        <x:v>Универсальные</x:v>
      </x:c>
      <x:c r="D920" s="28" t="str">
        <x:v>тыква</x:v>
      </x:c>
      <x:c r="E920" s="28" t="str">
        <x:v>Тыква</x:v>
      </x:c>
      <x:c r="F920" s="28" t="str">
        <x:v>Тыквенные</x:v>
      </x:c>
      <x:c r="G920" s="28" t="str">
        <x:v>гранат</x:v>
      </x:c>
      <x:c r="H920" s="28" t="str">
        <x:v>гранат</x:v>
      </x:c>
      <x:c r="I920" s="28" t="str">
        <x:v>Прочее</x:v>
      </x:c>
      <x:c r="J920" s="28" t="str">
        <x:v>сладкий, крахмалистый, ореховый и слегка цветочный</x:v>
      </x:c>
      <x:c r="K920" s="28" t="str">
        <x:v>профиль зависит от конкретного продукта</x:v>
      </x:c>
      <x:c r="L920" s="28" t="str">
        <x:v>лактоны, норизопреноиды, фураны, пиразины</x:v>
      </x:c>
      <x:c r="M920" s="28" t="str">
        <x:v>конкретный молекулярный профиль не указан</x:v>
      </x:c>
      <x:c r="N920" s="28" t="str">
        <x:v>прямое пересечение семейств не подтверждено</x:v>
      </x:c>
      <x:c r="O920" s="28" t="str">
        <x:v>надёжная общая ключевая молекула не установлена</x:v>
      </x:c>
      <x:c r="P920" s="28" t="str">
        <x:v>сенсорная комплементарность</x:v>
      </x:c>
      <x:c r="Q920" s="28" t="str">
        <x:v>Сладость и землистость балансируются кислотой, солью, горечью и умами; жир усиливает ощущение округлости.</x:v>
      </x:c>
      <x:c r="R920" s="28" t="str">
        <x:v>минимальный</x:v>
      </x:c>
      <x:c r="S920" s="28" t="str">
        <x:v>водно-крахмалистая матрица; хорошо принимает жир и специи</x:v>
      </x:c>
      <x:c r="T920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0" s="28" t="str">
        <x:v>Тыква имеет профиль «сладкий, крахмалистый, ореховый и слегка цветочный». Партнёр «гранат»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20" s="28" t="str">
        <x:v>водянистые сорта размывают вкус; сильная сладость требует кислоты, соли или горечи</x:v>
      </x:c>
      <x:c r="W920" s="28" t="str">
        <x:v>соль, кислота или ароматический жир</x:v>
      </x:c>
      <x:c r="X920" s="28" t="str">
        <x:v>пюре, суп, запекание, крем, гарнир, соус или десертная разработка с гранат</x:v>
      </x:c>
      <x:c r="Y920" s="28" t="str">
        <x:v>универсальное</x:v>
      </x:c>
      <x:c r="Z920" s="28" t="str">
        <x:v>Гипотеза / практическая</x:v>
      </x:c>
      <x:c r="AA920" s="28" t="str">
        <x:v>Таблица сочетания(1).pdf</x:v>
      </x:c>
      <x:c r="AB920" s="28" t="str">
        <x:v>Таблица сочетания(1).pdf: 18</x:v>
      </x:c>
      <x:c r="AC920" s="28" t="str">
        <x:v>рекомендация таблицы, стр. 18</x:v>
      </x:c>
      <x:c r="AD920" s="28" t="n">
        <x:v>1</x:v>
      </x:c>
      <x:c r="AE920" s="28" t="n">
        <x:v>1</x:v>
      </x:c>
      <x:c r="AF920" s="28" t="n">
        <x:f>IF(Z920="Высокая",3,IF(Z920="Средняя",2,1))+AD920*2+MIN(AE920,3)</x:f>
        <x:v>4</x:v>
      </x:c>
    </x:row>
    <x:row r="921" ht="64" customHeight="1">
      <x:c r="A921" s="28" t="str">
        <x:v>VEG-0920</x:v>
      </x:c>
      <x:c r="B921" s="28" t="str">
        <x:v>тыква</x:v>
      </x:c>
      <x:c r="C921" s="28" t="str">
        <x:v>Универсальные</x:v>
      </x:c>
      <x:c r="D921" s="28" t="str">
        <x:v>тыква</x:v>
      </x:c>
      <x:c r="E921" s="28" t="str">
        <x:v>Тыква</x:v>
      </x:c>
      <x:c r="F921" s="28" t="str">
        <x:v>Тыквенные</x:v>
      </x:c>
      <x:c r="G921" s="28" t="str">
        <x:v>душистый перец</x:v>
      </x:c>
      <x:c r="H921" s="28" t="str">
        <x:v>душистый перец</x:v>
      </x:c>
      <x:c r="I921" s="28" t="str">
        <x:v>Специи</x:v>
      </x:c>
      <x:c r="J921" s="28" t="str">
        <x:v>сладкий, крахмалистый, ореховый и слегка цветочный</x:v>
      </x:c>
      <x:c r="K921" s="28" t="str">
        <x:v>пряный и древесный</x:v>
      </x:c>
      <x:c r="L921" s="28" t="str">
        <x:v>лактоны, норизопреноиды, фураны, пиразины</x:v>
      </x:c>
      <x:c r="M921" s="28" t="str">
        <x:v>терпены, фенилпропаноиды</x:v>
      </x:c>
      <x:c r="N921" s="28" t="str">
        <x:v>прямое пересечение семейств не подтверждено</x:v>
      </x:c>
      <x:c r="O921" s="28" t="str">
        <x:v>надёжная общая ключевая молекула не установлена</x:v>
      </x:c>
      <x:c r="P921" s="28" t="str">
        <x:v>сенсорная комплементарность</x:v>
      </x:c>
      <x:c r="Q921" s="28" t="str">
        <x:v>Сладость и землистость балансируются кислотой, солью, горечью и умами; жир усиливает ощущение округлости.</x:v>
      </x:c>
      <x:c r="R921" s="28" t="str">
        <x:v>минимальный</x:v>
      </x:c>
      <x:c r="S921" s="28" t="str">
        <x:v>водно-крахмалистая матрица; хорошо принимает жир и специи</x:v>
      </x:c>
      <x:c r="T921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1" s="28" t="str">
        <x:v>Тыква имеет профиль «сладкий, крахмалистый, ореховый и слегка цветочный». Партнёр «душистый перец»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21" s="28" t="str">
        <x:v>водянистые сорта размывают вкус; сильная сладость требует кислоты, соли или горечи</x:v>
      </x:c>
      <x:c r="W921" s="28" t="str">
        <x:v>цитрус, йогурт или мёд</x:v>
      </x:c>
      <x:c r="X921" s="28" t="str">
        <x:v>пюре, суп, запекание, крем, гарнир, соус или десертная разработка с душистый перец</x:v>
      </x:c>
      <x:c r="Y921" s="28" t="str">
        <x:v>универсальное</x:v>
      </x:c>
      <x:c r="Z921" s="28" t="str">
        <x:v>Гипотеза / практическая</x:v>
      </x:c>
      <x:c r="AA921" s="28" t="str">
        <x:v>Таблица сочетания(1).pdf</x:v>
      </x:c>
      <x:c r="AB921" s="28" t="str">
        <x:v>Таблица сочетания(1).pdf: 18</x:v>
      </x:c>
      <x:c r="AC921" s="28" t="str">
        <x:v>рекомендация таблицы, стр. 18</x:v>
      </x:c>
      <x:c r="AD921" s="28" t="n">
        <x:v>1</x:v>
      </x:c>
      <x:c r="AE921" s="28" t="n">
        <x:v>1</x:v>
      </x:c>
      <x:c r="AF921" s="28" t="n">
        <x:f>IF(Z921="Высокая",3,IF(Z921="Средняя",2,1))+AD921*2+MIN(AE921,3)</x:f>
        <x:v>4</x:v>
      </x:c>
    </x:row>
    <x:row r="922" ht="64" customHeight="1">
      <x:c r="A922" s="28" t="str">
        <x:v>VEG-0921</x:v>
      </x:c>
      <x:c r="B922" s="28" t="str">
        <x:v>тыква</x:v>
      </x:c>
      <x:c r="C922" s="28" t="str">
        <x:v>Универсальные</x:v>
      </x:c>
      <x:c r="D922" s="28" t="str">
        <x:v>тыква</x:v>
      </x:c>
      <x:c r="E922" s="28" t="str">
        <x:v>boiled pumpkin | Тыква</x:v>
      </x:c>
      <x:c r="F922" s="28" t="str">
        <x:v>Тыквенные</x:v>
      </x:c>
      <x:c r="G922" s="28" t="str">
        <x:v>имбирь</x:v>
      </x:c>
      <x:c r="H922" s="28" t="str">
        <x:v>ginger | имбирь</x:v>
      </x:c>
      <x:c r="I922" s="28" t="str">
        <x:v>Специи</x:v>
      </x:c>
      <x:c r="J922" s="28" t="str">
        <x:v>сладкий, крахмалистый, ореховый и слегка цветочный</x:v>
      </x:c>
      <x:c r="K922" s="28" t="str">
        <x:v>пряный, тёплый, цитрусовый</x:v>
      </x:c>
      <x:c r="L922" s="28" t="str">
        <x:v>лактоны, норизопреноиды, фураны, пиразины</x:v>
      </x:c>
      <x:c r="M922" s="28" t="str">
        <x:v>гингеролы, цитраль</x:v>
      </x:c>
      <x:c r="N922" s="28" t="str">
        <x:v>прямое пересечение семейств не подтверждено</x:v>
      </x:c>
      <x:c r="O922" s="28" t="str">
        <x:v>надёжная общая ключевая молекула не установлена</x:v>
      </x:c>
      <x:c r="P922" s="28" t="str">
        <x:v>сенсорная комплементарность</x:v>
      </x:c>
      <x:c r="Q922" s="28" t="str">
        <x:v>Сладость и землистость балансируются кислотой, солью, горечью и умами; жир усиливает ощущение округлости.</x:v>
      </x:c>
      <x:c r="R922" s="28" t="str">
        <x:v>минимальный</x:v>
      </x:c>
      <x:c r="S922" s="28" t="str">
        <x:v>водно-крахмалистая матрица; хорошо принимает жир и специи</x:v>
      </x:c>
      <x:c r="T922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2" s="28" t="str">
        <x:v>Тыква имеет профиль «сладкий, крахмалистый, ореховый и слегка цветочный».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22" s="28" t="str">
        <x:v>водянистые сорта размывают вкус; сильная сладость требует кислоты, соли или горечи</x:v>
      </x:c>
      <x:c r="W922" s="28" t="str">
        <x:v>цитрус, йогурт или мёд</x:v>
      </x:c>
      <x:c r="X922" s="28" t="str">
        <x:v>пюре, суп, запекание, крем, гарнир, соус или десертная разработка с имбирь</x:v>
      </x:c>
      <x:c r="Y922" s="28" t="str">
        <x:v>универсальное</x:v>
      </x:c>
      <x:c r="Z922" s="28" t="str">
        <x:v>Высокая</x:v>
      </x:c>
      <x:c r="AA922" s="28" t="str">
        <x:v>The Art &amp; Science of Foodpairing.pdf | Таблица сочетания(1).pdf</x:v>
      </x:c>
      <x:c r="AB922" s="28" t="str">
        <x:v>Таблица сочетания(1).pdf: 18; The Art &amp; Science of Foodpairing.pdf: 142</x:v>
      </x:c>
      <x:c r="AC922" s="28" t="str">
        <x:v>связь из pairing grid, стр. 142; рекомендация таблицы, стр. 18</x:v>
      </x:c>
      <x:c r="AD922" s="28" t="n">
        <x:v>2</x:v>
      </x:c>
      <x:c r="AE922" s="28" t="n">
        <x:v>2</x:v>
      </x:c>
      <x:c r="AF922" s="28" t="n">
        <x:f>IF(Z922="Высокая",3,IF(Z922="Средняя",2,1))+AD922*2+MIN(AE922,3)</x:f>
        <x:v>9</x:v>
      </x:c>
    </x:row>
    <x:row r="923" ht="64" customHeight="1">
      <x:c r="A923" s="28" t="str">
        <x:v>VEG-0922</x:v>
      </x:c>
      <x:c r="B923" s="28" t="str">
        <x:v>тыква</x:v>
      </x:c>
      <x:c r="C923" s="28" t="str">
        <x:v>Десерты и выпечка</x:v>
      </x:c>
      <x:c r="D923" s="28" t="str">
        <x:v>тыква</x:v>
      </x:c>
      <x:c r="E923" s="28" t="str">
        <x:v>Тыква</x:v>
      </x:c>
      <x:c r="F923" s="28" t="str">
        <x:v>Тыквенные</x:v>
      </x:c>
      <x:c r="G923" s="28" t="str">
        <x:v>карамель</x:v>
      </x:c>
      <x:c r="H923" s="28" t="str">
        <x:v>карамель</x:v>
      </x:c>
      <x:c r="I923" s="28" t="str">
        <x:v>Выпечка, крупы, сахара и десерты</x:v>
      </x:c>
      <x:c r="J923" s="28" t="str">
        <x:v>сладкий, крахмалистый, ореховый и слегка цветочный</x:v>
      </x:c>
      <x:c r="K923" s="28" t="str">
        <x:v>жареный, карамельный, сладкий</x:v>
      </x:c>
      <x:c r="L923" s="28" t="str">
        <x:v>лактоны, норизопреноиды, фураны, пиразины</x:v>
      </x:c>
      <x:c r="M923" s="28" t="str">
        <x:v>мальтол, фураны</x:v>
      </x:c>
      <x:c r="N923" s="28" t="str">
        <x:v>сладкий</x:v>
      </x:c>
      <x:c r="O923" s="28" t="str">
        <x:v>фураны</x:v>
      </x:c>
      <x:c r="P923" s="28" t="str">
        <x:v>общие характерные молекулы; пересечение ароматических семейств</x:v>
      </x:c>
      <x:c r="Q923" s="28" t="str">
        <x:v>Сладость и землистость балансируются кислотой, солью, горечью и умами; жир усиливает ощущение округлости.</x:v>
      </x:c>
      <x:c r="R923" s="28" t="str">
        <x:v>минимальный</x:v>
      </x:c>
      <x:c r="S923" s="28" t="str">
        <x:v>водно-крахмалистая матрица; хорошо принимает жир и специи</x:v>
      </x:c>
      <x:c r="T923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3" s="28" t="str">
        <x:v>Тыква имеет профиль «сладкий, крахмалистый, ореховый и слегка цветочный». Партнёр «карамель» относится к группе «Выпечка, крупы, сахара и десерты» и даёт жареный, карамельный, сладкий.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23" s="28" t="str">
        <x:v>водянистые сорта размывают вкус; сильная сладость требует кислоты, соли или горечи</x:v>
      </x:c>
      <x:c r="W923" s="28" t="str">
        <x:v>соль, кислота или ароматический жир</x:v>
      </x:c>
      <x:c r="X923" s="28" t="str">
        <x:v>пюре, суп, запекание, крем, гарнир, соус или десертная разработка с карамель</x:v>
      </x:c>
      <x:c r="Y923" s="28" t="str">
        <x:v>десерты</x:v>
      </x:c>
      <x:c r="Z923" s="28" t="str">
        <x:v>Гипотеза / практическая</x:v>
      </x:c>
      <x:c r="AA923" s="28" t="str">
        <x:v>Таблица сочетания(1).pdf</x:v>
      </x:c>
      <x:c r="AB923" s="28" t="str">
        <x:v>Таблица сочетания(1).pdf: 18</x:v>
      </x:c>
      <x:c r="AC923" s="28" t="str">
        <x:v>рекомендация таблицы, стр. 18</x:v>
      </x:c>
      <x:c r="AD923" s="28" t="n">
        <x:v>1</x:v>
      </x:c>
      <x:c r="AE923" s="28" t="n">
        <x:v>1</x:v>
      </x:c>
      <x:c r="AF923" s="28" t="n">
        <x:f>IF(Z923="Высокая",3,IF(Z923="Средняя",2,1))+AD923*2+MIN(AE923,3)</x:f>
        <x:v>4</x:v>
      </x:c>
    </x:row>
    <x:row r="924" ht="64" customHeight="1">
      <x:c r="A924" s="28" t="str">
        <x:v>VEG-0923</x:v>
      </x:c>
      <x:c r="B924" s="28" t="str">
        <x:v>тыква</x:v>
      </x:c>
      <x:c r="C924" s="28" t="str">
        <x:v>Универсальные</x:v>
      </x:c>
      <x:c r="D924" s="28" t="str">
        <x:v>тыква</x:v>
      </x:c>
      <x:c r="E924" s="28" t="str">
        <x:v>Тыква</x:v>
      </x:c>
      <x:c r="F924" s="28" t="str">
        <x:v>Тыквенные</x:v>
      </x:c>
      <x:c r="G924" s="28" t="str">
        <x:v>кардамон</x:v>
      </x:c>
      <x:c r="H924" s="28" t="str">
        <x:v>кардамон</x:v>
      </x:c>
      <x:c r="I924" s="28" t="str">
        <x:v>Специи</x:v>
      </x:c>
      <x:c r="J924" s="28" t="str">
        <x:v>сладкий, крахмалистый, ореховый и слегка цветочный</x:v>
      </x:c>
      <x:c r="K924" s="28" t="str">
        <x:v>камфорный, цветочный, цитрусовый</x:v>
      </x:c>
      <x:c r="L924" s="28" t="str">
        <x:v>лактоны, норизопреноиды, фураны, пиразины</x:v>
      </x:c>
      <x:c r="M924" s="28" t="str">
        <x:v>1,8-цинеол, линалоол</x:v>
      </x:c>
      <x:c r="N924" s="28" t="str">
        <x:v>прямое пересечение семейств не подтверждено</x:v>
      </x:c>
      <x:c r="O924" s="28" t="str">
        <x:v>надёжная общая ключевая молекула не установлена</x:v>
      </x:c>
      <x:c r="P924" s="28" t="str">
        <x:v>сенсорная комплементарность</x:v>
      </x:c>
      <x:c r="Q924" s="28" t="str">
        <x:v>Сладость и землистость балансируются кислотой, солью, горечью и умами; жир усиливает ощущение округлости.</x:v>
      </x:c>
      <x:c r="R924" s="28" t="str">
        <x:v>минимальный</x:v>
      </x:c>
      <x:c r="S924" s="28" t="str">
        <x:v>водно-крахмалистая матрица; хорошо принимает жир и специи</x:v>
      </x:c>
      <x:c r="T924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4" s="28" t="str">
        <x:v>Тыква имеет профиль «сладкий, крахмалистый, ореховый и слегка цветочный».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24" s="28" t="str">
        <x:v>водянистые сорта размывают вкус; сильная сладость требует кислоты, соли или горечи</x:v>
      </x:c>
      <x:c r="W924" s="28" t="str">
        <x:v>цитрус, йогурт или мёд</x:v>
      </x:c>
      <x:c r="X924" s="28" t="str">
        <x:v>пюре, суп, запекание, крем, гарнир, соус или десертная разработка с кардамон</x:v>
      </x:c>
      <x:c r="Y924" s="28" t="str">
        <x:v>универсальное</x:v>
      </x:c>
      <x:c r="Z924" s="28" t="str">
        <x:v>Гипотеза / практическая</x:v>
      </x:c>
      <x:c r="AA924" s="28" t="str">
        <x:v>Таблица сочетания(1).pdf</x:v>
      </x:c>
      <x:c r="AB924" s="28" t="str">
        <x:v>Таблица сочетания(1).pdf: 18</x:v>
      </x:c>
      <x:c r="AC924" s="28" t="str">
        <x:v>рекомендация таблицы, стр. 18</x:v>
      </x:c>
      <x:c r="AD924" s="28" t="n">
        <x:v>1</x:v>
      </x:c>
      <x:c r="AE924" s="28" t="n">
        <x:v>1</x:v>
      </x:c>
      <x:c r="AF924" s="28" t="n">
        <x:f>IF(Z924="Высокая",3,IF(Z924="Средняя",2,1))+AD924*2+MIN(AE924,3)</x:f>
        <x:v>4</x:v>
      </x:c>
    </x:row>
    <x:row r="925" ht="64" customHeight="1">
      <x:c r="A925" s="28" t="str">
        <x:v>VEG-0924</x:v>
      </x:c>
      <x:c r="B925" s="28" t="str">
        <x:v>тыква</x:v>
      </x:c>
      <x:c r="C925" s="28" t="str">
        <x:v>Десерты и выпечка</x:v>
      </x:c>
      <x:c r="D925" s="28" t="str">
        <x:v>тыква</x:v>
      </x:c>
      <x:c r="E925" s="28" t="str">
        <x:v>Тыква</x:v>
      </x:c>
      <x:c r="F925" s="28" t="str">
        <x:v>Тыквенные</x:v>
      </x:c>
      <x:c r="G925" s="28" t="str">
        <x:v>клубника</x:v>
      </x:c>
      <x:c r="H925" s="28" t="str">
        <x:v>клубника</x:v>
      </x:c>
      <x:c r="I925" s="28" t="str">
        <x:v>Фрукты и ягоды</x:v>
      </x:c>
      <x:c r="J925" s="28" t="str">
        <x:v>сладкий, крахмалистый, ореховый и слегка цветочный</x:v>
      </x:c>
      <x:c r="K925" s="28" t="str">
        <x:v>зелёный, карамельный, фруктовый</x:v>
      </x:c>
      <x:c r="L925" s="28" t="str">
        <x:v>лактоны, норизопреноиды, фураны, пиразины</x:v>
      </x:c>
      <x:c r="M925" s="28" t="str">
        <x:v>фуранеол, эфиры</x:v>
      </x:c>
      <x:c r="N925" s="28" t="str">
        <x:v>прямое пересечение семейств не подтверждено</x:v>
      </x:c>
      <x:c r="O925" s="28" t="str">
        <x:v>надёжная общая ключевая молекула не установлена</x:v>
      </x:c>
      <x:c r="P925" s="28" t="str">
        <x:v>кислотно-сладкий баланс</x:v>
      </x:c>
      <x:c r="Q925" s="28" t="str">
        <x:v>Сладость и землистость балансируются кислотой, солью, горечью и умами; жир усиливает ощущение округлости.</x:v>
      </x:c>
      <x:c r="R925" s="28" t="str">
        <x:v>минимальный</x:v>
      </x:c>
      <x:c r="S925" s="28" t="str">
        <x:v>водно-крахмалистая матрица; хорошо принимает жир и специи Водная кислая фаза усиливает свежесть, но может разжижать пюре и нарушать молочную эмульсию.</x:v>
      </x:c>
      <x:c r="T925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5" s="28" t="str">
        <x:v>Тыква имеет профиль «сладкий, крахмалистый, ореховый и слегка цветочный».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925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925" s="28" t="str">
        <x:v>цитрус, мёд или мягкая трава</x:v>
      </x:c>
      <x:c r="X925" s="28" t="str">
        <x:v>пюре, суп, запекание, крем, гарнир, соус или десертная разработка с клубника</x:v>
      </x:c>
      <x:c r="Y925" s="28" t="str">
        <x:v>десерты</x:v>
      </x:c>
      <x:c r="Z925" s="28" t="str">
        <x:v>Гипотеза / практическая</x:v>
      </x:c>
      <x:c r="AA925" s="28" t="str">
        <x:v>Таблица сочетания(1).pdf</x:v>
      </x:c>
      <x:c r="AB925" s="28" t="str">
        <x:v>Таблица сочетания(1).pdf: 18</x:v>
      </x:c>
      <x:c r="AC925" s="28" t="str">
        <x:v>рекомендация таблицы, стр. 18</x:v>
      </x:c>
      <x:c r="AD925" s="28" t="n">
        <x:v>1</x:v>
      </x:c>
      <x:c r="AE925" s="28" t="n">
        <x:v>1</x:v>
      </x:c>
      <x:c r="AF925" s="28" t="n">
        <x:f>IF(Z925="Высокая",3,IF(Z925="Средняя",2,1))+AD925*2+MIN(AE925,3)</x:f>
        <x:v>4</x:v>
      </x:c>
    </x:row>
    <x:row r="926" ht="64" customHeight="1">
      <x:c r="A926" s="28" t="str">
        <x:v>VEG-0925</x:v>
      </x:c>
      <x:c r="B926" s="28" t="str">
        <x:v>тыква</x:v>
      </x:c>
      <x:c r="C926" s="28" t="str">
        <x:v>Универсальные</x:v>
      </x:c>
      <x:c r="D926" s="28" t="str">
        <x:v>тыква</x:v>
      </x:c>
      <x:c r="E926" s="28" t="str">
        <x:v>Тыква | тыква</x:v>
      </x:c>
      <x:c r="F926" s="28" t="str">
        <x:v>Тыквенные</x:v>
      </x:c>
      <x:c r="G926" s="28" t="str">
        <x:v>клюква</x:v>
      </x:c>
      <x:c r="H926" s="28" t="str">
        <x:v>Клюква | клюква</x:v>
      </x:c>
      <x:c r="I926" s="28" t="str">
        <x:v>Прочее</x:v>
      </x:c>
      <x:c r="J926" s="28" t="str">
        <x:v>сладкий, крахмалистый, ореховый и слегка цветочный</x:v>
      </x:c>
      <x:c r="K926" s="28" t="str">
        <x:v>профиль зависит от конкретного продукта</x:v>
      </x:c>
      <x:c r="L926" s="28" t="str">
        <x:v>лактоны, норизопреноиды, фураны, пиразины</x:v>
      </x:c>
      <x:c r="M926" s="28" t="str">
        <x:v>конкретный молекулярный профиль не указан</x:v>
      </x:c>
      <x:c r="N926" s="28" t="str">
        <x:v>прямое пересечение семейств не подтверждено</x:v>
      </x:c>
      <x:c r="O926" s="28" t="str">
        <x:v>надёжная общая ключевая молекула не установлена</x:v>
      </x:c>
      <x:c r="P926" s="28" t="str">
        <x:v>сенсорная комплементарность</x:v>
      </x:c>
      <x:c r="Q926" s="28" t="str">
        <x:v>Сладость и землистость балансируются кислотой, солью, горечью и умами; жир усиливает ощущение округлости.</x:v>
      </x:c>
      <x:c r="R926" s="28" t="str">
        <x:v>минимальный</x:v>
      </x:c>
      <x:c r="S926" s="28" t="str">
        <x:v>водно-крахмалистая матрица; хорошо принимает жир и специи</x:v>
      </x:c>
      <x:c r="T926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6" s="28" t="str">
        <x:v>Тыква имеет профиль «сладкий, крахмалистый, ореховый и слегка цветочный». Партнёр «клюква»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26" s="28" t="str">
        <x:v>водянистые сорта размывают вкус; сильная сладость требует кислоты, соли или горечи</x:v>
      </x:c>
      <x:c r="W926" s="28" t="str">
        <x:v>соль, кислота или ароматический жир</x:v>
      </x:c>
      <x:c r="X926" s="28" t="str">
        <x:v>пюре, суп, запекание, крем, гарнир, соус или десертная разработка с клюква</x:v>
      </x:c>
      <x:c r="Y926" s="28" t="str">
        <x:v>универсальное</x:v>
      </x:c>
      <x:c r="Z926" s="28" t="str">
        <x:v>Гипотеза / практическая</x:v>
      </x:c>
      <x:c r="AA926" s="28" t="str">
        <x:v>Таблица сочетания(1).pdf</x:v>
      </x:c>
      <x:c r="AB926" s="28" t="str">
        <x:v>Таблица сочетания(1).pdf: 6, 18</x:v>
      </x:c>
      <x:c r="AC926" s="28" t="str">
        <x:v>рекомендация таблицы, стр. 6; рекомендация таблицы, стр. 18</x:v>
      </x:c>
      <x:c r="AD926" s="28" t="n">
        <x:v>1</x:v>
      </x:c>
      <x:c r="AE926" s="28" t="n">
        <x:v>2</x:v>
      </x:c>
      <x:c r="AF926" s="28" t="n">
        <x:f>IF(Z926="Высокая",3,IF(Z926="Средняя",2,1))+AD926*2+MIN(AE926,3)</x:f>
        <x:v>5</x:v>
      </x:c>
    </x:row>
    <x:row r="927" ht="64" customHeight="1">
      <x:c r="A927" s="28" t="str">
        <x:v>VEG-0926</x:v>
      </x:c>
      <x:c r="B927" s="28" t="str">
        <x:v>тыква</x:v>
      </x:c>
      <x:c r="C927" s="28" t="str">
        <x:v>Универсальные</x:v>
      </x:c>
      <x:c r="D927" s="28" t="str">
        <x:v>тыква</x:v>
      </x:c>
      <x:c r="E927" s="28" t="str">
        <x:v>Тыква</x:v>
      </x:c>
      <x:c r="F927" s="28" t="str">
        <x:v>Тыквенные</x:v>
      </x:c>
      <x:c r="G927" s="28" t="str">
        <x:v>корица</x:v>
      </x:c>
      <x:c r="H927" s="28" t="str">
        <x:v>корица</x:v>
      </x:c>
      <x:c r="I927" s="28" t="str">
        <x:v>Специи</x:v>
      </x:c>
      <x:c r="J927" s="28" t="str">
        <x:v>сладкий, крахмалистый, ореховый и слегка цветочный</x:v>
      </x:c>
      <x:c r="K927" s="28" t="str">
        <x:v>древесный, пряный, сладкий</x:v>
      </x:c>
      <x:c r="L927" s="28" t="str">
        <x:v>лактоны, норизопреноиды, фураны, пиразины</x:v>
      </x:c>
      <x:c r="M927" s="28" t="str">
        <x:v>циннамальдегид, эвгенол</x:v>
      </x:c>
      <x:c r="N927" s="28" t="str">
        <x:v>сладкий</x:v>
      </x:c>
      <x:c r="O927" s="28" t="str">
        <x:v>надёжная общая ключевая молекула не установлена</x:v>
      </x:c>
      <x:c r="P927" s="28" t="str">
        <x:v>пересечение ароматических семейств</x:v>
      </x:c>
      <x:c r="Q927" s="28" t="str">
        <x:v>Сладость и землистость балансируются кислотой, солью, горечью и умами; жир усиливает ощущение округлости.</x:v>
      </x:c>
      <x:c r="R927" s="28" t="str">
        <x:v>минимальный</x:v>
      </x:c>
      <x:c r="S927" s="28" t="str">
        <x:v>водно-крахмалистая матрица; хорошо принимает жир и специи</x:v>
      </x:c>
      <x:c r="T927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7" s="28" t="str">
        <x:v>Тыква имеет профиль «сладкий, крахмалистый, ореховый и слегка цветочный».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27" s="28" t="str">
        <x:v>водянистые сорта размывают вкус; сильная сладость требует кислоты, соли или горечи</x:v>
      </x:c>
      <x:c r="W927" s="28" t="str">
        <x:v>цитрус, йогурт или мёд</x:v>
      </x:c>
      <x:c r="X927" s="28" t="str">
        <x:v>пюре, суп, запекание, крем, гарнир, соус или десертная разработка с корица</x:v>
      </x:c>
      <x:c r="Y927" s="28" t="str">
        <x:v>универсальное</x:v>
      </x:c>
      <x:c r="Z927" s="28" t="str">
        <x:v>Гипотеза / практическая</x:v>
      </x:c>
      <x:c r="AA927" s="28" t="str">
        <x:v>Таблица сочетания(1).pdf</x:v>
      </x:c>
      <x:c r="AB927" s="28" t="str">
        <x:v>Таблица сочетания(1).pdf: 18</x:v>
      </x:c>
      <x:c r="AC927" s="28" t="str">
        <x:v>рекомендация таблицы, стр. 18</x:v>
      </x:c>
      <x:c r="AD927" s="28" t="n">
        <x:v>1</x:v>
      </x:c>
      <x:c r="AE927" s="28" t="n">
        <x:v>1</x:v>
      </x:c>
      <x:c r="AF927" s="28" t="n">
        <x:f>IF(Z927="Высокая",3,IF(Z927="Средняя",2,1))+AD927*2+MIN(AE927,3)</x:f>
        <x:v>4</x:v>
      </x:c>
    </x:row>
    <x:row r="928" ht="64" customHeight="1">
      <x:c r="A928" s="28" t="str">
        <x:v>VEG-0927</x:v>
      </x:c>
      <x:c r="B928" s="28" t="str">
        <x:v>тыква</x:v>
      </x:c>
      <x:c r="C928" s="28" t="str">
        <x:v>Напитки</x:v>
      </x:c>
      <x:c r="D928" s="28" t="str">
        <x:v>тыква</x:v>
      </x:c>
      <x:c r="E928" s="28" t="str">
        <x:v>boiled pumpkin | Тыква | тыква</x:v>
      </x:c>
      <x:c r="F928" s="28" t="str">
        <x:v>Тыквенные</x:v>
      </x:c>
      <x:c r="G928" s="28" t="str">
        <x:v>кофе</x:v>
      </x:c>
      <x:c r="H928" s="28" t="str">
        <x:v>coffee | Кофе | кофе</x:v>
      </x:c>
      <x:c r="I928" s="28" t="str">
        <x:v>Кофе</x:v>
      </x:c>
      <x:c r="J928" s="28" t="str">
        <x:v>сладкий, крахмалистый, ореховый и слегка цветочный</x:v>
      </x:c>
      <x:c r="K928" s="28" t="str">
        <x:v>жареный, карамельный, ореховый</x:v>
      </x:c>
      <x:c r="L928" s="28" t="str">
        <x:v>лактоны, норизопреноиды, фураны, пиразины</x:v>
      </x:c>
      <x:c r="M928" s="28" t="str">
        <x:v>гваякол, пиразины, фураны</x:v>
      </x:c>
      <x:c r="N928" s="28" t="str">
        <x:v>ореховый</x:v>
      </x:c>
      <x:c r="O928" s="28" t="str">
        <x:v>пиразины, фураны</x:v>
      </x:c>
      <x:c r="P928" s="28" t="str">
        <x:v>общие характерные молекулы; пересечение ароматических семейств</x:v>
      </x:c>
      <x:c r="Q928" s="28" t="str">
        <x:v>Сладость и землистость балансируются кислотой, солью, горечью и умами; жир усиливает ощущение округлости.</x:v>
      </x:c>
      <x:c r="R928" s="28" t="str">
        <x:v>минимальный</x:v>
      </x:c>
      <x:c r="S928" s="28" t="str">
        <x:v>водно-крахмалистая матрица; хорошо принимает жир и специи</x:v>
      </x:c>
      <x:c r="T928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8" s="28" t="str">
        <x:v>Тыква имеет профиль «сладкий, крахмалистый, ореховый и слегка цветочный». Партнёр «кофе» относится к группе «Кофе» и даёт жареный, карамельный, ореховый.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28" s="28" t="str">
        <x:v>водянистые сорта размывают вкус; сильная сладость требует кислоты, соли или горечи; жареная горечь легко маскирует нежный овощной аромат</x:v>
      </x:c>
      <x:c r="W928" s="28" t="str">
        <x:v>сливки, орех или карамель</x:v>
      </x:c>
      <x:c r="X928" s="28" t="str">
        <x:v>пюре, суп, запекание, крем, гарнир, соус или десертная разработка с кофе</x:v>
      </x:c>
      <x:c r="Y928" s="28" t="str">
        <x:v>напитки</x:v>
      </x:c>
      <x:c r="Z928" s="28" t="str">
        <x:v>Высокая</x:v>
      </x:c>
      <x:c r="AA928" s="28" t="str">
        <x:v>The Art &amp; Science of Foodpairing.pdf | Таблица сочетания(1).pdf</x:v>
      </x:c>
      <x:c r="AB928" s="28" t="str">
        <x:v>Таблица сочетания(1).pdf: 6, 18; The Art &amp; Science of Foodpairing.pdf: 297</x:v>
      </x:c>
      <x:c r="AC928" s="28" t="str">
        <x:v>связь из pairing grid, стр. 297; рекомендация таблицы, стр. 6; рекомендация таблицы, стр. 18</x:v>
      </x:c>
      <x:c r="AD928" s="28" t="n">
        <x:v>2</x:v>
      </x:c>
      <x:c r="AE928" s="28" t="n">
        <x:v>3</x:v>
      </x:c>
      <x:c r="AF928" s="28" t="n">
        <x:f>IF(Z928="Высокая",3,IF(Z928="Средняя",2,1))+AD928*2+MIN(AE928,3)</x:f>
        <x:v>10</x:v>
      </x:c>
    </x:row>
    <x:row r="929" ht="64" customHeight="1">
      <x:c r="A929" s="28" t="str">
        <x:v>VEG-0928</x:v>
      </x:c>
      <x:c r="B929" s="28" t="str">
        <x:v>тыква</x:v>
      </x:c>
      <x:c r="C929" s="28" t="str">
        <x:v>Универсальные</x:v>
      </x:c>
      <x:c r="D929" s="28" t="str">
        <x:v>тыква</x:v>
      </x:c>
      <x:c r="E929" s="28" t="str">
        <x:v>тыква</x:v>
      </x:c>
      <x:c r="F929" s="28" t="str">
        <x:v>Тыквенные</x:v>
      </x:c>
      <x:c r="G929" s="28" t="str">
        <x:v>кумкват</x:v>
      </x:c>
      <x:c r="H929" s="28" t="str">
        <x:v>Кумкват</x:v>
      </x:c>
      <x:c r="I929" s="28" t="str">
        <x:v>Прочее</x:v>
      </x:c>
      <x:c r="J929" s="28" t="str">
        <x:v>сладкий, крахмалистый, ореховый и слегка цветочный</x:v>
      </x:c>
      <x:c r="K929" s="28" t="str">
        <x:v>профиль зависит от конкретного продукта</x:v>
      </x:c>
      <x:c r="L929" s="28" t="str">
        <x:v>лактоны, норизопреноиды, фураны, пиразины</x:v>
      </x:c>
      <x:c r="M929" s="28" t="str">
        <x:v>конкретный молекулярный профиль не указан</x:v>
      </x:c>
      <x:c r="N929" s="28" t="str">
        <x:v>прямое пересечение семейств не подтверждено</x:v>
      </x:c>
      <x:c r="O929" s="28" t="str">
        <x:v>надёжная общая ключевая молекула не установлена</x:v>
      </x:c>
      <x:c r="P929" s="28" t="str">
        <x:v>сенсорная комплементарность</x:v>
      </x:c>
      <x:c r="Q929" s="28" t="str">
        <x:v>Сладость и землистость балансируются кислотой, солью, горечью и умами; жир усиливает ощущение округлости.</x:v>
      </x:c>
      <x:c r="R929" s="28" t="str">
        <x:v>минимальный</x:v>
      </x:c>
      <x:c r="S929" s="28" t="str">
        <x:v>водно-крахмалистая матрица; хорошо принимает жир и специи</x:v>
      </x:c>
      <x:c r="T929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29" s="28" t="str">
        <x:v>Тыква имеет профиль «сладкий, крахмалистый, ореховый и слегка цветочный». Партнёр «кумкват»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29" s="28" t="str">
        <x:v>водянистые сорта размывают вкус; сильная сладость требует кислоты, соли или горечи</x:v>
      </x:c>
      <x:c r="W929" s="28" t="str">
        <x:v>соль, кислота или ароматический жир</x:v>
      </x:c>
      <x:c r="X929" s="28" t="str">
        <x:v>пюре, суп, запекание, крем, гарнир, соус или десертная разработка с кумкват</x:v>
      </x:c>
      <x:c r="Y929" s="28" t="str">
        <x:v>универсальное</x:v>
      </x:c>
      <x:c r="Z929" s="28" t="str">
        <x:v>Гипотеза / практическая</x:v>
      </x:c>
      <x:c r="AA929" s="28" t="str">
        <x:v>Таблица сочетания(1).pdf</x:v>
      </x:c>
      <x:c r="AB929" s="28" t="str">
        <x:v>Таблица сочетания(1).pdf: 11</x:v>
      </x:c>
      <x:c r="AC929" s="28" t="str">
        <x:v>рекомендация таблицы, стр. 11</x:v>
      </x:c>
      <x:c r="AD929" s="28" t="n">
        <x:v>1</x:v>
      </x:c>
      <x:c r="AE929" s="28" t="n">
        <x:v>1</x:v>
      </x:c>
      <x:c r="AF929" s="28" t="n">
        <x:f>IF(Z929="Высокая",3,IF(Z929="Средняя",2,1))+AD929*2+MIN(AE929,3)</x:f>
        <x:v>4</x:v>
      </x:c>
    </x:row>
    <x:row r="930" ht="64" customHeight="1">
      <x:c r="A930" s="28" t="str">
        <x:v>VEG-0929</x:v>
      </x:c>
      <x:c r="B930" s="28" t="str">
        <x:v>тыква</x:v>
      </x:c>
      <x:c r="C930" s="28" t="str">
        <x:v>Еда и соусы</x:v>
      </x:c>
      <x:c r="D930" s="28" t="str">
        <x:v>тыква</x:v>
      </x:c>
      <x:c r="E930" s="28" t="str">
        <x:v>Тыква</x:v>
      </x:c>
      <x:c r="F930" s="28" t="str">
        <x:v>Тыквенные</x:v>
      </x:c>
      <x:c r="G930" s="28" t="str">
        <x:v>мускатный орех</x:v>
      </x:c>
      <x:c r="H930" s="28" t="str">
        <x:v>мускатный орех</x:v>
      </x:c>
      <x:c r="I930" s="28" t="str">
        <x:v>Рыба и морепродукты</x:v>
      </x:c>
      <x:c r="J930" s="28" t="str">
        <x:v>сладкий, крахмалистый, ореховый и слегка цветочный</x:v>
      </x:c>
      <x:c r="K930" s="28" t="str">
        <x:v>камфорный, ореховый, пряный</x:v>
      </x:c>
      <x:c r="L930" s="28" t="str">
        <x:v>лактоны, норизопреноиды, фураны, пиразины</x:v>
      </x:c>
      <x:c r="M930" s="28" t="str">
        <x:v>пинены, сабинен</x:v>
      </x:c>
      <x:c r="N930" s="28" t="str">
        <x:v>ореховый</x:v>
      </x:c>
      <x:c r="O930" s="28" t="str">
        <x:v>надёжная общая ключевая молекула не установлена</x:v>
      </x:c>
      <x:c r="P930" s="28" t="str">
        <x:v>пересечение ароматических семейств; умами и солёный контраст</x:v>
      </x:c>
      <x:c r="Q930" s="28" t="str">
        <x:v>Сладость и землистость балансируются кислотой, солью, горечью и умами; жир усиливает ощущение округлости.</x:v>
      </x:c>
      <x:c r="R930" s="28" t="str">
        <x:v>минимальный</x:v>
      </x:c>
      <x:c r="S930" s="28" t="str">
        <x:v>водно-крахмалистая матрица; хорошо принимает жир и специи Белок и жир требуют контроля воды: для жареной ароматики поверхность должна подсохнуть.</x:v>
      </x:c>
      <x:c r="T930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0" s="28" t="str">
        <x:v>Тыква имеет профиль «сладкий, крахмалистый, ореховый и слегка цветочный».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30" s="28" t="str">
        <x:v>водянистые сорта размывают вкус; сильная сладость требует кислоты, соли или горечи</x:v>
      </x:c>
      <x:c r="W930" s="28" t="str">
        <x:v>сливочное масло, соевый соус или тимьян</x:v>
      </x:c>
      <x:c r="X930" s="28" t="str">
        <x:v>пюре, суп, запекание, крем, гарнир, соус или десертная разработка с мускатный орех</x:v>
      </x:c>
      <x:c r="Y930" s="28" t="str">
        <x:v>еда, соусы/маринады</x:v>
      </x:c>
      <x:c r="Z930" s="28" t="str">
        <x:v>Гипотеза / практическая</x:v>
      </x:c>
      <x:c r="AA930" s="28" t="str">
        <x:v>Таблица сочетания(1).pdf</x:v>
      </x:c>
      <x:c r="AB930" s="28" t="str">
        <x:v>Таблица сочетания(1).pdf: 18</x:v>
      </x:c>
      <x:c r="AC930" s="28" t="str">
        <x:v>рекомендация таблицы, стр. 18</x:v>
      </x:c>
      <x:c r="AD930" s="28" t="n">
        <x:v>1</x:v>
      </x:c>
      <x:c r="AE930" s="28" t="n">
        <x:v>1</x:v>
      </x:c>
      <x:c r="AF930" s="28" t="n">
        <x:f>IF(Z930="Высокая",3,IF(Z930="Средняя",2,1))+AD930*2+MIN(AE930,3)</x:f>
        <x:v>4</x:v>
      </x:c>
    </x:row>
    <x:row r="931" ht="64" customHeight="1">
      <x:c r="A931" s="28" t="str">
        <x:v>VEG-0930</x:v>
      </x:c>
      <x:c r="B931" s="28" t="str">
        <x:v>тыква</x:v>
      </x:c>
      <x:c r="C931" s="28" t="str">
        <x:v>Еда и соусы</x:v>
      </x:c>
      <x:c r="D931" s="28" t="str">
        <x:v>тыква</x:v>
      </x:c>
      <x:c r="E931" s="28" t="str">
        <x:v>roasted pumpkin seeds</x:v>
      </x:c>
      <x:c r="F931" s="28" t="str">
        <x:v>Тыквенные</x:v>
      </x:c>
      <x:c r="G931" s="28" t="str">
        <x:v>мясо</x:v>
      </x:c>
      <x:c r="H931" s="28" t="str">
        <x:v>meat</x:v>
      </x:c>
      <x:c r="I931" s="28" t="str">
        <x:v>Мясо и птица</x:v>
      </x:c>
      <x:c r="J931" s="28" t="str">
        <x:v>сладкий, крахмалистый, ореховый и слегка цветочный</x:v>
      </x:c>
      <x:c r="K931" s="28" t="str">
        <x:v>жареный, жирный, умами</x:v>
      </x:c>
      <x:c r="L931" s="28" t="str">
        <x:v>лактоны, норизопреноиды, фураны, пиразины</x:v>
      </x:c>
      <x:c r="M931" s="28" t="str">
        <x:v>пиразины, сернистые соединения</x:v>
      </x:c>
      <x:c r="N931" s="28" t="str">
        <x:v>прямое пересечение семейств не подтверждено</x:v>
      </x:c>
      <x:c r="O931" s="28" t="str">
        <x:v>пиразины</x:v>
      </x:c>
      <x:c r="P931" s="28" t="str">
        <x:v>общие характерные молекулы; умами и солёный контраст</x:v>
      </x:c>
      <x:c r="Q931" s="28" t="str">
        <x:v>Сладость и землистость балансируются кислотой, солью, горечью и умами; жир усиливает ощущение округлости.</x:v>
      </x:c>
      <x:c r="R931" s="28" t="str">
        <x:v>минимальный</x:v>
      </x:c>
      <x:c r="S931" s="28" t="str">
        <x:v>водно-крахмалистая матрица; хорошо принимает жир и специи Белок и жир требуют контроля воды: для жареной ароматики поверхность должна подсохнуть.</x:v>
      </x:c>
      <x:c r="T931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1" s="28" t="str">
        <x:v>Тыква имеет профиль «сладкий, крахмалистый, ореховый и слегка цветочный».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31" s="28" t="str">
        <x:v>водянистые сорта размывают вкус; сильная сладость требует кислоты, соли или горечи</x:v>
      </x:c>
      <x:c r="W931" s="28" t="str">
        <x:v>сливочное масло, соевый соус или тимьян</x:v>
      </x:c>
      <x:c r="X931" s="28" t="str">
        <x:v>пюре, суп, запекание, крем, гарнир, соус или десертная разработка с мясо</x:v>
      </x:c>
      <x:c r="Y931" s="28" t="str">
        <x:v>еда, соусы/маринады</x:v>
      </x:c>
      <x:c r="Z931" s="28" t="str">
        <x:v>Средняя</x:v>
      </x:c>
      <x:c r="AA931" s="28" t="str">
        <x:v>The Art &amp; Science of Foodpairing.pdf</x:v>
      </x:c>
      <x:c r="AB931" s="28" t="str">
        <x:v>The Art &amp; Science of Foodpairing.pdf: 186</x:v>
      </x:c>
      <x:c r="AC931" s="28" t="str">
        <x:v>связь из pairing grid, стр. 186</x:v>
      </x:c>
      <x:c r="AD931" s="28" t="n">
        <x:v>1</x:v>
      </x:c>
      <x:c r="AE931" s="28" t="n">
        <x:v>1</x:v>
      </x:c>
      <x:c r="AF931" s="28" t="n">
        <x:f>IF(Z931="Высокая",3,IF(Z931="Средняя",2,1))+AD931*2+MIN(AE931,3)</x:f>
        <x:v>5</x:v>
      </x:c>
    </x:row>
    <x:row r="932" ht="64" customHeight="1">
      <x:c r="A932" s="28" t="str">
        <x:v>VEG-0931</x:v>
      </x:c>
      <x:c r="B932" s="28" t="str">
        <x:v>тыква</x:v>
      </x:c>
      <x:c r="C932" s="28" t="str">
        <x:v>Десерты и выпечка</x:v>
      </x:c>
      <x:c r="D932" s="28" t="str">
        <x:v>тыква</x:v>
      </x:c>
      <x:c r="E932" s="28" t="str">
        <x:v>Тыква</x:v>
      </x:c>
      <x:c r="F932" s="28" t="str">
        <x:v>Тыквенные</x:v>
      </x:c>
      <x:c r="G932" s="28" t="str">
        <x:v>мёд</x:v>
      </x:c>
      <x:c r="H932" s="28" t="str">
        <x:v>мёд</x:v>
      </x:c>
      <x:c r="I932" s="28" t="str">
        <x:v>Выпечка, крупы, сахара и десерты</x:v>
      </x:c>
      <x:c r="J932" s="28" t="str">
        <x:v>сладкий, крахмалистый, ореховый и слегка цветочный</x:v>
      </x:c>
      <x:c r="K932" s="28" t="str">
        <x:v>медовый, сладкий, цветочный</x:v>
      </x:c>
      <x:c r="L932" s="28" t="str">
        <x:v>лактоны, норизопреноиды, фураны, пиразины</x:v>
      </x:c>
      <x:c r="M932" s="28" t="str">
        <x:v>норизопреноиды, фенилуксусная кислота</x:v>
      </x:c>
      <x:c r="N932" s="28" t="str">
        <x:v>сладкий</x:v>
      </x:c>
      <x:c r="O932" s="28" t="str">
        <x:v>норизопреноиды</x:v>
      </x:c>
      <x:c r="P932" s="28" t="str">
        <x:v>общие характерные молекулы; пересечение ароматических семейств</x:v>
      </x:c>
      <x:c r="Q932" s="28" t="str">
        <x:v>Сладость и землистость балансируются кислотой, солью, горечью и умами; жир усиливает ощущение округлости.</x:v>
      </x:c>
      <x:c r="R932" s="28" t="str">
        <x:v>минимальный</x:v>
      </x:c>
      <x:c r="S932" s="28" t="str">
        <x:v>водно-крахмалистая матрица; хорошо принимает жир и специи</x:v>
      </x:c>
      <x:c r="T932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2" s="28" t="str">
        <x:v>Тыква имеет профиль «сладкий, крахмалистый, ореховый и слегка цветочный». Партнёр «мёд» относится к группе «Выпечка, крупы, сахара и десерты» и даёт медовый, сладкий, цветочный. Вероятный молекулярный мост: норизопреноиды.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32" s="28" t="str">
        <x:v>водянистые сорта размывают вкус; сильная сладость требует кислоты, соли или горечи</x:v>
      </x:c>
      <x:c r="W932" s="28" t="str">
        <x:v>соль, кислота или ароматический жир</x:v>
      </x:c>
      <x:c r="X932" s="28" t="str">
        <x:v>пюре, суп, запекание, крем, гарнир, соус или десертная разработка с мёд</x:v>
      </x:c>
      <x:c r="Y932" s="28" t="str">
        <x:v>десерты</x:v>
      </x:c>
      <x:c r="Z932" s="28" t="str">
        <x:v>Гипотеза / практическая</x:v>
      </x:c>
      <x:c r="AA932" s="28" t="str">
        <x:v>Таблица сочетания(1).pdf</x:v>
      </x:c>
      <x:c r="AB932" s="28" t="str">
        <x:v>Таблица сочетания(1).pdf: 18</x:v>
      </x:c>
      <x:c r="AC932" s="28" t="str">
        <x:v>рекомендация таблицы, стр. 18</x:v>
      </x:c>
      <x:c r="AD932" s="28" t="n">
        <x:v>1</x:v>
      </x:c>
      <x:c r="AE932" s="28" t="n">
        <x:v>1</x:v>
      </x:c>
      <x:c r="AF932" s="28" t="n">
        <x:f>IF(Z932="Высокая",3,IF(Z932="Средняя",2,1))+AD932*2+MIN(AE932,3)</x:f>
        <x:v>4</x:v>
      </x:c>
    </x:row>
    <x:row r="933" ht="64" customHeight="1">
      <x:c r="A933" s="28" t="str">
        <x:v>VEG-0932</x:v>
      </x:c>
      <x:c r="B933" s="28" t="str">
        <x:v>тыква</x:v>
      </x:c>
      <x:c r="C933" s="28" t="str">
        <x:v>Универсальные</x:v>
      </x:c>
      <x:c r="D933" s="28" t="str">
        <x:v>тыква</x:v>
      </x:c>
      <x:c r="E933" s="28" t="str">
        <x:v>Тыква</x:v>
      </x:c>
      <x:c r="F933" s="28" t="str">
        <x:v>Тыквенные</x:v>
      </x:c>
      <x:c r="G933" s="28" t="str">
        <x:v>розмарин</x:v>
      </x:c>
      <x:c r="H933" s="28" t="str">
        <x:v>розмарин</x:v>
      </x:c>
      <x:c r="I933" s="28" t="str">
        <x:v>Травы, цветы и листья</x:v>
      </x:c>
      <x:c r="J933" s="28" t="str">
        <x:v>сладкий, крахмалистый, ореховый и слегка цветочный</x:v>
      </x:c>
      <x:c r="K933" s="28" t="str">
        <x:v>древесный, камфорный, хвойный</x:v>
      </x:c>
      <x:c r="L933" s="28" t="str">
        <x:v>лактоны, норизопреноиды, фураны, пиразины</x:v>
      </x:c>
      <x:c r="M933" s="28" t="str">
        <x:v>1,8-цинеол, пинены</x:v>
      </x:c>
      <x:c r="N933" s="28" t="str">
        <x:v>прямое пересечение семейств не подтверждено</x:v>
      </x:c>
      <x:c r="O933" s="28" t="str">
        <x:v>надёжная общая ключевая молекула не установлена</x:v>
      </x:c>
      <x:c r="P933" s="28" t="str">
        <x:v>сенсорная комплементарность</x:v>
      </x:c>
      <x:c r="Q933" s="28" t="str">
        <x:v>Сладость и землистость балансируются кислотой, солью, горечью и умами; жир усиливает ощущение округлости.</x:v>
      </x:c>
      <x:c r="R933" s="28" t="str">
        <x:v>минимальный</x:v>
      </x:c>
      <x:c r="S933" s="28" t="str">
        <x:v>водно-крахмалистая матрица; хорошо принимает жир и специи</x:v>
      </x:c>
      <x:c r="T933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3" s="28" t="str">
        <x:v>Тыква имеет профиль «сладкий, крахмалистый, ореховый и слегка цветочный».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933" s="28" t="str">
        <x:v>водянистые сорта размывают вкус; сильная сладость требует кислоты, соли или горечи; длительный нагрев уносит свежие терпены и зелёные альдегиды</x:v>
      </x:c>
      <x:c r="W933" s="28" t="str">
        <x:v>оливковое масло, лимон или сыр</x:v>
      </x:c>
      <x:c r="X933" s="28" t="str">
        <x:v>пюре, суп, запекание, крем, гарнир, соус или десертная разработка с розмарин</x:v>
      </x:c>
      <x:c r="Y933" s="28" t="str">
        <x:v>универсальное</x:v>
      </x:c>
      <x:c r="Z933" s="28" t="str">
        <x:v>Гипотеза / практическая</x:v>
      </x:c>
      <x:c r="AA933" s="28" t="str">
        <x:v>Таблица сочетания(1).pdf</x:v>
      </x:c>
      <x:c r="AB933" s="28" t="str">
        <x:v>Таблица сочетания(1).pdf: 18</x:v>
      </x:c>
      <x:c r="AC933" s="28" t="str">
        <x:v>рекомендация таблицы, стр. 18</x:v>
      </x:c>
      <x:c r="AD933" s="28" t="n">
        <x:v>1</x:v>
      </x:c>
      <x:c r="AE933" s="28" t="n">
        <x:v>1</x:v>
      </x:c>
      <x:c r="AF933" s="28" t="n">
        <x:f>IF(Z933="Высокая",3,IF(Z933="Средняя",2,1))+AD933*2+MIN(AE933,3)</x:f>
        <x:v>4</x:v>
      </x:c>
    </x:row>
    <x:row r="934" ht="64" customHeight="1">
      <x:c r="A934" s="28" t="str">
        <x:v>VEG-0933</x:v>
      </x:c>
      <x:c r="B934" s="28" t="str">
        <x:v>тыква</x:v>
      </x:c>
      <x:c r="C934" s="28" t="str">
        <x:v>Еда и соусы</x:v>
      </x:c>
      <x:c r="D934" s="28" t="str">
        <x:v>тыква</x:v>
      </x:c>
      <x:c r="E934" s="28" t="str">
        <x:v>pumpkin</x:v>
      </x:c>
      <x:c r="F934" s="28" t="str">
        <x:v>Тыквенные</x:v>
      </x:c>
      <x:c r="G934" s="28" t="str">
        <x:v>рыба</x:v>
      </x:c>
      <x:c r="H934" s="28" t="str">
        <x:v>fish</x:v>
      </x:c>
      <x:c r="I934" s="28" t="str">
        <x:v>Рыба и морепродукты</x:v>
      </x:c>
      <x:c r="J934" s="28" t="str">
        <x:v>сладкий, крахмалистый, ореховый и слегка цветочный</x:v>
      </x:c>
      <x:c r="K934" s="28" t="str">
        <x:v>жирный, морской, умами</x:v>
      </x:c>
      <x:c r="L934" s="28" t="str">
        <x:v>лактоны, норизопреноиды, фураны, пиразины</x:v>
      </x:c>
      <x:c r="M934" s="28" t="str">
        <x:v>альдегиды, амины</x:v>
      </x:c>
      <x:c r="N934" s="28" t="str">
        <x:v>прямое пересечение семейств не подтверждено</x:v>
      </x:c>
      <x:c r="O934" s="28" t="str">
        <x:v>надёжная общая ключевая молекула не установлена</x:v>
      </x:c>
      <x:c r="P934" s="28" t="str">
        <x:v>умами и солёный контраст</x:v>
      </x:c>
      <x:c r="Q934" s="28" t="str">
        <x:v>Сладость и землистость балансируются кислотой, солью, горечью и умами; жир усиливает ощущение округлости.</x:v>
      </x:c>
      <x:c r="R934" s="28" t="str">
        <x:v>минимальный</x:v>
      </x:c>
      <x:c r="S934" s="28" t="str">
        <x:v>водно-крахмалистая матрица; хорошо принимает жир и специи Белок и жир требуют контроля воды: для жареной ароматики поверхность должна подсохнуть.</x:v>
      </x:c>
      <x:c r="T934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4" s="28" t="str">
        <x:v>Тыква имеет профиль «сладкий, крахмалистый, ореховый и слегка цветочный».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34" s="28" t="str">
        <x:v>водянистые сорта размывают вкус; сильная сладость требует кислоты, соли или горечи</x:v>
      </x:c>
      <x:c r="W934" s="28" t="str">
        <x:v>сливочное масло, соевый соус или тимьян</x:v>
      </x:c>
      <x:c r="X934" s="28" t="str">
        <x:v>пюре, суп, запекание, крем, гарнир, соус или десертная разработка с рыба</x:v>
      </x:c>
      <x:c r="Y934" s="28" t="str">
        <x:v>еда, соусы/маринады</x:v>
      </x:c>
      <x:c r="Z934" s="28" t="str">
        <x:v>Средняя</x:v>
      </x:c>
      <x:c r="AA934" s="28" t="str">
        <x:v>The Art &amp; Science of Foodpairing.pdf</x:v>
      </x:c>
      <x:c r="AB934" s="28" t="str">
        <x:v>The Art &amp; Science of Foodpairing.pdf: 104</x:v>
      </x:c>
      <x:c r="AC934" s="28" t="str">
        <x:v>связь из pairing grid, стр. 104</x:v>
      </x:c>
      <x:c r="AD934" s="28" t="n">
        <x:v>1</x:v>
      </x:c>
      <x:c r="AE934" s="28" t="n">
        <x:v>1</x:v>
      </x:c>
      <x:c r="AF934" s="28" t="n">
        <x:f>IF(Z934="Высокая",3,IF(Z934="Средняя",2,1))+AD934*2+MIN(AE934,3)</x:f>
        <x:v>5</x:v>
      </x:c>
    </x:row>
    <x:row r="935" ht="64" customHeight="1">
      <x:c r="A935" s="28" t="str">
        <x:v>VEG-0934</x:v>
      </x:c>
      <x:c r="B935" s="28" t="str">
        <x:v>тыква</x:v>
      </x:c>
      <x:c r="C935" s="28" t="str">
        <x:v>Еда и соусы</x:v>
      </x:c>
      <x:c r="D935" s="28" t="str">
        <x:v>тыква</x:v>
      </x:c>
      <x:c r="E935" s="28" t="str">
        <x:v>boiled pumpkin</x:v>
      </x:c>
      <x:c r="F935" s="28" t="str">
        <x:v>Тыквенные</x:v>
      </x:c>
      <x:c r="G935" s="28" t="str">
        <x:v>соевый соус</x:v>
      </x:c>
      <x:c r="H935" s="28" t="str">
        <x:v>soy sauce</x:v>
      </x:c>
      <x:c r="I935" s="28" t="str">
        <x:v>Ферментированные продукты и соусы</x:v>
      </x:c>
      <x:c r="J935" s="28" t="str">
        <x:v>сладкий, крахмалистый, ореховый и слегка цветочный</x:v>
      </x:c>
      <x:c r="K935" s="28" t="str">
        <x:v>жареный, умами, ферментированный</x:v>
      </x:c>
      <x:c r="L935" s="28" t="str">
        <x:v>лактоны, норизопреноиды, фураны, пиразины</x:v>
      </x:c>
      <x:c r="M935" s="28" t="str">
        <x:v>пиразины, фураны, эфиры</x:v>
      </x:c>
      <x:c r="N935" s="28" t="str">
        <x:v>прямое пересечение семейств не подтверждено</x:v>
      </x:c>
      <x:c r="O935" s="28" t="str">
        <x:v>пиразины, фураны</x:v>
      </x:c>
      <x:c r="P935" s="28" t="str">
        <x:v>общие характерные молекулы; умами и солёный контраст</x:v>
      </x:c>
      <x:c r="Q935" s="28" t="str">
        <x:v>Сладость и землистость балансируются кислотой, солью, горечью и умами; жир усиливает ощущение округлости.</x:v>
      </x:c>
      <x:c r="R935" s="28" t="str">
        <x:v>минимальный</x:v>
      </x:c>
      <x:c r="S935" s="28" t="str">
        <x:v>водно-крахмалистая матрица; хорошо принимает жир и специи</x:v>
      </x:c>
      <x:c r="T935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5" s="28" t="str">
        <x:v>Тыква имеет профиль «сладкий, крахмалистый, ореховый и слегка цветочный». Партнёр «соевый соус» относится к группе «Ферментированные продукты и соусы» и даёт жареный, умами, ферментированный. Вероятный молекулярный мост: пиразины, фураны.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35" s="28" t="str">
        <x:v>водянистые сорта размывают вкус; сильная сладость требует кислоты, соли или горечи</x:v>
      </x:c>
      <x:c r="W935" s="28" t="str">
        <x:v>имбирь, чеснок или кунжут</x:v>
      </x:c>
      <x:c r="X935" s="28" t="str">
        <x:v>пюре, суп, запекание, крем, гарнир, соус или десертная разработка с соевый соус</x:v>
      </x:c>
      <x:c r="Y935" s="28" t="str">
        <x:v>еда, соусы/маринады</x:v>
      </x:c>
      <x:c r="Z935" s="28" t="str">
        <x:v>Средняя</x:v>
      </x:c>
      <x:c r="AA935" s="28" t="str">
        <x:v>The Art &amp; Science of Foodpairing.pdf</x:v>
      </x:c>
      <x:c r="AB935" s="28" t="str">
        <x:v>The Art &amp; Science of Foodpairing.pdf: 300</x:v>
      </x:c>
      <x:c r="AC935" s="28" t="str">
        <x:v>связь из pairing grid, стр. 300</x:v>
      </x:c>
      <x:c r="AD935" s="28" t="n">
        <x:v>1</x:v>
      </x:c>
      <x:c r="AE935" s="28" t="n">
        <x:v>1</x:v>
      </x:c>
      <x:c r="AF935" s="28" t="n">
        <x:f>IF(Z935="Высокая",3,IF(Z935="Средняя",2,1))+AD935*2+MIN(AE935,3)</x:f>
        <x:v>5</x:v>
      </x:c>
    </x:row>
    <x:row r="936" ht="64" customHeight="1">
      <x:c r="A936" s="28" t="str">
        <x:v>VEG-0935</x:v>
      </x:c>
      <x:c r="B936" s="28" t="str">
        <x:v>тыква</x:v>
      </x:c>
      <x:c r="C936" s="28" t="str">
        <x:v>Универсальные</x:v>
      </x:c>
      <x:c r="D936" s="28" t="str">
        <x:v>тыква</x:v>
      </x:c>
      <x:c r="E936" s="28" t="str">
        <x:v>Тыква</x:v>
      </x:c>
      <x:c r="F936" s="28" t="str">
        <x:v>Тыквенные</x:v>
      </x:c>
      <x:c r="G936" s="28" t="str">
        <x:v>тимьян</x:v>
      </x:c>
      <x:c r="H936" s="28" t="str">
        <x:v>тимьян</x:v>
      </x:c>
      <x:c r="I936" s="28" t="str">
        <x:v>Травы, цветы и листья</x:v>
      </x:c>
      <x:c r="J936" s="28" t="str">
        <x:v>сладкий, крахмалистый, ореховый и слегка цветочный</x:v>
      </x:c>
      <x:c r="K936" s="28" t="str">
        <x:v>древесный, зелёный, фенольный</x:v>
      </x:c>
      <x:c r="L936" s="28" t="str">
        <x:v>лактоны, норизопреноиды, фураны, пиразины</x:v>
      </x:c>
      <x:c r="M936" s="28" t="str">
        <x:v>карвакрол, тимол</x:v>
      </x:c>
      <x:c r="N936" s="28" t="str">
        <x:v>прямое пересечение семейств не подтверждено</x:v>
      </x:c>
      <x:c r="O936" s="28" t="str">
        <x:v>надёжная общая ключевая молекула не установлена</x:v>
      </x:c>
      <x:c r="P936" s="28" t="str">
        <x:v>сенсорная комплементарность</x:v>
      </x:c>
      <x:c r="Q936" s="28" t="str">
        <x:v>Сладость и землистость балансируются кислотой, солью, горечью и умами; жир усиливает ощущение округлости.</x:v>
      </x:c>
      <x:c r="R936" s="28" t="str">
        <x:v>минимальный</x:v>
      </x:c>
      <x:c r="S936" s="28" t="str">
        <x:v>водно-крахмалистая матрица; хорошо принимает жир и специи</x:v>
      </x:c>
      <x:c r="T936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6" s="28" t="str">
        <x:v>Тыква имеет профиль «сладкий, крахмалистый, ореховый и слегка цветочный».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936" s="28" t="str">
        <x:v>водянистые сорта размывают вкус; сильная сладость требует кислоты, соли или горечи; длительный нагрев уносит свежие терпены и зелёные альдегиды</x:v>
      </x:c>
      <x:c r="W936" s="28" t="str">
        <x:v>оливковое масло, лимон или сыр</x:v>
      </x:c>
      <x:c r="X936" s="28" t="str">
        <x:v>пюре, суп, запекание, крем, гарнир, соус или десертная разработка с тимьян</x:v>
      </x:c>
      <x:c r="Y936" s="28" t="str">
        <x:v>универсальное</x:v>
      </x:c>
      <x:c r="Z936" s="28" t="str">
        <x:v>Гипотеза / практическая</x:v>
      </x:c>
      <x:c r="AA936" s="28" t="str">
        <x:v>Таблица сочетания(1).pdf</x:v>
      </x:c>
      <x:c r="AB936" s="28" t="str">
        <x:v>Таблица сочетания(1).pdf: 18</x:v>
      </x:c>
      <x:c r="AC936" s="28" t="str">
        <x:v>рекомендация таблицы, стр. 18</x:v>
      </x:c>
      <x:c r="AD936" s="28" t="n">
        <x:v>1</x:v>
      </x:c>
      <x:c r="AE936" s="28" t="n">
        <x:v>1</x:v>
      </x:c>
      <x:c r="AF936" s="28" t="n">
        <x:f>IF(Z936="Высокая",3,IF(Z936="Средняя",2,1))+AD936*2+MIN(AE936,3)</x:f>
        <x:v>4</x:v>
      </x:c>
    </x:row>
    <x:row r="937" ht="64" customHeight="1">
      <x:c r="A937" s="28" t="str">
        <x:v>VEG-0936</x:v>
      </x:c>
      <x:c r="B937" s="28" t="str">
        <x:v>тыква</x:v>
      </x:c>
      <x:c r="C937" s="28" t="str">
        <x:v>Десерты и выпечка</x:v>
      </x:c>
      <x:c r="D937" s="28" t="str">
        <x:v>тыква</x:v>
      </x:c>
      <x:c r="E937" s="28" t="str">
        <x:v>pumpkin seed oil</x:v>
      </x:c>
      <x:c r="F937" s="28" t="str">
        <x:v>Тыквенные</x:v>
      </x:c>
      <x:c r="G937" s="28" t="str">
        <x:v>фундук</x:v>
      </x:c>
      <x:c r="H937" s="28" t="str">
        <x:v>hazelnut</x:v>
      </x:c>
      <x:c r="I937" s="28" t="str">
        <x:v>Орехи и семена</x:v>
      </x:c>
      <x:c r="J937" s="28" t="str">
        <x:v>сладкий, крахмалистый, ореховый и слегка цветочный</x:v>
      </x:c>
      <x:c r="K937" s="28" t="str">
        <x:v>жареный, какаовый, ореховый</x:v>
      </x:c>
      <x:c r="L937" s="28" t="str">
        <x:v>лактоны, норизопреноиды, фураны, пиразины</x:v>
      </x:c>
      <x:c r="M937" s="28" t="str">
        <x:v>пиразины, фильбертон</x:v>
      </x:c>
      <x:c r="N937" s="28" t="str">
        <x:v>ореховый</x:v>
      </x:c>
      <x:c r="O937" s="28" t="str">
        <x:v>пиразины</x:v>
      </x:c>
      <x:c r="P937" s="28" t="str">
        <x:v>общие характерные молекулы; пересечение ароматических семейств</x:v>
      </x:c>
      <x:c r="Q937" s="28" t="str">
        <x:v>Сладость и землистость балансируются кислотой, солью, горечью и умами; жир усиливает ощущение округлости.</x:v>
      </x:c>
      <x:c r="R937" s="28" t="str">
        <x:v>минимальный</x:v>
      </x:c>
      <x:c r="S937" s="28" t="str">
        <x:v>водно-крахмалистая матрица; хорошо принимает жир и специи</x:v>
      </x:c>
      <x:c r="T937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7" s="28" t="str">
        <x:v>Тыква имеет профиль «сладкий, крахмалистый, ореховый и слегка цветочный».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37" s="28" t="str">
        <x:v>водянистые сорта размывают вкус; сильная сладость требует кислоты, соли или горечи</x:v>
      </x:c>
      <x:c r="W937" s="28" t="str">
        <x:v>соль, кислота или ароматический жир</x:v>
      </x:c>
      <x:c r="X937" s="28" t="str">
        <x:v>пюре, суп, запекание, крем, гарнир, соус или десертная разработка с фундук</x:v>
      </x:c>
      <x:c r="Y937" s="28" t="str">
        <x:v>десерты</x:v>
      </x:c>
      <x:c r="Z937" s="28" t="str">
        <x:v>Средняя</x:v>
      </x:c>
      <x:c r="AA937" s="28" t="str">
        <x:v>The Art &amp; Science of Foodpairing.pdf</x:v>
      </x:c>
      <x:c r="AB937" s="28" t="str">
        <x:v>The Art &amp; Science of Foodpairing.pdf: 332</x:v>
      </x:c>
      <x:c r="AC937" s="28" t="str">
        <x:v>связь из pairing grid, стр. 332</x:v>
      </x:c>
      <x:c r="AD937" s="28" t="n">
        <x:v>1</x:v>
      </x:c>
      <x:c r="AE937" s="28" t="n">
        <x:v>1</x:v>
      </x:c>
      <x:c r="AF937" s="28" t="n">
        <x:f>IF(Z937="Высокая",3,IF(Z937="Средняя",2,1))+AD937*2+MIN(AE937,3)</x:f>
        <x:v>5</x:v>
      </x:c>
    </x:row>
    <x:row r="938" ht="64" customHeight="1">
      <x:c r="A938" s="28" t="str">
        <x:v>VEG-0937</x:v>
      </x:c>
      <x:c r="B938" s="28" t="str">
        <x:v>тыква</x:v>
      </x:c>
      <x:c r="C938" s="28" t="str">
        <x:v>Универсальные</x:v>
      </x:c>
      <x:c r="D938" s="28" t="str">
        <x:v>тыква</x:v>
      </x:c>
      <x:c r="E938" s="28" t="str">
        <x:v>boiled pumpkin</x:v>
      </x:c>
      <x:c r="F938" s="28" t="str">
        <x:v>Тыквенные</x:v>
      </x:c>
      <x:c r="G938" s="28" t="str">
        <x:v>чили</x:v>
      </x:c>
      <x:c r="H938" s="28" t="str">
        <x:v>chilli peppers</x:v>
      </x:c>
      <x:c r="I938" s="28" t="str">
        <x:v>Специи</x:v>
      </x:c>
      <x:c r="J938" s="28" t="str">
        <x:v>сладкий, крахмалистый, ореховый и слегка цветочный</x:v>
      </x:c>
      <x:c r="K938" s="28" t="str">
        <x:v>пряный и древесный</x:v>
      </x:c>
      <x:c r="L938" s="28" t="str">
        <x:v>лактоны, норизопреноиды, фураны, пиразины</x:v>
      </x:c>
      <x:c r="M938" s="28" t="str">
        <x:v>терпены, фенилпропаноиды</x:v>
      </x:c>
      <x:c r="N938" s="28" t="str">
        <x:v>прямое пересечение семейств не подтверждено</x:v>
      </x:c>
      <x:c r="O938" s="28" t="str">
        <x:v>надёжная общая ключевая молекула не установлена</x:v>
      </x:c>
      <x:c r="P938" s="28" t="str">
        <x:v>сенсорная комплементарность</x:v>
      </x:c>
      <x:c r="Q938" s="28" t="str">
        <x:v>Сладость и землистость балансируются кислотой, солью, горечью и умами; жир усиливает ощущение округлости.</x:v>
      </x:c>
      <x:c r="R938" s="28" t="str">
        <x:v>минимальный</x:v>
      </x:c>
      <x:c r="S938" s="28" t="str">
        <x:v>водно-крахмалистая матрица; хорошо принимает жир и специи</x:v>
      </x:c>
      <x:c r="T938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8" s="28" t="str">
        <x:v>Тыква имеет профиль «сладкий, крахмалистый, ореховый и слегка цветочный».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38" s="28" t="str">
        <x:v>водянистые сорта размывают вкус; сильная сладость требует кислоты, соли или горечи</x:v>
      </x:c>
      <x:c r="W938" s="28" t="str">
        <x:v>цитрус, йогурт или мёд</x:v>
      </x:c>
      <x:c r="X938" s="28" t="str">
        <x:v>пюре, суп, запекание, крем, гарнир, соус или десертная разработка с чили</x:v>
      </x:c>
      <x:c r="Y938" s="28" t="str">
        <x:v>универсальное</x:v>
      </x:c>
      <x:c r="Z938" s="28" t="str">
        <x:v>Средняя</x:v>
      </x:c>
      <x:c r="AA938" s="28" t="str">
        <x:v>The Art &amp; Science of Foodpairing.pdf</x:v>
      </x:c>
      <x:c r="AB938" s="28" t="str">
        <x:v>The Art &amp; Science of Foodpairing.pdf: 94</x:v>
      </x:c>
      <x:c r="AC938" s="28" t="str">
        <x:v>связь из pairing grid, стр. 94</x:v>
      </x:c>
      <x:c r="AD938" s="28" t="n">
        <x:v>1</x:v>
      </x:c>
      <x:c r="AE938" s="28" t="n">
        <x:v>1</x:v>
      </x:c>
      <x:c r="AF938" s="28" t="n">
        <x:f>IF(Z938="Высокая",3,IF(Z938="Средняя",2,1))+AD938*2+MIN(AE938,3)</x:f>
        <x:v>5</x:v>
      </x:c>
    </x:row>
    <x:row r="939" ht="64" customHeight="1">
      <x:c r="A939" s="28" t="str">
        <x:v>VEG-0938</x:v>
      </x:c>
      <x:c r="B939" s="28" t="str">
        <x:v>тыква</x:v>
      </x:c>
      <x:c r="C939" s="28" t="str">
        <x:v>Универсальные</x:v>
      </x:c>
      <x:c r="D939" s="28" t="str">
        <x:v>тыква</x:v>
      </x:c>
      <x:c r="E939" s="28" t="str">
        <x:v>boiled pumpkin</x:v>
      </x:c>
      <x:c r="F939" s="28" t="str">
        <x:v>Тыквенные</x:v>
      </x:c>
      <x:c r="G939" s="28" t="str">
        <x:v>чоризо</x:v>
      </x:c>
      <x:c r="H939" s="28" t="str">
        <x:v>chorizo</x:v>
      </x:c>
      <x:c r="I939" s="28" t="str">
        <x:v>Прочее</x:v>
      </x:c>
      <x:c r="J939" s="28" t="str">
        <x:v>сладкий, крахмалистый, ореховый и слегка цветочный</x:v>
      </x:c>
      <x:c r="K939" s="28" t="str">
        <x:v>профиль зависит от конкретного продукта</x:v>
      </x:c>
      <x:c r="L939" s="28" t="str">
        <x:v>лактоны, норизопреноиды, фураны, пиразины</x:v>
      </x:c>
      <x:c r="M939" s="28" t="str">
        <x:v>конкретный молекулярный профиль не указан</x:v>
      </x:c>
      <x:c r="N939" s="28" t="str">
        <x:v>прямое пересечение семейств не подтверждено</x:v>
      </x:c>
      <x:c r="O939" s="28" t="str">
        <x:v>надёжная общая ключевая молекула не установлена</x:v>
      </x:c>
      <x:c r="P939" s="28" t="str">
        <x:v>сенсорная комплементарность</x:v>
      </x:c>
      <x:c r="Q939" s="28" t="str">
        <x:v>Сладость и землистость балансируются кислотой, солью, горечью и умами; жир усиливает ощущение округлости.</x:v>
      </x:c>
      <x:c r="R939" s="28" t="str">
        <x:v>минимальный</x:v>
      </x:c>
      <x:c r="S939" s="28" t="str">
        <x:v>водно-крахмалистая матрица; хорошо принимает жир и специи</x:v>
      </x:c>
      <x:c r="T939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39" s="28" t="str">
        <x:v>Тыква имеет профиль «сладкий, крахмалистый, ореховый и слегка цветочный».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39" s="28" t="str">
        <x:v>водянистые сорта размывают вкус; сильная сладость требует кислоты, соли или горечи</x:v>
      </x:c>
      <x:c r="W939" s="28" t="str">
        <x:v>соль, кислота или ароматический жир</x:v>
      </x:c>
      <x:c r="X939" s="28" t="str">
        <x:v>пюре, суп, запекание, крем, гарнир, соус или десертная разработка с чоризо</x:v>
      </x:c>
      <x:c r="Y939" s="28" t="str">
        <x:v>универсальное</x:v>
      </x:c>
      <x:c r="Z939" s="28" t="str">
        <x:v>Средняя</x:v>
      </x:c>
      <x:c r="AA939" s="28" t="str">
        <x:v>The Art &amp; Science of Foodpairing.pdf</x:v>
      </x:c>
      <x:c r="AB939" s="28" t="str">
        <x:v>The Art &amp; Science of Foodpairing.pdf: 288</x:v>
      </x:c>
      <x:c r="AC939" s="28" t="str">
        <x:v>связь из pairing grid, стр. 288</x:v>
      </x:c>
      <x:c r="AD939" s="28" t="n">
        <x:v>1</x:v>
      </x:c>
      <x:c r="AE939" s="28" t="n">
        <x:v>1</x:v>
      </x:c>
      <x:c r="AF939" s="28" t="n">
        <x:f>IF(Z939="Высокая",3,IF(Z939="Средняя",2,1))+AD939*2+MIN(AE939,3)</x:f>
        <x:v>5</x:v>
      </x:c>
    </x:row>
    <x:row r="940" ht="64" customHeight="1">
      <x:c r="A940" s="28" t="str">
        <x:v>VEG-0939</x:v>
      </x:c>
      <x:c r="B940" s="28" t="str">
        <x:v>тыква</x:v>
      </x:c>
      <x:c r="C940" s="28" t="str">
        <x:v>Универсальные</x:v>
      </x:c>
      <x:c r="D940" s="28" t="str">
        <x:v>тыква</x:v>
      </x:c>
      <x:c r="E940" s="28" t="str">
        <x:v>Тыква</x:v>
      </x:c>
      <x:c r="F940" s="28" t="str">
        <x:v>Тыквенные</x:v>
      </x:c>
      <x:c r="G940" s="28" t="str">
        <x:v>шалфей</x:v>
      </x:c>
      <x:c r="H940" s="28" t="str">
        <x:v>шалфей</x:v>
      </x:c>
      <x:c r="I940" s="28" t="str">
        <x:v>Травы, цветы и листья</x:v>
      </x:c>
      <x:c r="J940" s="28" t="str">
        <x:v>сладкий, крахмалистый, ореховый и слегка цветочный</x:v>
      </x:c>
      <x:c r="K940" s="28" t="str">
        <x:v>древесный, камфорный</x:v>
      </x:c>
      <x:c r="L940" s="28" t="str">
        <x:v>лактоны, норизопреноиды, фураны, пиразины</x:v>
      </x:c>
      <x:c r="M940" s="28" t="str">
        <x:v>1,8-цинеол, туйон</x:v>
      </x:c>
      <x:c r="N940" s="28" t="str">
        <x:v>прямое пересечение семейств не подтверждено</x:v>
      </x:c>
      <x:c r="O940" s="28" t="str">
        <x:v>надёжная общая ключевая молекула не установлена</x:v>
      </x:c>
      <x:c r="P940" s="28" t="str">
        <x:v>сенсорная комплементарность</x:v>
      </x:c>
      <x:c r="Q940" s="28" t="str">
        <x:v>Сладость и землистость балансируются кислотой, солью, горечью и умами; жир усиливает ощущение округлости.</x:v>
      </x:c>
      <x:c r="R940" s="28" t="str">
        <x:v>минимальный</x:v>
      </x:c>
      <x:c r="S940" s="28" t="str">
        <x:v>водно-крахмалистая матрица; хорошо принимает жир и специи</x:v>
      </x:c>
      <x:c r="T940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40" s="28" t="str">
        <x:v>Тыква имеет профиль «сладкий, крахмалистый, ореховый и слегка цветочный».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940" s="28" t="str">
        <x:v>водянистые сорта размывают вкус; сильная сладость требует кислоты, соли или горечи; длительный нагрев уносит свежие терпены и зелёные альдегиды</x:v>
      </x:c>
      <x:c r="W940" s="28" t="str">
        <x:v>оливковое масло, лимон или сыр</x:v>
      </x:c>
      <x:c r="X940" s="28" t="str">
        <x:v>пюре, суп, запекание, крем, гарнир, соус или десертная разработка с шалфей</x:v>
      </x:c>
      <x:c r="Y940" s="28" t="str">
        <x:v>универсальное</x:v>
      </x:c>
      <x:c r="Z940" s="28" t="str">
        <x:v>Гипотеза / практическая</x:v>
      </x:c>
      <x:c r="AA940" s="28" t="str">
        <x:v>Таблица сочетания(1).pdf</x:v>
      </x:c>
      <x:c r="AB940" s="28" t="str">
        <x:v>Таблица сочетания(1).pdf: 18</x:v>
      </x:c>
      <x:c r="AC940" s="28" t="str">
        <x:v>рекомендация таблицы, стр. 18</x:v>
      </x:c>
      <x:c r="AD940" s="28" t="n">
        <x:v>1</x:v>
      </x:c>
      <x:c r="AE940" s="28" t="n">
        <x:v>1</x:v>
      </x:c>
      <x:c r="AF940" s="28" t="n">
        <x:f>IF(Z940="Высокая",3,IF(Z940="Средняя",2,1))+AD940*2+MIN(AE940,3)</x:f>
        <x:v>4</x:v>
      </x:c>
    </x:row>
    <x:row r="941" ht="64" customHeight="1">
      <x:c r="A941" s="28" t="str">
        <x:v>VEG-0940</x:v>
      </x:c>
      <x:c r="B941" s="28" t="str">
        <x:v>тыква</x:v>
      </x:c>
      <x:c r="C941" s="28" t="str">
        <x:v>Десерты и выпечка</x:v>
      </x:c>
      <x:c r="D941" s="28" t="str">
        <x:v>тыква</x:v>
      </x:c>
      <x:c r="E941" s="28" t="str">
        <x:v>Тыква</x:v>
      </x:c>
      <x:c r="F941" s="28" t="str">
        <x:v>Тыквенные</x:v>
      </x:c>
      <x:c r="G941" s="28" t="str">
        <x:v>шоколад</x:v>
      </x:c>
      <x:c r="H941" s="28" t="str">
        <x:v>шоколад</x:v>
      </x:c>
      <x:c r="I941" s="28" t="str">
        <x:v>Какао и шоколад</x:v>
      </x:c>
      <x:c r="J941" s="28" t="str">
        <x:v>сладкий, крахмалистый, ореховый и слегка цветочный</x:v>
      </x:c>
      <x:c r="K941" s="28" t="str">
        <x:v>жареный, какаовый, карамельный</x:v>
      </x:c>
      <x:c r="L941" s="28" t="str">
        <x:v>лактоны, норизопреноиды, фураны, пиразины</x:v>
      </x:c>
      <x:c r="M941" s="28" t="str">
        <x:v>пиразины, фураны</x:v>
      </x:c>
      <x:c r="N941" s="28" t="str">
        <x:v>прямое пересечение семейств не подтверждено</x:v>
      </x:c>
      <x:c r="O941" s="28" t="str">
        <x:v>пиразины, фураны</x:v>
      </x:c>
      <x:c r="P941" s="28" t="str">
        <x:v>общие характерные молекулы</x:v>
      </x:c>
      <x:c r="Q941" s="28" t="str">
        <x:v>Сладость и землистость балансируются кислотой, солью, горечью и умами; жир усиливает ощущение округлости.</x:v>
      </x:c>
      <x:c r="R941" s="28" t="str">
        <x:v>минимальный</x:v>
      </x:c>
      <x:c r="S941" s="28" t="str">
        <x:v>водно-крахмалистая матрица; хорошо принимает жир и специи</x:v>
      </x:c>
      <x:c r="T941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41" s="28" t="str">
        <x:v>Тыква имеет профиль «сладкий, крахмалистый, ореховый и слегка цветочный». Партнёр «шоколад» относится к группе «Какао и шоколад» и даёт жареный, какаовый, карамельный.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41" s="28" t="str">
        <x:v>водянистые сорта размывают вкус; сильная сладость требует кислоты, соли или горечи; жареная горечь легко маскирует нежный овощной аромат</x:v>
      </x:c>
      <x:c r="W941" s="28" t="str">
        <x:v>сливки, орех или карамель</x:v>
      </x:c>
      <x:c r="X941" s="28" t="str">
        <x:v>пюре, суп, запекание, крем, гарнир, соус или десертная разработка с шоколад</x:v>
      </x:c>
      <x:c r="Y941" s="28" t="str">
        <x:v>десерты</x:v>
      </x:c>
      <x:c r="Z941" s="28" t="str">
        <x:v>Гипотеза / практическая</x:v>
      </x:c>
      <x:c r="AA941" s="28" t="str">
        <x:v>Таблица сочетания(1).pdf</x:v>
      </x:c>
      <x:c r="AB941" s="28" t="str">
        <x:v>Таблица сочетания(1).pdf: 18</x:v>
      </x:c>
      <x:c r="AC941" s="28" t="str">
        <x:v>рекомендация таблицы, стр. 18</x:v>
      </x:c>
      <x:c r="AD941" s="28" t="n">
        <x:v>1</x:v>
      </x:c>
      <x:c r="AE941" s="28" t="n">
        <x:v>1</x:v>
      </x:c>
      <x:c r="AF941" s="28" t="n">
        <x:f>IF(Z941="Высокая",3,IF(Z941="Средняя",2,1))+AD941*2+MIN(AE941,3)</x:f>
        <x:v>4</x:v>
      </x:c>
    </x:row>
    <x:row r="942" ht="64" customHeight="1">
      <x:c r="A942" s="28" t="str">
        <x:v>VEG-0941</x:v>
      </x:c>
      <x:c r="B942" s="28" t="str">
        <x:v>тыква</x:v>
      </x:c>
      <x:c r="C942" s="28" t="str">
        <x:v>Десерты и выпечка</x:v>
      </x:c>
      <x:c r="D942" s="28" t="str">
        <x:v>тыква</x:v>
      </x:c>
      <x:c r="E942" s="28" t="str">
        <x:v>Тыква | тыква</x:v>
      </x:c>
      <x:c r="F942" s="28" t="str">
        <x:v>Тыквенные</x:v>
      </x:c>
      <x:c r="G942" s="28" t="str">
        <x:v>яблоко</x:v>
      </x:c>
      <x:c r="H942" s="28" t="str">
        <x:v>Яблоко | яблоко</x:v>
      </x:c>
      <x:c r="I942" s="28" t="str">
        <x:v>Фрукты и ягоды</x:v>
      </x:c>
      <x:c r="J942" s="28" t="str">
        <x:v>сладкий, крахмалистый, ореховый и слегка цветочный</x:v>
      </x:c>
      <x:c r="K942" s="28" t="str">
        <x:v>зелёный, свежий, фруктовый</x:v>
      </x:c>
      <x:c r="L942" s="28" t="str">
        <x:v>лактоны, норизопреноиды, фураны, пиразины</x:v>
      </x:c>
      <x:c r="M942" s="28" t="str">
        <x:v>гексаналь, гексилацетат</x:v>
      </x:c>
      <x:c r="N942" s="28" t="str">
        <x:v>прямое пересечение семейств не подтверждено</x:v>
      </x:c>
      <x:c r="O942" s="28" t="str">
        <x:v>надёжная общая ключевая молекула не установлена</x:v>
      </x:c>
      <x:c r="P942" s="28" t="str">
        <x:v>кислотно-сладкий баланс</x:v>
      </x:c>
      <x:c r="Q942" s="28" t="str">
        <x:v>Сладость и землистость балансируются кислотой, солью, горечью и умами; жир усиливает ощущение округлости.</x:v>
      </x:c>
      <x:c r="R942" s="28" t="str">
        <x:v>минимальный</x:v>
      </x:c>
      <x:c r="S942" s="28" t="str">
        <x:v>водно-крахмалистая матрица; хорошо принимает жир и специи Водная кислая фаза усиливает свежесть, но может разжижать пюре и нарушать молочную эмульсию.</x:v>
      </x:c>
      <x:c r="T942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U942" s="28" t="str">
        <x:v>Тыква имеет профиль «сладкий, крахмалистый, ореховый и слегка цветочный».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942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W942" s="28" t="str">
        <x:v>цитрус, мёд или мягкая трава</x:v>
      </x:c>
      <x:c r="X942" s="28" t="str">
        <x:v>пюре, суп, запекание, крем, гарнир, соус или десертная разработка с яблоко</x:v>
      </x:c>
      <x:c r="Y942" s="28" t="str">
        <x:v>десерты</x:v>
      </x:c>
      <x:c r="Z942" s="28" t="str">
        <x:v>Гипотеза / практическая</x:v>
      </x:c>
      <x:c r="AA942" s="28" t="str">
        <x:v>Таблица сочетания(1).pdf</x:v>
      </x:c>
      <x:c r="AB942" s="28" t="str">
        <x:v>Таблица сочетания(1).pdf: 1, 18</x:v>
      </x:c>
      <x:c r="AC942" s="28" t="str">
        <x:v>рекомендация таблицы, стр. 1; рекомендация таблицы, стр. 1; рекомендация таблицы, стр. 18</x:v>
      </x:c>
      <x:c r="AD942" s="28" t="n">
        <x:v>1</x:v>
      </x:c>
      <x:c r="AE942" s="28" t="n">
        <x:v>3</x:v>
      </x:c>
      <x:c r="AF942" s="28" t="n">
        <x:f>IF(Z942="Высокая",3,IF(Z942="Средняя",2,1))+AD942*2+MIN(AE942,3)</x:f>
        <x:v>6</x:v>
      </x:c>
    </x:row>
    <x:row r="943" ht="64" customHeight="1">
      <x:c r="A943" s="28" t="str">
        <x:v>VEG-0942</x:v>
      </x:c>
      <x:c r="B943" s="28" t="str">
        <x:v>тыква баттернат</x:v>
      </x:c>
      <x:c r="C943" s="28" t="str">
        <x:v>Еда и соусы</x:v>
      </x:c>
      <x:c r="D943" s="28" t="str">
        <x:v>тыква баттернат</x:v>
      </x:c>
      <x:c r="E943" s="28" t="str">
        <x:v>Тыква баттернат | тыква баттернат</x:v>
      </x:c>
      <x:c r="F943" s="28" t="str">
        <x:v>Тыквенные</x:v>
      </x:c>
      <x:c r="G943" s="28" t="str">
        <x:v>бекон</x:v>
      </x:c>
      <x:c r="H943" s="28" t="str">
        <x:v>Бекон | бекон</x:v>
      </x:c>
      <x:c r="I943" s="28" t="str">
        <x:v>Мясо и птица</x:v>
      </x:c>
      <x:c r="J943" s="28" t="str">
        <x:v>сладкий, сливочный, ореховый и карамельный</x:v>
      </x:c>
      <x:c r="K943" s="28" t="str">
        <x:v>дымный, жареный, умами</x:v>
      </x:c>
      <x:c r="L943" s="28" t="str">
        <x:v>лактоны, мальтол, норизопреноиды, фураны</x:v>
      </x:c>
      <x:c r="M943" s="28" t="str">
        <x:v>пиразины, фенолы</x:v>
      </x:c>
      <x:c r="N943" s="28" t="str">
        <x:v>прямое пересечение семейств не подтверждено</x:v>
      </x:c>
      <x:c r="O943" s="28" t="str">
        <x:v>надёжная общая ключевая молекула не установлена</x:v>
      </x:c>
      <x:c r="P943" s="28" t="str">
        <x:v>умами и солёный контраст</x:v>
      </x:c>
      <x:c r="Q943" s="28" t="str">
        <x:v>Сладость и землистость балансируются кислотой, солью, горечью и умами; жир усиливает ощущение округлости.</x:v>
      </x:c>
      <x:c r="R943" s="28" t="str">
        <x:v>минимальный</x:v>
      </x:c>
      <x:c r="S943" s="28" t="str">
        <x:v>плотная крахмалистая мякоть, образующая стабильное пюре Белок и жир требуют контроля воды: для жареной ароматики поверхность должна подсохнуть.</x:v>
      </x:c>
      <x:c r="T943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43" s="28" t="str">
        <x:v>Тыква баттернат имеет профиль «сладкий, сливочный, ореховый и карамельный».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43" s="28" t="str">
        <x:v>может стать приторной и тяжёлой без кислоты или специй; не использовать недозрелый плод</x:v>
      </x:c>
      <x:c r="W943" s="28" t="str">
        <x:v>сливочное масло, соевый соус или тимьян</x:v>
      </x:c>
      <x:c r="X943" s="28" t="str">
        <x:v>пюре, суп, запекание, крем, гарнир, соус или десертная разработка с бекон</x:v>
      </x:c>
      <x:c r="Y943" s="28" t="str">
        <x:v>еда, соусы/маринады</x:v>
      </x:c>
      <x:c r="Z943" s="28" t="str">
        <x:v>Средняя</x:v>
      </x:c>
      <x:c r="AA943" s="28" t="str">
        <x:v>Тезариус вкусов (Ники Сегнит)(1).pdf</x:v>
      </x:c>
      <x:c r="AB943" s="28" t="str">
        <x:v>Тезариус вкусов (Ники Сегнит)(1).pdf: 449, 609</x:v>
      </x:c>
      <x:c r="AC943" s="28" t="str">
        <x:v>развёрнутая пара/статья, стр. 449; развёрнутая пара/статья, стр. 609</x:v>
      </x:c>
      <x:c r="AD943" s="28" t="n">
        <x:v>1</x:v>
      </x:c>
      <x:c r="AE943" s="28" t="n">
        <x:v>2</x:v>
      </x:c>
      <x:c r="AF943" s="28" t="n">
        <x:f>IF(Z943="Высокая",3,IF(Z943="Средняя",2,1))+AD943*2+MIN(AE943,3)</x:f>
        <x:v>6</x:v>
      </x:c>
    </x:row>
    <x:row r="944" ht="64" customHeight="1">
      <x:c r="A944" s="28" t="str">
        <x:v>VEG-0943</x:v>
      </x:c>
      <x:c r="B944" s="28" t="str">
        <x:v>тыква баттернат</x:v>
      </x:c>
      <x:c r="C944" s="28" t="str">
        <x:v>Десерты и выпечка</x:v>
      </x:c>
      <x:c r="D944" s="28" t="str">
        <x:v>тыква баттернат</x:v>
      </x:c>
      <x:c r="E944" s="28" t="str">
        <x:v>butternut squash | Тыква баттернат | тыква баттернат</x:v>
      </x:c>
      <x:c r="F944" s="28" t="str">
        <x:v>Тыквенные</x:v>
      </x:c>
      <x:c r="G944" s="28" t="str">
        <x:v>голубой сыр</x:v>
      </x:c>
      <x:c r="H944" s="28" t="str">
        <x:v>blue cheese | Голубой сыр | голубой сыр</x:v>
      </x:c>
      <x:c r="I944" s="28" t="str">
        <x:v>Молочные продукты и сыры</x:v>
      </x:c>
      <x:c r="J944" s="28" t="str">
        <x:v>сладкий, сливочный, ореховый и карамельный</x:v>
      </x:c>
      <x:c r="K944" s="28" t="str">
        <x:v>молочный, умами, ферментированный</x:v>
      </x:c>
      <x:c r="L944" s="28" t="str">
        <x:v>лактоны, мальтол, норизопреноиды, фураны</x:v>
      </x:c>
      <x:c r="M944" s="28" t="str">
        <x:v>диацетил, жирные кислоты</x:v>
      </x:c>
      <x:c r="N944" s="28" t="str">
        <x:v>прямое пересечение семейств не подтверждено</x:v>
      </x:c>
      <x:c r="O944" s="28" t="str">
        <x:v>надёжная общая ключевая молекула не установлена</x:v>
      </x:c>
      <x:c r="P944" s="28" t="str">
        <x:v>жировая матрица</x:v>
      </x:c>
      <x:c r="Q944" s="28" t="str">
        <x:v>Сладость и землистость балансируются кислотой, солью, горечью и умами; жир усиливает ощущение округлости.</x:v>
      </x:c>
      <x:c r="R944" s="28" t="str">
        <x:v>минимальный</x:v>
      </x:c>
      <x:c r="S944" s="28" t="str">
        <x:v>плотная крахмалистая мякоть, образующая стабильное пюре Жировая фаза удерживает гидрофобные молекулы, но может сделать вкус тяжёлым.</x:v>
      </x:c>
      <x:c r="T944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44" s="28" t="str">
        <x:v>Тыква баттернат имеет профиль «сладкий, сливочный, ореховый и карамельный».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944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W944" s="28" t="str">
        <x:v>кислота, зелень или жареный орех</x:v>
      </x:c>
      <x:c r="X944" s="28" t="str">
        <x:v>пюре, суп, запекание, крем, гарнир, соус или десертная разработка с голубой сыр</x:v>
      </x:c>
      <x:c r="Y944" s="28" t="str">
        <x:v>десерты</x:v>
      </x:c>
      <x:c r="Z944" s="28" t="str">
        <x:v>Высокая</x:v>
      </x:c>
      <x:c r="AA944" s="28" t="str">
        <x:v>The Art &amp; Science of Foodpairing.pdf | Тезариус вкусов (Ники Сегнит)(1).pdf</x:v>
      </x:c>
      <x:c r="AB944" s="28" t="str">
        <x:v>Тезариус вкусов (Ники Сегнит)(1).pdf: 160, 610; The Art &amp; Science of Foodpairing.pdf: 165</x:v>
      </x:c>
      <x:c r="AC944" s="28" t="str">
        <x:v>прямая Classic pairing, стр. 165; развёрнутая пара/статья, стр. 160; развёрнутая пара/статья, стр. 610</x:v>
      </x:c>
      <x:c r="AD944" s="28" t="n">
        <x:v>2</x:v>
      </x:c>
      <x:c r="AE944" s="28" t="n">
        <x:v>3</x:v>
      </x:c>
      <x:c r="AF944" s="28" t="n">
        <x:f>IF(Z944="Высокая",3,IF(Z944="Средняя",2,1))+AD944*2+MIN(AE944,3)</x:f>
        <x:v>10</x:v>
      </x:c>
    </x:row>
    <x:row r="945" ht="64" customHeight="1">
      <x:c r="A945" s="28" t="str">
        <x:v>VEG-0944</x:v>
      </x:c>
      <x:c r="B945" s="28" t="str">
        <x:v>тыква баттернат</x:v>
      </x:c>
      <x:c r="C945" s="28" t="str">
        <x:v>Десерты и выпечка</x:v>
      </x:c>
      <x:c r="D945" s="28" t="str">
        <x:v>тыква баттернат</x:v>
      </x:c>
      <x:c r="E945" s="28" t="str">
        <x:v>boiled butternut squash</x:v>
      </x:c>
      <x:c r="F945" s="28" t="str">
        <x:v>Тыквенные</x:v>
      </x:c>
      <x:c r="G945" s="28" t="str">
        <x:v>груша</x:v>
      </x:c>
      <x:c r="H945" s="28" t="str">
        <x:v>pear</x:v>
      </x:c>
      <x:c r="I945" s="28" t="str">
        <x:v>Фрукты и ягоды</x:v>
      </x:c>
      <x:c r="J945" s="28" t="str">
        <x:v>сладкий, сливочный, ореховый и карамельный</x:v>
      </x:c>
      <x:c r="K945" s="28" t="str">
        <x:v>сладкий, фруктовый, цветочный</x:v>
      </x:c>
      <x:c r="L945" s="28" t="str">
        <x:v>лактоны, мальтол, норизопреноиды, фураны</x:v>
      </x:c>
      <x:c r="M945" s="28" t="str">
        <x:v>линалоол, эфиры</x:v>
      </x:c>
      <x:c r="N945" s="28" t="str">
        <x:v>сладкий</x:v>
      </x:c>
      <x:c r="O945" s="28" t="str">
        <x:v>надёжная общая ключевая молекула не установлена</x:v>
      </x:c>
      <x:c r="P945" s="28" t="str">
        <x:v>пересечение ароматических семейств; кислотно-сладкий баланс</x:v>
      </x:c>
      <x:c r="Q945" s="28" t="str">
        <x:v>Сладость и землистость балансируются кислотой, солью, горечью и умами; жир усиливает ощущение округлости.</x:v>
      </x:c>
      <x:c r="R945" s="28" t="str">
        <x:v>минимальный</x:v>
      </x:c>
      <x:c r="S945" s="28" t="str">
        <x:v>плотная крахмалистая мякоть, образующая стабильное пюре Водная кислая фаза усиливает свежесть, но может разжижать пюре и нарушать молочную эмульсию.</x:v>
      </x:c>
      <x:c r="T945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45" s="28" t="str">
        <x:v>Тыква баттернат имеет профиль «сладкий, сливочный, ореховый и карамельный».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945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W945" s="28" t="str">
        <x:v>цитрус, мёд или мягкая трава</x:v>
      </x:c>
      <x:c r="X945" s="28" t="str">
        <x:v>пюре, суп, запекание, крем, гарнир, соус или десертная разработка с груша</x:v>
      </x:c>
      <x:c r="Y945" s="28" t="str">
        <x:v>десерты</x:v>
      </x:c>
      <x:c r="Z945" s="28" t="str">
        <x:v>Средняя</x:v>
      </x:c>
      <x:c r="AA945" s="28" t="str">
        <x:v>The Art &amp; Science of Foodpairing.pdf</x:v>
      </x:c>
      <x:c r="AB945" s="28" t="str">
        <x:v>The Art &amp; Science of Foodpairing.pdf: 350</x:v>
      </x:c>
      <x:c r="AC945" s="28" t="str">
        <x:v>связь из pairing grid, стр. 350</x:v>
      </x:c>
      <x:c r="AD945" s="28" t="n">
        <x:v>1</x:v>
      </x:c>
      <x:c r="AE945" s="28" t="n">
        <x:v>1</x:v>
      </x:c>
      <x:c r="AF945" s="28" t="n">
        <x:f>IF(Z945="Высокая",3,IF(Z945="Средняя",2,1))+AD945*2+MIN(AE945,3)</x:f>
        <x:v>5</x:v>
      </x:c>
    </x:row>
    <x:row r="946" ht="64" customHeight="1">
      <x:c r="A946" s="28" t="str">
        <x:v>VEG-0945</x:v>
      </x:c>
      <x:c r="B946" s="28" t="str">
        <x:v>тыква баттернат</x:v>
      </x:c>
      <x:c r="C946" s="28" t="str">
        <x:v>Универсальные</x:v>
      </x:c>
      <x:c r="D946" s="28" t="str">
        <x:v>тыква баттернат</x:v>
      </x:c>
      <x:c r="E946" s="28" t="str">
        <x:v>boiled butternut squash</x:v>
      </x:c>
      <x:c r="F946" s="28" t="str">
        <x:v>Тыквенные</x:v>
      </x:c>
      <x:c r="G946" s="28" t="str">
        <x:v>жасмин</x:v>
      </x:c>
      <x:c r="H946" s="28" t="str">
        <x:v>Jasmine blossom</x:v>
      </x:c>
      <x:c r="I946" s="28" t="str">
        <x:v>Травы, цветы и листья</x:v>
      </x:c>
      <x:c r="J946" s="28" t="str">
        <x:v>сладкий, сливочный, ореховый и карамельный</x:v>
      </x:c>
      <x:c r="K946" s="28" t="str">
        <x:v>зелёный, цветочный и терпеновый</x:v>
      </x:c>
      <x:c r="L946" s="28" t="str">
        <x:v>лактоны, мальтол, норизопреноиды, фураны</x:v>
      </x:c>
      <x:c r="M946" s="28" t="str">
        <x:v>линалоол, терпены</x:v>
      </x:c>
      <x:c r="N946" s="28" t="str">
        <x:v>прямое пересечение семейств не подтверждено</x:v>
      </x:c>
      <x:c r="O946" s="28" t="str">
        <x:v>надёжная общая ключевая молекула не установлена</x:v>
      </x:c>
      <x:c r="P946" s="28" t="str">
        <x:v>сенсорная комплементарность</x:v>
      </x:c>
      <x:c r="Q946" s="28" t="str">
        <x:v>Сладость и землистость балансируются кислотой, солью, горечью и умами; жир усиливает ощущение округлости.</x:v>
      </x:c>
      <x:c r="R946" s="28" t="str">
        <x:v>минимальный</x:v>
      </x:c>
      <x:c r="S946" s="28" t="str">
        <x:v>плотная крахмалистая мякоть, образующая стабильное пюре</x:v>
      </x:c>
      <x:c r="T946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46" s="28" t="str">
        <x:v>Тыква баттернат имеет профиль «сладкий, сливочный, ореховый и карамельный».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946" s="28" t="str">
        <x:v>может стать приторной и тяжёлой без кислоты или специй; не использовать недозрелый плод; длительный нагрев уносит свежие терпены и зелёные альдегиды</x:v>
      </x:c>
      <x:c r="W946" s="28" t="str">
        <x:v>оливковое масло, лимон или сыр</x:v>
      </x:c>
      <x:c r="X946" s="28" t="str">
        <x:v>пюре, суп, запекание, крем, гарнир, соус или десертная разработка с жасмин</x:v>
      </x:c>
      <x:c r="Y946" s="28" t="str">
        <x:v>универсальное</x:v>
      </x:c>
      <x:c r="Z946" s="28" t="str">
        <x:v>Средняя</x:v>
      </x:c>
      <x:c r="AA946" s="28" t="str">
        <x:v>The Art &amp; Science of Foodpairing.pdf</x:v>
      </x:c>
      <x:c r="AB946" s="28" t="str">
        <x:v>The Art &amp; Science of Foodpairing.pdf: 210</x:v>
      </x:c>
      <x:c r="AC946" s="28" t="str">
        <x:v>связь из pairing grid, стр. 210</x:v>
      </x:c>
      <x:c r="AD946" s="28" t="n">
        <x:v>1</x:v>
      </x:c>
      <x:c r="AE946" s="28" t="n">
        <x:v>1</x:v>
      </x:c>
      <x:c r="AF946" s="28" t="n">
        <x:f>IF(Z946="Высокая",3,IF(Z946="Средняя",2,1))+AD946*2+MIN(AE946,3)</x:f>
        <x:v>5</x:v>
      </x:c>
    </x:row>
    <x:row r="947" ht="64" customHeight="1">
      <x:c r="A947" s="28" t="str">
        <x:v>VEG-0946</x:v>
      </x:c>
      <x:c r="B947" s="28" t="str">
        <x:v>тыква баттернат</x:v>
      </x:c>
      <x:c r="C947" s="28" t="str">
        <x:v>Универсальные</x:v>
      </x:c>
      <x:c r="D947" s="28" t="str">
        <x:v>тыква баттернат</x:v>
      </x:c>
      <x:c r="E947" s="28" t="str">
        <x:v>Тыква баттернат | тыква баттернат</x:v>
      </x:c>
      <x:c r="F947" s="28" t="str">
        <x:v>Тыквенные</x:v>
      </x:c>
      <x:c r="G947" s="28" t="str">
        <x:v>имбирь</x:v>
      </x:c>
      <x:c r="H947" s="28" t="str">
        <x:v>Имбирь | имбирь</x:v>
      </x:c>
      <x:c r="I947" s="28" t="str">
        <x:v>Специи</x:v>
      </x:c>
      <x:c r="J947" s="28" t="str">
        <x:v>сладкий, сливочный, ореховый и карамельный</x:v>
      </x:c>
      <x:c r="K947" s="28" t="str">
        <x:v>пряный, тёплый, цитрусовый</x:v>
      </x:c>
      <x:c r="L947" s="28" t="str">
        <x:v>лактоны, мальтол, норизопреноиды, фураны</x:v>
      </x:c>
      <x:c r="M947" s="28" t="str">
        <x:v>гингеролы, цитраль</x:v>
      </x:c>
      <x:c r="N947" s="28" t="str">
        <x:v>прямое пересечение семейств не подтверждено</x:v>
      </x:c>
      <x:c r="O947" s="28" t="str">
        <x:v>надёжная общая ключевая молекула не установлена</x:v>
      </x:c>
      <x:c r="P947" s="28" t="str">
        <x:v>сенсорная комплементарность</x:v>
      </x:c>
      <x:c r="Q947" s="28" t="str">
        <x:v>Сладость и землистость балансируются кислотой, солью, горечью и умами; жир усиливает ощущение округлости.</x:v>
      </x:c>
      <x:c r="R947" s="28" t="str">
        <x:v>минимальный</x:v>
      </x:c>
      <x:c r="S947" s="28" t="str">
        <x:v>плотная крахмалистая мякоть, образующая стабильное пюре</x:v>
      </x:c>
      <x:c r="T947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47" s="28" t="str">
        <x:v>Тыква баттернат имеет профиль «сладкий, сливочный, ореховый и карамельный».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47" s="28" t="str">
        <x:v>может стать приторной и тяжёлой без кислоты или специй; не использовать недозрелый плод</x:v>
      </x:c>
      <x:c r="W947" s="28" t="str">
        <x:v>цитрус, йогурт или мёд</x:v>
      </x:c>
      <x:c r="X947" s="28" t="str">
        <x:v>пюре, суп, запекание, крем, гарнир, соус или десертная разработка с имбирь</x:v>
      </x:c>
      <x:c r="Y947" s="28" t="str">
        <x:v>универсальное</x:v>
      </x:c>
      <x:c r="Z947" s="28" t="str">
        <x:v>Средняя</x:v>
      </x:c>
      <x:c r="AA947" s="28" t="str">
        <x:v>Тезариус вкусов (Ники Сегнит)(1).pdf</x:v>
      </x:c>
      <x:c r="AB947" s="28" t="str">
        <x:v>Тезариус вкусов (Ники Сегнит)(1).pdf: 610, 820</x:v>
      </x:c>
      <x:c r="AC947" s="28" t="str">
        <x:v>развёрнутая пара/статья, стр. 610; развёрнутая пара/статья, стр. 820</x:v>
      </x:c>
      <x:c r="AD947" s="28" t="n">
        <x:v>1</x:v>
      </x:c>
      <x:c r="AE947" s="28" t="n">
        <x:v>2</x:v>
      </x:c>
      <x:c r="AF947" s="28" t="n">
        <x:f>IF(Z947="Высокая",3,IF(Z947="Средняя",2,1))+AD947*2+MIN(AE947,3)</x:f>
        <x:v>6</x:v>
      </x:c>
    </x:row>
    <x:row r="948" ht="64" customHeight="1">
      <x:c r="A948" s="28" t="str">
        <x:v>VEG-0947</x:v>
      </x:c>
      <x:c r="B948" s="28" t="str">
        <x:v>тыква баттернат</x:v>
      </x:c>
      <x:c r="C948" s="28" t="str">
        <x:v>Десерты и выпечка</x:v>
      </x:c>
      <x:c r="D948" s="28" t="str">
        <x:v>тыква баттернат</x:v>
      </x:c>
      <x:c r="E948" s="28" t="str">
        <x:v>Тыква баттернат | тыква баттернат</x:v>
      </x:c>
      <x:c r="F948" s="28" t="str">
        <x:v>Тыквенные</x:v>
      </x:c>
      <x:c r="G948" s="28" t="str">
        <x:v>каштаны</x:v>
      </x:c>
      <x:c r="H948" s="28" t="str">
        <x:v>Каштаны | каштаны</x:v>
      </x:c>
      <x:c r="I948" s="28" t="str">
        <x:v>Орехи и семена</x:v>
      </x:c>
      <x:c r="J948" s="28" t="str">
        <x:v>сладкий, сливочный, ореховый и карамельный</x:v>
      </x:c>
      <x:c r="K948" s="28" t="str">
        <x:v>ореховый, жареный и жирный</x:v>
      </x:c>
      <x:c r="L948" s="28" t="str">
        <x:v>лактоны, мальтол, норизопреноиды, фураны</x:v>
      </x:c>
      <x:c r="M948" s="28" t="str">
        <x:v>альдегиды, пиразины, фураны</x:v>
      </x:c>
      <x:c r="N948" s="28" t="str">
        <x:v>ореховый</x:v>
      </x:c>
      <x:c r="O948" s="28" t="str">
        <x:v>фураны</x:v>
      </x:c>
      <x:c r="P948" s="28" t="str">
        <x:v>общие характерные молекулы; пересечение ароматических семейств</x:v>
      </x:c>
      <x:c r="Q948" s="28" t="str">
        <x:v>Сладость и землистость балансируются кислотой, солью, горечью и умами; жир усиливает ощущение округлости.</x:v>
      </x:c>
      <x:c r="R948" s="28" t="str">
        <x:v>минимальный</x:v>
      </x:c>
      <x:c r="S948" s="28" t="str">
        <x:v>плотная крахмалистая мякоть, образующая стабильное пюре</x:v>
      </x:c>
      <x:c r="T948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48" s="28" t="str">
        <x:v>Тыква баттернат имеет профиль «сладкий, сливочный, ореховый и карамельный». Партнёр «каштаны»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48" s="28" t="str">
        <x:v>может стать приторной и тяжёлой без кислоты или специй; не использовать недозрелый плод</x:v>
      </x:c>
      <x:c r="W948" s="28" t="str">
        <x:v>соль, кислота или ароматический жир</x:v>
      </x:c>
      <x:c r="X948" s="28" t="str">
        <x:v>пюре, суп, запекание, крем, гарнир, соус или десертная разработка с каштаны</x:v>
      </x:c>
      <x:c r="Y948" s="28" t="str">
        <x:v>десерты</x:v>
      </x:c>
      <x:c r="Z948" s="28" t="str">
        <x:v>Средняя</x:v>
      </x:c>
      <x:c r="AA948" s="28" t="str">
        <x:v>Тезариус вкусов (Ники Сегнит)(1).pdf</x:v>
      </x:c>
      <x:c r="AB948" s="28" t="str">
        <x:v>Тезариус вкусов (Ники Сегнит)(1).pdf: 610, 620</x:v>
      </x:c>
      <x:c r="AC948" s="28" t="str">
        <x:v>развёрнутая пара/статья, стр. 610; развёрнутая пара/статья, стр. 620</x:v>
      </x:c>
      <x:c r="AD948" s="28" t="n">
        <x:v>1</x:v>
      </x:c>
      <x:c r="AE948" s="28" t="n">
        <x:v>2</x:v>
      </x:c>
      <x:c r="AF948" s="28" t="n">
        <x:f>IF(Z948="Высокая",3,IF(Z948="Средняя",2,1))+AD948*2+MIN(AE948,3)</x:f>
        <x:v>6</x:v>
      </x:c>
    </x:row>
    <x:row r="949" ht="64" customHeight="1">
      <x:c r="A949" s="28" t="str">
        <x:v>VEG-0948</x:v>
      </x:c>
      <x:c r="B949" s="28" t="str">
        <x:v>тыква баттернат</x:v>
      </x:c>
      <x:c r="C949" s="28" t="str">
        <x:v>Десерты и выпечка</x:v>
      </x:c>
      <x:c r="D949" s="28" t="str">
        <x:v>тыква баттернат</x:v>
      </x:c>
      <x:c r="E949" s="28" t="str">
        <x:v>Тыква баттернат | тыква баттернат</x:v>
      </x:c>
      <x:c r="F949" s="28" t="str">
        <x:v>Тыквенные</x:v>
      </x:c>
      <x:c r="G949" s="28" t="str">
        <x:v>козий сыр</x:v>
      </x:c>
      <x:c r="H949" s="28" t="str">
        <x:v>Козий сыр | козий сыр</x:v>
      </x:c>
      <x:c r="I949" s="28" t="str">
        <x:v>Молочные продукты и сыры</x:v>
      </x:c>
      <x:c r="J949" s="28" t="str">
        <x:v>сладкий, сливочный, ореховый и карамельный</x:v>
      </x:c>
      <x:c r="K949" s="28" t="str">
        <x:v>молочный, умами, ферментированный</x:v>
      </x:c>
      <x:c r="L949" s="28" t="str">
        <x:v>лактоны, мальтол, норизопреноиды, фураны</x:v>
      </x:c>
      <x:c r="M949" s="28" t="str">
        <x:v>диацетил, жирные кислоты</x:v>
      </x:c>
      <x:c r="N949" s="28" t="str">
        <x:v>прямое пересечение семейств не подтверждено</x:v>
      </x:c>
      <x:c r="O949" s="28" t="str">
        <x:v>надёжная общая ключевая молекула не установлена</x:v>
      </x:c>
      <x:c r="P949" s="28" t="str">
        <x:v>жировая матрица</x:v>
      </x:c>
      <x:c r="Q949" s="28" t="str">
        <x:v>Сладость и землистость балансируются кислотой, солью, горечью и умами; жир усиливает ощущение округлости.</x:v>
      </x:c>
      <x:c r="R949" s="28" t="str">
        <x:v>минимальный</x:v>
      </x:c>
      <x:c r="S949" s="28" t="str">
        <x:v>плотная крахмалистая мякоть, образующая стабильное пюре Жировая фаза удерживает гидрофобные молекулы, но может сделать вкус тяжёлым.</x:v>
      </x:c>
      <x:c r="T949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49" s="28" t="str">
        <x:v>Тыква баттернат имеет профиль «сладкий, сливочный, ореховый и карамельный».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949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W949" s="28" t="str">
        <x:v>кислота, зелень или жареный орех</x:v>
      </x:c>
      <x:c r="X949" s="28" t="str">
        <x:v>пюре, суп, запекание, крем, гарнир, соус или десертная разработка с козий сыр</x:v>
      </x:c>
      <x:c r="Y949" s="28" t="str">
        <x:v>десерты</x:v>
      </x:c>
      <x:c r="Z949" s="28" t="str">
        <x:v>Средняя</x:v>
      </x:c>
      <x:c r="AA949" s="28" t="str">
        <x:v>Тезариус вкусов (Ники Сегнит)(1).pdf</x:v>
      </x:c>
      <x:c r="AB949" s="28" t="str">
        <x:v>Тезариус вкусов (Ники Сегнит)(1).pdf: 143, 610</x:v>
      </x:c>
      <x:c r="AC949" s="28" t="str">
        <x:v>развёрнутая пара/статья, стр. 143; развёрнутая пара/статья, стр. 610</x:v>
      </x:c>
      <x:c r="AD949" s="28" t="n">
        <x:v>1</x:v>
      </x:c>
      <x:c r="AE949" s="28" t="n">
        <x:v>2</x:v>
      </x:c>
      <x:c r="AF949" s="28" t="n">
        <x:f>IF(Z949="Высокая",3,IF(Z949="Средняя",2,1))+AD949*2+MIN(AE949,3)</x:f>
        <x:v>6</x:v>
      </x:c>
    </x:row>
    <x:row r="950" ht="64" customHeight="1">
      <x:c r="A950" s="28" t="str">
        <x:v>VEG-0949</x:v>
      </x:c>
      <x:c r="B950" s="28" t="str">
        <x:v>тыква баттернат</x:v>
      </x:c>
      <x:c r="C950" s="28" t="str">
        <x:v>Десерты и выпечка</x:v>
      </x:c>
      <x:c r="D950" s="28" t="str">
        <x:v>тыква баттернат</x:v>
      </x:c>
      <x:c r="E950" s="28" t="str">
        <x:v>boiled butternut squash</x:v>
      </x:c>
      <x:c r="F950" s="28" t="str">
        <x:v>Тыквенные</x:v>
      </x:c>
      <x:c r="G950" s="28" t="str">
        <x:v>козий сыр и молоко</x:v>
      </x:c>
      <x:c r="H950" s="28" t="str">
        <x:v>goats' cheese and milk</x:v>
      </x:c>
      <x:c r="I950" s="28" t="str">
        <x:v>Молочные продукты и сыры</x:v>
      </x:c>
      <x:c r="J950" s="28" t="str">
        <x:v>сладкий, сливочный, ореховый и карамельный</x:v>
      </x:c>
      <x:c r="K950" s="28" t="str">
        <x:v>молочный, умами, ферментированный</x:v>
      </x:c>
      <x:c r="L950" s="28" t="str">
        <x:v>лактоны, мальтол, норизопреноиды, фураны</x:v>
      </x:c>
      <x:c r="M950" s="28" t="str">
        <x:v>диацетил, жирные кислоты</x:v>
      </x:c>
      <x:c r="N950" s="28" t="str">
        <x:v>прямое пересечение семейств не подтверждено</x:v>
      </x:c>
      <x:c r="O950" s="28" t="str">
        <x:v>надёжная общая ключевая молекула не установлена</x:v>
      </x:c>
      <x:c r="P950" s="28" t="str">
        <x:v>жировая матрица</x:v>
      </x:c>
      <x:c r="Q950" s="28" t="str">
        <x:v>Сладость и землистость балансируются кислотой, солью, горечью и умами; жир усиливает ощущение округлости.</x:v>
      </x:c>
      <x:c r="R950" s="28" t="str">
        <x:v>минимальный</x:v>
      </x:c>
      <x:c r="S950" s="28" t="str">
        <x:v>плотная крахмалистая мякоть, образующая стабильное пюре Жировая фаза удерживает гидрофобные молекулы, но может сделать вкус тяжёлым.</x:v>
      </x:c>
      <x:c r="T950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0" s="28" t="str">
        <x:v>Тыква баттернат имеет профиль «сладкий, сливочный, ореховый и карамельный». Партнёр «козий сыр и молоко»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V950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W950" s="28" t="str">
        <x:v>кислота, зелень или жареный орех</x:v>
      </x:c>
      <x:c r="X950" s="28" t="str">
        <x:v>пюре, суп, запекание, крем, гарнир, соус или десертная разработка с козий сыр и молоко</x:v>
      </x:c>
      <x:c r="Y950" s="28" t="str">
        <x:v>десерты</x:v>
      </x:c>
      <x:c r="Z950" s="28" t="str">
        <x:v>Средняя</x:v>
      </x:c>
      <x:c r="AA950" s="28" t="str">
        <x:v>The Art &amp; Science of Foodpairing.pdf</x:v>
      </x:c>
      <x:c r="AB950" s="28" t="str">
        <x:v>The Art &amp; Science of Foodpairing.pdf: 200</x:v>
      </x:c>
      <x:c r="AC950" s="28" t="str">
        <x:v>связь из pairing grid, стр. 200</x:v>
      </x:c>
      <x:c r="AD950" s="28" t="n">
        <x:v>1</x:v>
      </x:c>
      <x:c r="AE950" s="28" t="n">
        <x:v>1</x:v>
      </x:c>
      <x:c r="AF950" s="28" t="n">
        <x:f>IF(Z950="Высокая",3,IF(Z950="Средняя",2,1))+AD950*2+MIN(AE950,3)</x:f>
        <x:v>5</x:v>
      </x:c>
    </x:row>
    <x:row r="951" ht="64" customHeight="1">
      <x:c r="A951" s="28" t="str">
        <x:v>VEG-0950</x:v>
      </x:c>
      <x:c r="B951" s="28" t="str">
        <x:v>тыква баттернат</x:v>
      </x:c>
      <x:c r="C951" s="28" t="str">
        <x:v>Универсальные</x:v>
      </x:c>
      <x:c r="D951" s="28" t="str">
        <x:v>тыква баттернат</x:v>
      </x:c>
      <x:c r="E951" s="28" t="str">
        <x:v>boiled butternut squash</x:v>
      </x:c>
      <x:c r="F951" s="28" t="str">
        <x:v>Тыквенные</x:v>
      </x:c>
      <x:c r="G951" s="28" t="str">
        <x:v>кокос</x:v>
      </x:c>
      <x:c r="H951" s="28" t="str">
        <x:v>coconut</x:v>
      </x:c>
      <x:c r="I951" s="28" t="str">
        <x:v>Прочее</x:v>
      </x:c>
      <x:c r="J951" s="28" t="str">
        <x:v>сладкий, сливочный, ореховый и карамельный</x:v>
      </x:c>
      <x:c r="K951" s="28" t="str">
        <x:v>лактонный, сливочный</x:v>
      </x:c>
      <x:c r="L951" s="28" t="str">
        <x:v>лактоны, мальтол, норизопреноиды, фураны</x:v>
      </x:c>
      <x:c r="M951" s="28" t="str">
        <x:v>лактоны</x:v>
      </x:c>
      <x:c r="N951" s="28" t="str">
        <x:v>сливочный</x:v>
      </x:c>
      <x:c r="O951" s="28" t="str">
        <x:v>лактоны</x:v>
      </x:c>
      <x:c r="P951" s="28" t="str">
        <x:v>общие характерные молекулы; пересечение ароматических семейств</x:v>
      </x:c>
      <x:c r="Q951" s="28" t="str">
        <x:v>Сладость и землистость балансируются кислотой, солью, горечью и умами; жир усиливает ощущение округлости.</x:v>
      </x:c>
      <x:c r="R951" s="28" t="str">
        <x:v>минимальный</x:v>
      </x:c>
      <x:c r="S951" s="28" t="str">
        <x:v>плотная крахмалистая мякоть, образующая стабильное пюре</x:v>
      </x:c>
      <x:c r="T951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1" s="28" t="str">
        <x:v>Тыква баттернат имеет профиль «сладкий, сливочный, ореховый и карамельный». Партнёр «кокос» относится к группе «Прочее» и даёт лактонный, сливочный. Вероятный молекулярный мост: лактоны.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V951" s="28" t="str">
        <x:v>может стать приторной и тяжёлой без кислоты или специй; не использовать недозрелый плод</x:v>
      </x:c>
      <x:c r="W951" s="28" t="str">
        <x:v>соль, кислота или ароматический жир</x:v>
      </x:c>
      <x:c r="X951" s="28" t="str">
        <x:v>пюре, суп, запекание, крем, гарнир, соус или десертная разработка с кокос</x:v>
      </x:c>
      <x:c r="Y951" s="28" t="str">
        <x:v>универсальное</x:v>
      </x:c>
      <x:c r="Z951" s="28" t="str">
        <x:v>Средняя</x:v>
      </x:c>
      <x:c r="AA951" s="28" t="str">
        <x:v>The Art &amp; Science of Foodpairing.pdf</x:v>
      </x:c>
      <x:c r="AB951" s="28" t="str">
        <x:v>The Art &amp; Science of Foodpairing.pdf: 135</x:v>
      </x:c>
      <x:c r="AC951" s="28" t="str">
        <x:v>связь из pairing grid, стр. 135</x:v>
      </x:c>
      <x:c r="AD951" s="28" t="n">
        <x:v>1</x:v>
      </x:c>
      <x:c r="AE951" s="28" t="n">
        <x:v>1</x:v>
      </x:c>
      <x:c r="AF951" s="28" t="n">
        <x:f>IF(Z951="Высокая",3,IF(Z951="Средняя",2,1))+AD951*2+MIN(AE951,3)</x:f>
        <x:v>5</x:v>
      </x:c>
    </x:row>
    <x:row r="952" ht="64" customHeight="1">
      <x:c r="A952" s="28" t="str">
        <x:v>VEG-0951</x:v>
      </x:c>
      <x:c r="B952" s="28" t="str">
        <x:v>тыква баттернат</x:v>
      </x:c>
      <x:c r="C952" s="28" t="str">
        <x:v>Универсальные</x:v>
      </x:c>
      <x:c r="D952" s="28" t="str">
        <x:v>тыква баттернат</x:v>
      </x:c>
      <x:c r="E952" s="28" t="str">
        <x:v>Тыква баттернат | тыква баттернат</x:v>
      </x:c>
      <x:c r="F952" s="28" t="str">
        <x:v>Тыквенные</x:v>
      </x:c>
      <x:c r="G952" s="28" t="str">
        <x:v>корица</x:v>
      </x:c>
      <x:c r="H952" s="28" t="str">
        <x:v>Корица | корица</x:v>
      </x:c>
      <x:c r="I952" s="28" t="str">
        <x:v>Специи</x:v>
      </x:c>
      <x:c r="J952" s="28" t="str">
        <x:v>сладкий, сливочный, ореховый и карамельный</x:v>
      </x:c>
      <x:c r="K952" s="28" t="str">
        <x:v>древесный, пряный, сладкий</x:v>
      </x:c>
      <x:c r="L952" s="28" t="str">
        <x:v>лактоны, мальтол, норизопреноиды, фураны</x:v>
      </x:c>
      <x:c r="M952" s="28" t="str">
        <x:v>циннамальдегид, эвгенол</x:v>
      </x:c>
      <x:c r="N952" s="28" t="str">
        <x:v>сладкий</x:v>
      </x:c>
      <x:c r="O952" s="28" t="str">
        <x:v>надёжная общая ключевая молекула не установлена</x:v>
      </x:c>
      <x:c r="P952" s="28" t="str">
        <x:v>пересечение ароматических семейств</x:v>
      </x:c>
      <x:c r="Q952" s="28" t="str">
        <x:v>Сладость и землистость балансируются кислотой, солью, горечью и умами; жир усиливает ощущение округлости.</x:v>
      </x:c>
      <x:c r="R952" s="28" t="str">
        <x:v>минимальный</x:v>
      </x:c>
      <x:c r="S952" s="28" t="str">
        <x:v>плотная крахмалистая мякоть, образующая стабильное пюре</x:v>
      </x:c>
      <x:c r="T952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2" s="28" t="str">
        <x:v>Тыква баттернат имеет профиль «сладкий, сливочный, ореховый и карамельный».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52" s="28" t="str">
        <x:v>может стать приторной и тяжёлой без кислоты или специй; не использовать недозрелый плод</x:v>
      </x:c>
      <x:c r="W952" s="28" t="str">
        <x:v>цитрус, йогурт или мёд</x:v>
      </x:c>
      <x:c r="X952" s="28" t="str">
        <x:v>пюре, суп, запекание, крем, гарнир, соус или десертная разработка с корица</x:v>
      </x:c>
      <x:c r="Y952" s="28" t="str">
        <x:v>универсальное</x:v>
      </x:c>
      <x:c r="Z952" s="28" t="str">
        <x:v>Средняя</x:v>
      </x:c>
      <x:c r="AA952" s="28" t="str">
        <x:v>Тезариус вкусов (Ники Сегнит)(1).pdf</x:v>
      </x:c>
      <x:c r="AB952" s="28" t="str">
        <x:v>Тезариус вкусов (Ники Сегнит)(1).pdf: 580, 611</x:v>
      </x:c>
      <x:c r="AC952" s="28" t="str">
        <x:v>развёрнутая пара/статья, стр. 580; развёрнутая пара/статья, стр. 611</x:v>
      </x:c>
      <x:c r="AD952" s="28" t="n">
        <x:v>1</x:v>
      </x:c>
      <x:c r="AE952" s="28" t="n">
        <x:v>2</x:v>
      </x:c>
      <x:c r="AF952" s="28" t="n">
        <x:f>IF(Z952="Высокая",3,IF(Z952="Средняя",2,1))+AD952*2+MIN(AE952,3)</x:f>
        <x:v>6</x:v>
      </x:c>
    </x:row>
    <x:row r="953" ht="64" customHeight="1">
      <x:c r="A953" s="28" t="str">
        <x:v>VEG-0952</x:v>
      </x:c>
      <x:c r="B953" s="28" t="str">
        <x:v>тыква баттернат</x:v>
      </x:c>
      <x:c r="C953" s="28" t="str">
        <x:v>Универсальные</x:v>
      </x:c>
      <x:c r="D953" s="28" t="str">
        <x:v>тыква баттернат</x:v>
      </x:c>
      <x:c r="E953" s="28" t="str">
        <x:v>boiled butternut squash</x:v>
      </x:c>
      <x:c r="F953" s="28" t="str">
        <x:v>Тыквенные</x:v>
      </x:c>
      <x:c r="G953" s="28" t="str">
        <x:v>корица и кассия</x:v>
      </x:c>
      <x:c r="H953" s="28" t="str">
        <x:v>cinnaman and cassia bark</x:v>
      </x:c>
      <x:c r="I953" s="28" t="str">
        <x:v>Специи</x:v>
      </x:c>
      <x:c r="J953" s="28" t="str">
        <x:v>сладкий, сливочный, ореховый и карамельный</x:v>
      </x:c>
      <x:c r="K953" s="28" t="str">
        <x:v>древесный, пряный, сладкий</x:v>
      </x:c>
      <x:c r="L953" s="28" t="str">
        <x:v>лактоны, мальтол, норизопреноиды, фураны</x:v>
      </x:c>
      <x:c r="M953" s="28" t="str">
        <x:v>циннамальдегид, эвгенол</x:v>
      </x:c>
      <x:c r="N953" s="28" t="str">
        <x:v>сладкий</x:v>
      </x:c>
      <x:c r="O953" s="28" t="str">
        <x:v>надёжная общая ключевая молекула не установлена</x:v>
      </x:c>
      <x:c r="P953" s="28" t="str">
        <x:v>пересечение ароматических семейств</x:v>
      </x:c>
      <x:c r="Q953" s="28" t="str">
        <x:v>Сладость и землистость балансируются кислотой, солью, горечью и умами; жир усиливает ощущение округлости.</x:v>
      </x:c>
      <x:c r="R953" s="28" t="str">
        <x:v>минимальный</x:v>
      </x:c>
      <x:c r="S953" s="28" t="str">
        <x:v>плотная крахмалистая мякоть, образующая стабильное пюре</x:v>
      </x:c>
      <x:c r="T953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3" s="28" t="str">
        <x:v>Тыква баттернат имеет профиль «сладкий, сливочный, ореховый и карамельный».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53" s="28" t="str">
        <x:v>может стать приторной и тяжёлой без кислоты или специй; не использовать недозрелый плод</x:v>
      </x:c>
      <x:c r="W953" s="28" t="str">
        <x:v>цитрус, йогурт или мёд</x:v>
      </x:c>
      <x:c r="X953" s="28" t="str">
        <x:v>пюре, суп, запекание, крем, гарнир, соус или десертная разработка с корица и кассия</x:v>
      </x:c>
      <x:c r="Y953" s="28" t="str">
        <x:v>универсальное</x:v>
      </x:c>
      <x:c r="Z953" s="28" t="str">
        <x:v>Средняя</x:v>
      </x:c>
      <x:c r="AA953" s="28" t="str">
        <x:v>The Art &amp; Science of Foodpairing.pdf</x:v>
      </x:c>
      <x:c r="AB953" s="28" t="str">
        <x:v>The Art &amp; Science of Foodpairing.pdf: 130</x:v>
      </x:c>
      <x:c r="AC953" s="28" t="str">
        <x:v>связь из pairing grid, стр. 130</x:v>
      </x:c>
      <x:c r="AD953" s="28" t="n">
        <x:v>1</x:v>
      </x:c>
      <x:c r="AE953" s="28" t="n">
        <x:v>1</x:v>
      </x:c>
      <x:c r="AF953" s="28" t="n">
        <x:f>IF(Z953="Высокая",3,IF(Z953="Средняя",2,1))+AD953*2+MIN(AE953,3)</x:f>
        <x:v>5</x:v>
      </x:c>
    </x:row>
    <x:row r="954" ht="64" customHeight="1">
      <x:c r="A954" s="28" t="str">
        <x:v>VEG-0953</x:v>
      </x:c>
      <x:c r="B954" s="28" t="str">
        <x:v>тыква баттернат</x:v>
      </x:c>
      <x:c r="C954" s="28" t="str">
        <x:v>Десерты и выпечка</x:v>
      </x:c>
      <x:c r="D954" s="28" t="str">
        <x:v>тыква баттернат</x:v>
      </x:c>
      <x:c r="E954" s="28" t="str">
        <x:v>boiled butternut squash</x:v>
      </x:c>
      <x:c r="F954" s="28" t="str">
        <x:v>Тыквенные</x:v>
      </x:c>
      <x:c r="G954" s="28" t="str">
        <x:v>кунжут, халва и тахини</x:v>
      </x:c>
      <x:c r="H954" s="28" t="str">
        <x:v>sesame seeds, halva and tahini</x:v>
      </x:c>
      <x:c r="I954" s="28" t="str">
        <x:v>Орехи и семена</x:v>
      </x:c>
      <x:c r="J954" s="28" t="str">
        <x:v>сладкий, сливочный, ореховый и карамельный</x:v>
      </x:c>
      <x:c r="K954" s="28" t="str">
        <x:v>ореховый, жареный и жирный</x:v>
      </x:c>
      <x:c r="L954" s="28" t="str">
        <x:v>лактоны, мальтол, норизопреноиды, фураны</x:v>
      </x:c>
      <x:c r="M954" s="28" t="str">
        <x:v>альдегиды, пиразины, фураны</x:v>
      </x:c>
      <x:c r="N954" s="28" t="str">
        <x:v>ореховый</x:v>
      </x:c>
      <x:c r="O954" s="28" t="str">
        <x:v>фураны</x:v>
      </x:c>
      <x:c r="P954" s="28" t="str">
        <x:v>общие характерные молекулы; пересечение ароматических семейств</x:v>
      </x:c>
      <x:c r="Q954" s="28" t="str">
        <x:v>Сладость и землистость балансируются кислотой, солью, горечью и умами; жир усиливает ощущение округлости.</x:v>
      </x:c>
      <x:c r="R954" s="28" t="str">
        <x:v>минимальный</x:v>
      </x:c>
      <x:c r="S954" s="28" t="str">
        <x:v>плотная крахмалистая мякоть, образующая стабильное пюре</x:v>
      </x:c>
      <x:c r="T954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4" s="28" t="str">
        <x:v>Тыква баттернат имеет профиль «сладкий, сливочный, ореховый и карамельный». Партнёр «кунжут, халва и тахини»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54" s="28" t="str">
        <x:v>может стать приторной и тяжёлой без кислоты или специй; не использовать недозрелый плод</x:v>
      </x:c>
      <x:c r="W954" s="28" t="str">
        <x:v>соль, кислота или ароматический жир</x:v>
      </x:c>
      <x:c r="X954" s="28" t="str">
        <x:v>пюре, суп, запекание, крем, гарнир, соус или десертная разработка с кунжут, халва и тахини</x:v>
      </x:c>
      <x:c r="Y954" s="28" t="str">
        <x:v>десерты</x:v>
      </x:c>
      <x:c r="Z954" s="28" t="str">
        <x:v>Средняя</x:v>
      </x:c>
      <x:c r="AA954" s="28" t="str">
        <x:v>The Art &amp; Science of Foodpairing.pdf</x:v>
      </x:c>
      <x:c r="AB954" s="28" t="str">
        <x:v>The Art &amp; Science of Foodpairing.pdf: 308</x:v>
      </x:c>
      <x:c r="AC954" s="28" t="str">
        <x:v>связь из pairing grid, стр. 308</x:v>
      </x:c>
      <x:c r="AD954" s="28" t="n">
        <x:v>1</x:v>
      </x:c>
      <x:c r="AE954" s="28" t="n">
        <x:v>1</x:v>
      </x:c>
      <x:c r="AF954" s="28" t="n">
        <x:f>IF(Z954="Высокая",3,IF(Z954="Средняя",2,1))+AD954*2+MIN(AE954,3)</x:f>
        <x:v>5</x:v>
      </x:c>
    </x:row>
    <x:row r="955" ht="64" customHeight="1">
      <x:c r="A955" s="28" t="str">
        <x:v>VEG-0954</x:v>
      </x:c>
      <x:c r="B955" s="28" t="str">
        <x:v>тыква баттернат</x:v>
      </x:c>
      <x:c r="C955" s="28" t="str">
        <x:v>Десерты и выпечка</x:v>
      </x:c>
      <x:c r="D955" s="28" t="str">
        <x:v>тыква баттернат</x:v>
      </x:c>
      <x:c r="E955" s="28" t="str">
        <x:v>Тыква баттернат | тыква баттернат</x:v>
      </x:c>
      <x:c r="F955" s="28" t="str">
        <x:v>Тыквенные</x:v>
      </x:c>
      <x:c r="G955" s="28" t="str">
        <x:v>лайм</x:v>
      </x:c>
      <x:c r="H955" s="28" t="str">
        <x:v>Лайм | лайм</x:v>
      </x:c>
      <x:c r="I955" s="28" t="str">
        <x:v>Фрукты и ягоды</x:v>
      </x:c>
      <x:c r="J955" s="28" t="str">
        <x:v>сладкий, сливочный, ореховый и карамельный</x:v>
      </x:c>
      <x:c r="K955" s="28" t="str">
        <x:v>зелёный, кислый, цитрусовый</x:v>
      </x:c>
      <x:c r="L955" s="28" t="str">
        <x:v>лактоны, мальтол, норизопреноиды, фураны</x:v>
      </x:c>
      <x:c r="M955" s="28" t="str">
        <x:v>лимонен, цитраль</x:v>
      </x:c>
      <x:c r="N955" s="28" t="str">
        <x:v>прямое пересечение семейств не подтверждено</x:v>
      </x:c>
      <x:c r="O955" s="28" t="str">
        <x:v>надёжная общая ключевая молекула не установлена</x:v>
      </x:c>
      <x:c r="P955" s="28" t="str">
        <x:v>кислотно-сладкий баланс</x:v>
      </x:c>
      <x:c r="Q955" s="28" t="str">
        <x:v>Сладость и землистость балансируются кислотой, солью, горечью и умами; жир усиливает ощущение округлости.</x:v>
      </x:c>
      <x:c r="R955" s="28" t="str">
        <x:v>минимальный</x:v>
      </x:c>
      <x:c r="S955" s="28" t="str">
        <x:v>плотная крахмалистая мякоть, образующая стабильное пюре Водная кислая фаза усиливает свежесть, но может разжижать пюре и нарушать молочную эмульсию.</x:v>
      </x:c>
      <x:c r="T955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5" s="28" t="str">
        <x:v>Тыква баттернат имеет профиль «сладкий, сливочный, ореховый и карамельный». Партнёр «лайм» относится к группе «Фрукты и ягоды» и даёт зелёный, кислый,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955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W955" s="28" t="str">
        <x:v>цитрус, мёд или мягкая трава</x:v>
      </x:c>
      <x:c r="X955" s="28" t="str">
        <x:v>пюре, суп, запекание, крем, гарнир, соус или десертная разработка с лайм</x:v>
      </x:c>
      <x:c r="Y955" s="28" t="str">
        <x:v>десерты</x:v>
      </x:c>
      <x:c r="Z955" s="28" t="str">
        <x:v>Средняя</x:v>
      </x:c>
      <x:c r="AA955" s="28" t="str">
        <x:v>Тезариус вкусов (Ники Сегнит)(1).pdf</x:v>
      </x:c>
      <x:c r="AB955" s="28" t="str">
        <x:v>Тезариус вкусов (Ники Сегнит)(1).pdf: 611, 797</x:v>
      </x:c>
      <x:c r="AC955" s="28" t="str">
        <x:v>развёрнутая пара/статья, стр. 611; развёрнутая пара/статья, стр. 797</x:v>
      </x:c>
      <x:c r="AD955" s="28" t="n">
        <x:v>1</x:v>
      </x:c>
      <x:c r="AE955" s="28" t="n">
        <x:v>2</x:v>
      </x:c>
      <x:c r="AF955" s="28" t="n">
        <x:f>IF(Z955="Высокая",3,IF(Z955="Средняя",2,1))+AD955*2+MIN(AE955,3)</x:f>
        <x:v>6</x:v>
      </x:c>
    </x:row>
    <x:row r="956" ht="64" customHeight="1">
      <x:c r="A956" s="28" t="str">
        <x:v>VEG-0955</x:v>
      </x:c>
      <x:c r="B956" s="28" t="str">
        <x:v>тыква баттернат</x:v>
      </x:c>
      <x:c r="C956" s="28" t="str">
        <x:v>Десерты и выпечка</x:v>
      </x:c>
      <x:c r="D956" s="28" t="str">
        <x:v>тыква баттернат</x:v>
      </x:c>
      <x:c r="E956" s="28" t="str">
        <x:v>Тыква баттернат | тыква баттернат</x:v>
      </x:c>
      <x:c r="F956" s="28" t="str">
        <x:v>Тыквенные</x:v>
      </x:c>
      <x:c r="G956" s="28" t="str">
        <x:v>миндаль</x:v>
      </x:c>
      <x:c r="H956" s="28" t="str">
        <x:v>Миндаль | миндаль</x:v>
      </x:c>
      <x:c r="I956" s="28" t="str">
        <x:v>Орехи и семена</x:v>
      </x:c>
      <x:c r="J956" s="28" t="str">
        <x:v>сладкий, сливочный, ореховый и карамельный</x:v>
      </x:c>
      <x:c r="K956" s="28" t="str">
        <x:v>жареный, миндальный, ореховый</x:v>
      </x:c>
      <x:c r="L956" s="28" t="str">
        <x:v>лактоны, мальтол, норизопреноиды, фураны</x:v>
      </x:c>
      <x:c r="M956" s="28" t="str">
        <x:v>бензальдегид, пиразины</x:v>
      </x:c>
      <x:c r="N956" s="28" t="str">
        <x:v>ореховый</x:v>
      </x:c>
      <x:c r="O956" s="28" t="str">
        <x:v>надёжная общая ключевая молекула не установлена</x:v>
      </x:c>
      <x:c r="P956" s="28" t="str">
        <x:v>пересечение ароматических семейств</x:v>
      </x:c>
      <x:c r="Q956" s="28" t="str">
        <x:v>Сладость и землистость балансируются кислотой, солью, горечью и умами; жир усиливает ощущение округлости.</x:v>
      </x:c>
      <x:c r="R956" s="28" t="str">
        <x:v>минимальный</x:v>
      </x:c>
      <x:c r="S956" s="28" t="str">
        <x:v>плотная крахмалистая мякоть, образующая стабильное пюре</x:v>
      </x:c>
      <x:c r="T956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6" s="28" t="str">
        <x:v>Тыква баттернат имеет профиль «сладкий, сливочный, ореховый и карамельный». Партнёр «миндаль» относится к группе «Орехи и семена» и даёт жареный, миндальный,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56" s="28" t="str">
        <x:v>может стать приторной и тяжёлой без кислоты или специй; не использовать недозрелый плод</x:v>
      </x:c>
      <x:c r="W956" s="28" t="str">
        <x:v>соль, кислота или ароматический жир</x:v>
      </x:c>
      <x:c r="X956" s="28" t="str">
        <x:v>пюре, суп, запекание, крем, гарнир, соус или десертная разработка с миндаль</x:v>
      </x:c>
      <x:c r="Y956" s="28" t="str">
        <x:v>десерты</x:v>
      </x:c>
      <x:c r="Z956" s="28" t="str">
        <x:v>Средняя</x:v>
      </x:c>
      <x:c r="AA956" s="28" t="str">
        <x:v>Тезариус вкусов (Ники Сегнит)(1).pdf</x:v>
      </x:c>
      <x:c r="AB956" s="28" t="str">
        <x:v>Тезариус вкусов (Ники Сегнит)(1).pdf: 611, 648</x:v>
      </x:c>
      <x:c r="AC956" s="28" t="str">
        <x:v>развёрнутая пара/статья, стр. 611; развёрнутая пара/статья, стр. 648</x:v>
      </x:c>
      <x:c r="AD956" s="28" t="n">
        <x:v>1</x:v>
      </x:c>
      <x:c r="AE956" s="28" t="n">
        <x:v>2</x:v>
      </x:c>
      <x:c r="AF956" s="28" t="n">
        <x:f>IF(Z956="Высокая",3,IF(Z956="Средняя",2,1))+AD956*2+MIN(AE956,3)</x:f>
        <x:v>6</x:v>
      </x:c>
    </x:row>
    <x:row r="957" ht="64" customHeight="1">
      <x:c r="A957" s="28" t="str">
        <x:v>VEG-0956</x:v>
      </x:c>
      <x:c r="B957" s="28" t="str">
        <x:v>тыква баттернат</x:v>
      </x:c>
      <x:c r="C957" s="28" t="str">
        <x:v>Еда и соусы</x:v>
      </x:c>
      <x:c r="D957" s="28" t="str">
        <x:v>тыква баттернат</x:v>
      </x:c>
      <x:c r="E957" s="28" t="str">
        <x:v>Тыква баттернат | тыква баттернат</x:v>
      </x:c>
      <x:c r="F957" s="28" t="str">
        <x:v>Тыквенные</x:v>
      </x:c>
      <x:c r="G957" s="28" t="str">
        <x:v>моллюски</x:v>
      </x:c>
      <x:c r="H957" s="28" t="str">
        <x:v>Моллюски | моллюски</x:v>
      </x:c>
      <x:c r="I957" s="28" t="str">
        <x:v>Рыба и морепродукты</x:v>
      </x:c>
      <x:c r="J957" s="28" t="str">
        <x:v>сладкий, сливочный, ореховый и карамельный</x:v>
      </x:c>
      <x:c r="K957" s="28" t="str">
        <x:v>морской, солоноватый и умами</x:v>
      </x:c>
      <x:c r="L957" s="28" t="str">
        <x:v>лактоны, мальтол, норизопреноиды, фураны</x:v>
      </x:c>
      <x:c r="M957" s="28" t="str">
        <x:v>альдегиды, амины</x:v>
      </x:c>
      <x:c r="N957" s="28" t="str">
        <x:v>прямое пересечение семейств не подтверждено</x:v>
      </x:c>
      <x:c r="O957" s="28" t="str">
        <x:v>надёжная общая ключевая молекула не установлена</x:v>
      </x:c>
      <x:c r="P957" s="28" t="str">
        <x:v>умами и солёный контраст</x:v>
      </x:c>
      <x:c r="Q957" s="28" t="str">
        <x:v>Сладость и землистость балансируются кислотой, солью, горечью и умами; жир усиливает ощущение округлости.</x:v>
      </x:c>
      <x:c r="R957" s="28" t="str">
        <x:v>минимальный</x:v>
      </x:c>
      <x:c r="S957" s="28" t="str">
        <x:v>плотная крахмалистая мякоть, образующая стабильное пюре Белок и жир требуют контроля воды: для жареной ароматики поверхность должна подсохнуть.</x:v>
      </x:c>
      <x:c r="T957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7" s="28" t="str">
        <x:v>Тыква баттернат имеет профиль «сладкий, сливочный, ореховый и карамельный».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57" s="28" t="str">
        <x:v>может стать приторной и тяжёлой без кислоты или специй; не использовать недозрелый плод</x:v>
      </x:c>
      <x:c r="W957" s="28" t="str">
        <x:v>сливочное масло, соевый соус или тимьян</x:v>
      </x:c>
      <x:c r="X957" s="28" t="str">
        <x:v>пюре, суп, запекание, крем, гарнир, соус или десертная разработка с моллюски</x:v>
      </x:c>
      <x:c r="Y957" s="28" t="str">
        <x:v>еда, соусы/маринады</x:v>
      </x:c>
      <x:c r="Z957" s="28" t="str">
        <x:v>Средняя</x:v>
      </x:c>
      <x:c r="AA957" s="28" t="str">
        <x:v>Тезариус вкусов (Ники Сегнит)(1).pdf</x:v>
      </x:c>
      <x:c r="AB957" s="28" t="str">
        <x:v>Тезариус вкусов (Ники Сегнит)(1).pdf: 377, 612</x:v>
      </x:c>
      <x:c r="AC957" s="28" t="str">
        <x:v>развёрнутая пара/статья, стр. 377; развёрнутая пара/статья, стр. 612</x:v>
      </x:c>
      <x:c r="AD957" s="28" t="n">
        <x:v>1</x:v>
      </x:c>
      <x:c r="AE957" s="28" t="n">
        <x:v>2</x:v>
      </x:c>
      <x:c r="AF957" s="28" t="n">
        <x:f>IF(Z957="Высокая",3,IF(Z957="Средняя",2,1))+AD957*2+MIN(AE957,3)</x:f>
        <x:v>6</x:v>
      </x:c>
    </x:row>
    <x:row r="958" ht="64" customHeight="1">
      <x:c r="A958" s="28" t="str">
        <x:v>VEG-0957</x:v>
      </x:c>
      <x:c r="B958" s="28" t="str">
        <x:v>тыква баттернат</x:v>
      </x:c>
      <x:c r="C958" s="28" t="str">
        <x:v>Еда и соусы</x:v>
      </x:c>
      <x:c r="D958" s="28" t="str">
        <x:v>тыква баттернат</x:v>
      </x:c>
      <x:c r="E958" s="28" t="str">
        <x:v>Тыква баттернат | тыква баттернат</x:v>
      </x:c>
      <x:c r="F958" s="28" t="str">
        <x:v>Тыквенные</x:v>
      </x:c>
      <x:c r="G958" s="28" t="str">
        <x:v>мускатный орех</x:v>
      </x:c>
      <x:c r="H958" s="28" t="str">
        <x:v>Мускатный орех | мускатный орех</x:v>
      </x:c>
      <x:c r="I958" s="28" t="str">
        <x:v>Рыба и морепродукты</x:v>
      </x:c>
      <x:c r="J958" s="28" t="str">
        <x:v>сладкий, сливочный, ореховый и карамельный</x:v>
      </x:c>
      <x:c r="K958" s="28" t="str">
        <x:v>камфорный, ореховый, пряный</x:v>
      </x:c>
      <x:c r="L958" s="28" t="str">
        <x:v>лактоны, мальтол, норизопреноиды, фураны</x:v>
      </x:c>
      <x:c r="M958" s="28" t="str">
        <x:v>пинены, сабинен</x:v>
      </x:c>
      <x:c r="N958" s="28" t="str">
        <x:v>ореховый</x:v>
      </x:c>
      <x:c r="O958" s="28" t="str">
        <x:v>надёжная общая ключевая молекула не установлена</x:v>
      </x:c>
      <x:c r="P958" s="28" t="str">
        <x:v>пересечение ароматических семейств; умами и солёный контраст</x:v>
      </x:c>
      <x:c r="Q958" s="28" t="str">
        <x:v>Сладость и землистость балансируются кислотой, солью, горечью и умами; жир усиливает ощущение округлости.</x:v>
      </x:c>
      <x:c r="R958" s="28" t="str">
        <x:v>минимальный</x:v>
      </x:c>
      <x:c r="S958" s="28" t="str">
        <x:v>плотная крахмалистая мякоть, образующая стабильное пюре Белок и жир требуют контроля воды: для жареной ароматики поверхность должна подсохнуть.</x:v>
      </x:c>
      <x:c r="T958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8" s="28" t="str">
        <x:v>Тыква баттернат имеет профиль «сладкий, сливочный, ореховый и карамельный».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58" s="28" t="str">
        <x:v>может стать приторной и тяжёлой без кислоты или специй; не использовать недозрелый плод</x:v>
      </x:c>
      <x:c r="W958" s="28" t="str">
        <x:v>сливочное масло, соевый соус или тимьян</x:v>
      </x:c>
      <x:c r="X958" s="28" t="str">
        <x:v>пюре, суп, запекание, крем, гарнир, соус или десертная разработка с мускатный орех</x:v>
      </x:c>
      <x:c r="Y958" s="28" t="str">
        <x:v>еда, соусы/маринады</x:v>
      </x:c>
      <x:c r="Z958" s="28" t="str">
        <x:v>Средняя</x:v>
      </x:c>
      <x:c r="AA958" s="28" t="str">
        <x:v>Тезариус вкусов (Ники Сегнит)(1).pdf</x:v>
      </x:c>
      <x:c r="AB958" s="28" t="str">
        <x:v>Тезариус вкусов (Ники Сегнит)(1).pdf: 591, 612</x:v>
      </x:c>
      <x:c r="AC958" s="28" t="str">
        <x:v>развёрнутая пара/статья, стр. 591; развёрнутая пара/статья, стр. 612</x:v>
      </x:c>
      <x:c r="AD958" s="28" t="n">
        <x:v>1</x:v>
      </x:c>
      <x:c r="AE958" s="28" t="n">
        <x:v>2</x:v>
      </x:c>
      <x:c r="AF958" s="28" t="n">
        <x:f>IF(Z958="Высокая",3,IF(Z958="Средняя",2,1))+AD958*2+MIN(AE958,3)</x:f>
        <x:v>6</x:v>
      </x:c>
    </x:row>
    <x:row r="959" ht="64" customHeight="1">
      <x:c r="A959" s="28" t="str">
        <x:v>VEG-0958</x:v>
      </x:c>
      <x:c r="B959" s="28" t="str">
        <x:v>тыква баттернат</x:v>
      </x:c>
      <x:c r="C959" s="28" t="str">
        <x:v>Универсальные</x:v>
      </x:c>
      <x:c r="D959" s="28" t="str">
        <x:v>тыква баттернат</x:v>
      </x:c>
      <x:c r="E959" s="28" t="str">
        <x:v>Тыква баттернат | тыква баттернат</x:v>
      </x:c>
      <x:c r="F959" s="28" t="str">
        <x:v>Тыквенные</x:v>
      </x:c>
      <x:c r="G959" s="28" t="str">
        <x:v>розмарин</x:v>
      </x:c>
      <x:c r="H959" s="28" t="str">
        <x:v>Розмарин | розмарин</x:v>
      </x:c>
      <x:c r="I959" s="28" t="str">
        <x:v>Травы, цветы и листья</x:v>
      </x:c>
      <x:c r="J959" s="28" t="str">
        <x:v>сладкий, сливочный, ореховый и карамельный</x:v>
      </x:c>
      <x:c r="K959" s="28" t="str">
        <x:v>древесный, камфорный, хвойный</x:v>
      </x:c>
      <x:c r="L959" s="28" t="str">
        <x:v>лактоны, мальтол, норизопреноиды, фураны</x:v>
      </x:c>
      <x:c r="M959" s="28" t="str">
        <x:v>1,8-цинеол, пинены</x:v>
      </x:c>
      <x:c r="N959" s="28" t="str">
        <x:v>прямое пересечение семейств не подтверждено</x:v>
      </x:c>
      <x:c r="O959" s="28" t="str">
        <x:v>надёжная общая ключевая молекула не установлена</x:v>
      </x:c>
      <x:c r="P959" s="28" t="str">
        <x:v>сенсорная комплементарность</x:v>
      </x:c>
      <x:c r="Q959" s="28" t="str">
        <x:v>Сладость и землистость балансируются кислотой, солью, горечью и умами; жир усиливает ощущение округлости.</x:v>
      </x:c>
      <x:c r="R959" s="28" t="str">
        <x:v>минимальный</x:v>
      </x:c>
      <x:c r="S959" s="28" t="str">
        <x:v>плотная крахмалистая мякоть, образующая стабильное пюре</x:v>
      </x:c>
      <x:c r="T959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59" s="28" t="str">
        <x:v>Тыква баттернат имеет профиль «сладкий, сливочный, ореховый и карамельный».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959" s="28" t="str">
        <x:v>может стать приторной и тяжёлой без кислоты или специй; не использовать недозрелый плод; длительный нагрев уносит свежие терпены и зелёные альдегиды</x:v>
      </x:c>
      <x:c r="W959" s="28" t="str">
        <x:v>оливковое масло, лимон или сыр</x:v>
      </x:c>
      <x:c r="X959" s="28" t="str">
        <x:v>пюре, суп, запекание, крем, гарнир, соус или десертная разработка с розмарин</x:v>
      </x:c>
      <x:c r="Y959" s="28" t="str">
        <x:v>универсальное</x:v>
      </x:c>
      <x:c r="Z959" s="28" t="str">
        <x:v>Средняя</x:v>
      </x:c>
      <x:c r="AA959" s="28" t="str">
        <x:v>Тезариус вкусов (Ники Сегнит)(1).pdf</x:v>
      </x:c>
      <x:c r="AB959" s="28" t="str">
        <x:v>Тезариус вкусов (Ники Сегнит)(1).pdf: 491, 612, 840</x:v>
      </x:c>
      <x:c r="AC959" s="28" t="str">
        <x:v>развёрнутая пара/статья, стр. 491; развёрнутая пара/статья, стр. 612; развёрнутая пара/статья, стр. 840</x:v>
      </x:c>
      <x:c r="AD959" s="28" t="n">
        <x:v>1</x:v>
      </x:c>
      <x:c r="AE959" s="28" t="n">
        <x:v>3</x:v>
      </x:c>
      <x:c r="AF959" s="28" t="n">
        <x:f>IF(Z959="Высокая",3,IF(Z959="Средняя",2,1))+AD959*2+MIN(AE959,3)</x:f>
        <x:v>7</x:v>
      </x:c>
    </x:row>
    <x:row r="960" ht="64" customHeight="1">
      <x:c r="A960" s="28" t="str">
        <x:v>VEG-0959</x:v>
      </x:c>
      <x:c r="B960" s="28" t="str">
        <x:v>тыква баттернат</x:v>
      </x:c>
      <x:c r="C960" s="28" t="str">
        <x:v>Еда и соусы</x:v>
      </x:c>
      <x:c r="D960" s="28" t="str">
        <x:v>тыква баттернат</x:v>
      </x:c>
      <x:c r="E960" s="28" t="str">
        <x:v>Тыква баттернат | тыква баттернат</x:v>
      </x:c>
      <x:c r="F960" s="28" t="str">
        <x:v>Тыквенные</x:v>
      </x:c>
      <x:c r="G960" s="28" t="str">
        <x:v>свинина</x:v>
      </x:c>
      <x:c r="H960" s="28" t="str">
        <x:v>Свинина | свинина</x:v>
      </x:c>
      <x:c r="I960" s="28" t="str">
        <x:v>Мясо и птица</x:v>
      </x:c>
      <x:c r="J960" s="28" t="str">
        <x:v>сладкий, сливочный, ореховый и карамельный</x:v>
      </x:c>
      <x:c r="K960" s="28" t="str">
        <x:v>жареный, мясной и умами</x:v>
      </x:c>
      <x:c r="L960" s="28" t="str">
        <x:v>лактоны, мальтол, норизопреноиды, фураны</x:v>
      </x:c>
      <x:c r="M960" s="28" t="str">
        <x:v>пиразины, сернистые соединения</x:v>
      </x:c>
      <x:c r="N960" s="28" t="str">
        <x:v>прямое пересечение семейств не подтверждено</x:v>
      </x:c>
      <x:c r="O960" s="28" t="str">
        <x:v>надёжная общая ключевая молекула не установлена</x:v>
      </x:c>
      <x:c r="P960" s="28" t="str">
        <x:v>умами и солёный контраст</x:v>
      </x:c>
      <x:c r="Q960" s="28" t="str">
        <x:v>Сладость и землистость балансируются кислотой, солью, горечью и умами; жир усиливает ощущение округлости.</x:v>
      </x:c>
      <x:c r="R960" s="28" t="str">
        <x:v>минимальный</x:v>
      </x:c>
      <x:c r="S960" s="28" t="str">
        <x:v>плотная крахмалистая мякоть, образующая стабильное пюре Белок и жир требуют контроля воды: для жареной ароматики поверхность должна подсохнуть.</x:v>
      </x:c>
      <x:c r="T960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60" s="28" t="str">
        <x:v>Тыква баттернат имеет профиль «сладкий, сливочный, ореховый и карамельный».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60" s="28" t="str">
        <x:v>может стать приторной и тяжёлой без кислоты или специй; не использовать недозрелый плод</x:v>
      </x:c>
      <x:c r="W960" s="28" t="str">
        <x:v>сливочное масло, соевый соус или тимьян</x:v>
      </x:c>
      <x:c r="X960" s="28" t="str">
        <x:v>пюре, суп, запекание, крем, гарнир, соус или десертная разработка с свинина</x:v>
      </x:c>
      <x:c r="Y960" s="28" t="str">
        <x:v>еда, соусы/маринады</x:v>
      </x:c>
      <x:c r="Z960" s="28" t="str">
        <x:v>Средняя</x:v>
      </x:c>
      <x:c r="AA960" s="28" t="str">
        <x:v>Тезариус вкусов (Ники Сегнит)(1).pdf</x:v>
      </x:c>
      <x:c r="AB960" s="28" t="str">
        <x:v>Тезариус вкусов (Ники Сегнит)(1).pdf: 88, 613</x:v>
      </x:c>
      <x:c r="AC960" s="28" t="str">
        <x:v>развёрнутая пара/статья, стр. 88; развёрнутая пара/статья, стр. 613</x:v>
      </x:c>
      <x:c r="AD960" s="28" t="n">
        <x:v>1</x:v>
      </x:c>
      <x:c r="AE960" s="28" t="n">
        <x:v>2</x:v>
      </x:c>
      <x:c r="AF960" s="28" t="n">
        <x:f>IF(Z960="Высокая",3,IF(Z960="Средняя",2,1))+AD960*2+MIN(AE960,3)</x:f>
        <x:v>6</x:v>
      </x:c>
    </x:row>
    <x:row r="961" ht="64" customHeight="1">
      <x:c r="A961" s="28" t="str">
        <x:v>VEG-0960</x:v>
      </x:c>
      <x:c r="B961" s="28" t="str">
        <x:v>тыква баттернат</x:v>
      </x:c>
      <x:c r="C961" s="28" t="str">
        <x:v>Универсальные</x:v>
      </x:c>
      <x:c r="D961" s="28" t="str">
        <x:v>тыква баттернат</x:v>
      </x:c>
      <x:c r="E961" s="28" t="str">
        <x:v>тыква баттернат</x:v>
      </x:c>
      <x:c r="F961" s="28" t="str">
        <x:v>Тыквенные</x:v>
      </x:c>
      <x:c r="G961" s="28" t="str">
        <x:v>см. также имбирь</x:v>
      </x:c>
      <x:c r="H961" s="28" t="str">
        <x:v>См. также Имбирь</x:v>
      </x:c>
      <x:c r="I961" s="28" t="str">
        <x:v>Специи</x:v>
      </x:c>
      <x:c r="J961" s="28" t="str">
        <x:v>сладкий, сливочный, ореховый и карамельный</x:v>
      </x:c>
      <x:c r="K961" s="28" t="str">
        <x:v>пряный, тёплый, цитрусовый</x:v>
      </x:c>
      <x:c r="L961" s="28" t="str">
        <x:v>лактоны, мальтол, норизопреноиды, фураны</x:v>
      </x:c>
      <x:c r="M961" s="28" t="str">
        <x:v>гингеролы, цитраль</x:v>
      </x:c>
      <x:c r="N961" s="28" t="str">
        <x:v>прямое пересечение семейств не подтверждено</x:v>
      </x:c>
      <x:c r="O961" s="28" t="str">
        <x:v>надёжная общая ключевая молекула не установлена</x:v>
      </x:c>
      <x:c r="P961" s="28" t="str">
        <x:v>сенсорная комплементарность</x:v>
      </x:c>
      <x:c r="Q961" s="28" t="str">
        <x:v>Сладость и землистость балансируются кислотой, солью, горечью и умами; жир усиливает ощущение округлости.</x:v>
      </x:c>
      <x:c r="R961" s="28" t="str">
        <x:v>минимальный</x:v>
      </x:c>
      <x:c r="S961" s="28" t="str">
        <x:v>плотная крахмалистая мякоть, образующая стабильное пюре</x:v>
      </x:c>
      <x:c r="T961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61" s="28" t="str">
        <x:v>Тыква баттернат имеет профиль «сладкий, сливочный, ореховый и карамельный». Партнёр «см. также 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61" s="28" t="str">
        <x:v>может стать приторной и тяжёлой без кислоты или специй; не использовать недозрелый плод</x:v>
      </x:c>
      <x:c r="W961" s="28" t="str">
        <x:v>цитрус, йогурт или мёд</x:v>
      </x:c>
      <x:c r="X961" s="28" t="str">
        <x:v>пюре, суп, запекание, крем, гарнир, соус или десертная разработка с см. также имбирь</x:v>
      </x:c>
      <x:c r="Y961" s="28" t="str">
        <x:v>универсальное</x:v>
      </x:c>
      <x:c r="Z961" s="28" t="str">
        <x:v>Средняя</x:v>
      </x:c>
      <x:c r="AA961" s="28" t="str">
        <x:v>Тезариус вкусов (Ники Сегнит)(1).pdf</x:v>
      </x:c>
      <x:c r="AB961" s="28" t="str">
        <x:v>Тезариус вкусов (Ники Сегнит)(1).pdf: 580</x:v>
      </x:c>
      <x:c r="AC961" s="28" t="str">
        <x:v>развёрнутая пара/статья, стр. 580</x:v>
      </x:c>
      <x:c r="AD961" s="28" t="n">
        <x:v>1</x:v>
      </x:c>
      <x:c r="AE961" s="28" t="n">
        <x:v>1</x:v>
      </x:c>
      <x:c r="AF961" s="28" t="n">
        <x:f>IF(Z961="Высокая",3,IF(Z961="Средняя",2,1))+AD961*2+MIN(AE961,3)</x:f>
        <x:v>5</x:v>
      </x:c>
    </x:row>
    <x:row r="962" ht="64" customHeight="1">
      <x:c r="A962" s="28" t="str">
        <x:v>VEG-0961</x:v>
      </x:c>
      <x:c r="B962" s="28" t="str">
        <x:v>тыква баттернат</x:v>
      </x:c>
      <x:c r="C962" s="28" t="str">
        <x:v>Еда и соусы</x:v>
      </x:c>
      <x:c r="D962" s="28" t="str">
        <x:v>тыква баттернат</x:v>
      </x:c>
      <x:c r="E962" s="28" t="str">
        <x:v>boiled butternut squash</x:v>
      </x:c>
      <x:c r="F962" s="28" t="str">
        <x:v>Тыквенные</x:v>
      </x:c>
      <x:c r="G962" s="28" t="str">
        <x:v>трюфель</x:v>
      </x:c>
      <x:c r="H962" s="28" t="str">
        <x:v>truffle</x:v>
      </x:c>
      <x:c r="I962" s="28" t="str">
        <x:v>Грибы</x:v>
      </x:c>
      <x:c r="J962" s="28" t="str">
        <x:v>сладкий, сливочный, ореховый и карамельный</x:v>
      </x:c>
      <x:c r="K962" s="28" t="str">
        <x:v>землистый, грибной и умами</x:v>
      </x:c>
      <x:c r="L962" s="28" t="str">
        <x:v>лактоны, мальтол, норизопреноиды, фураны</x:v>
      </x:c>
      <x:c r="M962" s="28" t="str">
        <x:v>1-октен-3-ол, сернистые соединения</x:v>
      </x:c>
      <x:c r="N962" s="28" t="str">
        <x:v>прямое пересечение семейств не подтверждено</x:v>
      </x:c>
      <x:c r="O962" s="28" t="str">
        <x:v>надёжная общая ключевая молекула не установлена</x:v>
      </x:c>
      <x:c r="P962" s="28" t="str">
        <x:v>умами и солёный контраст</x:v>
      </x:c>
      <x:c r="Q962" s="28" t="str">
        <x:v>Сладость и землистость балансируются кислотой, солью, горечью и умами; жир усиливает ощущение округлости.</x:v>
      </x:c>
      <x:c r="R962" s="28" t="str">
        <x:v>минимальный</x:v>
      </x:c>
      <x:c r="S962" s="28" t="str">
        <x:v>плотная крахмалистая мякоть, образующая стабильное пюре Белок и жир требуют контроля воды: для жареной ароматики поверхность должна подсохнуть.</x:v>
      </x:c>
      <x:c r="T962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62" s="28" t="str">
        <x:v>Тыква баттернат имеет профиль «сладкий, сливочный, ореховый и карамельный».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62" s="28" t="str">
        <x:v>может стать приторной и тяжёлой без кислоты или специй; не использовать недозрелый плод</x:v>
      </x:c>
      <x:c r="W962" s="28" t="str">
        <x:v>соль, кислота или ароматический жир</x:v>
      </x:c>
      <x:c r="X962" s="28" t="str">
        <x:v>пюре, суп, запекание, крем, гарнир, соус или десертная разработка с трюфель</x:v>
      </x:c>
      <x:c r="Y962" s="28" t="str">
        <x:v>еда, соусы/маринады</x:v>
      </x:c>
      <x:c r="Z962" s="28" t="str">
        <x:v>Средняя</x:v>
      </x:c>
      <x:c r="AA962" s="28" t="str">
        <x:v>The Art &amp; Science of Foodpairing.pdf</x:v>
      </x:c>
      <x:c r="AB962" s="28" t="str">
        <x:v>The Art &amp; Science of Foodpairing.pdf: 192</x:v>
      </x:c>
      <x:c r="AC962" s="28" t="str">
        <x:v>связь из pairing grid, стр. 192</x:v>
      </x:c>
      <x:c r="AD962" s="28" t="n">
        <x:v>1</x:v>
      </x:c>
      <x:c r="AE962" s="28" t="n">
        <x:v>1</x:v>
      </x:c>
      <x:c r="AF962" s="28" t="n">
        <x:f>IF(Z962="Высокая",3,IF(Z962="Средняя",2,1))+AD962*2+MIN(AE962,3)</x:f>
        <x:v>5</x:v>
      </x:c>
    </x:row>
    <x:row r="963" ht="64" customHeight="1">
      <x:c r="A963" s="28" t="str">
        <x:v>VEG-0962</x:v>
      </x:c>
      <x:c r="B963" s="28" t="str">
        <x:v>тыква баттернат</x:v>
      </x:c>
      <x:c r="C963" s="28" t="str">
        <x:v>Десерты и выпечка</x:v>
      </x:c>
      <x:c r="D963" s="28" t="str">
        <x:v>тыква баттернат</x:v>
      </x:c>
      <x:c r="E963" s="28" t="str">
        <x:v>boiled butternut squash</x:v>
      </x:c>
      <x:c r="F963" s="28" t="str">
        <x:v>Тыквенные</x:v>
      </x:c>
      <x:c r="G963" s="28" t="str">
        <x:v>фундук</x:v>
      </x:c>
      <x:c r="H963" s="28" t="str">
        <x:v>hazelnut</x:v>
      </x:c>
      <x:c r="I963" s="28" t="str">
        <x:v>Орехи и семена</x:v>
      </x:c>
      <x:c r="J963" s="28" t="str">
        <x:v>сладкий, сливочный, ореховый и карамельный</x:v>
      </x:c>
      <x:c r="K963" s="28" t="str">
        <x:v>жареный, какаовый, ореховый</x:v>
      </x:c>
      <x:c r="L963" s="28" t="str">
        <x:v>лактоны, мальтол, норизопреноиды, фураны</x:v>
      </x:c>
      <x:c r="M963" s="28" t="str">
        <x:v>пиразины, фильбертон</x:v>
      </x:c>
      <x:c r="N963" s="28" t="str">
        <x:v>ореховый</x:v>
      </x:c>
      <x:c r="O963" s="28" t="str">
        <x:v>надёжная общая ключевая молекула не установлена</x:v>
      </x:c>
      <x:c r="P963" s="28" t="str">
        <x:v>пересечение ароматических семейств</x:v>
      </x:c>
      <x:c r="Q963" s="28" t="str">
        <x:v>Сладость и землистость балансируются кислотой, солью, горечью и умами; жир усиливает ощущение округлости.</x:v>
      </x:c>
      <x:c r="R963" s="28" t="str">
        <x:v>минимальный</x:v>
      </x:c>
      <x:c r="S963" s="28" t="str">
        <x:v>плотная крахмалистая мякоть, образующая стабильное пюре</x:v>
      </x:c>
      <x:c r="T963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63" s="28" t="str">
        <x:v>Тыква баттернат имеет профиль «сладкий, сливочный, ореховый и карамельный».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V963" s="28" t="str">
        <x:v>может стать приторной и тяжёлой без кислоты или специй; не использовать недозрелый плод</x:v>
      </x:c>
      <x:c r="W963" s="28" t="str">
        <x:v>соль, кислота или ароматический жир</x:v>
      </x:c>
      <x:c r="X963" s="28" t="str">
        <x:v>пюре, суп, запекание, крем, гарнир, соус или десертная разработка с фундук</x:v>
      </x:c>
      <x:c r="Y963" s="28" t="str">
        <x:v>десерты</x:v>
      </x:c>
      <x:c r="Z963" s="28" t="str">
        <x:v>Средняя</x:v>
      </x:c>
      <x:c r="AA963" s="28" t="str">
        <x:v>The Art &amp; Science of Foodpairing.pdf</x:v>
      </x:c>
      <x:c r="AB963" s="28" t="str">
        <x:v>The Art &amp; Science of Foodpairing.pdf: 332</x:v>
      </x:c>
      <x:c r="AC963" s="28" t="str">
        <x:v>связь из pairing grid, стр. 332</x:v>
      </x:c>
      <x:c r="AD963" s="28" t="n">
        <x:v>1</x:v>
      </x:c>
      <x:c r="AE963" s="28" t="n">
        <x:v>1</x:v>
      </x:c>
      <x:c r="AF963" s="28" t="n">
        <x:f>IF(Z963="Высокая",3,IF(Z963="Средняя",2,1))+AD963*2+MIN(AE963,3)</x:f>
        <x:v>5</x:v>
      </x:c>
    </x:row>
    <x:row r="964" ht="64" customHeight="1">
      <x:c r="A964" s="28" t="str">
        <x:v>VEG-0963</x:v>
      </x:c>
      <x:c r="B964" s="28" t="str">
        <x:v>тыква баттернат</x:v>
      </x:c>
      <x:c r="C964" s="28" t="str">
        <x:v>Еда и соусы</x:v>
      </x:c>
      <x:c r="D964" s="28" t="str">
        <x:v>тыква баттернат</x:v>
      </x:c>
      <x:c r="E964" s="28" t="str">
        <x:v>butternut squash puree</x:v>
      </x:c>
      <x:c r="F964" s="28" t="str">
        <x:v>Тыквенные</x:v>
      </x:c>
      <x:c r="G964" s="28" t="str">
        <x:v>хамон иберико</x:v>
      </x:c>
      <x:c r="H964" s="28" t="str">
        <x:v>lberico ham</x:v>
      </x:c>
      <x:c r="I964" s="28" t="str">
        <x:v>Мясо и птица</x:v>
      </x:c>
      <x:c r="J964" s="28" t="str">
        <x:v>сладкий, сливочный, ореховый и карамельный</x:v>
      </x:c>
      <x:c r="K964" s="28" t="str">
        <x:v>жареный, мясной и умами</x:v>
      </x:c>
      <x:c r="L964" s="28" t="str">
        <x:v>лактоны, мальтол, норизопреноиды, фураны</x:v>
      </x:c>
      <x:c r="M964" s="28" t="str">
        <x:v>пиразины, сернистые соединения</x:v>
      </x:c>
      <x:c r="N964" s="28" t="str">
        <x:v>прямое пересечение семейств не подтверждено</x:v>
      </x:c>
      <x:c r="O964" s="28" t="str">
        <x:v>надёжная общая ключевая молекула не установлена</x:v>
      </x:c>
      <x:c r="P964" s="28" t="str">
        <x:v>умами и солёный контраст</x:v>
      </x:c>
      <x:c r="Q964" s="28" t="str">
        <x:v>Сладость и землистость балансируются кислотой, солью, горечью и умами; жир усиливает ощущение округлости.</x:v>
      </x:c>
      <x:c r="R964" s="28" t="str">
        <x:v>минимальный</x:v>
      </x:c>
      <x:c r="S964" s="28" t="str">
        <x:v>плотная крахмалистая мякоть, образующая стабильное пюре Белок и жир требуют контроля воды: для жареной ароматики поверхность должна подсохнуть.</x:v>
      </x:c>
      <x:c r="T964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64" s="28" t="str">
        <x:v>Тыква баттернат имеет профиль «сладкий, сливочный, ореховый и карамельный».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V964" s="28" t="str">
        <x:v>может стать приторной и тяжёлой без кислоты или специй; не использовать недозрелый плод</x:v>
      </x:c>
      <x:c r="W964" s="28" t="str">
        <x:v>сливочное масло, соевый соус или тимьян</x:v>
      </x:c>
      <x:c r="X964" s="28" t="str">
        <x:v>пюре, суп, запекание, крем, гарнир, соус или десертная разработка с хамон иберико</x:v>
      </x:c>
      <x:c r="Y964" s="28" t="str">
        <x:v>еда, соусы/маринады</x:v>
      </x:c>
      <x:c r="Z964" s="28" t="str">
        <x:v>Средняя</x:v>
      </x:c>
      <x:c r="AA964" s="28" t="str">
        <x:v>The Art &amp; Science of Foodpairing.pdf</x:v>
      </x:c>
      <x:c r="AB964" s="28" t="str">
        <x:v>The Art &amp; Science of Foodpairing.pdf: 278</x:v>
      </x:c>
      <x:c r="AC964" s="28" t="str">
        <x:v>связь из pairing grid, стр. 278</x:v>
      </x:c>
      <x:c r="AD964" s="28" t="n">
        <x:v>1</x:v>
      </x:c>
      <x:c r="AE964" s="28" t="n">
        <x:v>1</x:v>
      </x:c>
      <x:c r="AF964" s="28" t="n">
        <x:f>IF(Z964="Высокая",3,IF(Z964="Средняя",2,1))+AD964*2+MIN(AE964,3)</x:f>
        <x:v>5</x:v>
      </x:c>
    </x:row>
    <x:row r="965" ht="64" customHeight="1">
      <x:c r="A965" s="28" t="str">
        <x:v>VEG-0964</x:v>
      </x:c>
      <x:c r="B965" s="28" t="str">
        <x:v>тыква баттернат</x:v>
      </x:c>
      <x:c r="C965" s="28" t="str">
        <x:v>Универсальные</x:v>
      </x:c>
      <x:c r="D965" s="28" t="str">
        <x:v>тыква баттернат</x:v>
      </x:c>
      <x:c r="E965" s="28" t="str">
        <x:v>Тыква баттернат | тыква баттернат</x:v>
      </x:c>
      <x:c r="F965" s="28" t="str">
        <x:v>Тыквенные</x:v>
      </x:c>
      <x:c r="G965" s="28" t="str">
        <x:v>чили</x:v>
      </x:c>
      <x:c r="H965" s="28" t="str">
        <x:v>Чили | чили</x:v>
      </x:c>
      <x:c r="I965" s="28" t="str">
        <x:v>Специи</x:v>
      </x:c>
      <x:c r="J965" s="28" t="str">
        <x:v>сладкий, сливочный, ореховый и карамельный</x:v>
      </x:c>
      <x:c r="K965" s="28" t="str">
        <x:v>пряный и древесный</x:v>
      </x:c>
      <x:c r="L965" s="28" t="str">
        <x:v>лактоны, мальтол, норизопреноиды, фураны</x:v>
      </x:c>
      <x:c r="M965" s="28" t="str">
        <x:v>терпены, фенилпропаноиды</x:v>
      </x:c>
      <x:c r="N965" s="28" t="str">
        <x:v>прямое пересечение семейств не подтверждено</x:v>
      </x:c>
      <x:c r="O965" s="28" t="str">
        <x:v>надёжная общая ключевая молекула не установлена</x:v>
      </x:c>
      <x:c r="P965" s="28" t="str">
        <x:v>сенсорная комплементарность</x:v>
      </x:c>
      <x:c r="Q965" s="28" t="str">
        <x:v>Сладость и землистость балансируются кислотой, солью, горечью и умами; жир усиливает ощущение округлости.</x:v>
      </x:c>
      <x:c r="R965" s="28" t="str">
        <x:v>минимальный</x:v>
      </x:c>
      <x:c r="S965" s="28" t="str">
        <x:v>плотная крахмалистая мякоть, образующая стабильное пюре</x:v>
      </x:c>
      <x:c r="T965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65" s="28" t="str">
        <x:v>Тыква баттернат имеет профиль «сладкий, сливочный, ореховый и карамельный».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V965" s="28" t="str">
        <x:v>может стать приторной и тяжёлой без кислоты или специй; не использовать недозрелый плод</x:v>
      </x:c>
      <x:c r="W965" s="28" t="str">
        <x:v>цитрус, йогурт или мёд</x:v>
      </x:c>
      <x:c r="X965" s="28" t="str">
        <x:v>пюре, суп, запекание, крем, гарнир, соус или десертная разработка с чили</x:v>
      </x:c>
      <x:c r="Y965" s="28" t="str">
        <x:v>универсальное</x:v>
      </x:c>
      <x:c r="Z965" s="28" t="str">
        <x:v>Средняя</x:v>
      </x:c>
      <x:c r="AA965" s="28" t="str">
        <x:v>Тезариус вкусов (Ники Сегнит)(1).pdf</x:v>
      </x:c>
      <x:c r="AB965" s="28" t="str">
        <x:v>Тезариус вкусов (Ники Сегнит)(1).pdf: 560, 614</x:v>
      </x:c>
      <x:c r="AC965" s="28" t="str">
        <x:v>развёрнутая пара/статья, стр. 560; развёрнутая пара/статья, стр. 614</x:v>
      </x:c>
      <x:c r="AD965" s="28" t="n">
        <x:v>1</x:v>
      </x:c>
      <x:c r="AE965" s="28" t="n">
        <x:v>2</x:v>
      </x:c>
      <x:c r="AF965" s="28" t="n">
        <x:f>IF(Z965="Высокая",3,IF(Z965="Средняя",2,1))+AD965*2+MIN(AE965,3)</x:f>
        <x:v>6</x:v>
      </x:c>
    </x:row>
    <x:row r="966" ht="64" customHeight="1">
      <x:c r="A966" s="28" t="str">
        <x:v>VEG-0965</x:v>
      </x:c>
      <x:c r="B966" s="28" t="str">
        <x:v>тыква баттернат</x:v>
      </x:c>
      <x:c r="C966" s="28" t="str">
        <x:v>Универсальные</x:v>
      </x:c>
      <x:c r="D966" s="28" t="str">
        <x:v>тыква баттернат</x:v>
      </x:c>
      <x:c r="E966" s="28" t="str">
        <x:v>Тыква баттернат | тыква баттернат</x:v>
      </x:c>
      <x:c r="F966" s="28" t="str">
        <x:v>Тыквенные</x:v>
      </x:c>
      <x:c r="G966" s="28" t="str">
        <x:v>шалфей</x:v>
      </x:c>
      <x:c r="H966" s="28" t="str">
        <x:v>Шалфей | шалфей</x:v>
      </x:c>
      <x:c r="I966" s="28" t="str">
        <x:v>Травы, цветы и листья</x:v>
      </x:c>
      <x:c r="J966" s="28" t="str">
        <x:v>сладкий, сливочный, ореховый и карамельный</x:v>
      </x:c>
      <x:c r="K966" s="28" t="str">
        <x:v>древесный, камфорный</x:v>
      </x:c>
      <x:c r="L966" s="28" t="str">
        <x:v>лактоны, мальтол, норизопреноиды, фураны</x:v>
      </x:c>
      <x:c r="M966" s="28" t="str">
        <x:v>1,8-цинеол, туйон</x:v>
      </x:c>
      <x:c r="N966" s="28" t="str">
        <x:v>прямое пересечение семейств не подтверждено</x:v>
      </x:c>
      <x:c r="O966" s="28" t="str">
        <x:v>надёжная общая ключевая молекула не установлена</x:v>
      </x:c>
      <x:c r="P966" s="28" t="str">
        <x:v>сенсорная комплементарность</x:v>
      </x:c>
      <x:c r="Q966" s="28" t="str">
        <x:v>Сладость и землистость балансируются кислотой, солью, горечью и умами; жир усиливает ощущение округлости.</x:v>
      </x:c>
      <x:c r="R966" s="28" t="str">
        <x:v>минимальный</x:v>
      </x:c>
      <x:c r="S966" s="28" t="str">
        <x:v>плотная крахмалистая мякоть, образующая стабильное пюре</x:v>
      </x:c>
      <x:c r="T966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66" s="28" t="str">
        <x:v>Тыква баттернат имеет профиль «сладкий, сливочный, ореховый и карамельный».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V966" s="28" t="str">
        <x:v>может стать приторной и тяжёлой без кислоты или специй; не использовать недозрелый плод; длительный нагрев уносит свежие терпены и зелёные альдегиды</x:v>
      </x:c>
      <x:c r="W966" s="28" t="str">
        <x:v>оливковое масло, лимон или сыр</x:v>
      </x:c>
      <x:c r="X966" s="28" t="str">
        <x:v>пюре, суп, запекание, крем, гарнир, соус или десертная разработка с шалфей</x:v>
      </x:c>
      <x:c r="Y966" s="28" t="str">
        <x:v>универсальное</x:v>
      </x:c>
      <x:c r="Z966" s="28" t="str">
        <x:v>Средняя</x:v>
      </x:c>
      <x:c r="AA966" s="28" t="str">
        <x:v>Тезариус вкусов (Ники Сегнит)(1).pdf</x:v>
      </x:c>
      <x:c r="AB966" s="28" t="str">
        <x:v>Тезариус вкусов (Ники Сегнит)(1).pdf: 614, 846</x:v>
      </x:c>
      <x:c r="AC966" s="28" t="str">
        <x:v>развёрнутая пара/статья, стр. 614; развёрнутая пара/статья, стр. 846</x:v>
      </x:c>
      <x:c r="AD966" s="28" t="n">
        <x:v>1</x:v>
      </x:c>
      <x:c r="AE966" s="28" t="n">
        <x:v>2</x:v>
      </x:c>
      <x:c r="AF966" s="28" t="n">
        <x:f>IF(Z966="Высокая",3,IF(Z966="Средняя",2,1))+AD966*2+MIN(AE966,3)</x:f>
        <x:v>6</x:v>
      </x:c>
    </x:row>
    <x:row r="967" ht="64" customHeight="1">
      <x:c r="A967" s="28" t="str">
        <x:v>VEG-0966</x:v>
      </x:c>
      <x:c r="B967" s="28" t="str">
        <x:v>тыква баттернат</x:v>
      </x:c>
      <x:c r="C967" s="28" t="str">
        <x:v>Десерты и выпечка</x:v>
      </x:c>
      <x:c r="D967" s="28" t="str">
        <x:v>тыква баттернат</x:v>
      </x:c>
      <x:c r="E967" s="28" t="str">
        <x:v>Тыква баттернат | тыква баттернат</x:v>
      </x:c>
      <x:c r="F967" s="28" t="str">
        <x:v>Тыквенные</x:v>
      </x:c>
      <x:c r="G967" s="28" t="str">
        <x:v>яблоко</x:v>
      </x:c>
      <x:c r="H967" s="28" t="str">
        <x:v>Яблоко | яблоко</x:v>
      </x:c>
      <x:c r="I967" s="28" t="str">
        <x:v>Фрукты и ягоды</x:v>
      </x:c>
      <x:c r="J967" s="28" t="str">
        <x:v>сладкий, сливочный, ореховый и карамельный</x:v>
      </x:c>
      <x:c r="K967" s="28" t="str">
        <x:v>зелёный, свежий, фруктовый</x:v>
      </x:c>
      <x:c r="L967" s="28" t="str">
        <x:v>лактоны, мальтол, норизопреноиды, фураны</x:v>
      </x:c>
      <x:c r="M967" s="28" t="str">
        <x:v>гексаналь, гексилацетат</x:v>
      </x:c>
      <x:c r="N967" s="28" t="str">
        <x:v>прямое пересечение семейств не подтверждено</x:v>
      </x:c>
      <x:c r="O967" s="28" t="str">
        <x:v>надёжная общая ключевая молекула не установлена</x:v>
      </x:c>
      <x:c r="P967" s="28" t="str">
        <x:v>кислотно-сладкий баланс</x:v>
      </x:c>
      <x:c r="Q967" s="28" t="str">
        <x:v>Сладость и землистость балансируются кислотой, солью, горечью и умами; жир усиливает ощущение округлости.</x:v>
      </x:c>
      <x:c r="R967" s="28" t="str">
        <x:v>минимальный</x:v>
      </x:c>
      <x:c r="S967" s="28" t="str">
        <x:v>плотная крахмалистая мякоть, образующая стабильное пюре Водная кислая фаза усиливает свежесть, но может разжижать пюре и нарушать молочную эмульсию.</x:v>
      </x:c>
      <x:c r="T967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U967" s="28" t="str">
        <x:v>Тыква баттернат имеет профиль «сладкий, сливочный, ореховый и карамельный».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V967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W967" s="28" t="str">
        <x:v>цитрус, мёд или мягкая трава</x:v>
      </x:c>
      <x:c r="X967" s="28" t="str">
        <x:v>пюре, суп, запекание, крем, гарнир, соус или десертная разработка с яблоко</x:v>
      </x:c>
      <x:c r="Y967" s="28" t="str">
        <x:v>десерты</x:v>
      </x:c>
      <x:c r="Z967" s="28" t="str">
        <x:v>Средняя</x:v>
      </x:c>
      <x:c r="AA967" s="28" t="str">
        <x:v>Тезариус вкусов (Ники Сегнит)(1).pdf</x:v>
      </x:c>
      <x:c r="AB967" s="28" t="str">
        <x:v>Тезариус вкусов (Ники Сегнит)(1).pdf: 614, 717</x:v>
      </x:c>
      <x:c r="AC967" s="28" t="str">
        <x:v>развёрнутая пара/статья, стр. 614; развёрнутая пара/статья, стр. 717</x:v>
      </x:c>
      <x:c r="AD967" s="28" t="n">
        <x:v>1</x:v>
      </x:c>
      <x:c r="AE967" s="28" t="n">
        <x:v>2</x:v>
      </x:c>
      <x:c r="AF967" s="28" t="n">
        <x:f>IF(Z967="Высокая",3,IF(Z967="Средняя",2,1))+AD967*2+MIN(AE967,3)</x:f>
        <x:v>6</x:v>
      </x:c>
    </x:row>
    <x:row r="968" ht="64" customHeight="1">
      <x:c r="A968" s="28" t="str">
        <x:v>VEG-0967</x:v>
      </x:c>
      <x:c r="B968" s="28" t="str">
        <x:v>фенхель</x:v>
      </x:c>
      <x:c r="C968" s="28" t="str">
        <x:v>Универсальные</x:v>
      </x:c>
      <x:c r="D968" s="28" t="str">
        <x:v>фенхель</x:v>
      </x:c>
      <x:c r="E968" s="28" t="str">
        <x:v>Фенхель</x:v>
      </x:c>
      <x:c r="F968" s="28" t="str">
        <x:v>Стеблевые овощи</x:v>
      </x:c>
      <x:c r="G968" s="28" t="str">
        <x:v>анис</x:v>
      </x:c>
      <x:c r="H968" s="28" t="str">
        <x:v>анис</x:v>
      </x:c>
      <x:c r="I968" s="28" t="str">
        <x:v>Прочее</x:v>
      </x:c>
      <x:c r="J968" s="28" t="str">
        <x:v>анисовый, зелёный, свежий и сладковатый</x:v>
      </x:c>
      <x:c r="K968" s="28" t="str">
        <x:v>профиль зависит от конкретного продукта</x:v>
      </x:c>
      <x:c r="L968" s="28" t="str">
        <x:v>транс-анетол, фенхон, лимонен, эстрагол</x:v>
      </x:c>
      <x:c r="M968" s="28" t="str">
        <x:v>конкретный молекулярный профиль не указан</x:v>
      </x:c>
      <x:c r="N968" s="28" t="str">
        <x:v>прямое пересечение семейств не подтверждено</x:v>
      </x:c>
      <x:c r="O968" s="28" t="str">
        <x:v>надёжная общая ключевая молекула не установлена</x:v>
      </x:c>
      <x:c r="P968" s="28" t="str">
        <x:v>сенсорная комплементарность</x:v>
      </x:c>
      <x:c r="Q96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68" s="28" t="str">
        <x:v>прохладно-анисовое ощущение</x:v>
      </x:c>
      <x:c r="S968" s="28" t="str">
        <x:v>водная волокнистая луковица с гидрофобным эфирным маслом</x:v>
      </x:c>
      <x:c r="T968" s="28" t="str">
        <x:v>сырой сохраняет свежий анис; запекание смягчает аромат и усиливает сладость. </x:v>
      </x:c>
      <x:c r="U968" s="28" t="str">
        <x:v>Фенхель имеет профиль «анисовый, зелёный, свежий и сладковатый».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68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W968" s="28" t="str">
        <x:v>соль, кислота или ароматический жир</x:v>
      </x:c>
      <x:c r="X968" s="28" t="str">
        <x:v>салат, гарнир, суп, соус, маринад, ферментация или напиток с анис</x:v>
      </x:c>
      <x:c r="Y968" s="28" t="str">
        <x:v>универсальное</x:v>
      </x:c>
      <x:c r="Z968" s="28" t="str">
        <x:v>Гипотеза / практическая</x:v>
      </x:c>
      <x:c r="AA968" s="28" t="str">
        <x:v>Таблица сочетания(1).pdf</x:v>
      </x:c>
      <x:c r="AB968" s="28" t="str">
        <x:v>Таблица сочетания(1).pdf: 8</x:v>
      </x:c>
      <x:c r="AC968" s="28" t="str">
        <x:v>рекомендация таблицы, стр. 8</x:v>
      </x:c>
      <x:c r="AD968" s="28" t="n">
        <x:v>1</x:v>
      </x:c>
      <x:c r="AE968" s="28" t="n">
        <x:v>1</x:v>
      </x:c>
      <x:c r="AF968" s="28" t="n">
        <x:f>IF(Z968="Высокая",3,IF(Z968="Средняя",2,1))+AD968*2+MIN(AE968,3)</x:f>
        <x:v>4</x:v>
      </x:c>
    </x:row>
    <x:row r="969" ht="64" customHeight="1">
      <x:c r="A969" s="28" t="str">
        <x:v>VEG-0968</x:v>
      </x:c>
      <x:c r="B969" s="28" t="str">
        <x:v>фенхель</x:v>
      </x:c>
      <x:c r="C969" s="28" t="str">
        <x:v>Десерты и выпечка</x:v>
      </x:c>
      <x:c r="D969" s="28" t="str">
        <x:v>фенхель</x:v>
      </x:c>
      <x:c r="E969" s="28" t="str">
        <x:v>fennel | Фенхель</x:v>
      </x:c>
      <x:c r="F969" s="28" t="str">
        <x:v>Стеблевые овощи</x:v>
      </x:c>
      <x:c r="G969" s="28" t="str">
        <x:v>апельсин</x:v>
      </x:c>
      <x:c r="H969" s="28" t="str">
        <x:v>orange | апельсин</x:v>
      </x:c>
      <x:c r="I969" s="28" t="str">
        <x:v>Фрукты и ягоды</x:v>
      </x:c>
      <x:c r="J969" s="28" t="str">
        <x:v>анисовый, зелёный, свежий и сладковатый</x:v>
      </x:c>
      <x:c r="K969" s="28" t="str">
        <x:v>сладкий, цветочный, цитрусовый</x:v>
      </x:c>
      <x:c r="L969" s="28" t="str">
        <x:v>транс-анетол, фенхон, лимонен, эстрагол</x:v>
      </x:c>
      <x:c r="M969" s="28" t="str">
        <x:v>лимонен, линалоол</x:v>
      </x:c>
      <x:c r="N969" s="28" t="str">
        <x:v>сладкий</x:v>
      </x:c>
      <x:c r="O969" s="28" t="str">
        <x:v>лимонен</x:v>
      </x:c>
      <x:c r="P969" s="28" t="str">
        <x:v>общие характерные молекулы; пересечение ароматических семейств; кислотно-сладкий баланс</x:v>
      </x:c>
      <x:c r="Q96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69" s="28" t="str">
        <x:v>прохладно-анисовое ощущение</x:v>
      </x:c>
      <x:c r="S969" s="28" t="str">
        <x:v>водная волокнистая луковица с гидрофобным эфирным маслом Водная кислая фаза усиливает свежесть, но может разжижать пюре и нарушать молочную эмульсию.</x:v>
      </x:c>
      <x:c r="T969" s="28" t="str">
        <x:v>сырой сохраняет свежий анис; запекание смягчает аромат и усиливает сладость. </x:v>
      </x:c>
      <x:c r="U969" s="28" t="str">
        <x:v>Фенхель имеет профиль «анисовый, зелёный, свежий и сладковатый». Партнёр «апельсин» относится к группе «Фрукты и ягоды» и даёт сладкий, цветочный,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969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W969" s="28" t="str">
        <x:v>цитрус, мёд или мягкая трава</x:v>
      </x:c>
      <x:c r="X969" s="28" t="str">
        <x:v>салат, гарнир, суп, соус, маринад, ферментация или напиток с апельсин</x:v>
      </x:c>
      <x:c r="Y969" s="28" t="str">
        <x:v>десерты</x:v>
      </x:c>
      <x:c r="Z969" s="28" t="str">
        <x:v>Высокая</x:v>
      </x:c>
      <x:c r="AA969" s="28" t="str">
        <x:v>The Art &amp; Science of Foodpairing.pdf | Таблица сочетания(1).pdf</x:v>
      </x:c>
      <x:c r="AB969" s="28" t="str">
        <x:v>Таблица сочетания(1).pdf: 8; The Art &amp; Science of Foodpairing.pdf: 236</x:v>
      </x:c>
      <x:c r="AC969" s="28" t="str">
        <x:v>связь из pairing grid, стр. 236; рекомендация таблицы, стр. 8</x:v>
      </x:c>
      <x:c r="AD969" s="28" t="n">
        <x:v>2</x:v>
      </x:c>
      <x:c r="AE969" s="28" t="n">
        <x:v>2</x:v>
      </x:c>
      <x:c r="AF969" s="28" t="n">
        <x:f>IF(Z969="Высокая",3,IF(Z969="Средняя",2,1))+AD969*2+MIN(AE969,3)</x:f>
        <x:v>9</x:v>
      </x:c>
    </x:row>
    <x:row r="970" ht="64" customHeight="1">
      <x:c r="A970" s="28" t="str">
        <x:v>VEG-0969</x:v>
      </x:c>
      <x:c r="B970" s="28" t="str">
        <x:v>фенхель</x:v>
      </x:c>
      <x:c r="C970" s="28" t="str">
        <x:v>Десерты и выпечка</x:v>
      </x:c>
      <x:c r="D970" s="28" t="str">
        <x:v>фенхель</x:v>
      </x:c>
      <x:c r="E970" s="28" t="str">
        <x:v>sea fennel (rock samphire)</x:v>
      </x:c>
      <x:c r="F970" s="28" t="str">
        <x:v>Стеблевые овощи</x:v>
      </x:c>
      <x:c r="G970" s="28" t="str">
        <x:v>банан</x:v>
      </x:c>
      <x:c r="H970" s="28" t="str">
        <x:v>banana</x:v>
      </x:c>
      <x:c r="I970" s="28" t="str">
        <x:v>Фрукты и ягоды</x:v>
      </x:c>
      <x:c r="J970" s="28" t="str">
        <x:v>анисовый, зелёный, свежий и сладковатый</x:v>
      </x:c>
      <x:c r="K970" s="28" t="str">
        <x:v>фруктовый, цветочный и свежий</x:v>
      </x:c>
      <x:c r="L970" s="28" t="str">
        <x:v>транс-анетол, фенхон, лимонен, эстрагол</x:v>
      </x:c>
      <x:c r="M970" s="28" t="str">
        <x:v>альдегиды, эфиры</x:v>
      </x:c>
      <x:c r="N970" s="28" t="str">
        <x:v>прямое пересечение семейств не подтверждено</x:v>
      </x:c>
      <x:c r="O970" s="28" t="str">
        <x:v>надёжная общая ключевая молекула не установлена</x:v>
      </x:c>
      <x:c r="P970" s="28" t="str">
        <x:v>кислотно-сладкий баланс</x:v>
      </x:c>
      <x:c r="Q97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0" s="28" t="str">
        <x:v>прохладно-анисовое ощущение</x:v>
      </x:c>
      <x:c r="S970" s="28" t="str">
        <x:v>водная волокнистая луковица с гидрофобным эфирным маслом Водная кислая фаза усиливает свежесть, но может разжижать пюре и нарушать молочную эмульсию.</x:v>
      </x:c>
      <x:c r="T970" s="28" t="str">
        <x:v>сырой сохраняет свежий анис; запекание смягчает аромат и усиливает сладость. </x:v>
      </x:c>
      <x:c r="U970" s="28" t="str">
        <x:v>Фенхель имеет профиль «анисовый, зелёный, свежий и сладковатый».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970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W970" s="28" t="str">
        <x:v>цитрус, мёд или мягкая трава</x:v>
      </x:c>
      <x:c r="X970" s="28" t="str">
        <x:v>салат, гарнир, суп, соус, маринад, ферментация или напиток с банан</x:v>
      </x:c>
      <x:c r="Y970" s="28" t="str">
        <x:v>десерты</x:v>
      </x:c>
      <x:c r="Z970" s="28" t="str">
        <x:v>Средняя</x:v>
      </x:c>
      <x:c r="AA970" s="28" t="str">
        <x:v>The Art &amp; Science of Foodpairing.pdf</x:v>
      </x:c>
      <x:c r="AB970" s="28" t="str">
        <x:v>The Art &amp; Science of Foodpairing.pdf: 342</x:v>
      </x:c>
      <x:c r="AC970" s="28" t="str">
        <x:v>связь из pairing grid, стр. 342</x:v>
      </x:c>
      <x:c r="AD970" s="28" t="n">
        <x:v>1</x:v>
      </x:c>
      <x:c r="AE970" s="28" t="n">
        <x:v>1</x:v>
      </x:c>
      <x:c r="AF970" s="28" t="n">
        <x:f>IF(Z970="Высокая",3,IF(Z970="Средняя",2,1))+AD970*2+MIN(AE970,3)</x:f>
        <x:v>5</x:v>
      </x:c>
    </x:row>
    <x:row r="971" ht="64" customHeight="1">
      <x:c r="A971" s="28" t="str">
        <x:v>VEG-0970</x:v>
      </x:c>
      <x:c r="B971" s="28" t="str">
        <x:v>фенхель</x:v>
      </x:c>
      <x:c r="C971" s="28" t="str">
        <x:v>Десерты и выпечка</x:v>
      </x:c>
      <x:c r="D971" s="28" t="str">
        <x:v>фенхель</x:v>
      </x:c>
      <x:c r="E971" s="28" t="str">
        <x:v>fennel | sea fennel (rock samphire)</x:v>
      </x:c>
      <x:c r="F971" s="28" t="str">
        <x:v>Стеблевые овощи</x:v>
      </x:c>
      <x:c r="G971" s="28" t="str">
        <x:v>груша</x:v>
      </x:c>
      <x:c r="H971" s="28" t="str">
        <x:v>pear</x:v>
      </x:c>
      <x:c r="I971" s="28" t="str">
        <x:v>Фрукты и ягоды</x:v>
      </x:c>
      <x:c r="J971" s="28" t="str">
        <x:v>анисовый, зелёный, свежий и сладковатый</x:v>
      </x:c>
      <x:c r="K971" s="28" t="str">
        <x:v>сладкий, фруктовый, цветочный</x:v>
      </x:c>
      <x:c r="L971" s="28" t="str">
        <x:v>транс-анетол, фенхон, лимонен, эстрагол</x:v>
      </x:c>
      <x:c r="M971" s="28" t="str">
        <x:v>линалоол, эфиры</x:v>
      </x:c>
      <x:c r="N971" s="28" t="str">
        <x:v>сладкий</x:v>
      </x:c>
      <x:c r="O971" s="28" t="str">
        <x:v>надёжная общая ключевая молекула не установлена</x:v>
      </x:c>
      <x:c r="P971" s="28" t="str">
        <x:v>пересечение ароматических семейств; кислотно-сладкий баланс</x:v>
      </x:c>
      <x:c r="Q97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1" s="28" t="str">
        <x:v>прохладно-анисовое ощущение</x:v>
      </x:c>
      <x:c r="S971" s="28" t="str">
        <x:v>водная волокнистая луковица с гидрофобным эфирным маслом Водная кислая фаза усиливает свежесть, но может разжижать пюре и нарушать молочную эмульсию.</x:v>
      </x:c>
      <x:c r="T971" s="28" t="str">
        <x:v>сырой сохраняет свежий анис; запекание смягчает аромат и усиливает сладость. </x:v>
      </x:c>
      <x:c r="U971" s="28" t="str">
        <x:v>Фенхель имеет профиль «анисовый, зелёный, свежий и сладковатый».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971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W971" s="28" t="str">
        <x:v>цитрус, мёд или мягкая трава</x:v>
      </x:c>
      <x:c r="X971" s="28" t="str">
        <x:v>салат, гарнир, суп, соус, маринад, ферментация или напиток с груша</x:v>
      </x:c>
      <x:c r="Y971" s="28" t="str">
        <x:v>десерты</x:v>
      </x:c>
      <x:c r="Z971" s="28" t="str">
        <x:v>Средняя</x:v>
      </x:c>
      <x:c r="AA971" s="28" t="str">
        <x:v>The Art &amp; Science of Foodpairing.pdf</x:v>
      </x:c>
      <x:c r="AB971" s="28" t="str">
        <x:v>The Art &amp; Science of Foodpairing.pdf: 350</x:v>
      </x:c>
      <x:c r="AC971" s="28" t="str">
        <x:v>связь из pairing grid, стр. 350; связь из pairing grid, стр. 350</x:v>
      </x:c>
      <x:c r="AD971" s="28" t="n">
        <x:v>1</x:v>
      </x:c>
      <x:c r="AE971" s="28" t="n">
        <x:v>2</x:v>
      </x:c>
      <x:c r="AF971" s="28" t="n">
        <x:f>IF(Z971="Высокая",3,IF(Z971="Средняя",2,1))+AD971*2+MIN(AE971,3)</x:f>
        <x:v>6</x:v>
      </x:c>
    </x:row>
    <x:row r="972" ht="64" customHeight="1">
      <x:c r="A972" s="28" t="str">
        <x:v>VEG-0971</x:v>
      </x:c>
      <x:c r="B972" s="28" t="str">
        <x:v>фенхель</x:v>
      </x:c>
      <x:c r="C972" s="28" t="str">
        <x:v>Напитки</x:v>
      </x:c>
      <x:c r="D972" s="28" t="str">
        <x:v>фенхель</x:v>
      </x:c>
      <x:c r="E972" s="28" t="str">
        <x:v>sea fennel (rock samphire)</x:v>
      </x:c>
      <x:c r="F972" s="28" t="str">
        <x:v>Стеблевые овощи</x:v>
      </x:c>
      <x:c r="G972" s="28" t="str">
        <x:v>джин</x:v>
      </x:c>
      <x:c r="H972" s="28" t="str">
        <x:v>gin</x:v>
      </x:c>
      <x:c r="I972" s="28" t="str">
        <x:v>Алкогольные напитки</x:v>
      </x:c>
      <x:c r="J972" s="28" t="str">
        <x:v>анисовый, зелёный, свежий и сладковатый</x:v>
      </x:c>
      <x:c r="K972" s="28" t="str">
        <x:v>спиртовой, фруктовый или древесный</x:v>
      </x:c>
      <x:c r="L972" s="28" t="str">
        <x:v>транс-анетол, фенхон, лимонен, эстрагол</x:v>
      </x:c>
      <x:c r="M972" s="28" t="str">
        <x:v>альдегиды, эфиры</x:v>
      </x:c>
      <x:c r="N972" s="28" t="str">
        <x:v>прямое пересечение семейств не подтверждено</x:v>
      </x:c>
      <x:c r="O972" s="28" t="str">
        <x:v>надёжная общая ключевая молекула не установлена</x:v>
      </x:c>
      <x:c r="P972" s="28" t="str">
        <x:v>сенсорная комплементарность</x:v>
      </x:c>
      <x:c r="Q97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2" s="28" t="str">
        <x:v>прохладно-анисовое ощущение</x:v>
      </x:c>
      <x:c r="S972" s="28" t="str">
        <x:v>водная волокнистая луковица с гидрофобным эфирным маслом Этанол извлекает терпены и сернистые соединения эффективнее воды; время контакта ограничивать.</x:v>
      </x:c>
      <x:c r="T972" s="28" t="str">
        <x:v>сырой сохраняет свежий анис; запекание смягчает аромат и усиливает сладость. </x:v>
      </x:c>
      <x:c r="U972" s="28" t="str">
        <x:v>Фенхель имеет профиль «анисовый, зелёный, свежий и сладковатый».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72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W972" s="28" t="str">
        <x:v>соль, кислота или ароматический жир</x:v>
      </x:c>
      <x:c r="X972" s="28" t="str">
        <x:v>салат, гарнир, суп, соус, маринад, ферментация или напиток с джин</x:v>
      </x:c>
      <x:c r="Y972" s="28" t="str">
        <x:v>напитки</x:v>
      </x:c>
      <x:c r="Z972" s="28" t="str">
        <x:v>Средняя</x:v>
      </x:c>
      <x:c r="AA972" s="28" t="str">
        <x:v>The Art &amp; Science of Foodpairing.pdf</x:v>
      </x:c>
      <x:c r="AB972" s="28" t="str">
        <x:v>The Art &amp; Science of Foodpairing.pdf: 215</x:v>
      </x:c>
      <x:c r="AC972" s="28" t="str">
        <x:v>связь из pairing grid, стр. 215</x:v>
      </x:c>
      <x:c r="AD972" s="28" t="n">
        <x:v>1</x:v>
      </x:c>
      <x:c r="AE972" s="28" t="n">
        <x:v>1</x:v>
      </x:c>
      <x:c r="AF972" s="28" t="n">
        <x:f>IF(Z972="Высокая",3,IF(Z972="Средняя",2,1))+AD972*2+MIN(AE972,3)</x:f>
        <x:v>5</x:v>
      </x:c>
    </x:row>
    <x:row r="973" ht="64" customHeight="1">
      <x:c r="A973" s="28" t="str">
        <x:v>VEG-0972</x:v>
      </x:c>
      <x:c r="B973" s="28" t="str">
        <x:v>фенхель</x:v>
      </x:c>
      <x:c r="C973" s="28" t="str">
        <x:v>Универсальные</x:v>
      </x:c>
      <x:c r="D973" s="28" t="str">
        <x:v>фенхель</x:v>
      </x:c>
      <x:c r="E973" s="28" t="str">
        <x:v>fennel herb</x:v>
      </x:c>
      <x:c r="F973" s="28" t="str">
        <x:v>Стеблевые овощи</x:v>
      </x:c>
      <x:c r="G973" s="28" t="str">
        <x:v>имбирь</x:v>
      </x:c>
      <x:c r="H973" s="28" t="str">
        <x:v>ginger</x:v>
      </x:c>
      <x:c r="I973" s="28" t="str">
        <x:v>Специи</x:v>
      </x:c>
      <x:c r="J973" s="28" t="str">
        <x:v>анисовый, зелёный, свежий и сладковатый</x:v>
      </x:c>
      <x:c r="K973" s="28" t="str">
        <x:v>пряный, тёплый, цитрусовый</x:v>
      </x:c>
      <x:c r="L973" s="28" t="str">
        <x:v>транс-анетол, фенхон, лимонен, эстрагол</x:v>
      </x:c>
      <x:c r="M973" s="28" t="str">
        <x:v>гингеролы, цитраль</x:v>
      </x:c>
      <x:c r="N973" s="28" t="str">
        <x:v>прямое пересечение семейств не подтверждено</x:v>
      </x:c>
      <x:c r="O973" s="28" t="str">
        <x:v>надёжная общая ключевая молекула не установлена</x:v>
      </x:c>
      <x:c r="P973" s="28" t="str">
        <x:v>сенсорная комплементарность</x:v>
      </x:c>
      <x:c r="Q97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3" s="28" t="str">
        <x:v>прохладно-анисовое ощущение</x:v>
      </x:c>
      <x:c r="S973" s="28" t="str">
        <x:v>водная волокнистая луковица с гидрофобным эфирным маслом</x:v>
      </x:c>
      <x:c r="T973" s="28" t="str">
        <x:v>сырой сохраняет свежий анис; запекание смягчает аромат и усиливает сладость. </x:v>
      </x:c>
      <x:c r="U973" s="28" t="str">
        <x:v>Фенхель имеет профиль «анисовый, зелёный, свежий и сладковатый».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973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W973" s="28" t="str">
        <x:v>цитрус, йогурт или мёд</x:v>
      </x:c>
      <x:c r="X973" s="28" t="str">
        <x:v>салат, гарнир, суп, соус, маринад, ферментация или напиток с имбирь</x:v>
      </x:c>
      <x:c r="Y973" s="28" t="str">
        <x:v>универсальное</x:v>
      </x:c>
      <x:c r="Z973" s="28" t="str">
        <x:v>Высокая</x:v>
      </x:c>
      <x:c r="AA973" s="28" t="str">
        <x:v>The Art &amp; Science of Foodpairing.pdf</x:v>
      </x:c>
      <x:c r="AB973" s="28" t="str">
        <x:v>The Art &amp; Science of Foodpairing.pdf: 142</x:v>
      </x:c>
      <x:c r="AC973" s="28" t="str">
        <x:v>прямая Potential pairing, стр. 142; связь из pairing grid, стр. 142</x:v>
      </x:c>
      <x:c r="AD973" s="28" t="n">
        <x:v>1</x:v>
      </x:c>
      <x:c r="AE973" s="28" t="n">
        <x:v>2</x:v>
      </x:c>
      <x:c r="AF973" s="28" t="n">
        <x:f>IF(Z973="Высокая",3,IF(Z973="Средняя",2,1))+AD973*2+MIN(AE973,3)</x:f>
        <x:v>7</x:v>
      </x:c>
    </x:row>
    <x:row r="974" ht="64" customHeight="1">
      <x:c r="A974" s="28" t="str">
        <x:v>VEG-0973</x:v>
      </x:c>
      <x:c r="B974" s="28" t="str">
        <x:v>фенхель</x:v>
      </x:c>
      <x:c r="C974" s="28" t="str">
        <x:v>Десерты и выпечка</x:v>
      </x:c>
      <x:c r="D974" s="28" t="str">
        <x:v>фенхель</x:v>
      </x:c>
      <x:c r="E974" s="28" t="str">
        <x:v>Фенхель</x:v>
      </x:c>
      <x:c r="F974" s="28" t="str">
        <x:v>Стеблевые овощи</x:v>
      </x:c>
      <x:c r="G974" s="28" t="str">
        <x:v>кленовый сироп</x:v>
      </x:c>
      <x:c r="H974" s="28" t="str">
        <x:v>кленовый сироп</x:v>
      </x:c>
      <x:c r="I974" s="28" t="str">
        <x:v>Выпечка, крупы, сахара и десерты</x:v>
      </x:c>
      <x:c r="J974" s="28" t="str">
        <x:v>анисовый, зелёный, свежий и сладковатый</x:v>
      </x:c>
      <x:c r="K974" s="28" t="str">
        <x:v>сладкий, карамельный и жареный</x:v>
      </x:c>
      <x:c r="L974" s="28" t="str">
        <x:v>транс-анетол, фенхон, лимонен, эстрагол</x:v>
      </x:c>
      <x:c r="M974" s="28" t="str">
        <x:v>мальтол, пиразины, фураны</x:v>
      </x:c>
      <x:c r="N974" s="28" t="str">
        <x:v>сладкий</x:v>
      </x:c>
      <x:c r="O974" s="28" t="str">
        <x:v>надёжная общая ключевая молекула не установлена</x:v>
      </x:c>
      <x:c r="P974" s="28" t="str">
        <x:v>пересечение ароматических семейств</x:v>
      </x:c>
      <x:c r="Q97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4" s="28" t="str">
        <x:v>прохладно-анисовое ощущение</x:v>
      </x:c>
      <x:c r="S974" s="28" t="str">
        <x:v>водная волокнистая луковица с гидрофобным эфирным маслом</x:v>
      </x:c>
      <x:c r="T974" s="28" t="str">
        <x:v>сырой сохраняет свежий анис; запекание смягчает аромат и усиливает сладость. </x:v>
      </x:c>
      <x:c r="U974" s="28" t="str">
        <x:v>Фенхель имеет профиль «анисовый, зелёный, свежий и сладковатый». Партнёр «кленовый сироп»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V974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W974" s="28" t="str">
        <x:v>соль, кислота или ароматический жир</x:v>
      </x:c>
      <x:c r="X974" s="28" t="str">
        <x:v>салат, гарнир, суп, соус, маринад, ферментация или напиток с кленовый сироп</x:v>
      </x:c>
      <x:c r="Y974" s="28" t="str">
        <x:v>напитки, десерты</x:v>
      </x:c>
      <x:c r="Z974" s="28" t="str">
        <x:v>Гипотеза / практическая</x:v>
      </x:c>
      <x:c r="AA974" s="28" t="str">
        <x:v>Таблица сочетания(1).pdf</x:v>
      </x:c>
      <x:c r="AB974" s="28" t="str">
        <x:v>Таблица сочетания(1).pdf: 8</x:v>
      </x:c>
      <x:c r="AC974" s="28" t="str">
        <x:v>рекомендация таблицы, стр. 8</x:v>
      </x:c>
      <x:c r="AD974" s="28" t="n">
        <x:v>1</x:v>
      </x:c>
      <x:c r="AE974" s="28" t="n">
        <x:v>1</x:v>
      </x:c>
      <x:c r="AF974" s="28" t="n">
        <x:f>IF(Z974="Высокая",3,IF(Z974="Средняя",2,1))+AD974*2+MIN(AE974,3)</x:f>
        <x:v>4</x:v>
      </x:c>
    </x:row>
    <x:row r="975" ht="64" customHeight="1">
      <x:c r="A975" s="28" t="str">
        <x:v>VEG-0974</x:v>
      </x:c>
      <x:c r="B975" s="28" t="str">
        <x:v>фенхель</x:v>
      </x:c>
      <x:c r="C975" s="28" t="str">
        <x:v>Десерты и выпечка</x:v>
      </x:c>
      <x:c r="D975" s="28" t="str">
        <x:v>фенхель</x:v>
      </x:c>
      <x:c r="E975" s="28" t="str">
        <x:v>Фенхель</x:v>
      </x:c>
      <x:c r="F975" s="28" t="str">
        <x:v>Стеблевые овощи</x:v>
      </x:c>
      <x:c r="G975" s="28" t="str">
        <x:v>клубника</x:v>
      </x:c>
      <x:c r="H975" s="28" t="str">
        <x:v>клубника</x:v>
      </x:c>
      <x:c r="I975" s="28" t="str">
        <x:v>Фрукты и ягоды</x:v>
      </x:c>
      <x:c r="J975" s="28" t="str">
        <x:v>анисовый, зелёный, свежий и сладковатый</x:v>
      </x:c>
      <x:c r="K975" s="28" t="str">
        <x:v>зелёный, карамельный, фруктовый</x:v>
      </x:c>
      <x:c r="L975" s="28" t="str">
        <x:v>транс-анетол, фенхон, лимонен, эстрагол</x:v>
      </x:c>
      <x:c r="M975" s="28" t="str">
        <x:v>фуранеол, эфиры</x:v>
      </x:c>
      <x:c r="N975" s="28" t="str">
        <x:v>зелёный</x:v>
      </x:c>
      <x:c r="O975" s="28" t="str">
        <x:v>надёжная общая ключевая молекула не установлена</x:v>
      </x:c>
      <x:c r="P975" s="28" t="str">
        <x:v>пересечение ароматических семейств; кислотно-сладкий баланс</x:v>
      </x:c>
      <x:c r="Q97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5" s="28" t="str">
        <x:v>прохладно-анисовое ощущение</x:v>
      </x:c>
      <x:c r="S975" s="28" t="str">
        <x:v>водная волокнистая луковица с гидрофобным эфирным маслом Водная кислая фаза усиливает свежесть, но может разжижать пюре и нарушать молочную эмульсию.</x:v>
      </x:c>
      <x:c r="T975" s="28" t="str">
        <x:v>сырой сохраняет свежий анис; запекание смягчает аромат и усиливает сладость. </x:v>
      </x:c>
      <x:c r="U975" s="28" t="str">
        <x:v>Фенхель имеет профиль «анисовый, зелёный, свежий и сладковатый». Партнёр «клубника» относится к группе «Фрукты и ягоды» и даёт зелёный, карамельный,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975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W975" s="28" t="str">
        <x:v>цитрус, мёд или мягкая трава</x:v>
      </x:c>
      <x:c r="X975" s="28" t="str">
        <x:v>салат, гарнир, суп, соус, маринад, ферментация или напиток с клубника</x:v>
      </x:c>
      <x:c r="Y975" s="28" t="str">
        <x:v>десерты</x:v>
      </x:c>
      <x:c r="Z975" s="28" t="str">
        <x:v>Гипотеза / практическая</x:v>
      </x:c>
      <x:c r="AA975" s="28" t="str">
        <x:v>Таблица сочетания(1).pdf</x:v>
      </x:c>
      <x:c r="AB975" s="28" t="str">
        <x:v>Таблица сочетания(1).pdf: 8</x:v>
      </x:c>
      <x:c r="AC975" s="28" t="str">
        <x:v>рекомендация таблицы, стр. 8</x:v>
      </x:c>
      <x:c r="AD975" s="28" t="n">
        <x:v>1</x:v>
      </x:c>
      <x:c r="AE975" s="28" t="n">
        <x:v>1</x:v>
      </x:c>
      <x:c r="AF975" s="28" t="n">
        <x:f>IF(Z975="Высокая",3,IF(Z975="Средняя",2,1))+AD975*2+MIN(AE975,3)</x:f>
        <x:v>4</x:v>
      </x:c>
    </x:row>
    <x:row r="976" ht="64" customHeight="1">
      <x:c r="A976" s="28" t="str">
        <x:v>VEG-0975</x:v>
      </x:c>
      <x:c r="B976" s="28" t="str">
        <x:v>фенхель</x:v>
      </x:c>
      <x:c r="C976" s="28" t="str">
        <x:v>Напитки</x:v>
      </x:c>
      <x:c r="D976" s="28" t="str">
        <x:v>фенхель</x:v>
      </x:c>
      <x:c r="E976" s="28" t="str">
        <x:v>fennel tea</x:v>
      </x:c>
      <x:c r="F976" s="28" t="str">
        <x:v>Стеблевые овощи</x:v>
      </x:c>
      <x:c r="G976" s="28" t="str">
        <x:v>коньяк</x:v>
      </x:c>
      <x:c r="H976" s="28" t="str">
        <x:v>cognac</x:v>
      </x:c>
      <x:c r="I976" s="28" t="str">
        <x:v>Алкогольные напитки</x:v>
      </x:c>
      <x:c r="J976" s="28" t="str">
        <x:v>анисовый, зелёный, свежий и сладковатый</x:v>
      </x:c>
      <x:c r="K976" s="28" t="str">
        <x:v>спиртовой, фруктовый или древесный</x:v>
      </x:c>
      <x:c r="L976" s="28" t="str">
        <x:v>транс-анетол, фенхон, лимонен, эстрагол</x:v>
      </x:c>
      <x:c r="M976" s="28" t="str">
        <x:v>альдегиды, эфиры</x:v>
      </x:c>
      <x:c r="N976" s="28" t="str">
        <x:v>прямое пересечение семейств не подтверждено</x:v>
      </x:c>
      <x:c r="O976" s="28" t="str">
        <x:v>надёжная общая ключевая молекула не установлена</x:v>
      </x:c>
      <x:c r="P976" s="28" t="str">
        <x:v>сенсорная комплементарность</x:v>
      </x:c>
      <x:c r="Q976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6" s="28" t="str">
        <x:v>прохладно-анисовое ощущение</x:v>
      </x:c>
      <x:c r="S976" s="28" t="str">
        <x:v>водная волокнистая луковица с гидрофобным эфирным маслом Этанол извлекает терпены и сернистые соединения эффективнее воды; время контакта ограничивать.</x:v>
      </x:c>
      <x:c r="T976" s="28" t="str">
        <x:v>сырой сохраняет свежий анис; запекание смягчает аромат и усиливает сладость. </x:v>
      </x:c>
      <x:c r="U976" s="28" t="str">
        <x:v>Фенхель имеет профиль «анисовый, зелёный, свежий и сладковатый».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V976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W976" s="28" t="str">
        <x:v>соль, кислота или ароматический жир</x:v>
      </x:c>
      <x:c r="X976" s="28" t="str">
        <x:v>салат, гарнир, суп, соус, маринад, ферментация или напиток с коньяк</x:v>
      </x:c>
      <x:c r="Y976" s="28" t="str">
        <x:v>напитки</x:v>
      </x:c>
      <x:c r="Z976" s="28" t="str">
        <x:v>Средняя</x:v>
      </x:c>
      <x:c r="AA976" s="28" t="str">
        <x:v>The Art &amp; Science of Foodpairing.pdf</x:v>
      </x:c>
      <x:c r="AB976" s="28" t="str">
        <x:v>The Art &amp; Science of Foodpairing.pdf: 123</x:v>
      </x:c>
      <x:c r="AC976" s="28" t="str">
        <x:v>связь из pairing grid, стр. 123</x:v>
      </x:c>
      <x:c r="AD976" s="28" t="n">
        <x:v>1</x:v>
      </x:c>
      <x:c r="AE976" s="28" t="n">
        <x:v>1</x:v>
      </x:c>
      <x:c r="AF976" s="28" t="n">
        <x:f>IF(Z976="Высокая",3,IF(Z976="Средняя",2,1))+AD976*2+MIN(AE976,3)</x:f>
        <x:v>5</x:v>
      </x:c>
    </x:row>
    <x:row r="977" ht="64" customHeight="1">
      <x:c r="A977" s="28" t="str">
        <x:v>VEG-0976</x:v>
      </x:c>
      <x:c r="B977" s="28" t="str">
        <x:v>фенхель</x:v>
      </x:c>
      <x:c r="C977" s="28" t="str">
        <x:v>Десерты и выпечка</x:v>
      </x:c>
      <x:c r="D977" s="28" t="str">
        <x:v>фенхель</x:v>
      </x:c>
      <x:c r="E977" s="28" t="str">
        <x:v>Фенхель</x:v>
      </x:c>
      <x:c r="F977" s="28" t="str">
        <x:v>Стеблевые овощи</x:v>
      </x:c>
      <x:c r="G977" s="28" t="str">
        <x:v>лимон</x:v>
      </x:c>
      <x:c r="H977" s="28" t="str">
        <x:v>лимон</x:v>
      </x:c>
      <x:c r="I977" s="28" t="str">
        <x:v>Фрукты и ягоды</x:v>
      </x:c>
      <x:c r="J977" s="28" t="str">
        <x:v>анисовый, зелёный, свежий и сладковатый</x:v>
      </x:c>
      <x:c r="K977" s="28" t="str">
        <x:v>кислый, свежий, цитрусовый</x:v>
      </x:c>
      <x:c r="L977" s="28" t="str">
        <x:v>транс-анетол, фенхон, лимонен, эстрагол</x:v>
      </x:c>
      <x:c r="M977" s="28" t="str">
        <x:v>лимонен, цитраль</x:v>
      </x:c>
      <x:c r="N977" s="28" t="str">
        <x:v>прямое пересечение семейств не подтверждено</x:v>
      </x:c>
      <x:c r="O977" s="28" t="str">
        <x:v>лимонен</x:v>
      </x:c>
      <x:c r="P977" s="28" t="str">
        <x:v>общие характерные молекулы; кислотно-сладкий баланс</x:v>
      </x:c>
      <x:c r="Q977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7" s="28" t="str">
        <x:v>прохладно-анисовое ощущение</x:v>
      </x:c>
      <x:c r="S977" s="28" t="str">
        <x:v>водная волокнистая луковица с гидрофобным эфирным маслом Водная кислая фаза усиливает свежесть, но может разжижать пюре и нарушать молочную эмульсию.</x:v>
      </x:c>
      <x:c r="T977" s="28" t="str">
        <x:v>сырой сохраняет свежий анис; запекание смягчает аромат и усиливает сладость. </x:v>
      </x:c>
      <x:c r="U977" s="28" t="str">
        <x:v>Фенхель имеет профиль «анисовый, зелёный, свежий и сладковатый». Партнёр «лимон» относится к группе «Фрукты и ягоды» и даёт кислый, свежий,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977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W977" s="28" t="str">
        <x:v>цитрус, мёд или мягкая трава</x:v>
      </x:c>
      <x:c r="X977" s="28" t="str">
        <x:v>салат, гарнир, суп, соус, маринад, ферментация или напиток с лимон</x:v>
      </x:c>
      <x:c r="Y977" s="28" t="str">
        <x:v>десерты</x:v>
      </x:c>
      <x:c r="Z977" s="28" t="str">
        <x:v>Гипотеза / практическая</x:v>
      </x:c>
      <x:c r="AA977" s="28" t="str">
        <x:v>Таблица сочетания(1).pdf</x:v>
      </x:c>
      <x:c r="AB977" s="28" t="str">
        <x:v>Таблица сочетания(1).pdf: 8</x:v>
      </x:c>
      <x:c r="AC977" s="28" t="str">
        <x:v>рекомендация таблицы, стр. 8</x:v>
      </x:c>
      <x:c r="AD977" s="28" t="n">
        <x:v>1</x:v>
      </x:c>
      <x:c r="AE977" s="28" t="n">
        <x:v>1</x:v>
      </x:c>
      <x:c r="AF977" s="28" t="n">
        <x:f>IF(Z977="Высокая",3,IF(Z977="Средняя",2,1))+AD977*2+MIN(AE977,3)</x:f>
        <x:v>4</x:v>
      </x:c>
    </x:row>
    <x:row r="978" ht="64" customHeight="1">
      <x:c r="A978" s="28" t="str">
        <x:v>VEG-0977</x:v>
      </x:c>
      <x:c r="B978" s="28" t="str">
        <x:v>фенхель</x:v>
      </x:c>
      <x:c r="C978" s="28" t="str">
        <x:v>Десерты и выпечка</x:v>
      </x:c>
      <x:c r="D978" s="28" t="str">
        <x:v>фенхель</x:v>
      </x:c>
      <x:c r="E978" s="28" t="str">
        <x:v>sea fennel</x:v>
      </x:c>
      <x:c r="F978" s="28" t="str">
        <x:v>Стеблевые овощи</x:v>
      </x:c>
      <x:c r="G978" s="28" t="str">
        <x:v>манго</x:v>
      </x:c>
      <x:c r="H978" s="28" t="str">
        <x:v>mango</x:v>
      </x:c>
      <x:c r="I978" s="28" t="str">
        <x:v>Фрукты и ягоды</x:v>
      </x:c>
      <x:c r="J978" s="28" t="str">
        <x:v>анисовый, зелёный, свежий и сладковатый</x:v>
      </x:c>
      <x:c r="K978" s="28" t="str">
        <x:v>фруктовый, цветочный и свежий</x:v>
      </x:c>
      <x:c r="L978" s="28" t="str">
        <x:v>транс-анетол, фенхон, лимонен, эстрагол</x:v>
      </x:c>
      <x:c r="M978" s="28" t="str">
        <x:v>альдегиды, эфиры</x:v>
      </x:c>
      <x:c r="N978" s="28" t="str">
        <x:v>прямое пересечение семейств не подтверждено</x:v>
      </x:c>
      <x:c r="O978" s="28" t="str">
        <x:v>надёжная общая ключевая молекула не установлена</x:v>
      </x:c>
      <x:c r="P978" s="28" t="str">
        <x:v>кислотно-сладкий баланс</x:v>
      </x:c>
      <x:c r="Q978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8" s="28" t="str">
        <x:v>прохладно-анисовое ощущение</x:v>
      </x:c>
      <x:c r="S978" s="28" t="str">
        <x:v>водная волокнистая луковица с гидрофобным эфирным маслом Водная кислая фаза усиливает свежесть, но может разжижать пюре и нарушать молочную эмульсию.</x:v>
      </x:c>
      <x:c r="T978" s="28" t="str">
        <x:v>сырой сохраняет свежий анис; запекание смягчает аромат и усиливает сладость. </x:v>
      </x:c>
      <x:c r="U978" s="28" t="str">
        <x:v>Фенхель имеет профиль «анисовый, зелёный, свежий и сладковатый».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978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W978" s="28" t="str">
        <x:v>цитрус, мёд или мягкая трава</x:v>
      </x:c>
      <x:c r="X978" s="28" t="str">
        <x:v>салат, гарнир, суп, соус, маринад, ферментация или напиток с манго</x:v>
      </x:c>
      <x:c r="Y978" s="28" t="str">
        <x:v>десерты</x:v>
      </x:c>
      <x:c r="Z978" s="28" t="str">
        <x:v>Средняя</x:v>
      </x:c>
      <x:c r="AA978" s="28" t="str">
        <x:v>The Art &amp; Science of Foodpairing.pdf</x:v>
      </x:c>
      <x:c r="AB978" s="28" t="str">
        <x:v>The Art &amp; Science of Foodpairing.pdf: 312</x:v>
      </x:c>
      <x:c r="AC978" s="28" t="str">
        <x:v>связь из pairing grid, стр. 312</x:v>
      </x:c>
      <x:c r="AD978" s="28" t="n">
        <x:v>1</x:v>
      </x:c>
      <x:c r="AE978" s="28" t="n">
        <x:v>1</x:v>
      </x:c>
      <x:c r="AF978" s="28" t="n">
        <x:f>IF(Z978="Высокая",3,IF(Z978="Средняя",2,1))+AD978*2+MIN(AE978,3)</x:f>
        <x:v>5</x:v>
      </x:c>
    </x:row>
    <x:row r="979" ht="64" customHeight="1">
      <x:c r="A979" s="28" t="str">
        <x:v>VEG-0978</x:v>
      </x:c>
      <x:c r="B979" s="28" t="str">
        <x:v>фенхель</x:v>
      </x:c>
      <x:c r="C979" s="28" t="str">
        <x:v>Универсальные</x:v>
      </x:c>
      <x:c r="D979" s="28" t="str">
        <x:v>фенхель</x:v>
      </x:c>
      <x:c r="E979" s="28" t="str">
        <x:v>Фенхель</x:v>
      </x:c>
      <x:c r="F979" s="28" t="str">
        <x:v>Стеблевые овощи</x:v>
      </x:c>
      <x:c r="G979" s="28" t="str">
        <x:v>мята</x:v>
      </x:c>
      <x:c r="H979" s="28" t="str">
        <x:v>мята</x:v>
      </x:c>
      <x:c r="I979" s="28" t="str">
        <x:v>Травы, цветы и листья</x:v>
      </x:c>
      <x:c r="J979" s="28" t="str">
        <x:v>анисовый, зелёный, свежий и сладковатый</x:v>
      </x:c>
      <x:c r="K979" s="28" t="str">
        <x:v>зелёный, холодящий</x:v>
      </x:c>
      <x:c r="L979" s="28" t="str">
        <x:v>транс-анетол, фенхон, лимонен, эстрагол</x:v>
      </x:c>
      <x:c r="M979" s="28" t="str">
        <x:v>ментол</x:v>
      </x:c>
      <x:c r="N979" s="28" t="str">
        <x:v>зелёный</x:v>
      </x:c>
      <x:c r="O979" s="28" t="str">
        <x:v>надёжная общая ключевая молекула не установлена</x:v>
      </x:c>
      <x:c r="P979" s="28" t="str">
        <x:v>пересечение ароматических семейств</x:v>
      </x:c>
      <x:c r="Q979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79" s="28" t="str">
        <x:v>прохладно-анисовое ощущение</x:v>
      </x:c>
      <x:c r="S979" s="28" t="str">
        <x:v>водная волокнистая луковица с гидрофобным эфирным маслом</x:v>
      </x:c>
      <x:c r="T979" s="28" t="str">
        <x:v>сырой сохраняет свежий анис; запекание смягчает аромат и усиливает сладость. </x:v>
      </x:c>
      <x:c r="U979" s="28" t="str">
        <x:v>Фенхель имеет профиль «анисовый, зелёный, свежий и сладковатый».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V979" s="28" t="str">
        <x:v>анетол быстро доминирует; длительная варка стирает свежесть; зелень и семена значительно концентрированнее луковицы; длительный нагрев уносит свежие терпены и зелёные альдегиды</x:v>
      </x:c>
      <x:c r="W979" s="28" t="str">
        <x:v>оливковое масло, лимон или сыр</x:v>
      </x:c>
      <x:c r="X979" s="28" t="str">
        <x:v>салат, гарнир, суп, соус, маринад, ферментация или напиток с мята</x:v>
      </x:c>
      <x:c r="Y979" s="28" t="str">
        <x:v>универсальное</x:v>
      </x:c>
      <x:c r="Z979" s="28" t="str">
        <x:v>Гипотеза / практическая</x:v>
      </x:c>
      <x:c r="AA979" s="28" t="str">
        <x:v>Таблица сочетания(1).pdf</x:v>
      </x:c>
      <x:c r="AB979" s="28" t="str">
        <x:v>Таблица сочетания(1).pdf: 8</x:v>
      </x:c>
      <x:c r="AC979" s="28" t="str">
        <x:v>рекомендация таблицы, стр. 8</x:v>
      </x:c>
      <x:c r="AD979" s="28" t="n">
        <x:v>1</x:v>
      </x:c>
      <x:c r="AE979" s="28" t="n">
        <x:v>1</x:v>
      </x:c>
      <x:c r="AF979" s="28" t="n">
        <x:f>IF(Z979="Высокая",3,IF(Z979="Средняя",2,1))+AD979*2+MIN(AE979,3)</x:f>
        <x:v>4</x:v>
      </x:c>
    </x:row>
    <x:row r="980" ht="64" customHeight="1">
      <x:c r="A980" s="28" t="str">
        <x:v>VEG-0979</x:v>
      </x:c>
      <x:c r="B980" s="28" t="str">
        <x:v>фенхель</x:v>
      </x:c>
      <x:c r="C980" s="28" t="str">
        <x:v>Десерты и выпечка</x:v>
      </x:c>
      <x:c r="D980" s="28" t="str">
        <x:v>фенхель</x:v>
      </x:c>
      <x:c r="E980" s="28" t="str">
        <x:v>Фенхель</x:v>
      </x:c>
      <x:c r="F980" s="28" t="str">
        <x:v>Стеблевые овощи</x:v>
      </x:c>
      <x:c r="G980" s="28" t="str">
        <x:v>мёд</x:v>
      </x:c>
      <x:c r="H980" s="28" t="str">
        <x:v>мёд</x:v>
      </x:c>
      <x:c r="I980" s="28" t="str">
        <x:v>Выпечка, крупы, сахара и десерты</x:v>
      </x:c>
      <x:c r="J980" s="28" t="str">
        <x:v>анисовый, зелёный, свежий и сладковатый</x:v>
      </x:c>
      <x:c r="K980" s="28" t="str">
        <x:v>медовый, сладкий, цветочный</x:v>
      </x:c>
      <x:c r="L980" s="28" t="str">
        <x:v>транс-анетол, фенхон, лимонен, эстрагол</x:v>
      </x:c>
      <x:c r="M980" s="28" t="str">
        <x:v>норизопреноиды, фенилуксусная кислота</x:v>
      </x:c>
      <x:c r="N980" s="28" t="str">
        <x:v>сладкий</x:v>
      </x:c>
      <x:c r="O980" s="28" t="str">
        <x:v>надёжная общая ключевая молекула не установлена</x:v>
      </x:c>
      <x:c r="P980" s="28" t="str">
        <x:v>пересечение ароматических семейств</x:v>
      </x:c>
      <x:c r="Q980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80" s="28" t="str">
        <x:v>прохладно-анисовое ощущение</x:v>
      </x:c>
      <x:c r="S980" s="28" t="str">
        <x:v>водная волокнистая луковица с гидрофобным эфирным маслом</x:v>
      </x:c>
      <x:c r="T980" s="28" t="str">
        <x:v>сырой сохраняет свежий анис; запекание смягчает аромат и усиливает сладость. </x:v>
      </x:c>
      <x:c r="U980" s="28" t="str">
        <x:v>Фенхель имеет профиль «анисовый, зелёный, свежий и сладковатый».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V980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W980" s="28" t="str">
        <x:v>соль, кислота или ароматический жир</x:v>
      </x:c>
      <x:c r="X980" s="28" t="str">
        <x:v>салат, гарнир, суп, соус, маринад, ферментация или напиток с мёд</x:v>
      </x:c>
      <x:c r="Y980" s="28" t="str">
        <x:v>десерты</x:v>
      </x:c>
      <x:c r="Z980" s="28" t="str">
        <x:v>Гипотеза / практическая</x:v>
      </x:c>
      <x:c r="AA980" s="28" t="str">
        <x:v>Таблица сочетания(1).pdf</x:v>
      </x:c>
      <x:c r="AB980" s="28" t="str">
        <x:v>Таблица сочетания(1).pdf: 8</x:v>
      </x:c>
      <x:c r="AC980" s="28" t="str">
        <x:v>рекомендация таблицы, стр. 8</x:v>
      </x:c>
      <x:c r="AD980" s="28" t="n">
        <x:v>1</x:v>
      </x:c>
      <x:c r="AE980" s="28" t="n">
        <x:v>1</x:v>
      </x:c>
      <x:c r="AF980" s="28" t="n">
        <x:f>IF(Z980="Высокая",3,IF(Z980="Средняя",2,1))+AD980*2+MIN(AE980,3)</x:f>
        <x:v>4</x:v>
      </x:c>
    </x:row>
    <x:row r="981" ht="64" customHeight="1">
      <x:c r="A981" s="28" t="str">
        <x:v>VEG-0980</x:v>
      </x:c>
      <x:c r="B981" s="28" t="str">
        <x:v>фенхель</x:v>
      </x:c>
      <x:c r="C981" s="28" t="str">
        <x:v>Десерты и выпечка</x:v>
      </x:c>
      <x:c r="D981" s="28" t="str">
        <x:v>фенхель</x:v>
      </x:c>
      <x:c r="E981" s="28" t="str">
        <x:v>Фенхель</x:v>
      </x:c>
      <x:c r="F981" s="28" t="str">
        <x:v>Стеблевые овощи</x:v>
      </x:c>
      <x:c r="G981" s="28" t="str">
        <x:v>ревень</x:v>
      </x:c>
      <x:c r="H981" s="28" t="str">
        <x:v>ревень</x:v>
      </x:c>
      <x:c r="I981" s="28" t="str">
        <x:v>Фрукты и ягоды</x:v>
      </x:c>
      <x:c r="J981" s="28" t="str">
        <x:v>анисовый, зелёный, свежий и сладковатый</x:v>
      </x:c>
      <x:c r="K981" s="28" t="str">
        <x:v>фруктовый, цветочный и свежий</x:v>
      </x:c>
      <x:c r="L981" s="28" t="str">
        <x:v>транс-анетол, фенхон, лимонен, эстрагол</x:v>
      </x:c>
      <x:c r="M981" s="28" t="str">
        <x:v>альдегиды, эфиры</x:v>
      </x:c>
      <x:c r="N981" s="28" t="str">
        <x:v>прямое пересечение семейств не подтверждено</x:v>
      </x:c>
      <x:c r="O981" s="28" t="str">
        <x:v>надёжная общая ключевая молекула не установлена</x:v>
      </x:c>
      <x:c r="P981" s="28" t="str">
        <x:v>кислотно-сладкий баланс</x:v>
      </x:c>
      <x:c r="Q981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81" s="28" t="str">
        <x:v>прохладно-анисовое ощущение</x:v>
      </x:c>
      <x:c r="S981" s="28" t="str">
        <x:v>водная волокнистая луковица с гидрофобным эфирным маслом Водная кислая фаза усиливает свежесть, но может разжижать пюре и нарушать молочную эмульсию.</x:v>
      </x:c>
      <x:c r="T981" s="28" t="str">
        <x:v>сырой сохраняет свежий анис; запекание смягчает аромат и усиливает сладость. </x:v>
      </x:c>
      <x:c r="U981" s="28" t="str">
        <x:v>Фенхель имеет профиль «анисовый, зелёный, свежий и сладковатый». Партнёр «ревень»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981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W981" s="28" t="str">
        <x:v>цитрус, мёд или мягкая трава</x:v>
      </x:c>
      <x:c r="X981" s="28" t="str">
        <x:v>салат, гарнир, суп, соус, маринад, ферментация или напиток с ревень</x:v>
      </x:c>
      <x:c r="Y981" s="28" t="str">
        <x:v>десерты</x:v>
      </x:c>
      <x:c r="Z981" s="28" t="str">
        <x:v>Гипотеза / практическая</x:v>
      </x:c>
      <x:c r="AA981" s="28" t="str">
        <x:v>Таблица сочетания(1).pdf</x:v>
      </x:c>
      <x:c r="AB981" s="28" t="str">
        <x:v>Таблица сочетания(1).pdf: 8</x:v>
      </x:c>
      <x:c r="AC981" s="28" t="str">
        <x:v>рекомендация таблицы, стр. 8</x:v>
      </x:c>
      <x:c r="AD981" s="28" t="n">
        <x:v>1</x:v>
      </x:c>
      <x:c r="AE981" s="28" t="n">
        <x:v>1</x:v>
      </x:c>
      <x:c r="AF981" s="28" t="n">
        <x:f>IF(Z981="Высокая",3,IF(Z981="Средняя",2,1))+AD981*2+MIN(AE981,3)</x:f>
        <x:v>4</x:v>
      </x:c>
    </x:row>
    <x:row r="982" ht="64" customHeight="1">
      <x:c r="A982" s="28" t="str">
        <x:v>VEG-0981</x:v>
      </x:c>
      <x:c r="B982" s="28" t="str">
        <x:v>фенхель</x:v>
      </x:c>
      <x:c r="C982" s="28" t="str">
        <x:v>Еда и соусы</x:v>
      </x:c>
      <x:c r="D982" s="28" t="str">
        <x:v>фенхель</x:v>
      </x:c>
      <x:c r="E982" s="28" t="str">
        <x:v>sea fennel (rock samphire)</x:v>
      </x:c>
      <x:c r="F982" s="28" t="str">
        <x:v>Стеблевые овощи</x:v>
      </x:c>
      <x:c r="G982" s="28" t="str">
        <x:v>рыба</x:v>
      </x:c>
      <x:c r="H982" s="28" t="str">
        <x:v>fish</x:v>
      </x:c>
      <x:c r="I982" s="28" t="str">
        <x:v>Рыба и морепродукты</x:v>
      </x:c>
      <x:c r="J982" s="28" t="str">
        <x:v>анисовый, зелёный, свежий и сладковатый</x:v>
      </x:c>
      <x:c r="K982" s="28" t="str">
        <x:v>жирный, морской, умами</x:v>
      </x:c>
      <x:c r="L982" s="28" t="str">
        <x:v>транс-анетол, фенхон, лимонен, эстрагол</x:v>
      </x:c>
      <x:c r="M982" s="28" t="str">
        <x:v>альдегиды, амины</x:v>
      </x:c>
      <x:c r="N982" s="28" t="str">
        <x:v>прямое пересечение семейств не подтверждено</x:v>
      </x:c>
      <x:c r="O982" s="28" t="str">
        <x:v>надёжная общая ключевая молекула не установлена</x:v>
      </x:c>
      <x:c r="P982" s="28" t="str">
        <x:v>умами и солёный контраст</x:v>
      </x:c>
      <x:c r="Q982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82" s="28" t="str">
        <x:v>прохладно-анисовое ощущение</x:v>
      </x:c>
      <x:c r="S982" s="28" t="str">
        <x:v>водная волокнистая луковица с гидрофобным эфирным маслом Белок и жир требуют контроля воды: для жареной ароматики поверхность должна подсохнуть.</x:v>
      </x:c>
      <x:c r="T982" s="28" t="str">
        <x:v>сырой сохраняет свежий анис; запекание смягчает аромат и усиливает сладость. </x:v>
      </x:c>
      <x:c r="U982" s="28" t="str">
        <x:v>Фенхель имеет профиль «анисовый, зелёный, свежий и сладковатый».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V982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W982" s="28" t="str">
        <x:v>сливочное масло, соевый соус или тимьян</x:v>
      </x:c>
      <x:c r="X982" s="28" t="str">
        <x:v>салат, гарнир, суп, соус, маринад, ферментация или напиток с рыба</x:v>
      </x:c>
      <x:c r="Y982" s="28" t="str">
        <x:v>еда, соусы/маринады</x:v>
      </x:c>
      <x:c r="Z982" s="28" t="str">
        <x:v>Средняя</x:v>
      </x:c>
      <x:c r="AA982" s="28" t="str">
        <x:v>The Art &amp; Science of Foodpairing.pdf</x:v>
      </x:c>
      <x:c r="AB982" s="28" t="str">
        <x:v>The Art &amp; Science of Foodpairing.pdf: 104</x:v>
      </x:c>
      <x:c r="AC982" s="28" t="str">
        <x:v>связь из pairing grid, стр. 104</x:v>
      </x:c>
      <x:c r="AD982" s="28" t="n">
        <x:v>1</x:v>
      </x:c>
      <x:c r="AE982" s="28" t="n">
        <x:v>1</x:v>
      </x:c>
      <x:c r="AF982" s="28" t="n">
        <x:f>IF(Z982="Высокая",3,IF(Z982="Средняя",2,1))+AD982*2+MIN(AE982,3)</x:f>
        <x:v>5</x:v>
      </x:c>
    </x:row>
    <x:row r="983" ht="64" customHeight="1">
      <x:c r="A983" s="28" t="str">
        <x:v>VEG-0982</x:v>
      </x:c>
      <x:c r="B983" s="28" t="str">
        <x:v>фенхель</x:v>
      </x:c>
      <x:c r="C983" s="28" t="str">
        <x:v>Десерты и выпечка</x:v>
      </x:c>
      <x:c r="D983" s="28" t="str">
        <x:v>фенхель</x:v>
      </x:c>
      <x:c r="E983" s="28" t="str">
        <x:v>фенхель</x:v>
      </x:c>
      <x:c r="F983" s="28" t="str">
        <x:v>Стеблевые овощи</x:v>
      </x:c>
      <x:c r="G983" s="28" t="str">
        <x:v>чёрная смородина</x:v>
      </x:c>
      <x:c r="H983" s="28" t="str">
        <x:v>Чёрная смородина</x:v>
      </x:c>
      <x:c r="I983" s="28" t="str">
        <x:v>Фрукты и ягоды</x:v>
      </x:c>
      <x:c r="J983" s="28" t="str">
        <x:v>анисовый, зелёный, свежий и сладковатый</x:v>
      </x:c>
      <x:c r="K983" s="28" t="str">
        <x:v>фруктовый, цветочный и свежий</x:v>
      </x:c>
      <x:c r="L983" s="28" t="str">
        <x:v>транс-анетол, фенхон, лимонен, эстрагол</x:v>
      </x:c>
      <x:c r="M983" s="28" t="str">
        <x:v>альдегиды, эфиры</x:v>
      </x:c>
      <x:c r="N983" s="28" t="str">
        <x:v>прямое пересечение семейств не подтверждено</x:v>
      </x:c>
      <x:c r="O983" s="28" t="str">
        <x:v>надёжная общая ключевая молекула не установлена</x:v>
      </x:c>
      <x:c r="P983" s="28" t="str">
        <x:v>кислотно-сладкий баланс</x:v>
      </x:c>
      <x:c r="Q983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83" s="28" t="str">
        <x:v>прохладно-анисовое ощущение</x:v>
      </x:c>
      <x:c r="S983" s="28" t="str">
        <x:v>водная волокнистая луковица с гидрофобным эфирным маслом Водная кислая фаза усиливает свежесть, но может разжижать пюре и нарушать молочную эмульсию.</x:v>
      </x:c>
      <x:c r="T983" s="28" t="str">
        <x:v>сырой сохраняет свежий анис; запекание смягчает аромат и усиливает сладость. </x:v>
      </x:c>
      <x:c r="U983" s="28" t="str">
        <x:v>Фенхель имеет профиль «анисовый, зелёный, свежий и сладковатый».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V983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W983" s="28" t="str">
        <x:v>цитрус, мёд или мягкая трава</x:v>
      </x:c>
      <x:c r="X983" s="28" t="str">
        <x:v>салат, гарнир, суп, соус, маринад, ферментация или напиток с чёрная смородина</x:v>
      </x:c>
      <x:c r="Y983" s="28" t="str">
        <x:v>десерты</x:v>
      </x:c>
      <x:c r="Z983" s="28" t="str">
        <x:v>Гипотеза / практическая</x:v>
      </x:c>
      <x:c r="AA983" s="28" t="str">
        <x:v>Таблица сочетания(1).pdf</x:v>
      </x:c>
      <x:c r="AB983" s="28" t="str">
        <x:v>Таблица сочетания(1).pdf: 2</x:v>
      </x:c>
      <x:c r="AC983" s="28" t="str">
        <x:v>рекомендация таблицы, стр. 2</x:v>
      </x:c>
      <x:c r="AD983" s="28" t="n">
        <x:v>1</x:v>
      </x:c>
      <x:c r="AE983" s="28" t="n">
        <x:v>1</x:v>
      </x:c>
      <x:c r="AF983" s="28" t="n">
        <x:f>IF(Z983="Высокая",3,IF(Z983="Средняя",2,1))+AD983*2+MIN(AE983,3)</x:f>
        <x:v>4</x:v>
      </x:c>
    </x:row>
    <x:row r="984" ht="64" customHeight="1">
      <x:c r="A984" s="28" t="str">
        <x:v>VEG-0983</x:v>
      </x:c>
      <x:c r="B984" s="28" t="str">
        <x:v>фенхель</x:v>
      </x:c>
      <x:c r="C984" s="28" t="str">
        <x:v>Универсальные</x:v>
      </x:c>
      <x:c r="D984" s="28" t="str">
        <x:v>фенхель</x:v>
      </x:c>
      <x:c r="E984" s="28" t="str">
        <x:v>fennel bulb | fennel herb</x:v>
      </x:c>
      <x:c r="F984" s="28" t="str">
        <x:v>Стеблевые овощи</x:v>
      </x:c>
      <x:c r="G984" s="28" t="str">
        <x:v>чёрный перец</x:v>
      </x:c>
      <x:c r="H984" s="28" t="str">
        <x:v>peppercorns</x:v>
      </x:c>
      <x:c r="I984" s="28" t="str">
        <x:v>Специи</x:v>
      </x:c>
      <x:c r="J984" s="28" t="str">
        <x:v>анисовый, зелёный, свежий и сладковатый</x:v>
      </x:c>
      <x:c r="K984" s="28" t="str">
        <x:v>древесный, пряный, цитрусовый</x:v>
      </x:c>
      <x:c r="L984" s="28" t="str">
        <x:v>транс-анетол, фенхон, лимонен, эстрагол</x:v>
      </x:c>
      <x:c r="M984" s="28" t="str">
        <x:v>лимонен, пинен, пиперин</x:v>
      </x:c>
      <x:c r="N984" s="28" t="str">
        <x:v>прямое пересечение семейств не подтверждено</x:v>
      </x:c>
      <x:c r="O984" s="28" t="str">
        <x:v>лимонен</x:v>
      </x:c>
      <x:c r="P984" s="28" t="str">
        <x:v>общие характерные молекулы</x:v>
      </x:c>
      <x:c r="Q984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84" s="28" t="str">
        <x:v>прохладно-анисовое ощущение</x:v>
      </x:c>
      <x:c r="S984" s="28" t="str">
        <x:v>водная волокнистая луковица с гидрофобным эфирным маслом</x:v>
      </x:c>
      <x:c r="T984" s="28" t="str">
        <x:v>сырой сохраняет свежий анис; запекание смягчает аромат и усиливает сладость. </x:v>
      </x:c>
      <x:c r="U984" s="28" t="str">
        <x:v>Фенхель имеет профиль «анисовый, зелёный, свежий и сладковатый». Партнёр «чёрный перец» относится к группе «Специи» и даёт древесный, пряный, цитрусовый. Вероятный молекулярный мост: лимонен.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V984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W984" s="28" t="str">
        <x:v>цитрус, йогурт или мёд</x:v>
      </x:c>
      <x:c r="X984" s="28" t="str">
        <x:v>салат, гарнир, суп, соус, маринад, ферментация или напиток с чёрный перец</x:v>
      </x:c>
      <x:c r="Y984" s="28" t="str">
        <x:v>универсальное</x:v>
      </x:c>
      <x:c r="Z984" s="28" t="str">
        <x:v>Средняя</x:v>
      </x:c>
      <x:c r="AA984" s="28" t="str">
        <x:v>The Art &amp; Science of Foodpairing.pdf</x:v>
      </x:c>
      <x:c r="AB984" s="28" t="str">
        <x:v>The Art &amp; Science of Foodpairing.pdf: 273, 274</x:v>
      </x:c>
      <x:c r="AC984" s="28" t="str">
        <x:v>связь из pairing grid, стр. 273; связь из pairing grid, стр. 274; связь из pairing grid, стр. 274</x:v>
      </x:c>
      <x:c r="AD984" s="28" t="n">
        <x:v>1</x:v>
      </x:c>
      <x:c r="AE984" s="28" t="n">
        <x:v>3</x:v>
      </x:c>
      <x:c r="AF984" s="28" t="n">
        <x:f>IF(Z984="Высокая",3,IF(Z984="Средняя",2,1))+AD984*2+MIN(AE984,3)</x:f>
        <x:v>7</x:v>
      </x:c>
    </x:row>
    <x:row r="985" ht="64" customHeight="1">
      <x:c r="A985" s="28" t="str">
        <x:v>VEG-0984</x:v>
      </x:c>
      <x:c r="B985" s="28" t="str">
        <x:v>фенхель</x:v>
      </x:c>
      <x:c r="C985" s="28" t="str">
        <x:v>Десерты и выпечка</x:v>
      </x:c>
      <x:c r="D985" s="28" t="str">
        <x:v>фенхель</x:v>
      </x:c>
      <x:c r="E985" s="28" t="str">
        <x:v>sea fennel (rocksamphire)</x:v>
      </x:c>
      <x:c r="F985" s="28" t="str">
        <x:v>Стеблевые овощи</x:v>
      </x:c>
      <x:c r="G985" s="28" t="str">
        <x:v>шоколад</x:v>
      </x:c>
      <x:c r="H985" s="28" t="str">
        <x:v>chocolate</x:v>
      </x:c>
      <x:c r="I985" s="28" t="str">
        <x:v>Какао и шоколад</x:v>
      </x:c>
      <x:c r="J985" s="28" t="str">
        <x:v>анисовый, зелёный, свежий и сладковатый</x:v>
      </x:c>
      <x:c r="K985" s="28" t="str">
        <x:v>жареный, какаовый, карамельный</x:v>
      </x:c>
      <x:c r="L985" s="28" t="str">
        <x:v>транс-анетол, фенхон, лимонен, эстрагол</x:v>
      </x:c>
      <x:c r="M985" s="28" t="str">
        <x:v>пиразины, фураны</x:v>
      </x:c>
      <x:c r="N985" s="28" t="str">
        <x:v>прямое пересечение семейств не подтверждено</x:v>
      </x:c>
      <x:c r="O985" s="28" t="str">
        <x:v>надёжная общая ключевая молекула не установлена</x:v>
      </x:c>
      <x:c r="P985" s="28" t="str">
        <x:v>сенсорная комплементарность</x:v>
      </x:c>
      <x:c r="Q985" s="28" t="str">
        <x:v>Баланс строится между растительной сладостью, горечью, кислотой, солью и умами; обработка определяет направление пары.</x:v>
      </x:c>
      <x:c r="R985" s="28" t="str">
        <x:v>прохладно-анисовое ощущение</x:v>
      </x:c>
      <x:c r="S985" s="28" t="str">
        <x:v>водная волокнистая луковица с гидрофобным эфирным маслом</x:v>
      </x:c>
      <x:c r="T985" s="28" t="str">
        <x:v>сырой сохраняет свежий анис; запекание смягчает аромат и усиливает сладость. </x:v>
      </x:c>
      <x:c r="U985" s="28" t="str">
        <x:v>Фенхель имеет профиль «анисовый, зелёный, свежий и сладковатый».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V985" s="28" t="str">
        <x:v>анетол быстро доминирует; длительная варка стирает свежесть; зелень и семена значительно концентрированнее луковицы; жареная горечь легко маскирует нежный овощной аромат</x:v>
      </x:c>
      <x:c r="W985" s="28" t="str">
        <x:v>сливки, орех или карамель</x:v>
      </x:c>
      <x:c r="X985" s="28" t="str">
        <x:v>салат, гарнир, суп, соус, маринад, ферментация или напиток с шоколад</x:v>
      </x:c>
      <x:c r="Y985" s="28" t="str">
        <x:v>десерты</x:v>
      </x:c>
      <x:c r="Z985" s="28" t="str">
        <x:v>Средняя</x:v>
      </x:c>
      <x:c r="AA985" s="28" t="str">
        <x:v>The Art &amp; Science of Foodpairing.pdf</x:v>
      </x:c>
      <x:c r="AB985" s="28" t="str">
        <x:v>The Art &amp; Science of Foodpairing.pdf: 62</x:v>
      </x:c>
      <x:c r="AC985" s="28" t="str">
        <x:v>связь из pairing grid, стр. 62</x:v>
      </x:c>
      <x:c r="AD985" s="28" t="n">
        <x:v>1</x:v>
      </x:c>
      <x:c r="AE985" s="28" t="n">
        <x:v>1</x:v>
      </x:c>
      <x:c r="AF985" s="28" t="n">
        <x:f>IF(Z985="Высокая",3,IF(Z985="Средняя",2,1))+AD985*2+MIN(AE985,3)</x:f>
        <x:v>5</x:v>
      </x:c>
    </x:row>
    <x:row r="986" ht="64" customHeight="1">
      <x:c r="A986" s="28" t="str">
        <x:v>VEG-0985</x:v>
      </x:c>
      <x:c r="B986" s="28" t="str">
        <x:v>цветная капуста</x:v>
      </x:c>
      <x:c r="C986" s="28" t="str">
        <x:v>Еда и соусы</x:v>
      </x:c>
      <x:c r="D986" s="28" t="str">
        <x:v>цветная капуста</x:v>
      </x:c>
      <x:c r="E986" s="28" t="str">
        <x:v>Цветная капуста | цветная капуста</x:v>
      </x:c>
      <x:c r="F986" s="28" t="str">
        <x:v>Крестоцветные</x:v>
      </x:c>
      <x:c r="G986" s="28" t="str">
        <x:v>анчоусы</x:v>
      </x:c>
      <x:c r="H986" s="28" t="str">
        <x:v>Анчоусы | анчоусы</x:v>
      </x:c>
      <x:c r="I986" s="28" t="str">
        <x:v>Рыба и морепродукты</x:v>
      </x:c>
      <x:c r="J986" s="28" t="str">
        <x:v>мягко капустный, ореховый, сернистый и сливочный после запекания</x:v>
      </x:c>
      <x:c r="K986" s="28" t="str">
        <x:v>морской, солоноватый и умами</x:v>
      </x:c>
      <x:c r="L986" s="28" t="str">
        <x:v>диметилсульфид, метантиол, изотиоцианаты, пиразины</x:v>
      </x:c>
      <x:c r="M986" s="28" t="str">
        <x:v>альдегиды, амины</x:v>
      </x:c>
      <x:c r="N986" s="28" t="str">
        <x:v>прямое пересечение семейств не подтверждено</x:v>
      </x:c>
      <x:c r="O986" s="28" t="str">
        <x:v>надёжная общая ключевая молекула не установлена</x:v>
      </x:c>
      <x:c r="P986" s="28" t="str">
        <x:v>умами и солёный контраст; сернистая или горчичная комплементарность</x:v>
      </x:c>
      <x:c r="Q98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86" s="28" t="str">
        <x:v>минимальный</x:v>
      </x:c>
      <x:c r="S986" s="28" t="str">
        <x:v>водная соцветная матрица, хорошо удерживающая жир и соус Белок и жир требуют контроля воды: для жареной ароматики поверхность должна подсохнуть.</x:v>
      </x:c>
      <x:c r="T98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86" s="28" t="str">
        <x:v>Цветная капуста имеет профиль «мягко капустный, ореховый, сернистый и сливочный после запекания».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86" s="28" t="str">
        <x:v>не переваривать; избыток воды делает вкус плоским; сернистость усиливается при хранении</x:v>
      </x:c>
      <x:c r="W986" s="28" t="str">
        <x:v>сливочное масло, соевый соус или тимьян</x:v>
      </x:c>
      <x:c r="X986" s="28" t="str">
        <x:v>горячее блюдо, бульон, соус, пюре, ферментация или гарнир с анчоусы</x:v>
      </x:c>
      <x:c r="Y986" s="28" t="str">
        <x:v>еда, соусы/маринады</x:v>
      </x:c>
      <x:c r="Z986" s="28" t="str">
        <x:v>Средняя</x:v>
      </x:c>
      <x:c r="AA986" s="28" t="str">
        <x:v>Тезариус вкусов (Ники Сегнит)(1).pdf</x:v>
      </x:c>
      <x:c r="AB986" s="28" t="str">
        <x:v>Тезариус вкусов (Ники Сегнит)(1).pdf: 321, 431</x:v>
      </x:c>
      <x:c r="AC986" s="28" t="str">
        <x:v>развёрнутая пара/статья, стр. 321; развёрнутая пара/статья, стр. 431</x:v>
      </x:c>
      <x:c r="AD986" s="28" t="n">
        <x:v>1</x:v>
      </x:c>
      <x:c r="AE986" s="28" t="n">
        <x:v>2</x:v>
      </x:c>
      <x:c r="AF986" s="28" t="n">
        <x:f>IF(Z986="Высокая",3,IF(Z986="Средняя",2,1))+AD986*2+MIN(AE986,3)</x:f>
        <x:v>6</x:v>
      </x:c>
    </x:row>
    <x:row r="987" ht="64" customHeight="1">
      <x:c r="A987" s="28" t="str">
        <x:v>VEG-0986</x:v>
      </x:c>
      <x:c r="B987" s="28" t="str">
        <x:v>цветная капуста</x:v>
      </x:c>
      <x:c r="C987" s="28" t="str">
        <x:v>Еда и соусы</x:v>
      </x:c>
      <x:c r="D987" s="28" t="str">
        <x:v>цветная капуста</x:v>
      </x:c>
      <x:c r="E987" s="28" t="str">
        <x:v>Цветная капуста | цветная капуста</x:v>
      </x:c>
      <x:c r="F987" s="28" t="str">
        <x:v>Крестоцветные</x:v>
      </x:c>
      <x:c r="G987" s="28" t="str">
        <x:v>брокколи</x:v>
      </x:c>
      <x:c r="H987" s="28" t="str">
        <x:v>Брокколи | брокколи</x:v>
      </x:c>
      <x:c r="I987" s="28" t="str">
        <x:v>Крестоцветные</x:v>
      </x:c>
      <x:c r="J987" s="28" t="str">
        <x:v>мягко капустный, ореховый, сернистый и сливочный после запекания</x:v>
      </x:c>
      <x:c r="K987" s="28" t="str">
        <x:v>зелёный, капустный, сернистый и ореховый после жарки</x:v>
      </x:c>
      <x:c r="L987" s="28" t="str">
        <x:v>диметилсульфид, метантиол, изотиоцианаты, пиразины</x:v>
      </x:c>
      <x:c r="M987" s="28" t="str">
        <x:v>гексаналь, диметилсульфид, изотиоцианаты, пиразины</x:v>
      </x:c>
      <x:c r="N987" s="28" t="str">
        <x:v>сернистый</x:v>
      </x:c>
      <x:c r="O987" s="28" t="str">
        <x:v>диметилсульфид, изотиоцианаты, пиразины</x:v>
      </x:c>
      <x:c r="P987" s="28" t="str">
        <x:v>общие характерные молекулы; пересечение ароматических семейств; сернистая или горчичная комплементарность</x:v>
      </x:c>
      <x:c r="Q98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87" s="28" t="str">
        <x:v>минимальный</x:v>
      </x:c>
      <x:c r="S987" s="28" t="str">
        <x:v>водная соцветная матрица, хорошо удерживающая жир и соус</x:v>
      </x:c>
      <x:c r="T98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87" s="28" t="str">
        <x:v>Цветная капуста имеет профиль «мягко капустный, ореховый, сернистый и сливочный после запекания». Партнёр «брокколи» относится к группе «Крестоцветные» и даёт зелёный, капустный, сернистый и ореховый после жарки. Вероятный молекулярный мост: диметилсульфид, изотиоцианаты, пиразины.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87" s="28" t="str">
        <x:v>не переваривать; избыток воды делает вкус плоским; сернистость усиливается при хранении</x:v>
      </x:c>
      <x:c r="W987" s="28" t="str">
        <x:v>соль, кислота или ароматический жир</x:v>
      </x:c>
      <x:c r="X987" s="28" t="str">
        <x:v>горячее блюдо, бульон, соус, пюре, ферментация или гарнир с брокколи</x:v>
      </x:c>
      <x:c r="Y987" s="28" t="str">
        <x:v>еда, соусы/маринады</x:v>
      </x:c>
      <x:c r="Z987" s="28" t="str">
        <x:v>Средняя</x:v>
      </x:c>
      <x:c r="AA987" s="28" t="str">
        <x:v>Тезариус вкусов (Ники Сегнит)(1).pdf</x:v>
      </x:c>
      <x:c r="AB987" s="28" t="str">
        <x:v>Тезариус вкусов (Ники Сегнит)(1).pdf: 321, 332</x:v>
      </x:c>
      <x:c r="AC987" s="28" t="str">
        <x:v>развёрнутая пара/статья, стр. 321; развёрнутая пара/статья, стр. 332</x:v>
      </x:c>
      <x:c r="AD987" s="28" t="n">
        <x:v>1</x:v>
      </x:c>
      <x:c r="AE987" s="28" t="n">
        <x:v>2</x:v>
      </x:c>
      <x:c r="AF987" s="28" t="n">
        <x:f>IF(Z987="Высокая",3,IF(Z987="Средняя",2,1))+AD987*2+MIN(AE987,3)</x:f>
        <x:v>6</x:v>
      </x:c>
    </x:row>
    <x:row r="988" ht="64" customHeight="1">
      <x:c r="A988" s="28" t="str">
        <x:v>VEG-0987</x:v>
      </x:c>
      <x:c r="B988" s="28" t="str">
        <x:v>цветная капуста</x:v>
      </x:c>
      <x:c r="C988" s="28" t="str">
        <x:v>Десерты и выпечка</x:v>
      </x:c>
      <x:c r="D988" s="28" t="str">
        <x:v>цветная капуста</x:v>
      </x:c>
      <x:c r="E988" s="28" t="str">
        <x:v>cauliflower with nutmeg</x:v>
      </x:c>
      <x:c r="F988" s="28" t="str">
        <x:v>Крестоцветные</x:v>
      </x:c>
      <x:c r="G988" s="28" t="str">
        <x:v>виноград</x:v>
      </x:c>
      <x:c r="H988" s="28" t="str">
        <x:v>grapes</x:v>
      </x:c>
      <x:c r="I988" s="28" t="str">
        <x:v>Фрукты и ягоды</x:v>
      </x:c>
      <x:c r="J988" s="28" t="str">
        <x:v>мягко капустный, ореховый, сернистый и сливочный после запекания</x:v>
      </x:c>
      <x:c r="K988" s="28" t="str">
        <x:v>фруктовый, цветочный и свежий</x:v>
      </x:c>
      <x:c r="L988" s="28" t="str">
        <x:v>диметилсульфид, метантиол, изотиоцианаты, пиразины</x:v>
      </x:c>
      <x:c r="M988" s="28" t="str">
        <x:v>альдегиды, эфиры</x:v>
      </x:c>
      <x:c r="N988" s="28" t="str">
        <x:v>прямое пересечение семейств не подтверждено</x:v>
      </x:c>
      <x:c r="O988" s="28" t="str">
        <x:v>надёжная общая ключевая молекула не установлена</x:v>
      </x:c>
      <x:c r="P988" s="28" t="str">
        <x:v>кислотно-сладкий баланс; сернистая или горчичная комплементарность</x:v>
      </x:c>
      <x:c r="Q98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88" s="28" t="str">
        <x:v>минимальный</x:v>
      </x:c>
      <x:c r="S988" s="28" t="str">
        <x:v>водная соцветная матрица, хорошо удерживающая жир и соус Водная кислая фаза усиливает свежесть, но может разжижать пюре и нарушать молочную эмульсию.</x:v>
      </x:c>
      <x:c r="T988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88" s="28" t="str">
        <x:v>Цветная капуста имеет профиль «мягко капустный, ореховый, сернистый и сливочный после запекания».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88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W988" s="28" t="str">
        <x:v>цитрус, мёд или мягкая трава</x:v>
      </x:c>
      <x:c r="X988" s="28" t="str">
        <x:v>горячее блюдо, бульон, соус, пюре, ферментация или гарнир с виноград</x:v>
      </x:c>
      <x:c r="Y988" s="28" t="str">
        <x:v>еда, десерты, соусы/маринады</x:v>
      </x:c>
      <x:c r="Z988" s="28" t="str">
        <x:v>Высокая</x:v>
      </x:c>
      <x:c r="AA988" s="28" t="str">
        <x:v>The Art &amp; Science of Foodpairing.pdf</x:v>
      </x:c>
      <x:c r="AB988" s="28" t="str">
        <x:v>The Art &amp; Science of Foodpairing.pdf: 66</x:v>
      </x:c>
      <x:c r="AC988" s="28" t="str">
        <x:v>Chef pairing, стр. 66</x:v>
      </x:c>
      <x:c r="AD988" s="28" t="n">
        <x:v>1</x:v>
      </x:c>
      <x:c r="AE988" s="28" t="n">
        <x:v>1</x:v>
      </x:c>
      <x:c r="AF988" s="28" t="n">
        <x:f>IF(Z988="Высокая",3,IF(Z988="Средняя",2,1))+AD988*2+MIN(AE988,3)</x:f>
        <x:v>6</x:v>
      </x:c>
    </x:row>
    <x:row r="989" ht="64" customHeight="1">
      <x:c r="A989" s="28" t="str">
        <x:v>VEG-0988</x:v>
      </x:c>
      <x:c r="B989" s="28" t="str">
        <x:v>цветная капуста</x:v>
      </x:c>
      <x:c r="C989" s="28" t="str">
        <x:v>Универсальные</x:v>
      </x:c>
      <x:c r="D989" s="28" t="str">
        <x:v>цветная капуста</x:v>
      </x:c>
      <x:c r="E989" s="28" t="str">
        <x:v>cauliflower</x:v>
      </x:c>
      <x:c r="F989" s="28" t="str">
        <x:v>Крестоцветные</x:v>
      </x:c>
      <x:c r="G989" s="28" t="str">
        <x:v>гибискус</x:v>
      </x:c>
      <x:c r="H989" s="28" t="str">
        <x:v>dried hibiscus flower</x:v>
      </x:c>
      <x:c r="I989" s="28" t="str">
        <x:v>Прочее</x:v>
      </x:c>
      <x:c r="J989" s="28" t="str">
        <x:v>мягко капустный, ореховый, сернистый и сливочный после запекания</x:v>
      </x:c>
      <x:c r="K989" s="28" t="str">
        <x:v>профиль зависит от конкретного продукта</x:v>
      </x:c>
      <x:c r="L989" s="28" t="str">
        <x:v>диметилсульфид, метантиол, изотиоцианаты, пиразины</x:v>
      </x:c>
      <x:c r="M989" s="28" t="str">
        <x:v>конкретный молекулярный профиль не указан</x:v>
      </x:c>
      <x:c r="N989" s="28" t="str">
        <x:v>прямое пересечение семейств не подтверждено</x:v>
      </x:c>
      <x:c r="O989" s="28" t="str">
        <x:v>надёжная общая ключевая молекула не установлена</x:v>
      </x:c>
      <x:c r="P989" s="28" t="str">
        <x:v>сернистая или горчичная комплементарность</x:v>
      </x:c>
      <x:c r="Q98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89" s="28" t="str">
        <x:v>минимальный</x:v>
      </x:c>
      <x:c r="S989" s="28" t="str">
        <x:v>водная соцветная матрица, хорошо удерживающая жир и соус</x:v>
      </x:c>
      <x:c r="T98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89" s="28" t="str">
        <x:v>Цветная капуста имеет профиль «мягко капустный, ореховый, сернистый и сливочный после запекания».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89" s="28" t="str">
        <x:v>не переваривать; избыток воды делает вкус плоским; сернистость усиливается при хранении</x:v>
      </x:c>
      <x:c r="W989" s="28" t="str">
        <x:v>соль, кислота или ароматический жир</x:v>
      </x:c>
      <x:c r="X989" s="28" t="str">
        <x:v>горячее блюдо, бульон, соус, пюре, ферментация или гарнир с гибискус</x:v>
      </x:c>
      <x:c r="Y989" s="28" t="str">
        <x:v>еда, соусы/маринады</x:v>
      </x:c>
      <x:c r="Z989" s="28" t="str">
        <x:v>Средняя</x:v>
      </x:c>
      <x:c r="AA989" s="28" t="str">
        <x:v>The Art &amp; Science of Foodpairing.pdf</x:v>
      </x:c>
      <x:c r="AB989" s="28" t="str">
        <x:v>The Art &amp; Science of Foodpairing.pdf: 67</x:v>
      </x:c>
      <x:c r="AC989" s="28" t="str">
        <x:v>связь из pairing grid, стр. 67</x:v>
      </x:c>
      <x:c r="AD989" s="28" t="n">
        <x:v>1</x:v>
      </x:c>
      <x:c r="AE989" s="28" t="n">
        <x:v>1</x:v>
      </x:c>
      <x:c r="AF989" s="28" t="n">
        <x:f>IF(Z989="Высокая",3,IF(Z989="Средняя",2,1))+AD989*2+MIN(AE989,3)</x:f>
        <x:v>5</x:v>
      </x:c>
    </x:row>
    <x:row r="990" ht="64" customHeight="1">
      <x:c r="A990" s="28" t="str">
        <x:v>VEG-0989</x:v>
      </x:c>
      <x:c r="B990" s="28" t="str">
        <x:v>цветная капуста</x:v>
      </x:c>
      <x:c r="C990" s="28" t="str">
        <x:v>Десерты и выпечка</x:v>
      </x:c>
      <x:c r="D990" s="28" t="str">
        <x:v>цветная капуста</x:v>
      </x:c>
      <x:c r="E990" s="28" t="str">
        <x:v>Цветная капуста | цветная капуста</x:v>
      </x:c>
      <x:c r="F990" s="28" t="str">
        <x:v>Крестоцветные</x:v>
      </x:c>
      <x:c r="G990" s="28" t="str">
        <x:v>грецкий орех</x:v>
      </x:c>
      <x:c r="H990" s="28" t="str">
        <x:v>Грецкий орех | грецкий орех</x:v>
      </x:c>
      <x:c r="I990" s="28" t="str">
        <x:v>Орехи и семена</x:v>
      </x:c>
      <x:c r="J990" s="28" t="str">
        <x:v>мягко капустный, ореховый, сернистый и сливочный после запекания</x:v>
      </x:c>
      <x:c r="K990" s="28" t="str">
        <x:v>древесный, землистый, ореховый</x:v>
      </x:c>
      <x:c r="L990" s="28" t="str">
        <x:v>диметилсульфид, метантиол, изотиоцианаты, пиразины</x:v>
      </x:c>
      <x:c r="M990" s="28" t="str">
        <x:v>альдегиды, пиразины</x:v>
      </x:c>
      <x:c r="N990" s="28" t="str">
        <x:v>ореховый</x:v>
      </x:c>
      <x:c r="O990" s="28" t="str">
        <x:v>пиразины</x:v>
      </x:c>
      <x:c r="P990" s="28" t="str">
        <x:v>общие характерные молекулы; пересечение ароматических семейств; сернистая или горчичная комплементарность</x:v>
      </x:c>
      <x:c r="Q99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0" s="28" t="str">
        <x:v>минимальный</x:v>
      </x:c>
      <x:c r="S990" s="28" t="str">
        <x:v>водная соцветная матрица, хорошо удерживающая жир и соус</x:v>
      </x:c>
      <x:c r="T99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0" s="28" t="str">
        <x:v>Цветная капуста имеет профиль «мягко капустный, ореховый, сернистый и сливочный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0" s="28" t="str">
        <x:v>не переваривать; избыток воды делает вкус плоским; сернистость усиливается при хранении</x:v>
      </x:c>
      <x:c r="W990" s="28" t="str">
        <x:v>соль, кислота или ароматический жир</x:v>
      </x:c>
      <x:c r="X990" s="28" t="str">
        <x:v>горячее блюдо, бульон, соус, пюре, ферментация или гарнир с грецкий орех</x:v>
      </x:c>
      <x:c r="Y990" s="28" t="str">
        <x:v>еда, десерты, соусы/маринады</x:v>
      </x:c>
      <x:c r="Z990" s="28" t="str">
        <x:v>Средняя</x:v>
      </x:c>
      <x:c r="AA990" s="28" t="str">
        <x:v>Тезариус вкусов (Ники Сегнит)(1).pdf</x:v>
      </x:c>
      <x:c r="AB990" s="28" t="str">
        <x:v>Тезариус вкусов (Ники Сегнит)(1).pdf: 321, 629</x:v>
      </x:c>
      <x:c r="AC990" s="28" t="str">
        <x:v>развёрнутая пара/статья, стр. 321; развёрнутая пара/статья, стр. 629</x:v>
      </x:c>
      <x:c r="AD990" s="28" t="n">
        <x:v>1</x:v>
      </x:c>
      <x:c r="AE990" s="28" t="n">
        <x:v>2</x:v>
      </x:c>
      <x:c r="AF990" s="28" t="n">
        <x:f>IF(Z990="Высокая",3,IF(Z990="Средняя",2,1))+AD990*2+MIN(AE990,3)</x:f>
        <x:v>6</x:v>
      </x:c>
    </x:row>
    <x:row r="991" ht="64" customHeight="1">
      <x:c r="A991" s="28" t="str">
        <x:v>VEG-0990</x:v>
      </x:c>
      <x:c r="B991" s="28" t="str">
        <x:v>цветная капуста</x:v>
      </x:c>
      <x:c r="C991" s="28" t="str">
        <x:v>Универсальные</x:v>
      </x:c>
      <x:c r="D991" s="28" t="str">
        <x:v>цветная капуста</x:v>
      </x:c>
      <x:c r="E991" s="28" t="str">
        <x:v>Цветная капуста | цветная капуста</x:v>
      </x:c>
      <x:c r="F991" s="28" t="str">
        <x:v>Крестоцветные</x:v>
      </x:c>
      <x:c r="G991" s="28" t="str">
        <x:v>зира</x:v>
      </x:c>
      <x:c r="H991" s="28" t="str">
        <x:v>Зира | зира</x:v>
      </x:c>
      <x:c r="I991" s="28" t="str">
        <x:v>Специи</x:v>
      </x:c>
      <x:c r="J991" s="28" t="str">
        <x:v>мягко капустный, ореховый, сернистый и сливочный после запекания</x:v>
      </x:c>
      <x:c r="K991" s="28" t="str">
        <x:v>жареный, землистый, пряный</x:v>
      </x:c>
      <x:c r="L991" s="28" t="str">
        <x:v>диметилсульфид, метантиол, изотиоцианаты, пиразины</x:v>
      </x:c>
      <x:c r="M991" s="28" t="str">
        <x:v>куминовый альдегид, терпены</x:v>
      </x:c>
      <x:c r="N991" s="28" t="str">
        <x:v>прямое пересечение семейств не подтверждено</x:v>
      </x:c>
      <x:c r="O991" s="28" t="str">
        <x:v>надёжная общая ключевая молекула не установлена</x:v>
      </x:c>
      <x:c r="P991" s="28" t="str">
        <x:v>сернистая или горчичная комплементарность</x:v>
      </x:c>
      <x:c r="Q99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1" s="28" t="str">
        <x:v>минимальный</x:v>
      </x:c>
      <x:c r="S991" s="28" t="str">
        <x:v>водная соцветная матрица, хорошо удерживающая жир и соус</x:v>
      </x:c>
      <x:c r="T99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1" s="28" t="str">
        <x:v>Цветная капуста имеет профиль «мягко капустный, ореховый, сернистый и сливочный после запекания». Партнёр «зира» относится к группе «Специи» и даёт жареный, землистый, пряный.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1" s="28" t="str">
        <x:v>не переваривать; избыток воды делает вкус плоским; сернистость усиливается при хранении</x:v>
      </x:c>
      <x:c r="W991" s="28" t="str">
        <x:v>цитрус, йогурт или мёд</x:v>
      </x:c>
      <x:c r="X991" s="28" t="str">
        <x:v>горячее блюдо, бульон, соус, пюре, ферментация или гарнир с зира</x:v>
      </x:c>
      <x:c r="Y991" s="28" t="str">
        <x:v>еда, соусы/маринады</x:v>
      </x:c>
      <x:c r="Z991" s="28" t="str">
        <x:v>Средняя</x:v>
      </x:c>
      <x:c r="AA991" s="28" t="str">
        <x:v>Тезариус вкусов (Ники Сегнит)(1).pdf</x:v>
      </x:c>
      <x:c r="AB991" s="28" t="str">
        <x:v>Тезариус вкусов (Ники Сегнит)(1).pdf: 220, 322</x:v>
      </x:c>
      <x:c r="AC991" s="28" t="str">
        <x:v>развёрнутая пара/статья, стр. 220; развёрнутая пара/статья, стр. 322</x:v>
      </x:c>
      <x:c r="AD991" s="28" t="n">
        <x:v>1</x:v>
      </x:c>
      <x:c r="AE991" s="28" t="n">
        <x:v>2</x:v>
      </x:c>
      <x:c r="AF991" s="28" t="n">
        <x:f>IF(Z991="Высокая",3,IF(Z991="Средняя",2,1))+AD991*2+MIN(AE991,3)</x:f>
        <x:v>6</x:v>
      </x:c>
    </x:row>
    <x:row r="992" ht="64" customHeight="1">
      <x:c r="A992" s="28" t="str">
        <x:v>VEG-0991</x:v>
      </x:c>
      <x:c r="B992" s="28" t="str">
        <x:v>цветная капуста</x:v>
      </x:c>
      <x:c r="C992" s="28" t="str">
        <x:v>Универсальные</x:v>
      </x:c>
      <x:c r="D992" s="28" t="str">
        <x:v>цветная капуста</x:v>
      </x:c>
      <x:c r="E992" s="28" t="str">
        <x:v>Цветная капуста | цветная капуста</x:v>
      </x:c>
      <x:c r="F992" s="28" t="str">
        <x:v>Крестоцветные</x:v>
      </x:c>
      <x:c r="G992" s="28" t="str">
        <x:v>каперсы</x:v>
      </x:c>
      <x:c r="H992" s="28" t="str">
        <x:v>Каперсы | каперсы</x:v>
      </x:c>
      <x:c r="I992" s="28" t="str">
        <x:v>Прочее</x:v>
      </x:c>
      <x:c r="J992" s="28" t="str">
        <x:v>мягко капустный, ореховый, сернистый и сливочный после запекания</x:v>
      </x:c>
      <x:c r="K992" s="28" t="str">
        <x:v>профиль зависит от конкретного продукта</x:v>
      </x:c>
      <x:c r="L992" s="28" t="str">
        <x:v>диметилсульфид, метантиол, изотиоцианаты, пиразины</x:v>
      </x:c>
      <x:c r="M992" s="28" t="str">
        <x:v>конкретный молекулярный профиль не указан</x:v>
      </x:c>
      <x:c r="N992" s="28" t="str">
        <x:v>прямое пересечение семейств не подтверждено</x:v>
      </x:c>
      <x:c r="O992" s="28" t="str">
        <x:v>надёжная общая ключевая молекула не установлена</x:v>
      </x:c>
      <x:c r="P992" s="28" t="str">
        <x:v>сернистая или горчичная комплементарность</x:v>
      </x:c>
      <x:c r="Q99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2" s="28" t="str">
        <x:v>минимальный</x:v>
      </x:c>
      <x:c r="S992" s="28" t="str">
        <x:v>водная соцветная матрица, хорошо удерживающая жир и соус</x:v>
      </x:c>
      <x:c r="T99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2" s="28" t="str">
        <x:v>Цветная капуста имеет профиль «мягко капустный, ореховый, сернистый и сливочный после запекания».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2" s="28" t="str">
        <x:v>не переваривать; избыток воды делает вкус плоским; сернистость усиливается при хранении</x:v>
      </x:c>
      <x:c r="W992" s="28" t="str">
        <x:v>соль, кислота или ароматический жир</x:v>
      </x:c>
      <x:c r="X992" s="28" t="str">
        <x:v>горячее блюдо, бульон, соус, пюре, ферментация или гарнир с каперсы</x:v>
      </x:c>
      <x:c r="Y992" s="28" t="str">
        <x:v>еда, соусы/маринады</x:v>
      </x:c>
      <x:c r="Z992" s="28" t="str">
        <x:v>Средняя</x:v>
      </x:c>
      <x:c r="AA992" s="28" t="str">
        <x:v>Тезариус вкусов (Ники Сегнит)(1).pdf</x:v>
      </x:c>
      <x:c r="AB992" s="28" t="str">
        <x:v>Тезариус вкусов (Ники Сегнит)(1).pdf: 271, 322</x:v>
      </x:c>
      <x:c r="AC992" s="28" t="str">
        <x:v>развёрнутая пара/статья, стр. 271; развёрнутая пара/статья, стр. 322</x:v>
      </x:c>
      <x:c r="AD992" s="28" t="n">
        <x:v>1</x:v>
      </x:c>
      <x:c r="AE992" s="28" t="n">
        <x:v>2</x:v>
      </x:c>
      <x:c r="AF992" s="28" t="n">
        <x:f>IF(Z992="Высокая",3,IF(Z992="Средняя",2,1))+AD992*2+MIN(AE992,3)</x:f>
        <x:v>6</x:v>
      </x:c>
    </x:row>
    <x:row r="993" ht="64" customHeight="1">
      <x:c r="A993" s="28" t="str">
        <x:v>VEG-0992</x:v>
      </x:c>
      <x:c r="B993" s="28" t="str">
        <x:v>цветная капуста</x:v>
      </x:c>
      <x:c r="C993" s="28" t="str">
        <x:v>Еда и соусы</x:v>
      </x:c>
      <x:c r="D993" s="28" t="str">
        <x:v>цветная капуста</x:v>
      </x:c>
      <x:c r="E993" s="28" t="str">
        <x:v>cauliflower</x:v>
      </x:c>
      <x:c r="F993" s="28" t="str">
        <x:v>Крестоцветные</x:v>
      </x:c>
      <x:c r="G993" s="28" t="str">
        <x:v>кимчи</x:v>
      </x:c>
      <x:c r="H993" s="28" t="str">
        <x:v>baechu kimchi</x:v>
      </x:c>
      <x:c r="I993" s="28" t="str">
        <x:v>Ферментированные продукты и соусы</x:v>
      </x:c>
      <x:c r="J993" s="28" t="str">
        <x:v>мягко капустный, ореховый, сернистый и сливочный после запекания</x:v>
      </x:c>
      <x:c r="K993" s="28" t="str">
        <x:v>ферментированный, умами и сложный</x:v>
      </x:c>
      <x:c r="L993" s="28" t="str">
        <x:v>диметилсульфид, метантиол, изотиоцианаты, пиразины</x:v>
      </x:c>
      <x:c r="M993" s="28" t="str">
        <x:v>пиразины, фураны, эфиры</x:v>
      </x:c>
      <x:c r="N993" s="28" t="str">
        <x:v>прямое пересечение семейств не подтверждено</x:v>
      </x:c>
      <x:c r="O993" s="28" t="str">
        <x:v>пиразины</x:v>
      </x:c>
      <x:c r="P993" s="28" t="str">
        <x:v>общие характерные молекулы; умами и солёный контраст; сернистая или горчичная комплементарность</x:v>
      </x:c>
      <x:c r="Q99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3" s="28" t="str">
        <x:v>минимальный</x:v>
      </x:c>
      <x:c r="S993" s="28" t="str">
        <x:v>водная соцветная матрица, хорошо удерживающая жир и соус</x:v>
      </x:c>
      <x:c r="T99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3" s="28" t="str">
        <x:v>Цветная капуста имеет профиль «мягко капустный, ореховый, сернистый и сливочный после запекания». Партнёр «кимчи»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3" s="28" t="str">
        <x:v>не переваривать; избыток воды делает вкус плоским; сернистость усиливается при хранении</x:v>
      </x:c>
      <x:c r="W993" s="28" t="str">
        <x:v>имбирь, чеснок или кунжут</x:v>
      </x:c>
      <x:c r="X993" s="28" t="str">
        <x:v>горячее блюдо, бульон, соус, пюре, ферментация или гарнир с кимчи</x:v>
      </x:c>
      <x:c r="Y993" s="28" t="str">
        <x:v>еда, соусы/маринады</x:v>
      </x:c>
      <x:c r="Z993" s="28" t="str">
        <x:v>Средняя</x:v>
      </x:c>
      <x:c r="AA993" s="28" t="str">
        <x:v>The Art &amp; Science of Foodpairing.pdf</x:v>
      </x:c>
      <x:c r="AB993" s="28" t="str">
        <x:v>The Art &amp; Science of Foodpairing.pdf: 305</x:v>
      </x:c>
      <x:c r="AC993" s="28" t="str">
        <x:v>связь из pairing grid, стр. 305</x:v>
      </x:c>
      <x:c r="AD993" s="28" t="n">
        <x:v>1</x:v>
      </x:c>
      <x:c r="AE993" s="28" t="n">
        <x:v>1</x:v>
      </x:c>
      <x:c r="AF993" s="28" t="n">
        <x:f>IF(Z993="Высокая",3,IF(Z993="Средняя",2,1))+AD993*2+MIN(AE993,3)</x:f>
        <x:v>5</x:v>
      </x:c>
    </x:row>
    <x:row r="994" ht="64" customHeight="1">
      <x:c r="A994" s="28" t="str">
        <x:v>VEG-0993</x:v>
      </x:c>
      <x:c r="B994" s="28" t="str">
        <x:v>цветная капуста</x:v>
      </x:c>
      <x:c r="C994" s="28" t="str">
        <x:v>Десерты и выпечка</x:v>
      </x:c>
      <x:c r="D994" s="28" t="str">
        <x:v>цветная капуста</x:v>
      </x:c>
      <x:c r="E994" s="28" t="str">
        <x:v>cauliflower</x:v>
      </x:c>
      <x:c r="F994" s="28" t="str">
        <x:v>Крестоцветные</x:v>
      </x:c>
      <x:c r="G994" s="28" t="str">
        <x:v>клубника</x:v>
      </x:c>
      <x:c r="H994" s="28" t="str">
        <x:v>strawberry</x:v>
      </x:c>
      <x:c r="I994" s="28" t="str">
        <x:v>Фрукты и ягоды</x:v>
      </x:c>
      <x:c r="J994" s="28" t="str">
        <x:v>мягко капустный, ореховый, сернистый и сливочный после запекания</x:v>
      </x:c>
      <x:c r="K994" s="28" t="str">
        <x:v>зелёный, карамельный, фруктовый</x:v>
      </x:c>
      <x:c r="L994" s="28" t="str">
        <x:v>диметилсульфид, метантиол, изотиоцианаты, пиразины</x:v>
      </x:c>
      <x:c r="M994" s="28" t="str">
        <x:v>фуранеол, эфиры</x:v>
      </x:c>
      <x:c r="N994" s="28" t="str">
        <x:v>прямое пересечение семейств не подтверждено</x:v>
      </x:c>
      <x:c r="O994" s="28" t="str">
        <x:v>надёжная общая ключевая молекула не установлена</x:v>
      </x:c>
      <x:c r="P994" s="28" t="str">
        <x:v>кислотно-сладкий баланс; сернистая или горчичная комплементарность</x:v>
      </x:c>
      <x:c r="Q99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4" s="28" t="str">
        <x:v>минимальный</x:v>
      </x:c>
      <x:c r="S994" s="28" t="str">
        <x:v>водная соцветная матрица, хорошо удерживающая жир и соус Водная кислая фаза усиливает свежесть, но может разжижать пюре и нарушать молочную эмульсию.</x:v>
      </x:c>
      <x:c r="T99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4" s="28" t="str">
        <x:v>Цветная капуста имеет профиль «мягко капустный, ореховый, сернистый и сливочный после запекания».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4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W994" s="28" t="str">
        <x:v>цитрус, мёд или мягкая трава</x:v>
      </x:c>
      <x:c r="X994" s="28" t="str">
        <x:v>горячее блюдо, бульон, соус, пюре, ферментация или гарнир с клубника</x:v>
      </x:c>
      <x:c r="Y994" s="28" t="str">
        <x:v>еда, десерты, соусы/маринады</x:v>
      </x:c>
      <x:c r="Z994" s="28" t="str">
        <x:v>Высокая</x:v>
      </x:c>
      <x:c r="AA994" s="28" t="str">
        <x:v>The Art &amp; Science of Foodpairing.pdf</x:v>
      </x:c>
      <x:c r="AB994" s="28" t="str">
        <x:v>The Art &amp; Science of Foodpairing.pdf: 67</x:v>
      </x:c>
      <x:c r="AC994" s="28" t="str">
        <x:v>прямая Potential pairing, стр. 67</x:v>
      </x:c>
      <x:c r="AD994" s="28" t="n">
        <x:v>1</x:v>
      </x:c>
      <x:c r="AE994" s="28" t="n">
        <x:v>1</x:v>
      </x:c>
      <x:c r="AF994" s="28" t="n">
        <x:f>IF(Z994="Высокая",3,IF(Z994="Средняя",2,1))+AD994*2+MIN(AE994,3)</x:f>
        <x:v>6</x:v>
      </x:c>
    </x:row>
    <x:row r="995" ht="64" customHeight="1">
      <x:c r="A995" s="28" t="str">
        <x:v>VEG-0994</x:v>
      </x:c>
      <x:c r="B995" s="28" t="str">
        <x:v>цветная капуста</x:v>
      </x:c>
      <x:c r="C995" s="28" t="str">
        <x:v>Универсальные</x:v>
      </x:c>
      <x:c r="D995" s="28" t="str">
        <x:v>цветная капуста</x:v>
      </x:c>
      <x:c r="E995" s="28" t="str">
        <x:v>cauliflower</x:v>
      </x:c>
      <x:c r="F995" s="28" t="str">
        <x:v>Крестоцветные</x:v>
      </x:c>
      <x:c r="G995" s="28" t="str">
        <x:v>корица</x:v>
      </x:c>
      <x:c r="H995" s="28" t="str">
        <x:v>cinnamon</x:v>
      </x:c>
      <x:c r="I995" s="28" t="str">
        <x:v>Специи</x:v>
      </x:c>
      <x:c r="J995" s="28" t="str">
        <x:v>мягко капустный, ореховый, сернистый и сливочный после запекания</x:v>
      </x:c>
      <x:c r="K995" s="28" t="str">
        <x:v>древесный, пряный, сладкий</x:v>
      </x:c>
      <x:c r="L995" s="28" t="str">
        <x:v>диметилсульфид, метантиол, изотиоцианаты, пиразины</x:v>
      </x:c>
      <x:c r="M995" s="28" t="str">
        <x:v>циннамальдегид, эвгенол</x:v>
      </x:c>
      <x:c r="N995" s="28" t="str">
        <x:v>прямое пересечение семейств не подтверждено</x:v>
      </x:c>
      <x:c r="O995" s="28" t="str">
        <x:v>надёжная общая ключевая молекула не установлена</x:v>
      </x:c>
      <x:c r="P995" s="28" t="str">
        <x:v>сернистая или горчичная комплементарность</x:v>
      </x:c>
      <x:c r="Q99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5" s="28" t="str">
        <x:v>минимальный</x:v>
      </x:c>
      <x:c r="S995" s="28" t="str">
        <x:v>водная соцветная матрица, хорошо удерживающая жир и соус</x:v>
      </x:c>
      <x:c r="T99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5" s="28" t="str">
        <x:v>Цветная капуста имеет профиль «мягко капустный, ореховый, сернистый и сливочный после запекания».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5" s="28" t="str">
        <x:v>не переваривать; избыток воды делает вкус плоским; сернистость усиливается при хранении</x:v>
      </x:c>
      <x:c r="W995" s="28" t="str">
        <x:v>цитрус, йогурт или мёд</x:v>
      </x:c>
      <x:c r="X995" s="28" t="str">
        <x:v>горячее блюдо, бульон, соус, пюре, ферментация или гарнир с корица</x:v>
      </x:c>
      <x:c r="Y995" s="28" t="str">
        <x:v>еда, соусы/маринады</x:v>
      </x:c>
      <x:c r="Z995" s="28" t="str">
        <x:v>Средняя</x:v>
      </x:c>
      <x:c r="AA995" s="28" t="str">
        <x:v>The Art &amp; Science of Foodpairing.pdf</x:v>
      </x:c>
      <x:c r="AB995" s="28" t="str">
        <x:v>The Art &amp; Science of Foodpairing.pdf: 67</x:v>
      </x:c>
      <x:c r="AC995" s="28" t="str">
        <x:v>связь из pairing grid, стр. 67</x:v>
      </x:c>
      <x:c r="AD995" s="28" t="n">
        <x:v>1</x:v>
      </x:c>
      <x:c r="AE995" s="28" t="n">
        <x:v>1</x:v>
      </x:c>
      <x:c r="AF995" s="28" t="n">
        <x:f>IF(Z995="Высокая",3,IF(Z995="Средняя",2,1))+AD995*2+MIN(AE995,3)</x:f>
        <x:v>5</x:v>
      </x:c>
    </x:row>
    <x:row r="996" ht="64" customHeight="1">
      <x:c r="A996" s="28" t="str">
        <x:v>VEG-0995</x:v>
      </x:c>
      <x:c r="B996" s="28" t="str">
        <x:v>цветная капуста</x:v>
      </x:c>
      <x:c r="C996" s="28" t="str">
        <x:v>Напитки</x:v>
      </x:c>
      <x:c r="D996" s="28" t="str">
        <x:v>цветная капуста</x:v>
      </x:c>
      <x:c r="E996" s="28" t="str">
        <x:v>boiled cauliflower</x:v>
      </x:c>
      <x:c r="F996" s="28" t="str">
        <x:v>Крестоцветные</x:v>
      </x:c>
      <x:c r="G996" s="28" t="str">
        <x:v>кофе</x:v>
      </x:c>
      <x:c r="H996" s="28" t="str">
        <x:v>coffee</x:v>
      </x:c>
      <x:c r="I996" s="28" t="str">
        <x:v>Кофе</x:v>
      </x:c>
      <x:c r="J996" s="28" t="str">
        <x:v>мягко капустный, ореховый, сернистый и сливочный после запекания</x:v>
      </x:c>
      <x:c r="K996" s="28" t="str">
        <x:v>жареный, карамельный, ореховый</x:v>
      </x:c>
      <x:c r="L996" s="28" t="str">
        <x:v>диметилсульфид, метантиол, изотиоцианаты, пиразины</x:v>
      </x:c>
      <x:c r="M996" s="28" t="str">
        <x:v>гваякол, пиразины, фураны</x:v>
      </x:c>
      <x:c r="N996" s="28" t="str">
        <x:v>ореховый</x:v>
      </x:c>
      <x:c r="O996" s="28" t="str">
        <x:v>пиразины</x:v>
      </x:c>
      <x:c r="P996" s="28" t="str">
        <x:v>общие характерные молекулы; пересечение ароматических семейств; сернистая или горчичная комплементарность</x:v>
      </x:c>
      <x:c r="Q99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6" s="28" t="str">
        <x:v>минимальный</x:v>
      </x:c>
      <x:c r="S996" s="28" t="str">
        <x:v>водная соцветная матрица, хорошо удерживающая жир и соус</x:v>
      </x:c>
      <x:c r="T99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6" s="28" t="str">
        <x:v>Цветная капуста имеет профиль «мягко капустный, ореховый, сернистый и сливочный после запекания».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6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W996" s="28" t="str">
        <x:v>сливки, орех или карамель</x:v>
      </x:c>
      <x:c r="X996" s="28" t="str">
        <x:v>горячее блюдо, бульон, соус, пюре, ферментация или гарнир с кофе</x:v>
      </x:c>
      <x:c r="Y996" s="28" t="str">
        <x:v>напитки, еда, соусы/маринады</x:v>
      </x:c>
      <x:c r="Z996" s="28" t="str">
        <x:v>Средняя</x:v>
      </x:c>
      <x:c r="AA996" s="28" t="str">
        <x:v>The Art &amp; Science of Foodpairing.pdf</x:v>
      </x:c>
      <x:c r="AB996" s="28" t="str">
        <x:v>The Art &amp; Science of Foodpairing.pdf: 297</x:v>
      </x:c>
      <x:c r="AC996" s="28" t="str">
        <x:v>связь из pairing grid, стр. 297</x:v>
      </x:c>
      <x:c r="AD996" s="28" t="n">
        <x:v>1</x:v>
      </x:c>
      <x:c r="AE996" s="28" t="n">
        <x:v>1</x:v>
      </x:c>
      <x:c r="AF996" s="28" t="n">
        <x:f>IF(Z996="Высокая",3,IF(Z996="Средняя",2,1))+AD996*2+MIN(AE996,3)</x:f>
        <x:v>5</x:v>
      </x:c>
    </x:row>
    <x:row r="997" ht="64" customHeight="1">
      <x:c r="A997" s="28" t="str">
        <x:v>VEG-0996</x:v>
      </x:c>
      <x:c r="B997" s="28" t="str">
        <x:v>цветная капуста</x:v>
      </x:c>
      <x:c r="C997" s="28" t="str">
        <x:v>Десерты и выпечка</x:v>
      </x:c>
      <x:c r="D997" s="28" t="str">
        <x:v>цветная капуста</x:v>
      </x:c>
      <x:c r="E997" s="28" t="str">
        <x:v>Цветная капуста | цветная капуста</x:v>
      </x:c>
      <x:c r="F997" s="28" t="str">
        <x:v>Крестоцветные</x:v>
      </x:c>
      <x:c r="G997" s="28" t="str">
        <x:v>миндаль</x:v>
      </x:c>
      <x:c r="H997" s="28" t="str">
        <x:v>Миндаль | миндаль</x:v>
      </x:c>
      <x:c r="I997" s="28" t="str">
        <x:v>Орехи и семена</x:v>
      </x:c>
      <x:c r="J997" s="28" t="str">
        <x:v>мягко капустный, ореховый, сернистый и сливочный после запекания</x:v>
      </x:c>
      <x:c r="K997" s="28" t="str">
        <x:v>жареный, миндальный, ореховый</x:v>
      </x:c>
      <x:c r="L997" s="28" t="str">
        <x:v>диметилсульфид, метантиол, изотиоцианаты, пиразины</x:v>
      </x:c>
      <x:c r="M997" s="28" t="str">
        <x:v>бензальдегид, пиразины</x:v>
      </x:c>
      <x:c r="N997" s="28" t="str">
        <x:v>ореховый</x:v>
      </x:c>
      <x:c r="O997" s="28" t="str">
        <x:v>пиразины</x:v>
      </x:c>
      <x:c r="P997" s="28" t="str">
        <x:v>общие характерные молекулы; пересечение ароматических семейств; сернистая или горчичная комплементарность</x:v>
      </x:c>
      <x:c r="Q99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7" s="28" t="str">
        <x:v>минимальный</x:v>
      </x:c>
      <x:c r="S997" s="28" t="str">
        <x:v>водная соцветная матрица, хорошо удерживающая жир и соус</x:v>
      </x:c>
      <x:c r="T99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7" s="28" t="str">
        <x:v>Цветная капуста имеет профиль «мягко капустный, ореховый, сернистый и сливочный после запекания». Партнёр «миндаль» относится к группе «Орехи и семена» и даёт жареный, миндальный,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7" s="28" t="str">
        <x:v>не переваривать; избыток воды делает вкус плоским; сернистость усиливается при хранении</x:v>
      </x:c>
      <x:c r="W997" s="28" t="str">
        <x:v>соль, кислота или ароматический жир</x:v>
      </x:c>
      <x:c r="X997" s="28" t="str">
        <x:v>горячее блюдо, бульон, соус, пюре, ферментация или гарнир с миндаль</x:v>
      </x:c>
      <x:c r="Y997" s="28" t="str">
        <x:v>еда, десерты, соусы/маринады</x:v>
      </x:c>
      <x:c r="Z997" s="28" t="str">
        <x:v>Средняя</x:v>
      </x:c>
      <x:c r="AA997" s="28" t="str">
        <x:v>Тезариус вкусов (Ники Сегнит)(1).pdf</x:v>
      </x:c>
      <x:c r="AB997" s="28" t="str">
        <x:v>Тезариус вкусов (Ники Сегнит)(1).pdf: 324, 648</x:v>
      </x:c>
      <x:c r="AC997" s="28" t="str">
        <x:v>развёрнутая пара/статья, стр. 324; развёрнутая пара/статья, стр. 648</x:v>
      </x:c>
      <x:c r="AD997" s="28" t="n">
        <x:v>1</x:v>
      </x:c>
      <x:c r="AE997" s="28" t="n">
        <x:v>2</x:v>
      </x:c>
      <x:c r="AF997" s="28" t="n">
        <x:f>IF(Z997="Высокая",3,IF(Z997="Средняя",2,1))+AD997*2+MIN(AE997,3)</x:f>
        <x:v>6</x:v>
      </x:c>
    </x:row>
    <x:row r="998" ht="64" customHeight="1">
      <x:c r="A998" s="28" t="str">
        <x:v>VEG-0997</x:v>
      </x:c>
      <x:c r="B998" s="28" t="str">
        <x:v>цветная капуста</x:v>
      </x:c>
      <x:c r="C998" s="28" t="str">
        <x:v>Еда и соусы</x:v>
      </x:c>
      <x:c r="D998" s="28" t="str">
        <x:v>цветная капуста</x:v>
      </x:c>
      <x:c r="E998" s="28" t="str">
        <x:v>Цветная капуста | цветная капуста</x:v>
      </x:c>
      <x:c r="F998" s="28" t="str">
        <x:v>Крестоцветные</x:v>
      </x:c>
      <x:c r="G998" s="28" t="str">
        <x:v>моллюски</x:v>
      </x:c>
      <x:c r="H998" s="28" t="str">
        <x:v>Моллюски | моллюски</x:v>
      </x:c>
      <x:c r="I998" s="28" t="str">
        <x:v>Рыба и морепродукты</x:v>
      </x:c>
      <x:c r="J998" s="28" t="str">
        <x:v>мягко капустный, ореховый, сернистый и сливочный после запекания</x:v>
      </x:c>
      <x:c r="K998" s="28" t="str">
        <x:v>морской, солоноватый и умами</x:v>
      </x:c>
      <x:c r="L998" s="28" t="str">
        <x:v>диметилсульфид, метантиол, изотиоцианаты, пиразины</x:v>
      </x:c>
      <x:c r="M998" s="28" t="str">
        <x:v>альдегиды, амины</x:v>
      </x:c>
      <x:c r="N998" s="28" t="str">
        <x:v>прямое пересечение семейств не подтверждено</x:v>
      </x:c>
      <x:c r="O998" s="28" t="str">
        <x:v>надёжная общая ключевая молекула не установлена</x:v>
      </x:c>
      <x:c r="P998" s="28" t="str">
        <x:v>умами и солёный контраст; сернистая или горчичная комплементарность</x:v>
      </x:c>
      <x:c r="Q99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8" s="28" t="str">
        <x:v>минимальный</x:v>
      </x:c>
      <x:c r="S998" s="28" t="str">
        <x:v>водная соцветная матрица, хорошо удерживающая жир и соус Белок и жир требуют контроля воды: для жареной ароматики поверхность должна подсохнуть.</x:v>
      </x:c>
      <x:c r="T998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8" s="28" t="str">
        <x:v>Цветная капуста имеет профиль «мягко капустный, ореховый, сернистый и сливочный после запекания».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8" s="28" t="str">
        <x:v>не переваривать; избыток воды делает вкус плоским; сернистость усиливается при хранении</x:v>
      </x:c>
      <x:c r="W998" s="28" t="str">
        <x:v>сливочное масло, соевый соус или тимьян</x:v>
      </x:c>
      <x:c r="X998" s="28" t="str">
        <x:v>горячее блюдо, бульон, соус, пюре, ферментация или гарнир с моллюски</x:v>
      </x:c>
      <x:c r="Y998" s="28" t="str">
        <x:v>еда, соусы/маринады</x:v>
      </x:c>
      <x:c r="Z998" s="28" t="str">
        <x:v>Средняя</x:v>
      </x:c>
      <x:c r="AA998" s="28" t="str">
        <x:v>Тезариус вкусов (Ники Сегнит)(1).pdf</x:v>
      </x:c>
      <x:c r="AB998" s="28" t="str">
        <x:v>Тезариус вкусов (Ники Сегнит)(1).pdf: 324, 377</x:v>
      </x:c>
      <x:c r="AC998" s="28" t="str">
        <x:v>развёрнутая пара/статья, стр. 324; развёрнутая пара/статья, стр. 377</x:v>
      </x:c>
      <x:c r="AD998" s="28" t="n">
        <x:v>1</x:v>
      </x:c>
      <x:c r="AE998" s="28" t="n">
        <x:v>2</x:v>
      </x:c>
      <x:c r="AF998" s="28" t="n">
        <x:f>IF(Z998="Высокая",3,IF(Z998="Средняя",2,1))+AD998*2+MIN(AE998,3)</x:f>
        <x:v>6</x:v>
      </x:c>
    </x:row>
    <x:row r="999" ht="64" customHeight="1">
      <x:c r="A999" s="28" t="str">
        <x:v>VEG-0998</x:v>
      </x:c>
      <x:c r="B999" s="28" t="str">
        <x:v>цветная капуста</x:v>
      </x:c>
      <x:c r="C999" s="28" t="str">
        <x:v>Еда и соусы</x:v>
      </x:c>
      <x:c r="D999" s="28" t="str">
        <x:v>цветная капуста</x:v>
      </x:c>
      <x:c r="E999" s="28" t="str">
        <x:v>Цветная капуста | цветная капуста</x:v>
      </x:c>
      <x:c r="F999" s="28" t="str">
        <x:v>Крестоцветные</x:v>
      </x:c>
      <x:c r="G999" s="28" t="str">
        <x:v>мускатный орех</x:v>
      </x:c>
      <x:c r="H999" s="28" t="str">
        <x:v>Мускатный орех | мускатный орех</x:v>
      </x:c>
      <x:c r="I999" s="28" t="str">
        <x:v>Рыба и морепродукты</x:v>
      </x:c>
      <x:c r="J999" s="28" t="str">
        <x:v>мягко капустный, ореховый, сернистый и сливочный после запекания</x:v>
      </x:c>
      <x:c r="K999" s="28" t="str">
        <x:v>камфорный, ореховый, пряный</x:v>
      </x:c>
      <x:c r="L999" s="28" t="str">
        <x:v>диметилсульфид, метантиол, изотиоцианаты, пиразины</x:v>
      </x:c>
      <x:c r="M999" s="28" t="str">
        <x:v>пинены, сабинен</x:v>
      </x:c>
      <x:c r="N999" s="28" t="str">
        <x:v>ореховый</x:v>
      </x:c>
      <x:c r="O999" s="28" t="str">
        <x:v>надёжная общая ключевая молекула не установлена</x:v>
      </x:c>
      <x:c r="P999" s="28" t="str">
        <x:v>пересечение ароматических семейств; умами и солёный контраст; сернистая или горчичная комплементарность</x:v>
      </x:c>
      <x:c r="Q99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999" s="28" t="str">
        <x:v>минимальный</x:v>
      </x:c>
      <x:c r="S999" s="28" t="str">
        <x:v>водная соцветная матрица, хорошо удерживающая жир и соус Белок и жир требуют контроля воды: для жареной ароматики поверхность должна подсохнуть.</x:v>
      </x:c>
      <x:c r="T99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999" s="28" t="str">
        <x:v>Цветная капуста имеет профиль «мягко капустный, ореховый, сернистый и сливочный после запекания».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999" s="28" t="str">
        <x:v>не переваривать; избыток воды делает вкус плоским; сернистость усиливается при хранении</x:v>
      </x:c>
      <x:c r="W999" s="28" t="str">
        <x:v>сливочное масло, соевый соус или тимьян</x:v>
      </x:c>
      <x:c r="X999" s="28" t="str">
        <x:v>горячее блюдо, бульон, соус, пюре, ферментация или гарнир с мускатный орех</x:v>
      </x:c>
      <x:c r="Y999" s="28" t="str">
        <x:v>еда, соусы/маринады</x:v>
      </x:c>
      <x:c r="Z999" s="28" t="str">
        <x:v>Средняя</x:v>
      </x:c>
      <x:c r="AA999" s="28" t="str">
        <x:v>Тезариус вкусов (Ники Сегнит)(1).pdf</x:v>
      </x:c>
      <x:c r="AB999" s="28" t="str">
        <x:v>Тезариус вкусов (Ники Сегнит)(1).pdf: 325, 592</x:v>
      </x:c>
      <x:c r="AC999" s="28" t="str">
        <x:v>развёрнутая пара/статья, стр. 325; развёрнутая пара/статья, стр. 592</x:v>
      </x:c>
      <x:c r="AD999" s="28" t="n">
        <x:v>1</x:v>
      </x:c>
      <x:c r="AE999" s="28" t="n">
        <x:v>2</x:v>
      </x:c>
      <x:c r="AF999" s="28" t="n">
        <x:f>IF(Z999="Высокая",3,IF(Z999="Средняя",2,1))+AD999*2+MIN(AE999,3)</x:f>
        <x:v>6</x:v>
      </x:c>
    </x:row>
    <x:row r="1000" ht="64" customHeight="1">
      <x:c r="A1000" s="28" t="str">
        <x:v>VEG-0999</x:v>
      </x:c>
      <x:c r="B1000" s="28" t="str">
        <x:v>цветная капуста</x:v>
      </x:c>
      <x:c r="C1000" s="28" t="str">
        <x:v>Десерты и выпечка</x:v>
      </x:c>
      <x:c r="D1000" s="28" t="str">
        <x:v>цветная капуста</x:v>
      </x:c>
      <x:c r="E1000" s="28" t="str">
        <x:v>cauliflower</x:v>
      </x:c>
      <x:c r="F1000" s="28" t="str">
        <x:v>Крестоцветные</x:v>
      </x:c>
      <x:c r="G1000" s="28" t="str">
        <x:v>сливочное масло</x:v>
      </x:c>
      <x:c r="H1000" s="28" t="str">
        <x:v>melted butter</x:v>
      </x:c>
      <x:c r="I1000" s="28" t="str">
        <x:v>Фрукты и ягоды</x:v>
      </x:c>
      <x:c r="J1000" s="28" t="str">
        <x:v>мягко капустный, ореховый, сернистый и сливочный после запекания</x:v>
      </x:c>
      <x:c r="K1000" s="28" t="str">
        <x:v>жирный, сливочный</x:v>
      </x:c>
      <x:c r="L1000" s="28" t="str">
        <x:v>диметилсульфид, метантиол, изотиоцианаты, пиразины</x:v>
      </x:c>
      <x:c r="M1000" s="28" t="str">
        <x:v>диацетил, лактоны</x:v>
      </x:c>
      <x:c r="N1000" s="28" t="str">
        <x:v>сливочный</x:v>
      </x:c>
      <x:c r="O1000" s="28" t="str">
        <x:v>надёжная общая ключевая молекула не установлена</x:v>
      </x:c>
      <x:c r="P1000" s="28" t="str">
        <x:v>пересечение ароматических семейств; кислотно-сладкий баланс; сернистая или горчичная комплементарность</x:v>
      </x:c>
      <x:c r="Q100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0" s="28" t="str">
        <x:v>минимальный</x:v>
      </x:c>
      <x:c r="S1000" s="28" t="str">
        <x:v>водная соцветная матрица, хорошо удерживающая жир и соус Водная кислая фаза усиливает свежесть, но может разжижать пюре и нарушать молочную эмульсию.</x:v>
      </x:c>
      <x:c r="T100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1000" s="28" t="str">
        <x:v>Цветная капуста имеет профиль «мягко капустный, ореховый, сернистый и сливочный после запекания». Партнёр «сливочное масло» относится к группе «Фрукты и ягоды» и даёт жирный, сливочный. Профили пересекаются в семействах: сливочный.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0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W1000" s="28" t="str">
        <x:v>цитрус, мёд или мягкая трава</x:v>
      </x:c>
      <x:c r="X1000" s="28" t="str">
        <x:v>горячее блюдо, бульон, соус, пюре, ферментация или гарнир с сливочное масло</x:v>
      </x:c>
      <x:c r="Y1000" s="28" t="str">
        <x:v>еда, десерты, соусы/маринады</x:v>
      </x:c>
      <x:c r="Z1000" s="28" t="str">
        <x:v>Средняя</x:v>
      </x:c>
      <x:c r="AA1000" s="28" t="str">
        <x:v>The Art &amp; Science of Foodpairing.pdf</x:v>
      </x:c>
      <x:c r="AB1000" s="28" t="str">
        <x:v>The Art &amp; Science of Foodpairing.pdf: 67</x:v>
      </x:c>
      <x:c r="AC1000" s="28" t="str">
        <x:v>связь из pairing grid, стр. 67</x:v>
      </x:c>
      <x:c r="AD1000" s="28" t="n">
        <x:v>1</x:v>
      </x:c>
      <x:c r="AE1000" s="28" t="n">
        <x:v>1</x:v>
      </x:c>
      <x:c r="AF1000" s="28" t="n">
        <x:f>IF(Z1000="Высокая",3,IF(Z1000="Средняя",2,1))+AD1000*2+MIN(AE1000,3)</x:f>
        <x:v>5</x:v>
      </x:c>
    </x:row>
    <x:row r="1001" ht="64" customHeight="1">
      <x:c r="A1001" s="28" t="str">
        <x:v>VEG-1000</x:v>
      </x:c>
      <x:c r="B1001" s="28" t="str">
        <x:v>цветная капуста</x:v>
      </x:c>
      <x:c r="C1001" s="28" t="str">
        <x:v>Десерты и выпечка</x:v>
      </x:c>
      <x:c r="D1001" s="28" t="str">
        <x:v>цветная капуста</x:v>
      </x:c>
      <x:c r="E1001" s="28" t="str">
        <x:v>Цветная капуста | цветная капуста</x:v>
      </x:c>
      <x:c r="F1001" s="28" t="str">
        <x:v>Крестоцветные</x:v>
      </x:c>
      <x:c r="G1001" s="28" t="str">
        <x:v>твердый сыр</x:v>
      </x:c>
      <x:c r="H1001" s="28" t="str">
        <x:v>Твердый сыр | твердый сыр</x:v>
      </x:c>
      <x:c r="I1001" s="28" t="str">
        <x:v>Молочные продукты и сыры</x:v>
      </x:c>
      <x:c r="J1001" s="28" t="str">
        <x:v>мягко капустный, ореховый, сернистый и сливочный после запекания</x:v>
      </x:c>
      <x:c r="K1001" s="28" t="str">
        <x:v>молочный, умами, ферментированный</x:v>
      </x:c>
      <x:c r="L1001" s="28" t="str">
        <x:v>диметилсульфид, метантиол, изотиоцианаты, пиразины</x:v>
      </x:c>
      <x:c r="M1001" s="28" t="str">
        <x:v>диацетил, жирные кислоты</x:v>
      </x:c>
      <x:c r="N1001" s="28" t="str">
        <x:v>прямое пересечение семейств не подтверждено</x:v>
      </x:c>
      <x:c r="O1001" s="28" t="str">
        <x:v>надёжная общая ключевая молекула не установлена</x:v>
      </x:c>
      <x:c r="P1001" s="28" t="str">
        <x:v>жировая матрица; сернистая или горчичная комплементарность</x:v>
      </x:c>
      <x:c r="Q100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1" s="28" t="str">
        <x:v>минимальный</x:v>
      </x:c>
      <x:c r="S1001" s="28" t="str">
        <x:v>водная соцветная матрица, хорошо удерживающая жир и соус Жировая фаза удерживает гидрофобные молекулы, но может сделать вкус тяжёлым.</x:v>
      </x:c>
      <x:c r="T100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1001" s="28" t="str">
        <x:v>Цветная капуста имеет профиль «мягко капустный, ореховый, сернистый и сливочный после запекания».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1" s="28" t="str">
        <x:v>не переваривать; избыток воды делает вкус плоским; сернистость усиливается при хранении; жир способен приглушить свежую зелёную ароматику</x:v>
      </x:c>
      <x:c r="W1001" s="28" t="str">
        <x:v>кислота, зелень или жареный орех</x:v>
      </x:c>
      <x:c r="X1001" s="28" t="str">
        <x:v>горячее блюдо, бульон, соус, пюре, ферментация или гарнир с твердый сыр</x:v>
      </x:c>
      <x:c r="Y1001" s="28" t="str">
        <x:v>еда, десерты, соусы/маринады</x:v>
      </x:c>
      <x:c r="Z1001" s="28" t="str">
        <x:v>Средняя</x:v>
      </x:c>
      <x:c r="AA1001" s="28" t="str">
        <x:v>Тезариус вкусов (Ники Сегнит)(1).pdf</x:v>
      </x:c>
      <x:c r="AB1001" s="28" t="str">
        <x:v>Тезариус вкусов (Ники Сегнит)(1).pdf: 177, 325</x:v>
      </x:c>
      <x:c r="AC1001" s="28" t="str">
        <x:v>развёрнутая пара/статья, стр. 177; развёрнутая пара/статья, стр. 325</x:v>
      </x:c>
      <x:c r="AD1001" s="28" t="n">
        <x:v>1</x:v>
      </x:c>
      <x:c r="AE1001" s="28" t="n">
        <x:v>2</x:v>
      </x:c>
      <x:c r="AF1001" s="28" t="n">
        <x:f>IF(Z1001="Высокая",3,IF(Z1001="Средняя",2,1))+AD1001*2+MIN(AE1001,3)</x:f>
        <x:v>6</x:v>
      </x:c>
    </x:row>
    <x:row r="1002" ht="64" customHeight="1">
      <x:c r="A1002" s="28" t="str">
        <x:v>VEG-1001</x:v>
      </x:c>
      <x:c r="B1002" s="28" t="str">
        <x:v>цветная капуста</x:v>
      </x:c>
      <x:c r="C1002" s="28" t="str">
        <x:v>Еда и соусы</x:v>
      </x:c>
      <x:c r="D1002" s="28" t="str">
        <x:v>цветная капуста</x:v>
      </x:c>
      <x:c r="E1002" s="28" t="str">
        <x:v>Цветная капуста | цветная капуста</x:v>
      </x:c>
      <x:c r="F1002" s="28" t="str">
        <x:v>Крестоцветные</x:v>
      </x:c>
      <x:c r="G1002" s="28" t="str">
        <x:v>трюфель</x:v>
      </x:c>
      <x:c r="H1002" s="28" t="str">
        <x:v>Трюфель | трюфель</x:v>
      </x:c>
      <x:c r="I1002" s="28" t="str">
        <x:v>Грибы</x:v>
      </x:c>
      <x:c r="J1002" s="28" t="str">
        <x:v>мягко капустный, ореховый, сернистый и сливочный после запекания</x:v>
      </x:c>
      <x:c r="K1002" s="28" t="str">
        <x:v>землистый, грибной и умами</x:v>
      </x:c>
      <x:c r="L1002" s="28" t="str">
        <x:v>диметилсульфид, метантиол, изотиоцианаты, пиразины</x:v>
      </x:c>
      <x:c r="M1002" s="28" t="str">
        <x:v>1-октен-3-ол, сернистые соединения</x:v>
      </x:c>
      <x:c r="N1002" s="28" t="str">
        <x:v>прямое пересечение семейств не подтверждено</x:v>
      </x:c>
      <x:c r="O1002" s="28" t="str">
        <x:v>надёжная общая ключевая молекула не установлена</x:v>
      </x:c>
      <x:c r="P1002" s="28" t="str">
        <x:v>умами и солёный контраст; сернистая или горчичная комплементарность</x:v>
      </x:c>
      <x:c r="Q100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2" s="28" t="str">
        <x:v>минимальный</x:v>
      </x:c>
      <x:c r="S1002" s="28" t="str">
        <x:v>водная соцветная матрица, хорошо удерживающая жир и соус Белок и жир требуют контроля воды: для жареной ароматики поверхность должна подсохнуть.</x:v>
      </x:c>
      <x:c r="T100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1002" s="28" t="str">
        <x:v>Цветная капуста имеет профиль «мягко капустный, ореховый, сернистый и сливочный после запекания».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2" s="28" t="str">
        <x:v>не переваривать; избыток воды делает вкус плоским; сернистость усиливается при хранении</x:v>
      </x:c>
      <x:c r="W1002" s="28" t="str">
        <x:v>соль, кислота или ароматический жир</x:v>
      </x:c>
      <x:c r="X1002" s="28" t="str">
        <x:v>горячее блюдо, бульон, соус, пюре, ферментация или гарнир с трюфель</x:v>
      </x:c>
      <x:c r="Y1002" s="28" t="str">
        <x:v>еда, соусы/маринады</x:v>
      </x:c>
      <x:c r="Z1002" s="28" t="str">
        <x:v>Средняя</x:v>
      </x:c>
      <x:c r="AA1002" s="28" t="str">
        <x:v>Тезариус вкусов (Ники Сегнит)(1).pdf</x:v>
      </x:c>
      <x:c r="AB1002" s="28" t="str">
        <x:v>Тезариус вкусов (Ники Сегнит)(1).pdf: 306, 326</x:v>
      </x:c>
      <x:c r="AC1002" s="28" t="str">
        <x:v>развёрнутая пара/статья, стр. 306; развёрнутая пара/статья, стр. 326</x:v>
      </x:c>
      <x:c r="AD1002" s="28" t="n">
        <x:v>1</x:v>
      </x:c>
      <x:c r="AE1002" s="28" t="n">
        <x:v>2</x:v>
      </x:c>
      <x:c r="AF1002" s="28" t="n">
        <x:f>IF(Z1002="Высокая",3,IF(Z1002="Средняя",2,1))+AD1002*2+MIN(AE1002,3)</x:f>
        <x:v>6</x:v>
      </x:c>
    </x:row>
    <x:row r="1003" ht="64" customHeight="1">
      <x:c r="A1003" s="28" t="str">
        <x:v>VEG-1002</x:v>
      </x:c>
      <x:c r="B1003" s="28" t="str">
        <x:v>цветная капуста</x:v>
      </x:c>
      <x:c r="C1003" s="28" t="str">
        <x:v>Универсальные</x:v>
      </x:c>
      <x:c r="D1003" s="28" t="str">
        <x:v>цветная капуста</x:v>
      </x:c>
      <x:c r="E1003" s="28" t="str">
        <x:v>cauliflower</x:v>
      </x:c>
      <x:c r="F1003" s="28" t="str">
        <x:v>Крестоцветные</x:v>
      </x:c>
      <x:c r="G1003" s="28" t="str">
        <x:v>тюрбо</x:v>
      </x:c>
      <x:c r="H1003" s="28" t="str">
        <x:v>grilled turbot</x:v>
      </x:c>
      <x:c r="I1003" s="28" t="str">
        <x:v>Прочее</x:v>
      </x:c>
      <x:c r="J1003" s="28" t="str">
        <x:v>мягко капустный, ореховый, сернистый и сливочный после запекания</x:v>
      </x:c>
      <x:c r="K1003" s="28" t="str">
        <x:v>профиль зависит от конкретного продукта</x:v>
      </x:c>
      <x:c r="L1003" s="28" t="str">
        <x:v>диметилсульфид, метантиол, изотиоцианаты, пиразины</x:v>
      </x:c>
      <x:c r="M1003" s="28" t="str">
        <x:v>конкретный молекулярный профиль не указан</x:v>
      </x:c>
      <x:c r="N1003" s="28" t="str">
        <x:v>прямое пересечение семейств не подтверждено</x:v>
      </x:c>
      <x:c r="O1003" s="28" t="str">
        <x:v>надёжная общая ключевая молекула не установлена</x:v>
      </x:c>
      <x:c r="P1003" s="28" t="str">
        <x:v>сернистая или горчичная комплементарность</x:v>
      </x:c>
      <x:c r="Q100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3" s="28" t="str">
        <x:v>минимальный</x:v>
      </x:c>
      <x:c r="S1003" s="28" t="str">
        <x:v>водная соцветная матрица, хорошо удерживающая жир и соус</x:v>
      </x:c>
      <x:c r="T100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1003" s="28" t="str">
        <x:v>Цветная капуста имеет профиль «мягко капустный, ореховый, сернистый и сливочный после запекания». Партнёр «тюрбо»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3" s="28" t="str">
        <x:v>не переваривать; избыток воды делает вкус плоским; сернистость усиливается при хранении</x:v>
      </x:c>
      <x:c r="W1003" s="28" t="str">
        <x:v>соль, кислота или ароматический жир</x:v>
      </x:c>
      <x:c r="X1003" s="28" t="str">
        <x:v>горячее блюдо, бульон, соус, пюре, ферментация или гарнир с тюрбо</x:v>
      </x:c>
      <x:c r="Y1003" s="28" t="str">
        <x:v>еда, соусы/маринады</x:v>
      </x:c>
      <x:c r="Z1003" s="28" t="str">
        <x:v>Высокая</x:v>
      </x:c>
      <x:c r="AA1003" s="28" t="str">
        <x:v>The Art &amp; Science of Foodpairing.pdf</x:v>
      </x:c>
      <x:c r="AB1003" s="28" t="str">
        <x:v>The Art &amp; Science of Foodpairing.pdf: 66</x:v>
      </x:c>
      <x:c r="AC1003" s="28" t="str">
        <x:v>прямая Potential pairing, стр. 66</x:v>
      </x:c>
      <x:c r="AD1003" s="28" t="n">
        <x:v>1</x:v>
      </x:c>
      <x:c r="AE1003" s="28" t="n">
        <x:v>1</x:v>
      </x:c>
      <x:c r="AF1003" s="28" t="n">
        <x:f>IF(Z1003="Высокая",3,IF(Z1003="Средняя",2,1))+AD1003*2+MIN(AE1003,3)</x:f>
        <x:v>6</x:v>
      </x:c>
    </x:row>
    <x:row r="1004" ht="64" customHeight="1">
      <x:c r="A1004" s="28" t="str">
        <x:v>VEG-1003</x:v>
      </x:c>
      <x:c r="B1004" s="28" t="str">
        <x:v>цветная капуста</x:v>
      </x:c>
      <x:c r="C1004" s="28" t="str">
        <x:v>Еда и соусы</x:v>
      </x:c>
      <x:c r="D1004" s="28" t="str">
        <x:v>цветная капуста</x:v>
      </x:c>
      <x:c r="E1004" s="28" t="str">
        <x:v>Цветная капуста | цветная капуста</x:v>
      </x:c>
      <x:c r="F1004" s="28" t="str">
        <x:v>Крестоцветные</x:v>
      </x:c>
      <x:c r="G1004" s="28" t="str">
        <x:v>черная икра</x:v>
      </x:c>
      <x:c r="H1004" s="28" t="str">
        <x:v>Черная икра | черная икра</x:v>
      </x:c>
      <x:c r="I1004" s="28" t="str">
        <x:v>Рыба и морепродукты</x:v>
      </x:c>
      <x:c r="J1004" s="28" t="str">
        <x:v>мягко капустный, ореховый, сернистый и сливочный после запекания</x:v>
      </x:c>
      <x:c r="K1004" s="28" t="str">
        <x:v>морской, солоноватый и умами</x:v>
      </x:c>
      <x:c r="L1004" s="28" t="str">
        <x:v>диметилсульфид, метантиол, изотиоцианаты, пиразины</x:v>
      </x:c>
      <x:c r="M1004" s="28" t="str">
        <x:v>альдегиды, амины</x:v>
      </x:c>
      <x:c r="N1004" s="28" t="str">
        <x:v>прямое пересечение семейств не подтверждено</x:v>
      </x:c>
      <x:c r="O1004" s="28" t="str">
        <x:v>надёжная общая ключевая молекула не установлена</x:v>
      </x:c>
      <x:c r="P1004" s="28" t="str">
        <x:v>умами и солёный контраст; сернистая или горчичная комплементарность</x:v>
      </x:c>
      <x:c r="Q100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4" s="28" t="str">
        <x:v>минимальный</x:v>
      </x:c>
      <x:c r="S1004" s="28" t="str">
        <x:v>водная соцветная матрица, хорошо удерживающая жир и соус Белок и жир требуют контроля воды: для жареной ароматики поверхность должна подсохнуть.</x:v>
      </x:c>
      <x:c r="T100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1004" s="28" t="str">
        <x:v>Цветная капуста имеет профиль «мягко капустный, ореховый, сернистый и сливочный после запекания». Партнёр «черная икра»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4" s="28" t="str">
        <x:v>не переваривать; избыток воды делает вкус плоским; сернистость усиливается при хранении</x:v>
      </x:c>
      <x:c r="W1004" s="28" t="str">
        <x:v>сливочное масло, соевый соус или тимьян</x:v>
      </x:c>
      <x:c r="X1004" s="28" t="str">
        <x:v>горячее блюдо, бульон, соус, пюре, ферментация или гарнир с черная икра</x:v>
      </x:c>
      <x:c r="Y1004" s="28" t="str">
        <x:v>еда, соусы/маринады</x:v>
      </x:c>
      <x:c r="Z1004" s="28" t="str">
        <x:v>Средняя</x:v>
      </x:c>
      <x:c r="AA1004" s="28" t="str">
        <x:v>Тезариус вкусов (Ники Сегнит)(1).pdf</x:v>
      </x:c>
      <x:c r="AB1004" s="28" t="str">
        <x:v>Тезариус вкусов (Ники Сегнит)(1).pdf: 326, 408</x:v>
      </x:c>
      <x:c r="AC1004" s="28" t="str">
        <x:v>развёрнутая пара/статья, стр. 326; развёрнутая пара/статья, стр. 408</x:v>
      </x:c>
      <x:c r="AD1004" s="28" t="n">
        <x:v>1</x:v>
      </x:c>
      <x:c r="AE1004" s="28" t="n">
        <x:v>2</x:v>
      </x:c>
      <x:c r="AF1004" s="28" t="n">
        <x:f>IF(Z1004="Высокая",3,IF(Z1004="Средняя",2,1))+AD1004*2+MIN(AE1004,3)</x:f>
        <x:v>6</x:v>
      </x:c>
    </x:row>
    <x:row r="1005" ht="64" customHeight="1">
      <x:c r="A1005" s="28" t="str">
        <x:v>VEG-1004</x:v>
      </x:c>
      <x:c r="B1005" s="28" t="str">
        <x:v>цветная капуста</x:v>
      </x:c>
      <x:c r="C1005" s="28" t="str">
        <x:v>Универсальные</x:v>
      </x:c>
      <x:c r="D1005" s="28" t="str">
        <x:v>цветная капуста</x:v>
      </x:c>
      <x:c r="E1005" s="28" t="str">
        <x:v>Цветная капуста | цветная капуста</x:v>
      </x:c>
      <x:c r="F1005" s="28" t="str">
        <x:v>Крестоцветные</x:v>
      </x:c>
      <x:c r="G1005" s="28" t="str">
        <x:v>чили</x:v>
      </x:c>
      <x:c r="H1005" s="28" t="str">
        <x:v>Чили | чили</x:v>
      </x:c>
      <x:c r="I1005" s="28" t="str">
        <x:v>Специи</x:v>
      </x:c>
      <x:c r="J1005" s="28" t="str">
        <x:v>мягко капустный, ореховый, сернистый и сливочный после запекания</x:v>
      </x:c>
      <x:c r="K1005" s="28" t="str">
        <x:v>пряный и древесный</x:v>
      </x:c>
      <x:c r="L1005" s="28" t="str">
        <x:v>диметилсульфид, метантиол, изотиоцианаты, пиразины</x:v>
      </x:c>
      <x:c r="M1005" s="28" t="str">
        <x:v>терпены, фенилпропаноиды</x:v>
      </x:c>
      <x:c r="N1005" s="28" t="str">
        <x:v>прямое пересечение семейств не подтверждено</x:v>
      </x:c>
      <x:c r="O1005" s="28" t="str">
        <x:v>надёжная общая ключевая молекула не установлена</x:v>
      </x:c>
      <x:c r="P1005" s="28" t="str">
        <x:v>сернистая или горчичная комплементарность</x:v>
      </x:c>
      <x:c r="Q100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5" s="28" t="str">
        <x:v>минимальный</x:v>
      </x:c>
      <x:c r="S1005" s="28" t="str">
        <x:v>водная соцветная матрица, хорошо удерживающая жир и соус</x:v>
      </x:c>
      <x:c r="T100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1005" s="28" t="str">
        <x:v>Цветная капуста имеет профиль «мягко капустный, ореховый, сернистый и сливочный после запекания».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5" s="28" t="str">
        <x:v>не переваривать; избыток воды делает вкус плоским; сернистость усиливается при хранении</x:v>
      </x:c>
      <x:c r="W1005" s="28" t="str">
        <x:v>цитрус, йогурт или мёд</x:v>
      </x:c>
      <x:c r="X1005" s="28" t="str">
        <x:v>горячее блюдо, бульон, соус, пюре, ферментация или гарнир с чили</x:v>
      </x:c>
      <x:c r="Y1005" s="28" t="str">
        <x:v>еда, соусы/маринады</x:v>
      </x:c>
      <x:c r="Z1005" s="28" t="str">
        <x:v>Средняя</x:v>
      </x:c>
      <x:c r="AA1005" s="28" t="str">
        <x:v>Тезариус вкусов (Ники Сегнит)(1).pdf</x:v>
      </x:c>
      <x:c r="AB1005" s="28" t="str">
        <x:v>Тезариус вкусов (Ники Сегнит)(1).pdf: 327, 560</x:v>
      </x:c>
      <x:c r="AC1005" s="28" t="str">
        <x:v>развёрнутая пара/статья, стр. 327; развёрнутая пара/статья, стр. 560</x:v>
      </x:c>
      <x:c r="AD1005" s="28" t="n">
        <x:v>1</x:v>
      </x:c>
      <x:c r="AE1005" s="28" t="n">
        <x:v>2</x:v>
      </x:c>
      <x:c r="AF1005" s="28" t="n">
        <x:f>IF(Z1005="Высокая",3,IF(Z1005="Средняя",2,1))+AD1005*2+MIN(AE1005,3)</x:f>
        <x:v>6</x:v>
      </x:c>
    </x:row>
    <x:row r="1006" ht="64" customHeight="1">
      <x:c r="A1006" s="28" t="str">
        <x:v>VEG-1005</x:v>
      </x:c>
      <x:c r="B1006" s="28" t="str">
        <x:v>цветная капуста</x:v>
      </x:c>
      <x:c r="C1006" s="28" t="str">
        <x:v>Универсальные</x:v>
      </x:c>
      <x:c r="D1006" s="28" t="str">
        <x:v>цветная капуста</x:v>
      </x:c>
      <x:c r="E1006" s="28" t="str">
        <x:v>Цветная капуста | цветная капуста</x:v>
      </x:c>
      <x:c r="F1006" s="28" t="str">
        <x:v>Крестоцветные</x:v>
      </x:c>
      <x:c r="G1006" s="28" t="str">
        <x:v>шафран</x:v>
      </x:c>
      <x:c r="H1006" s="28" t="str">
        <x:v>Шафран | шафран</x:v>
      </x:c>
      <x:c r="I1006" s="28" t="str">
        <x:v>Специи</x:v>
      </x:c>
      <x:c r="J1006" s="28" t="str">
        <x:v>мягко капустный, ореховый, сернистый и сливочный после запекания</x:v>
      </x:c>
      <x:c r="K1006" s="28" t="str">
        <x:v>пряный и древесный</x:v>
      </x:c>
      <x:c r="L1006" s="28" t="str">
        <x:v>диметилсульфид, метантиол, изотиоцианаты, пиразины</x:v>
      </x:c>
      <x:c r="M1006" s="28" t="str">
        <x:v>терпены, фенилпропаноиды</x:v>
      </x:c>
      <x:c r="N1006" s="28" t="str">
        <x:v>прямое пересечение семейств не подтверждено</x:v>
      </x:c>
      <x:c r="O1006" s="28" t="str">
        <x:v>надёжная общая ключевая молекула не установлена</x:v>
      </x:c>
      <x:c r="P1006" s="28" t="str">
        <x:v>сернистая или горчичная комплементарность</x:v>
      </x:c>
      <x:c r="Q100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6" s="28" t="str">
        <x:v>минимальный</x:v>
      </x:c>
      <x:c r="S1006" s="28" t="str">
        <x:v>водная соцветная матрица, хорошо удерживающая жир и соус</x:v>
      </x:c>
      <x:c r="T100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1006" s="28" t="str">
        <x:v>Цветная капуста имеет профиль «мягко капустный, ореховый, сернистый и сливочный после запекания».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6" s="28" t="str">
        <x:v>не переваривать; избыток воды делает вкус плоским; сернистость усиливается при хранении</x:v>
      </x:c>
      <x:c r="W1006" s="28" t="str">
        <x:v>цитрус, йогурт или мёд</x:v>
      </x:c>
      <x:c r="X1006" s="28" t="str">
        <x:v>горячее блюдо, бульон, соус, пюре, ферментация или гарнир с шафран</x:v>
      </x:c>
      <x:c r="Y1006" s="28" t="str">
        <x:v>еда, соусы/маринады</x:v>
      </x:c>
      <x:c r="Z1006" s="28" t="str">
        <x:v>Средняя</x:v>
      </x:c>
      <x:c r="AA1006" s="28" t="str">
        <x:v>Тезариус вкусов (Ники Сегнит)(1).pdf</x:v>
      </x:c>
      <x:c r="AB1006" s="28" t="str">
        <x:v>Тезариус вкусов (Ники Сегнит)(1).pdf: 327, 477</x:v>
      </x:c>
      <x:c r="AC1006" s="28" t="str">
        <x:v>развёрнутая пара/статья, стр. 327; развёрнутая пара/статья, стр. 477</x:v>
      </x:c>
      <x:c r="AD1006" s="28" t="n">
        <x:v>1</x:v>
      </x:c>
      <x:c r="AE1006" s="28" t="n">
        <x:v>2</x:v>
      </x:c>
      <x:c r="AF1006" s="28" t="n">
        <x:f>IF(Z1006="Высокая",3,IF(Z1006="Средняя",2,1))+AD1006*2+MIN(AE1006,3)</x:f>
        <x:v>6</x:v>
      </x:c>
    </x:row>
    <x:row r="1007" ht="64" customHeight="1">
      <x:c r="A1007" s="28" t="str">
        <x:v>VEG-1006</x:v>
      </x:c>
      <x:c r="B1007" s="28" t="str">
        <x:v>цветная капуста</x:v>
      </x:c>
      <x:c r="C1007" s="28" t="str">
        <x:v>Десерты и выпечка</x:v>
      </x:c>
      <x:c r="D1007" s="28" t="str">
        <x:v>цветная капуста</x:v>
      </x:c>
      <x:c r="E1007" s="28" t="str">
        <x:v>cauliflower | wheatgrass and another one with cauliflower. His menueven | Цветная капуста | цветная капуста</x:v>
      </x:c>
      <x:c r="F1007" s="28" t="str">
        <x:v>Крестоцветные</x:v>
      </x:c>
      <x:c r="G1007" s="28" t="str">
        <x:v>шоколад</x:v>
      </x:c>
      <x:c r="H1007" s="28" t="str">
        <x:v>chocolate | Шоколад | шоколад</x:v>
      </x:c>
      <x:c r="I1007" s="28" t="str">
        <x:v>Какао и шоколад</x:v>
      </x:c>
      <x:c r="J1007" s="28" t="str">
        <x:v>мягко капустный, ореховый, сернистый и сливочный после запекания</x:v>
      </x:c>
      <x:c r="K1007" s="28" t="str">
        <x:v>жареный, какаовый, карамельный</x:v>
      </x:c>
      <x:c r="L1007" s="28" t="str">
        <x:v>диметилсульфид, метантиол, изотиоцианаты, пиразины</x:v>
      </x:c>
      <x:c r="M1007" s="28" t="str">
        <x:v>пиразины, фураны</x:v>
      </x:c>
      <x:c r="N1007" s="28" t="str">
        <x:v>прямое пересечение семейств не подтверждено</x:v>
      </x:c>
      <x:c r="O1007" s="28" t="str">
        <x:v>пиразины</x:v>
      </x:c>
      <x:c r="P1007" s="28" t="str">
        <x:v>общие характерные молекулы; сернистая или горчичная комплементарность</x:v>
      </x:c>
      <x:c r="Q100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7" s="28" t="str">
        <x:v>минимальный</x:v>
      </x:c>
      <x:c r="S1007" s="28" t="str">
        <x:v>водная соцветная матрица, хорошо удерживающая жир и соус</x:v>
      </x:c>
      <x:c r="T100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U1007" s="28" t="str">
        <x:v>Цветная капуста имеет профиль «мягко капустный, ореховый, сернистый и сливочный после запекания».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7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W1007" s="28" t="str">
        <x:v>сливки, орех или карамель</x:v>
      </x:c>
      <x:c r="X1007" s="28" t="str">
        <x:v>горячее блюдо, бульон, соус, пюре, ферментация или гарнир с шоколад</x:v>
      </x:c>
      <x:c r="Y1007" s="28" t="str">
        <x:v>еда, десерты, соусы/маринады</x:v>
      </x:c>
      <x:c r="Z1007" s="28" t="str">
        <x:v>Высокая</x:v>
      </x:c>
      <x:c r="AA1007" s="28" t="str">
        <x:v>The Art &amp; Science of Foodpairing.pdf | Тезариус вкусов (Ники Сегнит)(1).pdf</x:v>
      </x:c>
      <x:c r="AB1007" s="28" t="str">
        <x:v>Тезариус вкусов (Ники Сегнит)(1).pdf: 37, 327; The Art &amp; Science of Foodpairing.pdf: 61, 63</x:v>
      </x:c>
      <x:c r="AC1007" s="28" t="str">
        <x:v>Chef pairing, стр. 63; развёрнутая пара/статья, стр. 37; развёрнутая пара/статья, стр. 327; связь из pairing grid, стр. 61</x:v>
      </x:c>
      <x:c r="AD1007" s="28" t="n">
        <x:v>2</x:v>
      </x:c>
      <x:c r="AE1007" s="28" t="n">
        <x:v>4</x:v>
      </x:c>
      <x:c r="AF1007" s="28" t="n">
        <x:f>IF(Z1007="Высокая",3,IF(Z1007="Средняя",2,1))+AD1007*2+MIN(AE1007,3)</x:f>
        <x:v>10</x:v>
      </x:c>
    </x:row>
    <x:row r="1008" ht="64" customHeight="1">
      <x:c r="A1008" s="28" t="str">
        <x:v>VEG-1007</x:v>
      </x:c>
      <x:c r="B1008" s="28" t="str">
        <x:v>чеснок</x:v>
      </x:c>
      <x:c r="C1008" s="28" t="str">
        <x:v>Универсальные</x:v>
      </x:c>
      <x:c r="D1008" s="28" t="str">
        <x:v>чеснок</x:v>
      </x:c>
      <x:c r="E1008" s="28" t="str">
        <x:v>garlic</x:v>
      </x:c>
      <x:c r="F1008" s="28" t="str">
        <x:v>Луковые овощи</x:v>
      </x:c>
      <x:c r="G1008" s="28" t="str">
        <x:v>айва</x:v>
      </x:c>
      <x:c r="H1008" s="28" t="str">
        <x:v>poached quince</x:v>
      </x:c>
      <x:c r="I1008" s="28" t="str">
        <x:v>Прочее</x:v>
      </x:c>
      <x:c r="J1008" s="28" t="str">
        <x:v>резкий сернистый, зелёный и мясной; после запекания — сладкий и ореховый</x:v>
      </x:c>
      <x:c r="K1008" s="28" t="str">
        <x:v>профиль зависит от конкретного продукта</x:v>
      </x:c>
      <x:c r="L1008" s="28" t="str">
        <x:v>аллицин, диаллилдисульфид, диаллилтрисульфид, метантиол</x:v>
      </x:c>
      <x:c r="M1008" s="28" t="str">
        <x:v>конкретный молекулярный профиль не указан</x:v>
      </x:c>
      <x:c r="N1008" s="28" t="str">
        <x:v>прямое пересечение семейств не подтверждено</x:v>
      </x:c>
      <x:c r="O1008" s="28" t="str">
        <x:v>надёжная общая ключевая молекула не установлена</x:v>
      </x:c>
      <x:c r="P1008" s="28" t="str">
        <x:v>сернистая или горчичная комплементарность</x:v>
      </x:c>
      <x:c r="Q100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8" s="28" t="str">
        <x:v>сильное жжение и раздражение тройничного нерва</x:v>
      </x:c>
      <x:c r="S1008" s="28" t="str">
        <x:v>водная луковичная матрица; реакция начинается после повреждения клеток</x:v>
      </x:c>
      <x:c r="T100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08" s="28" t="str">
        <x:v>Чеснок имеет профиль «резкий сернистый, зелёный и мясной; после запекания — сладкий и ореховый». Партнёр «айва»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8" s="28" t="str">
        <x:v>сырой чеснок быстро доминирует; пережжённый чеснок очень горький; хранить и обрабатывать по пищевым нормам</x:v>
      </x:c>
      <x:c r="W1008" s="28" t="str">
        <x:v>соль, кислота или ароматический жир</x:v>
      </x:c>
      <x:c r="X1008" s="28" t="str">
        <x:v>горячее блюдо, бульон, соус, пюре, ферментация или гарнир с айва</x:v>
      </x:c>
      <x:c r="Y1008" s="28" t="str">
        <x:v>еда, соусы/маринады</x:v>
      </x:c>
      <x:c r="Z1008" s="28" t="str">
        <x:v>Средняя</x:v>
      </x:c>
      <x:c r="AA1008" s="28" t="str">
        <x:v>The Art &amp; Science of Foodpairing.pdf</x:v>
      </x:c>
      <x:c r="AB1008" s="28" t="str">
        <x:v>The Art &amp; Science of Foodpairing.pdf: 114</x:v>
      </x:c>
      <x:c r="AC1008" s="28" t="str">
        <x:v>связь из pairing grid, стр. 114</x:v>
      </x:c>
      <x:c r="AD1008" s="28" t="n">
        <x:v>1</x:v>
      </x:c>
      <x:c r="AE1008" s="28" t="n">
        <x:v>1</x:v>
      </x:c>
      <x:c r="AF1008" s="28" t="n">
        <x:f>IF(Z1008="Высокая",3,IF(Z1008="Средняя",2,1))+AD1008*2+MIN(AE1008,3)</x:f>
        <x:v>5</x:v>
      </x:c>
    </x:row>
    <x:row r="1009" ht="64" customHeight="1">
      <x:c r="A1009" s="28" t="str">
        <x:v>VEG-1008</x:v>
      </x:c>
      <x:c r="B1009" s="28" t="str">
        <x:v>чеснок</x:v>
      </x:c>
      <x:c r="C1009" s="28" t="str">
        <x:v>Еда и соусы</x:v>
      </x:c>
      <x:c r="D1009" s="28" t="str">
        <x:v>чеснок</x:v>
      </x:c>
      <x:c r="E1009" s="28" t="str">
        <x:v>Чеснок | чеснок</x:v>
      </x:c>
      <x:c r="F1009" s="28" t="str">
        <x:v>Луковые овощи</x:v>
      </x:c>
      <x:c r="G1009" s="28" t="str">
        <x:v>анчоусы</x:v>
      </x:c>
      <x:c r="H1009" s="28" t="str">
        <x:v>Анчоусы | анчоусы</x:v>
      </x:c>
      <x:c r="I1009" s="28" t="str">
        <x:v>Рыба и морепродукты</x:v>
      </x:c>
      <x:c r="J1009" s="28" t="str">
        <x:v>резкий сернистый, зелёный и мясной; после запекания — сладкий и ореховый</x:v>
      </x:c>
      <x:c r="K1009" s="28" t="str">
        <x:v>морской, солоноватый и умами</x:v>
      </x:c>
      <x:c r="L1009" s="28" t="str">
        <x:v>аллицин, диаллилдисульфид, диаллилтрисульфид, метантиол</x:v>
      </x:c>
      <x:c r="M1009" s="28" t="str">
        <x:v>альдегиды, амины</x:v>
      </x:c>
      <x:c r="N1009" s="28" t="str">
        <x:v>умами</x:v>
      </x:c>
      <x:c r="O1009" s="28" t="str">
        <x:v>надёжная общая ключевая молекула не установлена</x:v>
      </x:c>
      <x:c r="P1009" s="28" t="str">
        <x:v>пересечение ароматических семейств; умами и солёный контраст; сернистая или горчичная комплементарность</x:v>
      </x:c>
      <x:c r="Q100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09" s="28" t="str">
        <x:v>сильное жжение и раздражение тройничного нерва</x:v>
      </x:c>
      <x:c r="S1009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0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09" s="28" t="str">
        <x:v>Чеснок имеет профиль «резкий сернистый, зелёный и мясной; после запекания — сладкий и ореховый». Партнёр «анчоусы»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09" s="28" t="str">
        <x:v>сырой чеснок быстро доминирует; пережжённый чеснок очень горький; хранить и обрабатывать по пищевым нормам</x:v>
      </x:c>
      <x:c r="W1009" s="28" t="str">
        <x:v>сливочное масло, соевый соус или тимьян</x:v>
      </x:c>
      <x:c r="X1009" s="28" t="str">
        <x:v>горячее блюдо, бульон, соус, пюре, ферментация или гарнир с анчоусы</x:v>
      </x:c>
      <x:c r="Y1009" s="28" t="str">
        <x:v>еда, соусы/маринады</x:v>
      </x:c>
      <x:c r="Z1009" s="28" t="str">
        <x:v>Средняя</x:v>
      </x:c>
      <x:c r="AA1009" s="28" t="str">
        <x:v>Тезариус вкусов (Ники Сегнит)(1).pdf</x:v>
      </x:c>
      <x:c r="AB1009" s="28" t="str">
        <x:v>Тезариус вкусов (Ники Сегнит)(1).pdf: 291, 431</x:v>
      </x:c>
      <x:c r="AC1009" s="28" t="str">
        <x:v>развёрнутая пара/статья, стр. 291; развёрнутая пара/статья, стр. 431</x:v>
      </x:c>
      <x:c r="AD1009" s="28" t="n">
        <x:v>1</x:v>
      </x:c>
      <x:c r="AE1009" s="28" t="n">
        <x:v>2</x:v>
      </x:c>
      <x:c r="AF1009" s="28" t="n">
        <x:f>IF(Z1009="Высокая",3,IF(Z1009="Средняя",2,1))+AD1009*2+MIN(AE1009,3)</x:f>
        <x:v>6</x:v>
      </x:c>
    </x:row>
    <x:row r="1010" ht="64" customHeight="1">
      <x:c r="A1010" s="28" t="str">
        <x:v>VEG-1009</x:v>
      </x:c>
      <x:c r="B1010" s="28" t="str">
        <x:v>чеснок</x:v>
      </x:c>
      <x:c r="C1010" s="28" t="str">
        <x:v>Десерты и выпечка</x:v>
      </x:c>
      <x:c r="D1010" s="28" t="str">
        <x:v>чеснок</x:v>
      </x:c>
      <x:c r="E1010" s="28" t="str">
        <x:v>garlic</x:v>
      </x:c>
      <x:c r="F1010" s="28" t="str">
        <x:v>Луковые овощи</x:v>
      </x:c>
      <x:c r="G1010" s="28" t="str">
        <x:v>арахис</x:v>
      </x:c>
      <x:c r="H1010" s="28" t="str">
        <x:v>roasted peanut | roastedpeanut</x:v>
      </x:c>
      <x:c r="I1010" s="28" t="str">
        <x:v>Орехи и семена</x:v>
      </x:c>
      <x:c r="J1010" s="28" t="str">
        <x:v>резкий сернистый, зелёный и мясной; после запекания — сладкий и ореховый</x:v>
      </x:c>
      <x:c r="K1010" s="28" t="str">
        <x:v>ореховый, жареный и жирный</x:v>
      </x:c>
      <x:c r="L1010" s="28" t="str">
        <x:v>аллицин, диаллилдисульфид, диаллилтрисульфид, метантиол</x:v>
      </x:c>
      <x:c r="M1010" s="28" t="str">
        <x:v>альдегиды, пиразины, фураны</x:v>
      </x:c>
      <x:c r="N1010" s="28" t="str">
        <x:v>жареный</x:v>
      </x:c>
      <x:c r="O1010" s="28" t="str">
        <x:v>надёжная общая ключевая молекула не установлена</x:v>
      </x:c>
      <x:c r="P1010" s="28" t="str">
        <x:v>пересечение ароматических семейств; сернистая или горчичная комплементарность</x:v>
      </x:c>
      <x:c r="Q101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0" s="28" t="str">
        <x:v>сильное жжение и раздражение тройничного нерва</x:v>
      </x:c>
      <x:c r="S1010" s="28" t="str">
        <x:v>водная луковичная матрица; реакция начинается после повреждения клеток</x:v>
      </x:c>
      <x:c r="T101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0" s="28" t="str">
        <x:v>Чеснок имеет профиль «резкий сернистый, зелёный и мясной; после запекания — сладкий и ореховый». Партнёр «арахис»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0" s="28" t="str">
        <x:v>сырой чеснок быстро доминирует; пережжённый чеснок очень горький; хранить и обрабатывать по пищевым нормам</x:v>
      </x:c>
      <x:c r="W1010" s="28" t="str">
        <x:v>соль, кислота или ароматический жир</x:v>
      </x:c>
      <x:c r="X1010" s="28" t="str">
        <x:v>горячее блюдо, бульон, соус, пюре, ферментация или гарнир с арахис</x:v>
      </x:c>
      <x:c r="Y1010" s="28" t="str">
        <x:v>еда, десерты, соусы/маринады</x:v>
      </x:c>
      <x:c r="Z1010" s="28" t="str">
        <x:v>Средняя</x:v>
      </x:c>
      <x:c r="AA1010" s="28" t="str">
        <x:v>The Art &amp; Science of Foodpairing.pdf</x:v>
      </x:c>
      <x:c r="AB1010" s="28" t="str">
        <x:v>The Art &amp; Science of Foodpairing.pdf: 113, 114</x:v>
      </x:c>
      <x:c r="AC1010" s="28" t="str">
        <x:v>связь из pairing grid, стр. 113; связь из pairing grid, стр. 114; связь из pairing grid, стр. 114</x:v>
      </x:c>
      <x:c r="AD1010" s="28" t="n">
        <x:v>1</x:v>
      </x:c>
      <x:c r="AE1010" s="28" t="n">
        <x:v>3</x:v>
      </x:c>
      <x:c r="AF1010" s="28" t="n">
        <x:f>IF(Z1010="Высокая",3,IF(Z1010="Средняя",2,1))+AD1010*2+MIN(AE1010,3)</x:f>
        <x:v>7</x:v>
      </x:c>
    </x:row>
    <x:row r="1011" ht="64" customHeight="1">
      <x:c r="A1011" s="28" t="str">
        <x:v>VEG-1010</x:v>
      </x:c>
      <x:c r="B1011" s="28" t="str">
        <x:v>чеснок</x:v>
      </x:c>
      <x:c r="C1011" s="28" t="str">
        <x:v>Десерты и выпечка</x:v>
      </x:c>
      <x:c r="D1011" s="28" t="str">
        <x:v>чеснок</x:v>
      </x:c>
      <x:c r="E1011" s="28" t="str">
        <x:v>garlic</x:v>
      </x:c>
      <x:c r="F1011" s="28" t="str">
        <x:v>Луковые овощи</x:v>
      </x:c>
      <x:c r="G1011" s="28" t="str">
        <x:v>арахисовая паста</x:v>
      </x:c>
      <x:c r="H1011" s="28" t="str">
        <x:v>peanut butter</x:v>
      </x:c>
      <x:c r="I1011" s="28" t="str">
        <x:v>Орехи и семена</x:v>
      </x:c>
      <x:c r="J1011" s="28" t="str">
        <x:v>резкий сернистый, зелёный и мясной; после запекания — сладкий и ореховый</x:v>
      </x:c>
      <x:c r="K1011" s="28" t="str">
        <x:v>ореховый, жареный и жирный</x:v>
      </x:c>
      <x:c r="L1011" s="28" t="str">
        <x:v>аллицин, диаллилдисульфид, диаллилтрисульфид, метантиол</x:v>
      </x:c>
      <x:c r="M1011" s="28" t="str">
        <x:v>альдегиды, пиразины, фураны</x:v>
      </x:c>
      <x:c r="N1011" s="28" t="str">
        <x:v>жареный</x:v>
      </x:c>
      <x:c r="O1011" s="28" t="str">
        <x:v>надёжная общая ключевая молекула не установлена</x:v>
      </x:c>
      <x:c r="P1011" s="28" t="str">
        <x:v>пересечение ароматических семейств; сернистая или горчичная комплементарность</x:v>
      </x:c>
      <x:c r="Q101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1" s="28" t="str">
        <x:v>сильное жжение и раздражение тройничного нерва</x:v>
      </x:c>
      <x:c r="S1011" s="28" t="str">
        <x:v>водная луковичная матрица; реакция начинается после повреждения клеток</x:v>
      </x:c>
      <x:c r="T101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1" s="28" t="str">
        <x:v>Чеснок имеет профиль «резкий сернистый, зелёный и мясной; после запекания — сладкий и ореховый». Партнёр «арахисовая паста»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1" s="28" t="str">
        <x:v>сырой чеснок быстро доминирует; пережжённый чеснок очень горький; хранить и обрабатывать по пищевым нормам</x:v>
      </x:c>
      <x:c r="W1011" s="28" t="str">
        <x:v>соль, кислота или ароматический жир</x:v>
      </x:c>
      <x:c r="X1011" s="28" t="str">
        <x:v>горячее блюдо, бульон, соус, пюре, ферментация или гарнир с арахисовая паста</x:v>
      </x:c>
      <x:c r="Y1011" s="28" t="str">
        <x:v>еда, десерты, соусы/маринады</x:v>
      </x:c>
      <x:c r="Z1011" s="28" t="str">
        <x:v>Средняя</x:v>
      </x:c>
      <x:c r="AA1011" s="28" t="str">
        <x:v>The Art &amp; Science of Foodpairing.pdf</x:v>
      </x:c>
      <x:c r="AB1011" s="28" t="str">
        <x:v>The Art &amp; Science of Foodpairing.pdf: 114</x:v>
      </x:c>
      <x:c r="AC1011" s="28" t="str">
        <x:v>связь из pairing grid, стр. 114</x:v>
      </x:c>
      <x:c r="AD1011" s="28" t="n">
        <x:v>1</x:v>
      </x:c>
      <x:c r="AE1011" s="28" t="n">
        <x:v>1</x:v>
      </x:c>
      <x:c r="AF1011" s="28" t="n">
        <x:f>IF(Z1011="Высокая",3,IF(Z1011="Средняя",2,1))+AD1011*2+MIN(AE1011,3)</x:f>
        <x:v>5</x:v>
      </x:c>
    </x:row>
    <x:row r="1012" ht="64" customHeight="1">
      <x:c r="A1012" s="28" t="str">
        <x:v>VEG-1011</x:v>
      </x:c>
      <x:c r="B1012" s="28" t="str">
        <x:v>чеснок</x:v>
      </x:c>
      <x:c r="C1012" s="28" t="str">
        <x:v>Универсальные</x:v>
      </x:c>
      <x:c r="D1012" s="28" t="str">
        <x:v>чеснок</x:v>
      </x:c>
      <x:c r="E1012" s="28" t="str">
        <x:v>garlic</x:v>
      </x:c>
      <x:c r="F1012" s="28" t="str">
        <x:v>Луковые овощи</x:v>
      </x:c>
      <x:c r="G1012" s="28" t="str">
        <x:v>артишок</x:v>
      </x:c>
      <x:c r="H1012" s="28" t="str">
        <x:v>boiled Jerusalem artichoke</x:v>
      </x:c>
      <x:c r="I1012" s="28" t="str">
        <x:v>Соцветия и стеблевые овощи</x:v>
      </x:c>
      <x:c r="J1012" s="28" t="str">
        <x:v>резкий сернистый, зелёный и мясной; после запекания — сладкий и ореховый</x:v>
      </x:c>
      <x:c r="K1012" s="28" t="str">
        <x:v>зелёный, ореховый, травянистый и слегка цветочный</x:v>
      </x:c>
      <x:c r="L1012" s="28" t="str">
        <x:v>аллицин, диаллилдисульфид, диаллилтрисульфид, метантиол</x:v>
      </x:c>
      <x:c r="M1012" s="28" t="str">
        <x:v>зелёные альдегиды, сесквитерпеновые лактоны, цинарин</x:v>
      </x:c>
      <x:c r="N1012" s="28" t="str">
        <x:v>прямое пересечение семейств не подтверждено</x:v>
      </x:c>
      <x:c r="O1012" s="28" t="str">
        <x:v>надёжная общая ключевая молекула не установлена</x:v>
      </x:c>
      <x:c r="P1012" s="28" t="str">
        <x:v>сернистая или горчичная комплементарность</x:v>
      </x:c>
      <x:c r="Q101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2" s="28" t="str">
        <x:v>сильное жжение и раздражение тройничного нерва</x:v>
      </x:c>
      <x:c r="S1012" s="28" t="str">
        <x:v>водная луковичная матрица; реакция начинается после повреждения клеток</x:v>
      </x:c>
      <x:c r="T101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2" s="28" t="str">
        <x:v>Чеснок имеет профиль «резкий сернистый, зелёный и мясной; после запекания — сладкий и ореховый». Партнёр «артишок» относится к группе «Соцветия и стеблевые овощи» и даёт зелёный, ореховый, травянистый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2" s="28" t="str">
        <x:v>сырой чеснок быстро доминирует; пережжённый чеснок очень горький; хранить и обрабатывать по пищевым нормам</x:v>
      </x:c>
      <x:c r="W1012" s="28" t="str">
        <x:v>соль, кислота или ароматический жир</x:v>
      </x:c>
      <x:c r="X1012" s="28" t="str">
        <x:v>горячее блюдо, бульон, соус, пюре, ферментация или гарнир с артишок</x:v>
      </x:c>
      <x:c r="Y1012" s="28" t="str">
        <x:v>еда, соусы/маринады</x:v>
      </x:c>
      <x:c r="Z1012" s="28" t="str">
        <x:v>Средняя</x:v>
      </x:c>
      <x:c r="AA1012" s="28" t="str">
        <x:v>The Art &amp; Science of Foodpairing.pdf</x:v>
      </x:c>
      <x:c r="AB1012" s="28" t="str">
        <x:v>The Art &amp; Science of Foodpairing.pdf: 114</x:v>
      </x:c>
      <x:c r="AC1012" s="28" t="str">
        <x:v>связь из pairing grid, стр. 114</x:v>
      </x:c>
      <x:c r="AD1012" s="28" t="n">
        <x:v>1</x:v>
      </x:c>
      <x:c r="AE1012" s="28" t="n">
        <x:v>1</x:v>
      </x:c>
      <x:c r="AF1012" s="28" t="n">
        <x:f>IF(Z1012="Высокая",3,IF(Z1012="Средняя",2,1))+AD1012*2+MIN(AE1012,3)</x:f>
        <x:v>5</x:v>
      </x:c>
    </x:row>
    <x:row r="1013" ht="64" customHeight="1">
      <x:c r="A1013" s="28" t="str">
        <x:v>VEG-1012</x:v>
      </x:c>
      <x:c r="B1013" s="28" t="str">
        <x:v>чеснок</x:v>
      </x:c>
      <x:c r="C1013" s="28" t="str">
        <x:v>Универсальные</x:v>
      </x:c>
      <x:c r="D1013" s="28" t="str">
        <x:v>чеснок</x:v>
      </x:c>
      <x:c r="E1013" s="28" t="str">
        <x:v>Чеснок | чеснок</x:v>
      </x:c>
      <x:c r="F1013" s="28" t="str">
        <x:v>Луковые овощи</x:v>
      </x:c>
      <x:c r="G1013" s="28" t="str">
        <x:v>базилик</x:v>
      </x:c>
      <x:c r="H1013" s="28" t="str">
        <x:v>Базилик | базилик</x:v>
      </x:c>
      <x:c r="I1013" s="28" t="str">
        <x:v>Травы, цветы и листья</x:v>
      </x:c>
      <x:c r="J1013" s="28" t="str">
        <x:v>резкий сернистый, зелёный и мясной; после запекания — сладкий и ореховый</x:v>
      </x:c>
      <x:c r="K1013" s="28" t="str">
        <x:v>зелёный, пряный, цветочный</x:v>
      </x:c>
      <x:c r="L1013" s="28" t="str">
        <x:v>аллицин, диаллилдисульфид, диаллилтрисульфид, метантиол</x:v>
      </x:c>
      <x:c r="M1013" s="28" t="str">
        <x:v>линалоол, эвгенол</x:v>
      </x:c>
      <x:c r="N1013" s="28" t="str">
        <x:v>прямое пересечение семейств не подтверждено</x:v>
      </x:c>
      <x:c r="O1013" s="28" t="str">
        <x:v>надёжная общая ключевая молекула не установлена</x:v>
      </x:c>
      <x:c r="P1013" s="28" t="str">
        <x:v>сернистая или горчичная комплементарность</x:v>
      </x:c>
      <x:c r="Q101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3" s="28" t="str">
        <x:v>сильное жжение и раздражение тройничного нерва</x:v>
      </x:c>
      <x:c r="S1013" s="28" t="str">
        <x:v>водная луковичная матрица; реакция начинается после повреждения клеток</x:v>
      </x:c>
      <x:c r="T101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3" s="28" t="str">
        <x:v>Чеснок имеет профиль «резкий сернистый, зелёный и мясной; после запекания — сладкий и ореховый».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3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W1013" s="28" t="str">
        <x:v>оливковое масло, лимон или сыр</x:v>
      </x:c>
      <x:c r="X1013" s="28" t="str">
        <x:v>горячее блюдо, бульон, соус, пюре, ферментация или гарнир с базилик</x:v>
      </x:c>
      <x:c r="Y1013" s="28" t="str">
        <x:v>еда, соусы/маринады</x:v>
      </x:c>
      <x:c r="Z1013" s="28" t="str">
        <x:v>Средняя</x:v>
      </x:c>
      <x:c r="AA1013" s="28" t="str">
        <x:v>Тезариус вкусов (Ники Сегнит)(1).pdf</x:v>
      </x:c>
      <x:c r="AB1013" s="28" t="str">
        <x:v>Тезариус вкусов (Ники Сегнит)(1).pdf: 291, 570</x:v>
      </x:c>
      <x:c r="AC1013" s="28" t="str">
        <x:v>развёрнутая пара/статья, стр. 291; развёрнутая пара/статья, стр. 570</x:v>
      </x:c>
      <x:c r="AD1013" s="28" t="n">
        <x:v>1</x:v>
      </x:c>
      <x:c r="AE1013" s="28" t="n">
        <x:v>2</x:v>
      </x:c>
      <x:c r="AF1013" s="28" t="n">
        <x:f>IF(Z1013="Высокая",3,IF(Z1013="Средняя",2,1))+AD1013*2+MIN(AE1013,3)</x:f>
        <x:v>6</x:v>
      </x:c>
    </x:row>
    <x:row r="1014" ht="64" customHeight="1">
      <x:c r="A1014" s="28" t="str">
        <x:v>VEG-1013</x:v>
      </x:c>
      <x:c r="B1014" s="28" t="str">
        <x:v>чеснок</x:v>
      </x:c>
      <x:c r="C1014" s="28" t="str">
        <x:v>Еда и соусы</x:v>
      </x:c>
      <x:c r="D1014" s="28" t="str">
        <x:v>чеснок</x:v>
      </x:c>
      <x:c r="E1014" s="28" t="str">
        <x:v>garlic | Чеснок | чеснок</x:v>
      </x:c>
      <x:c r="F1014" s="28" t="str">
        <x:v>Луковые овощи</x:v>
      </x:c>
      <x:c r="G1014" s="28" t="str">
        <x:v>баранина</x:v>
      </x:c>
      <x:c r="H1014" s="28" t="str">
        <x:v>grilled lamb | Баранина | баранина</x:v>
      </x:c>
      <x:c r="I1014" s="28" t="str">
        <x:v>Мясо и птица</x:v>
      </x:c>
      <x:c r="J1014" s="28" t="str">
        <x:v>резкий сернистый, зелёный и мясной; после запекания — сладкий и ореховый</x:v>
      </x:c>
      <x:c r="K1014" s="28" t="str">
        <x:v>жареный, мясной и умами</x:v>
      </x:c>
      <x:c r="L1014" s="28" t="str">
        <x:v>аллицин, диаллилдисульфид, диаллилтрисульфид, метантиол</x:v>
      </x:c>
      <x:c r="M1014" s="28" t="str">
        <x:v>пиразины, сернистые соединения</x:v>
      </x:c>
      <x:c r="N1014" s="28" t="str">
        <x:v>жареный, умами</x:v>
      </x:c>
      <x:c r="O1014" s="28" t="str">
        <x:v>надёжная общая ключевая молекула не установлена</x:v>
      </x:c>
      <x:c r="P1014" s="28" t="str">
        <x:v>пересечение ароматических семейств; умами и солёный контраст; сернистая или горчичная комплементарность</x:v>
      </x:c>
      <x:c r="Q101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4" s="28" t="str">
        <x:v>сильное жжение и раздражение тройничного нерва</x:v>
      </x:c>
      <x:c r="S1014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1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4" s="28" t="str">
        <x:v>Чеснок имеет профиль «резкий сернистый, зелёный и мясной; после запекания — сладкий и ореховый». Партнёр «баранина»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4" s="28" t="str">
        <x:v>сырой чеснок быстро доминирует; пережжённый чеснок очень горький; хранить и обрабатывать по пищевым нормам</x:v>
      </x:c>
      <x:c r="W1014" s="28" t="str">
        <x:v>сливочное масло, соевый соус или тимьян</x:v>
      </x:c>
      <x:c r="X1014" s="28" t="str">
        <x:v>горячее блюдо, бульон, соус, пюре, ферментация или гарнир с баранина</x:v>
      </x:c>
      <x:c r="Y1014" s="28" t="str">
        <x:v>еда, соусы/маринады</x:v>
      </x:c>
      <x:c r="Z1014" s="28" t="str">
        <x:v>Высокая</x:v>
      </x:c>
      <x:c r="AA1014" s="28" t="str">
        <x:v>The Art &amp; Science of Foodpairing.pdf | Тезариус вкусов (Ники Сегнит)(1).pdf</x:v>
      </x:c>
      <x:c r="AB1014" s="28" t="str">
        <x:v>Тезариус вкусов (Ники Сегнит)(1).pdf: 133, 292; The Art &amp; Science of Foodpairing.pdf: 113, 114</x:v>
      </x:c>
      <x:c r="AC1014" s="28" t="str">
        <x:v>развёрнутая пара/статья, стр. 133; развёрнутая пара/статья, стр. 292; связь из pairing grid, стр. 113; связь из pairing grid, стр. 114</x:v>
      </x:c>
      <x:c r="AD1014" s="28" t="n">
        <x:v>2</x:v>
      </x:c>
      <x:c r="AE1014" s="28" t="n">
        <x:v>4</x:v>
      </x:c>
      <x:c r="AF1014" s="28" t="n">
        <x:f>IF(Z1014="Высокая",3,IF(Z1014="Средняя",2,1))+AD1014*2+MIN(AE1014,3)</x:f>
        <x:v>10</x:v>
      </x:c>
    </x:row>
    <x:row r="1015" ht="64" customHeight="1">
      <x:c r="A1015" s="28" t="str">
        <x:v>VEG-1014</x:v>
      </x:c>
      <x:c r="B1015" s="28" t="str">
        <x:v>чеснок</x:v>
      </x:c>
      <x:c r="C1015" s="28" t="str">
        <x:v>Еда и соусы</x:v>
      </x:c>
      <x:c r="D1015" s="28" t="str">
        <x:v>чеснок</x:v>
      </x:c>
      <x:c r="E1015" s="28" t="str">
        <x:v>garlic</x:v>
      </x:c>
      <x:c r="F1015" s="28" t="str">
        <x:v>Луковые овощи</x:v>
      </x:c>
      <x:c r="G1015" s="28" t="str">
        <x:v>бекон</x:v>
      </x:c>
      <x:c r="H1015" s="28" t="str">
        <x:v>pan-fried bacon</x:v>
      </x:c>
      <x:c r="I1015" s="28" t="str">
        <x:v>Мясо и птица</x:v>
      </x:c>
      <x:c r="J1015" s="28" t="str">
        <x:v>резкий сернистый, зелёный и мясной; после запекания — сладкий и ореховый</x:v>
      </x:c>
      <x:c r="K1015" s="28" t="str">
        <x:v>дымный, жареный, умами</x:v>
      </x:c>
      <x:c r="L1015" s="28" t="str">
        <x:v>аллицин, диаллилдисульфид, диаллилтрисульфид, метантиол</x:v>
      </x:c>
      <x:c r="M1015" s="28" t="str">
        <x:v>пиразины, фенолы</x:v>
      </x:c>
      <x:c r="N1015" s="28" t="str">
        <x:v>жареный, умами</x:v>
      </x:c>
      <x:c r="O1015" s="28" t="str">
        <x:v>надёжная общая ключевая молекула не установлена</x:v>
      </x:c>
      <x:c r="P1015" s="28" t="str">
        <x:v>пересечение ароматических семейств; умами и солёный контраст; сернистая или горчичная комплементарность</x:v>
      </x:c>
      <x:c r="Q101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5" s="28" t="str">
        <x:v>сильное жжение и раздражение тройничного нерва</x:v>
      </x:c>
      <x:c r="S1015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1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5" s="28" t="str">
        <x:v>Чеснок имеет профиль «резкий сернистый, зелёный и мясной; после запекания — сладкий и ореховый». Партнёр «бекон» относится к группе «Мясо и птица» и даёт дымный, жареный,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5" s="28" t="str">
        <x:v>сырой чеснок быстро доминирует; пережжённый чеснок очень горький; хранить и обрабатывать по пищевым нормам</x:v>
      </x:c>
      <x:c r="W1015" s="28" t="str">
        <x:v>сливочное масло, соевый соус или тимьян</x:v>
      </x:c>
      <x:c r="X1015" s="28" t="str">
        <x:v>горячее блюдо, бульон, соус, пюре, ферментация или гарнир с бекон</x:v>
      </x:c>
      <x:c r="Y1015" s="28" t="str">
        <x:v>еда, соусы/маринады</x:v>
      </x:c>
      <x:c r="Z1015" s="28" t="str">
        <x:v>Средняя</x:v>
      </x:c>
      <x:c r="AA1015" s="28" t="str">
        <x:v>The Art &amp; Science of Foodpairing.pdf</x:v>
      </x:c>
      <x:c r="AB1015" s="28" t="str">
        <x:v>The Art &amp; Science of Foodpairing.pdf: 113</x:v>
      </x:c>
      <x:c r="AC1015" s="28" t="str">
        <x:v>связь из pairing grid, стр. 113</x:v>
      </x:c>
      <x:c r="AD1015" s="28" t="n">
        <x:v>1</x:v>
      </x:c>
      <x:c r="AE1015" s="28" t="n">
        <x:v>1</x:v>
      </x:c>
      <x:c r="AF1015" s="28" t="n">
        <x:f>IF(Z1015="Высокая",3,IF(Z1015="Средняя",2,1))+AD1015*2+MIN(AE1015,3)</x:f>
        <x:v>5</x:v>
      </x:c>
    </x:row>
    <x:row r="1016" ht="64" customHeight="1">
      <x:c r="A1016" s="28" t="str">
        <x:v>VEG-1015</x:v>
      </x:c>
      <x:c r="B1016" s="28" t="str">
        <x:v>чеснок</x:v>
      </x:c>
      <x:c r="C1016" s="28" t="str">
        <x:v>Еда и соусы</x:v>
      </x:c>
      <x:c r="D1016" s="28" t="str">
        <x:v>чеснок</x:v>
      </x:c>
      <x:c r="E1016" s="28" t="str">
        <x:v>Чеснок | чеснок</x:v>
      </x:c>
      <x:c r="F1016" s="28" t="str">
        <x:v>Луковые овощи</x:v>
      </x:c>
      <x:c r="G1016" s="28" t="str">
        <x:v>белая рыба</x:v>
      </x:c>
      <x:c r="H1016" s="28" t="str">
        <x:v>Белая рыба | белая рыба</x:v>
      </x:c>
      <x:c r="I1016" s="28" t="str">
        <x:v>Рыба и морепродукты</x:v>
      </x:c>
      <x:c r="J1016" s="28" t="str">
        <x:v>резкий сернистый, зелёный и мясной; после запекания — сладкий и ореховый</x:v>
      </x:c>
      <x:c r="K1016" s="28" t="str">
        <x:v>жирный, морской, умами</x:v>
      </x:c>
      <x:c r="L1016" s="28" t="str">
        <x:v>аллицин, диаллилдисульфид, диаллилтрисульфид, метантиол</x:v>
      </x:c>
      <x:c r="M1016" s="28" t="str">
        <x:v>альдегиды, амины</x:v>
      </x:c>
      <x:c r="N1016" s="28" t="str">
        <x:v>умами</x:v>
      </x:c>
      <x:c r="O1016" s="28" t="str">
        <x:v>надёжная общая ключевая молекула не установлена</x:v>
      </x:c>
      <x:c r="P1016" s="28" t="str">
        <x:v>пересечение ароматических семейств; умами и солёный контраст; сернистая или горчичная комплементарность</x:v>
      </x:c>
      <x:c r="Q101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6" s="28" t="str">
        <x:v>сильное жжение и раздражение тройничного нерва</x:v>
      </x:c>
      <x:c r="S1016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1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6" s="28" t="str">
        <x:v>Чеснок имеет профиль «резкий сернистый, зелёный и мясной; после запекания — сладкий и ореховый».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6" s="28" t="str">
        <x:v>сырой чеснок быстро доминирует; пережжённый чеснок очень горький; хранить и обрабатывать по пищевым нормам</x:v>
      </x:c>
      <x:c r="W1016" s="28" t="str">
        <x:v>сливочное масло, соевый соус или тимьян</x:v>
      </x:c>
      <x:c r="X1016" s="28" t="str">
        <x:v>горячее блюдо, бульон, соус, пюре, ферментация или гарнир с белая рыба</x:v>
      </x:c>
      <x:c r="Y1016" s="28" t="str">
        <x:v>еда, соусы/маринады</x:v>
      </x:c>
      <x:c r="Z1016" s="28" t="str">
        <x:v>Средняя</x:v>
      </x:c>
      <x:c r="AA1016" s="28" t="str">
        <x:v>Тезариус вкусов (Ники Сегнит)(1).pdf</x:v>
      </x:c>
      <x:c r="AB1016" s="28" t="str">
        <x:v>Тезариус вкусов (Ники Сегнит)(1).pdf: 293, 393</x:v>
      </x:c>
      <x:c r="AC1016" s="28" t="str">
        <x:v>развёрнутая пара/статья, стр. 293; развёрнутая пара/статья, стр. 393</x:v>
      </x:c>
      <x:c r="AD1016" s="28" t="n">
        <x:v>1</x:v>
      </x:c>
      <x:c r="AE1016" s="28" t="n">
        <x:v>2</x:v>
      </x:c>
      <x:c r="AF1016" s="28" t="n">
        <x:f>IF(Z1016="Высокая",3,IF(Z1016="Средняя",2,1))+AD1016*2+MIN(AE1016,3)</x:f>
        <x:v>6</x:v>
      </x:c>
    </x:row>
    <x:row r="1017" ht="64" customHeight="1">
      <x:c r="A1017" s="28" t="str">
        <x:v>VEG-1016</x:v>
      </x:c>
      <x:c r="B1017" s="28" t="str">
        <x:v>чеснок</x:v>
      </x:c>
      <x:c r="C1017" s="28" t="str">
        <x:v>Универсальные</x:v>
      </x:c>
      <x:c r="D1017" s="28" t="str">
        <x:v>чеснок</x:v>
      </x:c>
      <x:c r="E1017" s="28" t="str">
        <x:v>garlic</x:v>
      </x:c>
      <x:c r="F1017" s="28" t="str">
        <x:v>Луковые овощи</x:v>
      </x:c>
      <x:c r="G1017" s="28" t="str">
        <x:v>болгарский перец</x:v>
      </x:c>
      <x:c r="H1017" s="28" t="str">
        <x:v>red bell pepper, thyme | yellow bell pepper coulis</x:v>
      </x:c>
      <x:c r="I1017" s="28" t="str">
        <x:v>Плодовые овощи</x:v>
      </x:c>
      <x:c r="J1017" s="28" t="str">
        <x:v>резкий сернистый, зелёный и мясной; после запекания — сладкий и ореховый</x:v>
      </x:c>
      <x:c r="K1017" s="28" t="str">
        <x:v>зелёный, травянистый, фруктовый; у красного — сладкий и жареный</x:v>
      </x:c>
      <x:c r="L1017" s="28" t="str">
        <x:v>аллицин, диаллилдисульфид, диаллилтрисульфид, метантиол</x:v>
      </x:c>
      <x:c r="M1017" s="28" t="str">
        <x:v>2-изобутил-3-метоксипиразин, гексаналь, лимонен, эфиры</x:v>
      </x:c>
      <x:c r="N1017" s="28" t="str">
        <x:v>прямое пересечение семейств не подтверждено</x:v>
      </x:c>
      <x:c r="O1017" s="28" t="str">
        <x:v>надёжная общая ключевая молекула не установлена</x:v>
      </x:c>
      <x:c r="P1017" s="28" t="str">
        <x:v>сернистая или горчичная комплементарность</x:v>
      </x:c>
      <x:c r="Q101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7" s="28" t="str">
        <x:v>сильное жжение и раздражение тройничного нерва</x:v>
      </x:c>
      <x:c r="S1017" s="28" t="str">
        <x:v>водная луковичная матрица; реакция начинается после повреждения клеток</x:v>
      </x:c>
      <x:c r="T101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7" s="28" t="str">
        <x:v>Чеснок имеет профиль «резкий сернистый, зелёный и мясной; после запекания — сладкий и ореховый». Партнёр «болгарский перец» относится к группе «Плодовые овощи» и даёт зелёный, травянистый, фруктовый; у красного — сладкий и жареный.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7" s="28" t="str">
        <x:v>сырой чеснок быстро доминирует; пережжённый чеснок очень горький; хранить и обрабатывать по пищевым нормам</x:v>
      </x:c>
      <x:c r="W1017" s="28" t="str">
        <x:v>соль, кислота или ароматический жир</x:v>
      </x:c>
      <x:c r="X1017" s="28" t="str">
        <x:v>горячее блюдо, бульон, соус, пюре, ферментация или гарнир с болгарский перец</x:v>
      </x:c>
      <x:c r="Y1017" s="28" t="str">
        <x:v>еда, соусы/маринады</x:v>
      </x:c>
      <x:c r="Z1017" s="28" t="str">
        <x:v>Высокая</x:v>
      </x:c>
      <x:c r="AA1017" s="28" t="str">
        <x:v>The Art &amp; Science of Foodpairing.pdf</x:v>
      </x:c>
      <x:c r="AB1017" s="28" t="str">
        <x:v>The Art &amp; Science of Foodpairing.pdf: 109, 113</x:v>
      </x:c>
      <x:c r="AC1017" s="28" t="str">
        <x:v>прямая Classic pairing, стр. 109; связь из pairing grid, стр. 113</x:v>
      </x:c>
      <x:c r="AD1017" s="28" t="n">
        <x:v>1</x:v>
      </x:c>
      <x:c r="AE1017" s="28" t="n">
        <x:v>2</x:v>
      </x:c>
      <x:c r="AF1017" s="28" t="n">
        <x:f>IF(Z1017="Высокая",3,IF(Z1017="Средняя",2,1))+AD1017*2+MIN(AE1017,3)</x:f>
        <x:v>7</x:v>
      </x:c>
    </x:row>
    <x:row r="1018" ht="64" customHeight="1">
      <x:c r="A1018" s="28" t="str">
        <x:v>VEG-1017</x:v>
      </x:c>
      <x:c r="B1018" s="28" t="str">
        <x:v>чеснок</x:v>
      </x:c>
      <x:c r="C1018" s="28" t="str">
        <x:v>Еда и соусы</x:v>
      </x:c>
      <x:c r="D1018" s="28" t="str">
        <x:v>чеснок</x:v>
      </x:c>
      <x:c r="E1018" s="28" t="str">
        <x:v>garlic | Чеснок | чеснок</x:v>
      </x:c>
      <x:c r="F1018" s="28" t="str">
        <x:v>Луковые овощи</x:v>
      </x:c>
      <x:c r="G1018" s="28" t="str">
        <x:v>брокколи</x:v>
      </x:c>
      <x:c r="H1018" s="28" t="str">
        <x:v>boiled broccoli | Брокколи | брокколи</x:v>
      </x:c>
      <x:c r="I1018" s="28" t="str">
        <x:v>Крестоцветные</x:v>
      </x:c>
      <x:c r="J1018" s="28" t="str">
        <x:v>резкий сернистый, зелёный и мясной; после запекания — сладкий и ореховый</x:v>
      </x:c>
      <x:c r="K1018" s="28" t="str">
        <x:v>зелёный, капустный, сернистый и ореховый после жарки</x:v>
      </x:c>
      <x:c r="L1018" s="28" t="str">
        <x:v>аллицин, диаллилдисульфид, диаллилтрисульфид, метантиол</x:v>
      </x:c>
      <x:c r="M1018" s="28" t="str">
        <x:v>гексаналь, диметилсульфид, изотиоцианаты, пиразины</x:v>
      </x:c>
      <x:c r="N1018" s="28" t="str">
        <x:v>жареный, сернистый</x:v>
      </x:c>
      <x:c r="O1018" s="28" t="str">
        <x:v>надёжная общая ключевая молекула не установлена</x:v>
      </x:c>
      <x:c r="P1018" s="28" t="str">
        <x:v>пересечение ароматических семейств; сернистая или горчичная комплементарность</x:v>
      </x:c>
      <x:c r="Q101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8" s="28" t="str">
        <x:v>сильное жжение и раздражение тройничного нерва</x:v>
      </x:c>
      <x:c r="S1018" s="28" t="str">
        <x:v>водная луковичная матрица; реакция начинается после повреждения клеток</x:v>
      </x:c>
      <x:c r="T101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8" s="28" t="str">
        <x:v>Чеснок имеет профиль «резкий сернистый, зелёный и мясной; после запекания — сладкий и ореховый». Партнёр «брокколи» относится к группе «Крестоцветные» и даёт зелёный, капустный, сернистый и ореховый после жарки.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8" s="28" t="str">
        <x:v>сырой чеснок быстро доминирует; пережжённый чеснок очень горький; хранить и обрабатывать по пищевым нормам</x:v>
      </x:c>
      <x:c r="W1018" s="28" t="str">
        <x:v>соль, кислота или ароматический жир</x:v>
      </x:c>
      <x:c r="X1018" s="28" t="str">
        <x:v>горячее блюдо, бульон, соус, пюре, ферментация или гарнир с брокколи</x:v>
      </x:c>
      <x:c r="Y1018" s="28" t="str">
        <x:v>еда, соусы/маринады</x:v>
      </x:c>
      <x:c r="Z1018" s="28" t="str">
        <x:v>Высокая</x:v>
      </x:c>
      <x:c r="AA1018" s="28" t="str">
        <x:v>The Art &amp; Science of Foodpairing.pdf | Тезариус вкусов (Ники Сегнит)(1).pdf</x:v>
      </x:c>
      <x:c r="AB1018" s="28" t="str">
        <x:v>Тезариус вкусов (Ники Сегнит)(1).pdf: 293, 333; The Art &amp; Science of Foodpairing.pdf: 114</x:v>
      </x:c>
      <x:c r="AC1018" s="28" t="str">
        <x:v>развёрнутая пара/статья, стр. 293; развёрнутая пара/статья, стр. 333; связь из pairing grid, стр. 114</x:v>
      </x:c>
      <x:c r="AD1018" s="28" t="n">
        <x:v>2</x:v>
      </x:c>
      <x:c r="AE1018" s="28" t="n">
        <x:v>3</x:v>
      </x:c>
      <x:c r="AF1018" s="28" t="n">
        <x:f>IF(Z1018="Высокая",3,IF(Z1018="Средняя",2,1))+AD1018*2+MIN(AE1018,3)</x:f>
        <x:v>10</x:v>
      </x:c>
    </x:row>
    <x:row r="1019" ht="64" customHeight="1">
      <x:c r="A1019" s="28" t="str">
        <x:v>VEG-1018</x:v>
      </x:c>
      <x:c r="B1019" s="28" t="str">
        <x:v>чеснок</x:v>
      </x:c>
      <x:c r="C1019" s="28" t="str">
        <x:v>Десерты и выпечка</x:v>
      </x:c>
      <x:c r="D1019" s="28" t="str">
        <x:v>чеснок</x:v>
      </x:c>
      <x:c r="E1019" s="28" t="str">
        <x:v>garlic</x:v>
      </x:c>
      <x:c r="F1019" s="28" t="str">
        <x:v>Луковые овощи</x:v>
      </x:c>
      <x:c r="G1019" s="28" t="str">
        <x:v>виноград</x:v>
      </x:c>
      <x:c r="H1019" s="28" t="str">
        <x:v>grapes</x:v>
      </x:c>
      <x:c r="I1019" s="28" t="str">
        <x:v>Фрукты и ягоды</x:v>
      </x:c>
      <x:c r="J1019" s="28" t="str">
        <x:v>резкий сернистый, зелёный и мясной; после запекания — сладкий и ореховый</x:v>
      </x:c>
      <x:c r="K1019" s="28" t="str">
        <x:v>фруктовый, цветочный и свежий</x:v>
      </x:c>
      <x:c r="L1019" s="28" t="str">
        <x:v>аллицин, диаллилдисульфид, диаллилтрисульфид, метантиол</x:v>
      </x:c>
      <x:c r="M1019" s="28" t="str">
        <x:v>альдегиды, эфиры</x:v>
      </x:c>
      <x:c r="N1019" s="28" t="str">
        <x:v>прямое пересечение семейств не подтверждено</x:v>
      </x:c>
      <x:c r="O1019" s="28" t="str">
        <x:v>надёжная общая ключевая молекула не установлена</x:v>
      </x:c>
      <x:c r="P1019" s="28" t="str">
        <x:v>кислотно-сладкий баланс; сернистая или горчичная комплементарность</x:v>
      </x:c>
      <x:c r="Q101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19" s="28" t="str">
        <x:v>сильное жжение и раздражение тройничного нерва</x:v>
      </x:c>
      <x:c r="S1019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01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19" s="28" t="str">
        <x:v>Чеснок имеет профиль «резкий сернистый, зелёный и мясной; после запекания — сладкий и ореховый».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19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019" s="28" t="str">
        <x:v>цитрус, мёд или мягкая трава</x:v>
      </x:c>
      <x:c r="X1019" s="28" t="str">
        <x:v>горячее блюдо, бульон, соус, пюре, ферментация или гарнир с виноград</x:v>
      </x:c>
      <x:c r="Y1019" s="28" t="str">
        <x:v>еда, десерты, соусы/маринады</x:v>
      </x:c>
      <x:c r="Z1019" s="28" t="str">
        <x:v>Средняя</x:v>
      </x:c>
      <x:c r="AA1019" s="28" t="str">
        <x:v>The Art &amp; Science of Foodpairing.pdf</x:v>
      </x:c>
      <x:c r="AB1019" s="28" t="str">
        <x:v>The Art &amp; Science of Foodpairing.pdf: 113</x:v>
      </x:c>
      <x:c r="AC1019" s="28" t="str">
        <x:v>связь из pairing grid, стр. 113</x:v>
      </x:c>
      <x:c r="AD1019" s="28" t="n">
        <x:v>1</x:v>
      </x:c>
      <x:c r="AE1019" s="28" t="n">
        <x:v>1</x:v>
      </x:c>
      <x:c r="AF1019" s="28" t="n">
        <x:f>IF(Z1019="Высокая",3,IF(Z1019="Средняя",2,1))+AD1019*2+MIN(AE1019,3)</x:f>
        <x:v>5</x:v>
      </x:c>
    </x:row>
    <x:row r="1020" ht="64" customHeight="1">
      <x:c r="A1020" s="28" t="str">
        <x:v>VEG-1019</x:v>
      </x:c>
      <x:c r="B1020" s="28" t="str">
        <x:v>чеснок</x:v>
      </x:c>
      <x:c r="C1020" s="28" t="str">
        <x:v>Универсальные</x:v>
      </x:c>
      <x:c r="D1020" s="28" t="str">
        <x:v>чеснок</x:v>
      </x:c>
      <x:c r="E1020" s="28" t="str">
        <x:v>garlic</x:v>
      </x:c>
      <x:c r="F1020" s="28" t="str">
        <x:v>Луковые овощи</x:v>
      </x:c>
      <x:c r="G1020" s="28" t="str">
        <x:v>водоросль кодиум</x:v>
      </x:c>
      <x:c r="H1020" s="28" t="str">
        <x:v>Codium seaweed</x:v>
      </x:c>
      <x:c r="I1020" s="28" t="str">
        <x:v>Прочее</x:v>
      </x:c>
      <x:c r="J1020" s="28" t="str">
        <x:v>резкий сернистый, зелёный и мясной; после запекания — сладкий и ореховый</x:v>
      </x:c>
      <x:c r="K1020" s="28" t="str">
        <x:v>профиль зависит от конкретного продукта</x:v>
      </x:c>
      <x:c r="L1020" s="28" t="str">
        <x:v>аллицин, диаллилдисульфид, диаллилтрисульфид, метантиол</x:v>
      </x:c>
      <x:c r="M1020" s="28" t="str">
        <x:v>конкретный молекулярный профиль не указан</x:v>
      </x:c>
      <x:c r="N1020" s="28" t="str">
        <x:v>прямое пересечение семейств не подтверждено</x:v>
      </x:c>
      <x:c r="O1020" s="28" t="str">
        <x:v>надёжная общая ключевая молекула не установлена</x:v>
      </x:c>
      <x:c r="P1020" s="28" t="str">
        <x:v>сернистая или горчичная комплементарность</x:v>
      </x:c>
      <x:c r="Q102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0" s="28" t="str">
        <x:v>сильное жжение и раздражение тройничного нерва</x:v>
      </x:c>
      <x:c r="S1020" s="28" t="str">
        <x:v>водная луковичная матрица; реакция начинается после повреждения клеток</x:v>
      </x:c>
      <x:c r="T102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0" s="28" t="str">
        <x:v>Чеснок имеет профиль «резкий сернистый, зелёный и мясной; после запекания — сладкий и ореховый». Партнёр «водоросль кодиум»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0" s="28" t="str">
        <x:v>сырой чеснок быстро доминирует; пережжённый чеснок очень горький; хранить и обрабатывать по пищевым нормам</x:v>
      </x:c>
      <x:c r="W1020" s="28" t="str">
        <x:v>соль, кислота или ароматический жир</x:v>
      </x:c>
      <x:c r="X1020" s="28" t="str">
        <x:v>горячее блюдо, бульон, соус, пюре, ферментация или гарнир с водоросль кодиум</x:v>
      </x:c>
      <x:c r="Y1020" s="28" t="str">
        <x:v>еда, соусы/маринады</x:v>
      </x:c>
      <x:c r="Z1020" s="28" t="str">
        <x:v>Средняя</x:v>
      </x:c>
      <x:c r="AA1020" s="28" t="str">
        <x:v>The Art &amp; Science of Foodpairing.pdf</x:v>
      </x:c>
      <x:c r="AB1020" s="28" t="str">
        <x:v>The Art &amp; Science of Foodpairing.pdf: 113, 114</x:v>
      </x:c>
      <x:c r="AC1020" s="28" t="str">
        <x:v>связь из pairing grid, стр. 113; связь из pairing grid, стр. 114</x:v>
      </x:c>
      <x:c r="AD1020" s="28" t="n">
        <x:v>1</x:v>
      </x:c>
      <x:c r="AE1020" s="28" t="n">
        <x:v>2</x:v>
      </x:c>
      <x:c r="AF1020" s="28" t="n">
        <x:f>IF(Z1020="Высокая",3,IF(Z1020="Средняя",2,1))+AD1020*2+MIN(AE1020,3)</x:f>
        <x:v>6</x:v>
      </x:c>
    </x:row>
    <x:row r="1021" ht="64" customHeight="1">
      <x:c r="A1021" s="28" t="str">
        <x:v>VEG-1020</x:v>
      </x:c>
      <x:c r="B1021" s="28" t="str">
        <x:v>чеснок</x:v>
      </x:c>
      <x:c r="C1021" s="28" t="str">
        <x:v>Еда и соусы</x:v>
      </x:c>
      <x:c r="D1021" s="28" t="str">
        <x:v>чеснок</x:v>
      </x:c>
      <x:c r="E1021" s="28" t="str">
        <x:v>garlic</x:v>
      </x:c>
      <x:c r="F1021" s="28" t="str">
        <x:v>Луковые овощи</x:v>
      </x:c>
      <x:c r="G1021" s="28" t="str">
        <x:v>вьетнамский рыбный соус</x:v>
      </x:c>
      <x:c r="H1021" s="28" t="str">
        <x:v>Vietnamese fish sauce</x:v>
      </x:c>
      <x:c r="I1021" s="28" t="str">
        <x:v>Рыба и морепродукты</x:v>
      </x:c>
      <x:c r="J1021" s="28" t="str">
        <x:v>резкий сернистый, зелёный и мясной; после запекания — сладкий и ореховый</x:v>
      </x:c>
      <x:c r="K1021" s="28" t="str">
        <x:v>морской, солоноватый и умами</x:v>
      </x:c>
      <x:c r="L1021" s="28" t="str">
        <x:v>аллицин, диаллилдисульфид, диаллилтрисульфид, метантиол</x:v>
      </x:c>
      <x:c r="M1021" s="28" t="str">
        <x:v>альдегиды, амины</x:v>
      </x:c>
      <x:c r="N1021" s="28" t="str">
        <x:v>умами</x:v>
      </x:c>
      <x:c r="O1021" s="28" t="str">
        <x:v>надёжная общая ключевая молекула не установлена</x:v>
      </x:c>
      <x:c r="P1021" s="28" t="str">
        <x:v>пересечение ароматических семейств; умами и солёный контраст; сернистая или горчичная комплементарность</x:v>
      </x:c>
      <x:c r="Q102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1" s="28" t="str">
        <x:v>сильное жжение и раздражение тройничного нерва</x:v>
      </x:c>
      <x:c r="S1021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2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1" s="28" t="str">
        <x:v>Чеснок имеет профиль «резкий сернистый, зелёный и мясной; после запекания — сладкий и ореховый». Партнёр «вьетнамский рыбный соус»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1" s="28" t="str">
        <x:v>сырой чеснок быстро доминирует; пережжённый чеснок очень горький; хранить и обрабатывать по пищевым нормам</x:v>
      </x:c>
      <x:c r="W1021" s="28" t="str">
        <x:v>сливочное масло, соевый соус или тимьян</x:v>
      </x:c>
      <x:c r="X1021" s="28" t="str">
        <x:v>горячее блюдо, бульон, соус, пюре, ферментация или гарнир с вьетнамский рыбный соус</x:v>
      </x:c>
      <x:c r="Y1021" s="28" t="str">
        <x:v>еда, соусы/маринады</x:v>
      </x:c>
      <x:c r="Z1021" s="28" t="str">
        <x:v>Средняя</x:v>
      </x:c>
      <x:c r="AA1021" s="28" t="str">
        <x:v>The Art &amp; Science of Foodpairing.pdf</x:v>
      </x:c>
      <x:c r="AB1021" s="28" t="str">
        <x:v>The Art &amp; Science of Foodpairing.pdf: 114</x:v>
      </x:c>
      <x:c r="AC1021" s="28" t="str">
        <x:v>связь из pairing grid, стр. 114</x:v>
      </x:c>
      <x:c r="AD1021" s="28" t="n">
        <x:v>1</x:v>
      </x:c>
      <x:c r="AE1021" s="28" t="n">
        <x:v>1</x:v>
      </x:c>
      <x:c r="AF1021" s="28" t="n">
        <x:f>IF(Z1021="Высокая",3,IF(Z1021="Средняя",2,1))+AD1021*2+MIN(AE1021,3)</x:f>
        <x:v>5</x:v>
      </x:c>
    </x:row>
    <x:row r="1022" ht="64" customHeight="1">
      <x:c r="A1022" s="28" t="str">
        <x:v>VEG-1021</x:v>
      </x:c>
      <x:c r="B1022" s="28" t="str">
        <x:v>чеснок</x:v>
      </x:c>
      <x:c r="C1022" s="28" t="str">
        <x:v>Еда и соусы</x:v>
      </x:c>
      <x:c r="D1022" s="28" t="str">
        <x:v>чеснок</x:v>
      </x:c>
      <x:c r="E1022" s="28" t="str">
        <x:v>garlic | Чеснок | чеснок</x:v>
      </x:c>
      <x:c r="F1022" s="28" t="str">
        <x:v>Луковые овощи</x:v>
      </x:c>
      <x:c r="G1022" s="28" t="str">
        <x:v>говядина</x:v>
      </x:c>
      <x:c r="H1022" s="28" t="str">
        <x:v>beef | Говядина | говядина</x:v>
      </x:c>
      <x:c r="I1022" s="28" t="str">
        <x:v>Мясо и птица</x:v>
      </x:c>
      <x:c r="J1022" s="28" t="str">
        <x:v>резкий сернистый, зелёный и мясной; после запекания — сладкий и ореховый</x:v>
      </x:c>
      <x:c r="K1022" s="28" t="str">
        <x:v>жареный, мясной и умами</x:v>
      </x:c>
      <x:c r="L1022" s="28" t="str">
        <x:v>аллицин, диаллилдисульфид, диаллилтрисульфид, метантиол</x:v>
      </x:c>
      <x:c r="M1022" s="28" t="str">
        <x:v>пиразины, сернистые соединения</x:v>
      </x:c>
      <x:c r="N1022" s="28" t="str">
        <x:v>жареный, умами</x:v>
      </x:c>
      <x:c r="O1022" s="28" t="str">
        <x:v>надёжная общая ключевая молекула не установлена</x:v>
      </x:c>
      <x:c r="P1022" s="28" t="str">
        <x:v>пересечение ароматических семейств; умами и солёный контраст; сернистая или горчичная комплементарность</x:v>
      </x:c>
      <x:c r="Q102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2" s="28" t="str">
        <x:v>сильное жжение и раздражение тройничного нерва</x:v>
      </x:c>
      <x:c r="S1022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2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2" s="28" t="str">
        <x:v>Чеснок имеет профиль «резкий сернистый, зелёный и мясной; после запекания — сладкий и ореховый». Партнёр «говядина»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2" s="28" t="str">
        <x:v>сырой чеснок быстро доминирует; пережжённый чеснок очень горький; хранить и обрабатывать по пищевым нормам</x:v>
      </x:c>
      <x:c r="W1022" s="28" t="str">
        <x:v>сливочное масло, соевый соус или тимьян</x:v>
      </x:c>
      <x:c r="X1022" s="28" t="str">
        <x:v>горячее блюдо, бульон, соус, пюре, ферментация или гарнир с говядина</x:v>
      </x:c>
      <x:c r="Y1022" s="28" t="str">
        <x:v>еда, соусы/маринады</x:v>
      </x:c>
      <x:c r="Z1022" s="28" t="str">
        <x:v>Высокая</x:v>
      </x:c>
      <x:c r="AA1022" s="28" t="str">
        <x:v>The Art &amp; Science of Foodpairing.pdf | Тезариус вкусов (Ники Сегнит)(1).pdf</x:v>
      </x:c>
      <x:c r="AB1022" s="28" t="str">
        <x:v>Тезариус вкусов (Ники Сегнит)(1).pdf: 120, 293; The Art &amp; Science of Foodpairing.pdf: 113</x:v>
      </x:c>
      <x:c r="AC1022" s="28" t="str">
        <x:v>развёрнутая пара/статья, стр. 120; развёрнутая пара/статья, стр. 293; связь из pairing grid, стр. 113</x:v>
      </x:c>
      <x:c r="AD1022" s="28" t="n">
        <x:v>2</x:v>
      </x:c>
      <x:c r="AE1022" s="28" t="n">
        <x:v>3</x:v>
      </x:c>
      <x:c r="AF1022" s="28" t="n">
        <x:f>IF(Z1022="Высокая",3,IF(Z1022="Средняя",2,1))+AD1022*2+MIN(AE1022,3)</x:f>
        <x:v>10</x:v>
      </x:c>
    </x:row>
    <x:row r="1023" ht="64" customHeight="1">
      <x:c r="A1023" s="28" t="str">
        <x:v>VEG-1022</x:v>
      </x:c>
      <x:c r="B1023" s="28" t="str">
        <x:v>чеснок</x:v>
      </x:c>
      <x:c r="C1023" s="28" t="str">
        <x:v>Универсальные</x:v>
      </x:c>
      <x:c r="D1023" s="28" t="str">
        <x:v>чеснок</x:v>
      </x:c>
      <x:c r="E1023" s="28" t="str">
        <x:v>garlic</x:v>
      </x:c>
      <x:c r="F1023" s="28" t="str">
        <x:v>Луковые овощи</x:v>
      </x:c>
      <x:c r="G1023" s="28" t="str">
        <x:v>говяжья вырезка</x:v>
      </x:c>
      <x:c r="H1023" s="28" t="str">
        <x:v>beef sirloin</x:v>
      </x:c>
      <x:c r="I1023" s="28" t="str">
        <x:v>Прочее</x:v>
      </x:c>
      <x:c r="J1023" s="28" t="str">
        <x:v>резкий сернистый, зелёный и мясной; после запекания — сладкий и ореховый</x:v>
      </x:c>
      <x:c r="K1023" s="28" t="str">
        <x:v>профиль зависит от конкретного продукта</x:v>
      </x:c>
      <x:c r="L1023" s="28" t="str">
        <x:v>аллицин, диаллилдисульфид, диаллилтрисульфид, метантиол</x:v>
      </x:c>
      <x:c r="M1023" s="28" t="str">
        <x:v>конкретный молекулярный профиль не указан</x:v>
      </x:c>
      <x:c r="N1023" s="28" t="str">
        <x:v>прямое пересечение семейств не подтверждено</x:v>
      </x:c>
      <x:c r="O1023" s="28" t="str">
        <x:v>надёжная общая ключевая молекула не установлена</x:v>
      </x:c>
      <x:c r="P1023" s="28" t="str">
        <x:v>сернистая или горчичная комплементарность</x:v>
      </x:c>
      <x:c r="Q102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3" s="28" t="str">
        <x:v>сильное жжение и раздражение тройничного нерва</x:v>
      </x:c>
      <x:c r="S1023" s="28" t="str">
        <x:v>водная луковичная матрица; реакция начинается после повреждения клеток</x:v>
      </x:c>
      <x:c r="T102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3" s="28" t="str">
        <x:v>Чеснок имеет профиль «резкий сернистый, зелёный и мясной; после запекания — сладкий и ореховый». Партнёр «говяжья вырезка»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3" s="28" t="str">
        <x:v>сырой чеснок быстро доминирует; пережжённый чеснок очень горький; хранить и обрабатывать по пищевым нормам</x:v>
      </x:c>
      <x:c r="W1023" s="28" t="str">
        <x:v>соль, кислота или ароматический жир</x:v>
      </x:c>
      <x:c r="X1023" s="28" t="str">
        <x:v>горячее блюдо, бульон, соус, пюре, ферментация или гарнир с говяжья вырезка</x:v>
      </x:c>
      <x:c r="Y1023" s="28" t="str">
        <x:v>еда, соусы/маринады</x:v>
      </x:c>
      <x:c r="Z1023" s="28" t="str">
        <x:v>Средняя</x:v>
      </x:c>
      <x:c r="AA1023" s="28" t="str">
        <x:v>The Art &amp; Science of Foodpairing.pdf</x:v>
      </x:c>
      <x:c r="AB1023" s="28" t="str">
        <x:v>The Art &amp; Science of Foodpairing.pdf: 114</x:v>
      </x:c>
      <x:c r="AC1023" s="28" t="str">
        <x:v>связь из pairing grid, стр. 114</x:v>
      </x:c>
      <x:c r="AD1023" s="28" t="n">
        <x:v>1</x:v>
      </x:c>
      <x:c r="AE1023" s="28" t="n">
        <x:v>1</x:v>
      </x:c>
      <x:c r="AF1023" s="28" t="n">
        <x:f>IF(Z1023="Высокая",3,IF(Z1023="Средняя",2,1))+AD1023*2+MIN(AE1023,3)</x:f>
        <x:v>5</x:v>
      </x:c>
    </x:row>
    <x:row r="1024" ht="64" customHeight="1">
      <x:c r="A1024" s="28" t="str">
        <x:v>VEG-1023</x:v>
      </x:c>
      <x:c r="B1024" s="28" t="str">
        <x:v>чеснок</x:v>
      </x:c>
      <x:c r="C1024" s="28" t="str">
        <x:v>Еда и соусы</x:v>
      </x:c>
      <x:c r="D1024" s="28" t="str">
        <x:v>чеснок</x:v>
      </x:c>
      <x:c r="E1024" s="28" t="str">
        <x:v>garlic</x:v>
      </x:c>
      <x:c r="F1024" s="28" t="str">
        <x:v>Луковые овощи</x:v>
      </x:c>
      <x:c r="G1024" s="28" t="str">
        <x:v>горох</x:v>
      </x:c>
      <x:c r="H1024" s="28" t="str">
        <x:v>pea</x:v>
      </x:c>
      <x:c r="I1024" s="28" t="str">
        <x:v>Бобовые</x:v>
      </x:c>
      <x:c r="J1024" s="28" t="str">
        <x:v>резкий сернистый, зелёный и мясной; после запекания — сладкий и ореховый</x:v>
      </x:c>
      <x:c r="K1024" s="28" t="str">
        <x:v>зелёный, сладкий, бобовый и слегка цветочный</x:v>
      </x:c>
      <x:c r="L1024" s="28" t="str">
        <x:v>аллицин, диаллилдисульфид, диаллилтрисульфид, метантиол</x:v>
      </x:c>
      <x:c r="M1024" s="28" t="str">
        <x:v>гексаналь, метоксипиразины, цис-3-гексенол, эфиры</x:v>
      </x:c>
      <x:c r="N1024" s="28" t="str">
        <x:v>прямое пересечение семейств не подтверждено</x:v>
      </x:c>
      <x:c r="O1024" s="28" t="str">
        <x:v>надёжная общая ключевая молекула не установлена</x:v>
      </x:c>
      <x:c r="P1024" s="28" t="str">
        <x:v>сернистая или горчичная комплементарность</x:v>
      </x:c>
      <x:c r="Q102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4" s="28" t="str">
        <x:v>сильное жжение и раздражение тройничного нерва</x:v>
      </x:c>
      <x:c r="S1024" s="28" t="str">
        <x:v>водная луковичная матрица; реакция начинается после повреждения клеток</x:v>
      </x:c>
      <x:c r="T102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4" s="28" t="str">
        <x:v>Чеснок имеет профиль «резкий сернистый, зелёный и мясной; после запекания — сладкий и ореховый». Партнёр «горох» относится к группе «Бобовые» и даёт зелёный, сладкий, бобовый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4" s="28" t="str">
        <x:v>сырой чеснок быстро доминирует; пережжённый чеснок очень горький; хранить и обрабатывать по пищевым нормам</x:v>
      </x:c>
      <x:c r="W1024" s="28" t="str">
        <x:v>соль, кислота или ароматический жир</x:v>
      </x:c>
      <x:c r="X1024" s="28" t="str">
        <x:v>горячее блюдо, бульон, соус, пюре, ферментация или гарнир с горох</x:v>
      </x:c>
      <x:c r="Y1024" s="28" t="str">
        <x:v>еда, соусы/маринады</x:v>
      </x:c>
      <x:c r="Z1024" s="28" t="str">
        <x:v>Средняя</x:v>
      </x:c>
      <x:c r="AA1024" s="28" t="str">
        <x:v>The Art &amp; Science of Foodpairing.pdf</x:v>
      </x:c>
      <x:c r="AB1024" s="28" t="str">
        <x:v>The Art &amp; Science of Foodpairing.pdf: 114</x:v>
      </x:c>
      <x:c r="AC1024" s="28" t="str">
        <x:v>связь из pairing grid, стр. 114</x:v>
      </x:c>
      <x:c r="AD1024" s="28" t="n">
        <x:v>1</x:v>
      </x:c>
      <x:c r="AE1024" s="28" t="n">
        <x:v>1</x:v>
      </x:c>
      <x:c r="AF1024" s="28" t="n">
        <x:f>IF(Z1024="Высокая",3,IF(Z1024="Средняя",2,1))+AD1024*2+MIN(AE1024,3)</x:f>
        <x:v>5</x:v>
      </x:c>
    </x:row>
    <x:row r="1025" ht="64" customHeight="1">
      <x:c r="A1025" s="28" t="str">
        <x:v>VEG-1024</x:v>
      </x:c>
      <x:c r="B1025" s="28" t="str">
        <x:v>чеснок</x:v>
      </x:c>
      <x:c r="C1025" s="28" t="str">
        <x:v>Универсальные</x:v>
      </x:c>
      <x:c r="D1025" s="28" t="str">
        <x:v>чеснок</x:v>
      </x:c>
      <x:c r="E1025" s="28" t="str">
        <x:v>garlic</x:v>
      </x:c>
      <x:c r="F1025" s="28" t="str">
        <x:v>Луковые овощи</x:v>
      </x:c>
      <x:c r="G1025" s="28" t="str">
        <x:v>горчичная зелень</x:v>
      </x:c>
      <x:c r="H1025" s="28" t="str">
        <x:v>steamed mustard greens</x:v>
      </x:c>
      <x:c r="I1025" s="28" t="str">
        <x:v>Прочее</x:v>
      </x:c>
      <x:c r="J1025" s="28" t="str">
        <x:v>резкий сернистый, зелёный и мясной; после запекания — сладкий и ореховый</x:v>
      </x:c>
      <x:c r="K1025" s="28" t="str">
        <x:v>профиль зависит от конкретного продукта</x:v>
      </x:c>
      <x:c r="L1025" s="28" t="str">
        <x:v>аллицин, диаллилдисульфид, диаллилтрисульфид, метантиол</x:v>
      </x:c>
      <x:c r="M1025" s="28" t="str">
        <x:v>конкретный молекулярный профиль не указан</x:v>
      </x:c>
      <x:c r="N1025" s="28" t="str">
        <x:v>прямое пересечение семейств не подтверждено</x:v>
      </x:c>
      <x:c r="O1025" s="28" t="str">
        <x:v>надёжная общая ключевая молекула не установлена</x:v>
      </x:c>
      <x:c r="P1025" s="28" t="str">
        <x:v>сернистая или горчичная комплементарность</x:v>
      </x:c>
      <x:c r="Q102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5" s="28" t="str">
        <x:v>сильное жжение и раздражение тройничного нерва</x:v>
      </x:c>
      <x:c r="S1025" s="28" t="str">
        <x:v>водная луковичная матрица; реакция начинается после повреждения клеток</x:v>
      </x:c>
      <x:c r="T102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5" s="28" t="str">
        <x:v>Чеснок имеет профиль «резкий сернистый, зелёный и мясной; после запекания — сладкий и ореховый». Партнёр «горчичная зелень»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5" s="28" t="str">
        <x:v>сырой чеснок быстро доминирует; пережжённый чеснок очень горький; хранить и обрабатывать по пищевым нормам</x:v>
      </x:c>
      <x:c r="W1025" s="28" t="str">
        <x:v>соль, кислота или ароматический жир</x:v>
      </x:c>
      <x:c r="X1025" s="28" t="str">
        <x:v>горячее блюдо, бульон, соус, пюре, ферментация или гарнир с горчичная зелень</x:v>
      </x:c>
      <x:c r="Y1025" s="28" t="str">
        <x:v>еда, соусы/маринады</x:v>
      </x:c>
      <x:c r="Z1025" s="28" t="str">
        <x:v>Средняя</x:v>
      </x:c>
      <x:c r="AA1025" s="28" t="str">
        <x:v>The Art &amp; Science of Foodpairing.pdf</x:v>
      </x:c>
      <x:c r="AB1025" s="28" t="str">
        <x:v>The Art &amp; Science of Foodpairing.pdf: 114</x:v>
      </x:c>
      <x:c r="AC1025" s="28" t="str">
        <x:v>связь из pairing grid, стр. 114</x:v>
      </x:c>
      <x:c r="AD1025" s="28" t="n">
        <x:v>1</x:v>
      </x:c>
      <x:c r="AE1025" s="28" t="n">
        <x:v>1</x:v>
      </x:c>
      <x:c r="AF1025" s="28" t="n">
        <x:f>IF(Z1025="Высокая",3,IF(Z1025="Средняя",2,1))+AD1025*2+MIN(AE1025,3)</x:f>
        <x:v>5</x:v>
      </x:c>
    </x:row>
    <x:row r="1026" ht="64" customHeight="1">
      <x:c r="A1026" s="28" t="str">
        <x:v>VEG-1025</x:v>
      </x:c>
      <x:c r="B1026" s="28" t="str">
        <x:v>чеснок</x:v>
      </x:c>
      <x:c r="C1026" s="28" t="str">
        <x:v>Универсальные</x:v>
      </x:c>
      <x:c r="D1026" s="28" t="str">
        <x:v>чеснок</x:v>
      </x:c>
      <x:c r="E1026" s="28" t="str">
        <x:v>garlic</x:v>
      </x:c>
      <x:c r="F1026" s="28" t="str">
        <x:v>Луковые овощи</x:v>
      </x:c>
      <x:c r="G1026" s="28" t="str">
        <x:v>грана падано</x:v>
      </x:c>
      <x:c r="H1026" s="28" t="str">
        <x:v>Grana Padano</x:v>
      </x:c>
      <x:c r="I1026" s="28" t="str">
        <x:v>Прочее</x:v>
      </x:c>
      <x:c r="J1026" s="28" t="str">
        <x:v>резкий сернистый, зелёный и мясной; после запекания — сладкий и ореховый</x:v>
      </x:c>
      <x:c r="K1026" s="28" t="str">
        <x:v>профиль зависит от конкретного продукта</x:v>
      </x:c>
      <x:c r="L1026" s="28" t="str">
        <x:v>аллицин, диаллилдисульфид, диаллилтрисульфид, метантиол</x:v>
      </x:c>
      <x:c r="M1026" s="28" t="str">
        <x:v>конкретный молекулярный профиль не указан</x:v>
      </x:c>
      <x:c r="N1026" s="28" t="str">
        <x:v>прямое пересечение семейств не подтверждено</x:v>
      </x:c>
      <x:c r="O1026" s="28" t="str">
        <x:v>надёжная общая ключевая молекула не установлена</x:v>
      </x:c>
      <x:c r="P1026" s="28" t="str">
        <x:v>сернистая или горчичная комплементарность</x:v>
      </x:c>
      <x:c r="Q102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6" s="28" t="str">
        <x:v>сильное жжение и раздражение тройничного нерва</x:v>
      </x:c>
      <x:c r="S1026" s="28" t="str">
        <x:v>водная луковичная матрица; реакция начинается после повреждения клеток</x:v>
      </x:c>
      <x:c r="T102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6" s="28" t="str">
        <x:v>Чеснок имеет профиль «резкий сернистый, зелёный и мясной; после запекания — сладкий и ореховый». Партнёр «грана падано»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6" s="28" t="str">
        <x:v>сырой чеснок быстро доминирует; пережжённый чеснок очень горький; хранить и обрабатывать по пищевым нормам</x:v>
      </x:c>
      <x:c r="W1026" s="28" t="str">
        <x:v>соль, кислота или ароматический жир</x:v>
      </x:c>
      <x:c r="X1026" s="28" t="str">
        <x:v>горячее блюдо, бульон, соус, пюре, ферментация или гарнир с грана падано</x:v>
      </x:c>
      <x:c r="Y1026" s="28" t="str">
        <x:v>еда, соусы/маринады</x:v>
      </x:c>
      <x:c r="Z1026" s="28" t="str">
        <x:v>Средняя</x:v>
      </x:c>
      <x:c r="AA1026" s="28" t="str">
        <x:v>The Art &amp; Science of Foodpairing.pdf</x:v>
      </x:c>
      <x:c r="AB1026" s="28" t="str">
        <x:v>The Art &amp; Science of Foodpairing.pdf: 114</x:v>
      </x:c>
      <x:c r="AC1026" s="28" t="str">
        <x:v>связь из pairing grid, стр. 114</x:v>
      </x:c>
      <x:c r="AD1026" s="28" t="n">
        <x:v>1</x:v>
      </x:c>
      <x:c r="AE1026" s="28" t="n">
        <x:v>1</x:v>
      </x:c>
      <x:c r="AF1026" s="28" t="n">
        <x:f>IF(Z1026="Высокая",3,IF(Z1026="Средняя",2,1))+AD1026*2+MIN(AE1026,3)</x:f>
        <x:v>5</x:v>
      </x:c>
    </x:row>
    <x:row r="1027" ht="64" customHeight="1">
      <x:c r="A1027" s="28" t="str">
        <x:v>VEG-1026</x:v>
      </x:c>
      <x:c r="B1027" s="28" t="str">
        <x:v>чеснок</x:v>
      </x:c>
      <x:c r="C1027" s="28" t="str">
        <x:v>Универсальные</x:v>
      </x:c>
      <x:c r="D1027" s="28" t="str">
        <x:v>чеснок</x:v>
      </x:c>
      <x:c r="E1027" s="28" t="str">
        <x:v>garlic</x:v>
      </x:c>
      <x:c r="F1027" s="28" t="str">
        <x:v>Луковые овощи</x:v>
      </x:c>
      <x:c r="G1027" s="28" t="str">
        <x:v>гранатовый сок</x:v>
      </x:c>
      <x:c r="H1027" s="28" t="str">
        <x:v>pomegranate juice</x:v>
      </x:c>
      <x:c r="I1027" s="28" t="str">
        <x:v>Прочее</x:v>
      </x:c>
      <x:c r="J1027" s="28" t="str">
        <x:v>резкий сернистый, зелёный и мясной; после запекания — сладкий и ореховый</x:v>
      </x:c>
      <x:c r="K1027" s="28" t="str">
        <x:v>профиль зависит от конкретного продукта</x:v>
      </x:c>
      <x:c r="L1027" s="28" t="str">
        <x:v>аллицин, диаллилдисульфид, диаллилтрисульфид, метантиол</x:v>
      </x:c>
      <x:c r="M1027" s="28" t="str">
        <x:v>конкретный молекулярный профиль не указан</x:v>
      </x:c>
      <x:c r="N1027" s="28" t="str">
        <x:v>прямое пересечение семейств не подтверждено</x:v>
      </x:c>
      <x:c r="O1027" s="28" t="str">
        <x:v>надёжная общая ключевая молекула не установлена</x:v>
      </x:c>
      <x:c r="P1027" s="28" t="str">
        <x:v>сернистая или горчичная комплементарность</x:v>
      </x:c>
      <x:c r="Q102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7" s="28" t="str">
        <x:v>сильное жжение и раздражение тройничного нерва</x:v>
      </x:c>
      <x:c r="S1027" s="28" t="str">
        <x:v>водная луковичная матрица; реакция начинается после повреждения клеток</x:v>
      </x:c>
      <x:c r="T102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7" s="28" t="str">
        <x:v>Чеснок имеет профиль «резкий сернистый, зелёный и мясной; после запекания — сладкий и ореховый». Партнёр «гранатовый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7" s="28" t="str">
        <x:v>сырой чеснок быстро доминирует; пережжённый чеснок очень горький; хранить и обрабатывать по пищевым нормам</x:v>
      </x:c>
      <x:c r="W1027" s="28" t="str">
        <x:v>соль, кислота или ароматический жир</x:v>
      </x:c>
      <x:c r="X1027" s="28" t="str">
        <x:v>горячее блюдо, бульон, соус, пюре, ферментация или гарнир с гранатовый сок</x:v>
      </x:c>
      <x:c r="Y1027" s="28" t="str">
        <x:v>напитки, еда, соусы/маринады</x:v>
      </x:c>
      <x:c r="Z1027" s="28" t="str">
        <x:v>Средняя</x:v>
      </x:c>
      <x:c r="AA1027" s="28" t="str">
        <x:v>The Art &amp; Science of Foodpairing.pdf</x:v>
      </x:c>
      <x:c r="AB1027" s="28" t="str">
        <x:v>The Art &amp; Science of Foodpairing.pdf: 113</x:v>
      </x:c>
      <x:c r="AC1027" s="28" t="str">
        <x:v>связь из pairing grid, стр. 113</x:v>
      </x:c>
      <x:c r="AD1027" s="28" t="n">
        <x:v>1</x:v>
      </x:c>
      <x:c r="AE1027" s="28" t="n">
        <x:v>1</x:v>
      </x:c>
      <x:c r="AF1027" s="28" t="n">
        <x:f>IF(Z1027="Высокая",3,IF(Z1027="Средняя",2,1))+AD1027*2+MIN(AE1027,3)</x:f>
        <x:v>5</x:v>
      </x:c>
    </x:row>
    <x:row r="1028" ht="64" customHeight="1">
      <x:c r="A1028" s="28" t="str">
        <x:v>VEG-1027</x:v>
      </x:c>
      <x:c r="B1028" s="28" t="str">
        <x:v>чеснок</x:v>
      </x:c>
      <x:c r="C1028" s="28" t="str">
        <x:v>Десерты и выпечка</x:v>
      </x:c>
      <x:c r="D1028" s="28" t="str">
        <x:v>чеснок</x:v>
      </x:c>
      <x:c r="E1028" s="28" t="str">
        <x:v>Чеснок | чеснок</x:v>
      </x:c>
      <x:c r="F1028" s="28" t="str">
        <x:v>Луковые овощи</x:v>
      </x:c>
      <x:c r="G1028" s="28" t="str">
        <x:v>грецкий орех</x:v>
      </x:c>
      <x:c r="H1028" s="28" t="str">
        <x:v>Грецкий орех | грецкий орех</x:v>
      </x:c>
      <x:c r="I1028" s="28" t="str">
        <x:v>Орехи и семена</x:v>
      </x:c>
      <x:c r="J1028" s="28" t="str">
        <x:v>резкий сернистый, зелёный и мясной; после запекания — сладкий и ореховый</x:v>
      </x:c>
      <x:c r="K1028" s="28" t="str">
        <x:v>древесный, землистый, ореховый</x:v>
      </x:c>
      <x:c r="L1028" s="28" t="str">
        <x:v>аллицин, диаллилдисульфид, диаллилтрисульфид, метантиол</x:v>
      </x:c>
      <x:c r="M1028" s="28" t="str">
        <x:v>альдегиды, пиразины</x:v>
      </x:c>
      <x:c r="N1028" s="28" t="str">
        <x:v>прямое пересечение семейств не подтверждено</x:v>
      </x:c>
      <x:c r="O1028" s="28" t="str">
        <x:v>надёжная общая ключевая молекула не установлена</x:v>
      </x:c>
      <x:c r="P1028" s="28" t="str">
        <x:v>сернистая или горчичная комплементарность</x:v>
      </x:c>
      <x:c r="Q102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8" s="28" t="str">
        <x:v>сильное жжение и раздражение тройничного нерва</x:v>
      </x:c>
      <x:c r="S1028" s="28" t="str">
        <x:v>водная луковичная матрица; реакция начинается после повреждения клеток</x:v>
      </x:c>
      <x:c r="T102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8" s="28" t="str">
        <x:v>Чеснок имеет профиль «резкий сернистый, зелёный и мясной; после запекания — сладкий и ореховый». Партнёр «грецкий орех» относится к группе «Орехи и семена» и даёт древесный, землистый,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8" s="28" t="str">
        <x:v>сырой чеснок быстро доминирует; пережжённый чеснок очень горький; хранить и обрабатывать по пищевым нормам</x:v>
      </x:c>
      <x:c r="W1028" s="28" t="str">
        <x:v>соль, кислота или ароматический жир</x:v>
      </x:c>
      <x:c r="X1028" s="28" t="str">
        <x:v>горячее блюдо, бульон, соус, пюре, ферментация или гарнир с грецкий орех</x:v>
      </x:c>
      <x:c r="Y1028" s="28" t="str">
        <x:v>еда, десерты, соусы/маринады</x:v>
      </x:c>
      <x:c r="Z1028" s="28" t="str">
        <x:v>Средняя</x:v>
      </x:c>
      <x:c r="AA1028" s="28" t="str">
        <x:v>Тезариус вкусов (Ники Сегнит)(1).pdf</x:v>
      </x:c>
      <x:c r="AB1028" s="28" t="str">
        <x:v>Тезариус вкусов (Ники Сегнит)(1).pdf: 293, 630</x:v>
      </x:c>
      <x:c r="AC1028" s="28" t="str">
        <x:v>развёрнутая пара/статья, стр. 293; развёрнутая пара/статья, стр. 630</x:v>
      </x:c>
      <x:c r="AD1028" s="28" t="n">
        <x:v>1</x:v>
      </x:c>
      <x:c r="AE1028" s="28" t="n">
        <x:v>2</x:v>
      </x:c>
      <x:c r="AF1028" s="28" t="n">
        <x:f>IF(Z1028="Высокая",3,IF(Z1028="Средняя",2,1))+AD1028*2+MIN(AE1028,3)</x:f>
        <x:v>6</x:v>
      </x:c>
    </x:row>
    <x:row r="1029" ht="64" customHeight="1">
      <x:c r="A1029" s="28" t="str">
        <x:v>VEG-1028</x:v>
      </x:c>
      <x:c r="B1029" s="28" t="str">
        <x:v>чеснок</x:v>
      </x:c>
      <x:c r="C1029" s="28" t="str">
        <x:v>Десерты и выпечка</x:v>
      </x:c>
      <x:c r="D1029" s="28" t="str">
        <x:v>чеснок</x:v>
      </x:c>
      <x:c r="E1029" s="28" t="str">
        <x:v>garlic</x:v>
      </x:c>
      <x:c r="F1029" s="28" t="str">
        <x:v>Луковые овощи</x:v>
      </x:c>
      <x:c r="G1029" s="28" t="str">
        <x:v>груша</x:v>
      </x:c>
      <x:c r="H1029" s="28" t="str">
        <x:v>Conference pear</x:v>
      </x:c>
      <x:c r="I1029" s="28" t="str">
        <x:v>Фрукты и ягоды</x:v>
      </x:c>
      <x:c r="J1029" s="28" t="str">
        <x:v>резкий сернистый, зелёный и мясной; после запекания — сладкий и ореховый</x:v>
      </x:c>
      <x:c r="K1029" s="28" t="str">
        <x:v>сладкий, фруктовый, цветочный</x:v>
      </x:c>
      <x:c r="L1029" s="28" t="str">
        <x:v>аллицин, диаллилдисульфид, диаллилтрисульфид, метантиол</x:v>
      </x:c>
      <x:c r="M1029" s="28" t="str">
        <x:v>линалоол, эфиры</x:v>
      </x:c>
      <x:c r="N1029" s="28" t="str">
        <x:v>прямое пересечение семейств не подтверждено</x:v>
      </x:c>
      <x:c r="O1029" s="28" t="str">
        <x:v>надёжная общая ключевая молекула не установлена</x:v>
      </x:c>
      <x:c r="P1029" s="28" t="str">
        <x:v>кислотно-сладкий баланс; сернистая или горчичная комплементарность</x:v>
      </x:c>
      <x:c r="Q102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29" s="28" t="str">
        <x:v>сильное жжение и раздражение тройничного нерва</x:v>
      </x:c>
      <x:c r="S1029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02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29" s="28" t="str">
        <x:v>Чеснок имеет профиль «резкий сернистый, зелёный и мясной; после запекания — сладкий и ореховый». Партнёр «груша» относится к группе «Фрукты и ягоды» и даёт сладкий, фруктовый, цветочный.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29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029" s="28" t="str">
        <x:v>цитрус, мёд или мягкая трава</x:v>
      </x:c>
      <x:c r="X1029" s="28" t="str">
        <x:v>горячее блюдо, бульон, соус, пюре, ферментация или гарнир с груша</x:v>
      </x:c>
      <x:c r="Y1029" s="28" t="str">
        <x:v>еда, десерты, соусы/маринады</x:v>
      </x:c>
      <x:c r="Z1029" s="28" t="str">
        <x:v>Средняя</x:v>
      </x:c>
      <x:c r="AA1029" s="28" t="str">
        <x:v>The Art &amp; Science of Foodpairing.pdf</x:v>
      </x:c>
      <x:c r="AB1029" s="28" t="str">
        <x:v>The Art &amp; Science of Foodpairing.pdf: 114</x:v>
      </x:c>
      <x:c r="AC1029" s="28" t="str">
        <x:v>связь из pairing grid, стр. 114</x:v>
      </x:c>
      <x:c r="AD1029" s="28" t="n">
        <x:v>1</x:v>
      </x:c>
      <x:c r="AE1029" s="28" t="n">
        <x:v>1</x:v>
      </x:c>
      <x:c r="AF1029" s="28" t="n">
        <x:f>IF(Z1029="Высокая",3,IF(Z1029="Средняя",2,1))+AD1029*2+MIN(AE1029,3)</x:f>
        <x:v>5</x:v>
      </x:c>
    </x:row>
    <x:row r="1030" ht="64" customHeight="1">
      <x:c r="A1030" s="28" t="str">
        <x:v>VEG-1029</x:v>
      </x:c>
      <x:c r="B1030" s="28" t="str">
        <x:v>чеснок</x:v>
      </x:c>
      <x:c r="C1030" s="28" t="str">
        <x:v>Десерты и выпечка</x:v>
      </x:c>
      <x:c r="D1030" s="28" t="str">
        <x:v>чеснок</x:v>
      </x:c>
      <x:c r="E1030" s="28" t="str">
        <x:v>garlic</x:v>
      </x:c>
      <x:c r="F1030" s="28" t="str">
        <x:v>Луковые овощи</x:v>
      </x:c>
      <x:c r="G1030" s="28" t="str">
        <x:v>гуава</x:v>
      </x:c>
      <x:c r="H1030" s="28" t="str">
        <x:v>guava</x:v>
      </x:c>
      <x:c r="I1030" s="28" t="str">
        <x:v>Фрукты и ягоды</x:v>
      </x:c>
      <x:c r="J1030" s="28" t="str">
        <x:v>резкий сернистый, зелёный и мясной; после запекания — сладкий и ореховый</x:v>
      </x:c>
      <x:c r="K1030" s="28" t="str">
        <x:v>фруктовый, цветочный и свежий</x:v>
      </x:c>
      <x:c r="L1030" s="28" t="str">
        <x:v>аллицин, диаллилдисульфид, диаллилтрисульфид, метантиол</x:v>
      </x:c>
      <x:c r="M1030" s="28" t="str">
        <x:v>альдегиды, эфиры</x:v>
      </x:c>
      <x:c r="N1030" s="28" t="str">
        <x:v>прямое пересечение семейств не подтверждено</x:v>
      </x:c>
      <x:c r="O1030" s="28" t="str">
        <x:v>надёжная общая ключевая молекула не установлена</x:v>
      </x:c>
      <x:c r="P1030" s="28" t="str">
        <x:v>кислотно-сладкий баланс; сернистая или горчичная комплементарность</x:v>
      </x:c>
      <x:c r="Q103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0" s="28" t="str">
        <x:v>сильное жжение и раздражение тройничного нерва</x:v>
      </x:c>
      <x:c r="S1030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03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0" s="28" t="str">
        <x:v>Чеснок имеет профиль «резкий сернистый, зелёный и мясной; после запекания — сладкий и ореховый». Партнёр «гуава»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0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030" s="28" t="str">
        <x:v>цитрус, мёд или мягкая трава</x:v>
      </x:c>
      <x:c r="X1030" s="28" t="str">
        <x:v>горячее блюдо, бульон, соус, пюре, ферментация или гарнир с гуава</x:v>
      </x:c>
      <x:c r="Y1030" s="28" t="str">
        <x:v>еда, десерты, соусы/маринады</x:v>
      </x:c>
      <x:c r="Z1030" s="28" t="str">
        <x:v>Средняя</x:v>
      </x:c>
      <x:c r="AA1030" s="28" t="str">
        <x:v>The Art &amp; Science of Foodpairing.pdf</x:v>
      </x:c>
      <x:c r="AB1030" s="28" t="str">
        <x:v>The Art &amp; Science of Foodpairing.pdf: 114</x:v>
      </x:c>
      <x:c r="AC1030" s="28" t="str">
        <x:v>связь из pairing grid, стр. 114</x:v>
      </x:c>
      <x:c r="AD1030" s="28" t="n">
        <x:v>1</x:v>
      </x:c>
      <x:c r="AE1030" s="28" t="n">
        <x:v>1</x:v>
      </x:c>
      <x:c r="AF1030" s="28" t="n">
        <x:f>IF(Z1030="Высокая",3,IF(Z1030="Средняя",2,1))+AD1030*2+MIN(AE1030,3)</x:f>
        <x:v>5</x:v>
      </x:c>
    </x:row>
    <x:row r="1031" ht="64" customHeight="1">
      <x:c r="A1031" s="28" t="str">
        <x:v>VEG-1030</x:v>
      </x:c>
      <x:c r="B1031" s="28" t="str">
        <x:v>чеснок</x:v>
      </x:c>
      <x:c r="C1031" s="28" t="str">
        <x:v>Десерты и выпечка</x:v>
      </x:c>
      <x:c r="D1031" s="28" t="str">
        <x:v>чеснок</x:v>
      </x:c>
      <x:c r="E1031" s="28" t="str">
        <x:v>garlic</x:v>
      </x:c>
      <x:c r="F1031" s="28" t="str">
        <x:v>Луковые овощи</x:v>
      </x:c>
      <x:c r="G1031" s="28" t="str">
        <x:v>дикий рис</x:v>
      </x:c>
      <x:c r="H1031" s="28" t="str">
        <x:v>cooked wild rice</x:v>
      </x:c>
      <x:c r="I1031" s="28" t="str">
        <x:v>Выпечка, крупы, сахара и десерты</x:v>
      </x:c>
      <x:c r="J1031" s="28" t="str">
        <x:v>резкий сернистый, зелёный и мясной; после запекания — сладкий и ореховый</x:v>
      </x:c>
      <x:c r="K1031" s="28" t="str">
        <x:v>сладкий, карамельный и жареный</x:v>
      </x:c>
      <x:c r="L1031" s="28" t="str">
        <x:v>аллицин, диаллилдисульфид, диаллилтрисульфид, метантиол</x:v>
      </x:c>
      <x:c r="M1031" s="28" t="str">
        <x:v>мальтол, пиразины, фураны</x:v>
      </x:c>
      <x:c r="N1031" s="28" t="str">
        <x:v>жареный</x:v>
      </x:c>
      <x:c r="O1031" s="28" t="str">
        <x:v>надёжная общая ключевая молекула не установлена</x:v>
      </x:c>
      <x:c r="P1031" s="28" t="str">
        <x:v>пересечение ароматических семейств; сернистая или горчичная комплементарность</x:v>
      </x:c>
      <x:c r="Q103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1" s="28" t="str">
        <x:v>сильное жжение и раздражение тройничного нерва</x:v>
      </x:c>
      <x:c r="S1031" s="28" t="str">
        <x:v>водная луковичная матрица; реакция начинается после повреждения клеток</x:v>
      </x:c>
      <x:c r="T103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1" s="28" t="str">
        <x:v>Чеснок имеет профиль «резкий сернистый, зелёный и мясной; после запекания — сладкий и ореховый». Партнёр «дикий рис»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1" s="28" t="str">
        <x:v>сырой чеснок быстро доминирует; пережжённый чеснок очень горький; хранить и обрабатывать по пищевым нормам</x:v>
      </x:c>
      <x:c r="W1031" s="28" t="str">
        <x:v>соль, кислота или ароматический жир</x:v>
      </x:c>
      <x:c r="X1031" s="28" t="str">
        <x:v>горячее блюдо, бульон, соус, пюре, ферментация или гарнир с дикий рис</x:v>
      </x:c>
      <x:c r="Y1031" s="28" t="str">
        <x:v>еда, десерты, соусы/маринады</x:v>
      </x:c>
      <x:c r="Z1031" s="28" t="str">
        <x:v>Средняя</x:v>
      </x:c>
      <x:c r="AA1031" s="28" t="str">
        <x:v>The Art &amp; Science of Foodpairing.pdf</x:v>
      </x:c>
      <x:c r="AB1031" s="28" t="str">
        <x:v>The Art &amp; Science of Foodpairing.pdf: 114</x:v>
      </x:c>
      <x:c r="AC1031" s="28" t="str">
        <x:v>связь из pairing grid, стр. 114; связь из pairing grid, стр. 114</x:v>
      </x:c>
      <x:c r="AD1031" s="28" t="n">
        <x:v>1</x:v>
      </x:c>
      <x:c r="AE1031" s="28" t="n">
        <x:v>2</x:v>
      </x:c>
      <x:c r="AF1031" s="28" t="n">
        <x:f>IF(Z1031="Высокая",3,IF(Z1031="Средняя",2,1))+AD1031*2+MIN(AE1031,3)</x:f>
        <x:v>6</x:v>
      </x:c>
    </x:row>
    <x:row r="1032" ht="64" customHeight="1">
      <x:c r="A1032" s="28" t="str">
        <x:v>VEG-1031</x:v>
      </x:c>
      <x:c r="B1032" s="28" t="str">
        <x:v>чеснок</x:v>
      </x:c>
      <x:c r="C1032" s="28" t="str">
        <x:v>Универсальные</x:v>
      </x:c>
      <x:c r="D1032" s="28" t="str">
        <x:v>чеснок</x:v>
      </x:c>
      <x:c r="E1032" s="28" t="str">
        <x:v>garlic</x:v>
      </x:c>
      <x:c r="F1032" s="28" t="str">
        <x:v>Луковые овощи</x:v>
      </x:c>
      <x:c r="G1032" s="28" t="str">
        <x:v>длинный перец</x:v>
      </x:c>
      <x:c r="H1032" s="28" t="str">
        <x:v>dried Java long pepper</x:v>
      </x:c>
      <x:c r="I1032" s="28" t="str">
        <x:v>Прочее</x:v>
      </x:c>
      <x:c r="J1032" s="28" t="str">
        <x:v>резкий сернистый, зелёный и мясной; после запекания — сладкий и ореховый</x:v>
      </x:c>
      <x:c r="K1032" s="28" t="str">
        <x:v>профиль зависит от конкретного продукта</x:v>
      </x:c>
      <x:c r="L1032" s="28" t="str">
        <x:v>аллицин, диаллилдисульфид, диаллилтрисульфид, метантиол</x:v>
      </x:c>
      <x:c r="M1032" s="28" t="str">
        <x:v>конкретный молекулярный профиль не указан</x:v>
      </x:c>
      <x:c r="N1032" s="28" t="str">
        <x:v>прямое пересечение семейств не подтверждено</x:v>
      </x:c>
      <x:c r="O1032" s="28" t="str">
        <x:v>надёжная общая ключевая молекула не установлена</x:v>
      </x:c>
      <x:c r="P1032" s="28" t="str">
        <x:v>сернистая или горчичная комплементарность</x:v>
      </x:c>
      <x:c r="Q103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2" s="28" t="str">
        <x:v>сильное жжение и раздражение тройничного нерва</x:v>
      </x:c>
      <x:c r="S1032" s="28" t="str">
        <x:v>водная луковичная матрица; реакция начинается после повреждения клеток</x:v>
      </x:c>
      <x:c r="T103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2" s="28" t="str">
        <x:v>Чеснок имеет профиль «резкий сернистый, зелёный и мясной; после запекания — сладкий и ореховый». Партнёр «длинный перец»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2" s="28" t="str">
        <x:v>сырой чеснок быстро доминирует; пережжённый чеснок очень горький; хранить и обрабатывать по пищевым нормам</x:v>
      </x:c>
      <x:c r="W1032" s="28" t="str">
        <x:v>соль, кислота или ароматический жир</x:v>
      </x:c>
      <x:c r="X1032" s="28" t="str">
        <x:v>горячее блюдо, бульон, соус, пюре, ферментация или гарнир с длинный перец</x:v>
      </x:c>
      <x:c r="Y1032" s="28" t="str">
        <x:v>еда, соусы/маринады</x:v>
      </x:c>
      <x:c r="Z1032" s="28" t="str">
        <x:v>Средняя</x:v>
      </x:c>
      <x:c r="AA1032" s="28" t="str">
        <x:v>The Art &amp; Science of Foodpairing.pdf</x:v>
      </x:c>
      <x:c r="AB1032" s="28" t="str">
        <x:v>The Art &amp; Science of Foodpairing.pdf: 114</x:v>
      </x:c>
      <x:c r="AC1032" s="28" t="str">
        <x:v>связь из pairing grid, стр. 114</x:v>
      </x:c>
      <x:c r="AD1032" s="28" t="n">
        <x:v>1</x:v>
      </x:c>
      <x:c r="AE1032" s="28" t="n">
        <x:v>1</x:v>
      </x:c>
      <x:c r="AF1032" s="28" t="n">
        <x:f>IF(Z1032="Высокая",3,IF(Z1032="Средняя",2,1))+AD1032*2+MIN(AE1032,3)</x:f>
        <x:v>5</x:v>
      </x:c>
    </x:row>
    <x:row r="1033" ht="64" customHeight="1">
      <x:c r="A1033" s="28" t="str">
        <x:v>VEG-1032</x:v>
      </x:c>
      <x:c r="B1033" s="28" t="str">
        <x:v>чеснок</x:v>
      </x:c>
      <x:c r="C1033" s="28" t="str">
        <x:v>Десерты и выпечка</x:v>
      </x:c>
      <x:c r="D1033" s="28" t="str">
        <x:v>чеснок</x:v>
      </x:c>
      <x:c r="E1033" s="28" t="str">
        <x:v>garlic</x:v>
      </x:c>
      <x:c r="F1033" s="28" t="str">
        <x:v>Луковые овощи</x:v>
      </x:c>
      <x:c r="G1033" s="28" t="str">
        <x:v>дыня</x:v>
      </x:c>
      <x:c r="H1033" s="28" t="str">
        <x:v>miyabi melon (Japanese | muskmelon)</x:v>
      </x:c>
      <x:c r="I1033" s="28" t="str">
        <x:v>Фрукты и ягоды</x:v>
      </x:c>
      <x:c r="J1033" s="28" t="str">
        <x:v>резкий сернистый, зелёный и мясной; после запекания — сладкий и ореховый</x:v>
      </x:c>
      <x:c r="K1033" s="28" t="str">
        <x:v>фруктовый, цветочный и свежий</x:v>
      </x:c>
      <x:c r="L1033" s="28" t="str">
        <x:v>аллицин, диаллилдисульфид, диаллилтрисульфид, метантиол</x:v>
      </x:c>
      <x:c r="M1033" s="28" t="str">
        <x:v>альдегиды, эфиры</x:v>
      </x:c>
      <x:c r="N1033" s="28" t="str">
        <x:v>прямое пересечение семейств не подтверждено</x:v>
      </x:c>
      <x:c r="O1033" s="28" t="str">
        <x:v>надёжная общая ключевая молекула не установлена</x:v>
      </x:c>
      <x:c r="P1033" s="28" t="str">
        <x:v>кислотно-сладкий баланс; сернистая или горчичная комплементарность</x:v>
      </x:c>
      <x:c r="Q103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3" s="28" t="str">
        <x:v>сильное жжение и раздражение тройничного нерва</x:v>
      </x:c>
      <x:c r="S1033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03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3" s="28" t="str">
        <x:v>Чеснок имеет профиль «резкий сернистый, зелёный и мясной; после запекания — сладкий и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033" s="28" t="str">
        <x:v>цитрус, мёд или мягкая трава</x:v>
      </x:c>
      <x:c r="X1033" s="28" t="str">
        <x:v>горячее блюдо, бульон, соус, пюре, ферментация или гарнир с дыня</x:v>
      </x:c>
      <x:c r="Y1033" s="28" t="str">
        <x:v>еда, десерты, соусы/маринады</x:v>
      </x:c>
      <x:c r="Z1033" s="28" t="str">
        <x:v>Средняя</x:v>
      </x:c>
      <x:c r="AA1033" s="28" t="str">
        <x:v>The Art &amp; Science of Foodpairing.pdf</x:v>
      </x:c>
      <x:c r="AB1033" s="28" t="str">
        <x:v>The Art &amp; Science of Foodpairing.pdf: 113</x:v>
      </x:c>
      <x:c r="AC1033" s="28" t="str">
        <x:v>связь из pairing grid, стр. 113; связь из pairing grid, стр. 113</x:v>
      </x:c>
      <x:c r="AD1033" s="28" t="n">
        <x:v>1</x:v>
      </x:c>
      <x:c r="AE1033" s="28" t="n">
        <x:v>2</x:v>
      </x:c>
      <x:c r="AF1033" s="28" t="n">
        <x:f>IF(Z1033="Высокая",3,IF(Z1033="Средняя",2,1))+AD1033*2+MIN(AE1033,3)</x:f>
        <x:v>6</x:v>
      </x:c>
    </x:row>
    <x:row r="1034" ht="64" customHeight="1">
      <x:c r="A1034" s="28" t="str">
        <x:v>VEG-1033</x:v>
      </x:c>
      <x:c r="B1034" s="28" t="str">
        <x:v>чеснок</x:v>
      </x:c>
      <x:c r="C1034" s="28" t="str">
        <x:v>Универсальные</x:v>
      </x:c>
      <x:c r="D1034" s="28" t="str">
        <x:v>чеснок</x:v>
      </x:c>
      <x:c r="E1034" s="28" t="str">
        <x:v>garlic</x:v>
      </x:c>
      <x:c r="F1034" s="28" t="str">
        <x:v>Луковые овощи</x:v>
      </x:c>
      <x:c r="G1034" s="28" t="str">
        <x:v>жаботикаба</x:v>
      </x:c>
      <x:c r="H1034" s="28" t="str">
        <x:v>jabuticaba fruit</x:v>
      </x:c>
      <x:c r="I1034" s="28" t="str">
        <x:v>Прочее</x:v>
      </x:c>
      <x:c r="J1034" s="28" t="str">
        <x:v>резкий сернистый, зелёный и мясной; после запекания — сладкий и ореховый</x:v>
      </x:c>
      <x:c r="K1034" s="28" t="str">
        <x:v>профиль зависит от конкретного продукта</x:v>
      </x:c>
      <x:c r="L1034" s="28" t="str">
        <x:v>аллицин, диаллилдисульфид, диаллилтрисульфид, метантиол</x:v>
      </x:c>
      <x:c r="M1034" s="28" t="str">
        <x:v>конкретный молекулярный профиль не указан</x:v>
      </x:c>
      <x:c r="N1034" s="28" t="str">
        <x:v>прямое пересечение семейств не подтверждено</x:v>
      </x:c>
      <x:c r="O1034" s="28" t="str">
        <x:v>надёжная общая ключевая молекула не установлена</x:v>
      </x:c>
      <x:c r="P1034" s="28" t="str">
        <x:v>сернистая или горчичная комплементарность</x:v>
      </x:c>
      <x:c r="Q103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4" s="28" t="str">
        <x:v>сильное жжение и раздражение тройничного нерва</x:v>
      </x:c>
      <x:c r="S1034" s="28" t="str">
        <x:v>водная луковичная матрица; реакция начинается после повреждения клеток</x:v>
      </x:c>
      <x:c r="T103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4" s="28" t="str">
        <x:v>Чеснок имеет профиль «резкий сернистый, зелёный и мясной; после запекания — сладкий и ореховый». Партнёр «жаботикаба»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4" s="28" t="str">
        <x:v>сырой чеснок быстро доминирует; пережжённый чеснок очень горький; хранить и обрабатывать по пищевым нормам</x:v>
      </x:c>
      <x:c r="W1034" s="28" t="str">
        <x:v>соль, кислота или ароматический жир</x:v>
      </x:c>
      <x:c r="X1034" s="28" t="str">
        <x:v>горячее блюдо, бульон, соус, пюре, ферментация или гарнир с жаботикаба</x:v>
      </x:c>
      <x:c r="Y1034" s="28" t="str">
        <x:v>еда, соусы/маринады</x:v>
      </x:c>
      <x:c r="Z1034" s="28" t="str">
        <x:v>Средняя</x:v>
      </x:c>
      <x:c r="AA1034" s="28" t="str">
        <x:v>The Art &amp; Science of Foodpairing.pdf</x:v>
      </x:c>
      <x:c r="AB1034" s="28" t="str">
        <x:v>The Art &amp; Science of Foodpairing.pdf: 114</x:v>
      </x:c>
      <x:c r="AC1034" s="28" t="str">
        <x:v>связь из pairing grid, стр. 114</x:v>
      </x:c>
      <x:c r="AD1034" s="28" t="n">
        <x:v>1</x:v>
      </x:c>
      <x:c r="AE1034" s="28" t="n">
        <x:v>1</x:v>
      </x:c>
      <x:c r="AF1034" s="28" t="n">
        <x:f>IF(Z1034="Высокая",3,IF(Z1034="Средняя",2,1))+AD1034*2+MIN(AE1034,3)</x:f>
        <x:v>5</x:v>
      </x:c>
    </x:row>
    <x:row r="1035" ht="64" customHeight="1">
      <x:c r="A1035" s="28" t="str">
        <x:v>VEG-1034</x:v>
      </x:c>
      <x:c r="B1035" s="28" t="str">
        <x:v>чеснок</x:v>
      </x:c>
      <x:c r="C1035" s="28" t="str">
        <x:v>Еда и соусы</x:v>
      </x:c>
      <x:c r="D1035" s="28" t="str">
        <x:v>чеснок</x:v>
      </x:c>
      <x:c r="E1035" s="28" t="str">
        <x:v>garlic</x:v>
      </x:c>
      <x:c r="F1035" s="28" t="str">
        <x:v>Луковые овощи</x:v>
      </x:c>
      <x:c r="G1035" s="28" t="str">
        <x:v>жареная индейка</x:v>
      </x:c>
      <x:c r="H1035" s="28" t="str">
        <x:v>roast turkey</x:v>
      </x:c>
      <x:c r="I1035" s="28" t="str">
        <x:v>Мясо и птица</x:v>
      </x:c>
      <x:c r="J1035" s="28" t="str">
        <x:v>резкий сернистый, зелёный и мясной; после запекания — сладкий и ореховый</x:v>
      </x:c>
      <x:c r="K1035" s="28" t="str">
        <x:v>жареный, мясной и умами</x:v>
      </x:c>
      <x:c r="L1035" s="28" t="str">
        <x:v>аллицин, диаллилдисульфид, диаллилтрисульфид, метантиол</x:v>
      </x:c>
      <x:c r="M1035" s="28" t="str">
        <x:v>пиразины, сернистые соединения</x:v>
      </x:c>
      <x:c r="N1035" s="28" t="str">
        <x:v>жареный, умами</x:v>
      </x:c>
      <x:c r="O1035" s="28" t="str">
        <x:v>надёжная общая ключевая молекула не установлена</x:v>
      </x:c>
      <x:c r="P1035" s="28" t="str">
        <x:v>пересечение ароматических семейств; умами и солёный контраст; сернистая или горчичная комплементарность</x:v>
      </x:c>
      <x:c r="Q103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5" s="28" t="str">
        <x:v>сильное жжение и раздражение тройничного нерва</x:v>
      </x:c>
      <x:c r="S1035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3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5" s="28" t="str">
        <x:v>Чеснок имеет профиль «резкий сернистый, зелёный и мясной; после запекания — сладкий и ореховый». Партнёр «жареная индейка»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5" s="28" t="str">
        <x:v>сырой чеснок быстро доминирует; пережжённый чеснок очень горький; хранить и обрабатывать по пищевым нормам</x:v>
      </x:c>
      <x:c r="W1035" s="28" t="str">
        <x:v>сливочное масло, соевый соус или тимьян</x:v>
      </x:c>
      <x:c r="X1035" s="28" t="str">
        <x:v>горячее блюдо, бульон, соус, пюре, ферментация или гарнир с жареная индейка</x:v>
      </x:c>
      <x:c r="Y1035" s="28" t="str">
        <x:v>еда, соусы/маринады</x:v>
      </x:c>
      <x:c r="Z1035" s="28" t="str">
        <x:v>Средняя</x:v>
      </x:c>
      <x:c r="AA1035" s="28" t="str">
        <x:v>The Art &amp; Science of Foodpairing.pdf</x:v>
      </x:c>
      <x:c r="AB1035" s="28" t="str">
        <x:v>The Art &amp; Science of Foodpairing.pdf: 114</x:v>
      </x:c>
      <x:c r="AC1035" s="28" t="str">
        <x:v>связь из pairing grid, стр. 114</x:v>
      </x:c>
      <x:c r="AD1035" s="28" t="n">
        <x:v>1</x:v>
      </x:c>
      <x:c r="AE1035" s="28" t="n">
        <x:v>1</x:v>
      </x:c>
      <x:c r="AF1035" s="28" t="n">
        <x:f>IF(Z1035="Высокая",3,IF(Z1035="Средняя",2,1))+AD1035*2+MIN(AE1035,3)</x:f>
        <x:v>5</x:v>
      </x:c>
    </x:row>
    <x:row r="1036" ht="64" customHeight="1">
      <x:c r="A1036" s="28" t="str">
        <x:v>VEG-1035</x:v>
      </x:c>
      <x:c r="B1036" s="28" t="str">
        <x:v>чеснок</x:v>
      </x:c>
      <x:c r="C1036" s="28" t="str">
        <x:v>Еда и соусы</x:v>
      </x:c>
      <x:c r="D1036" s="28" t="str">
        <x:v>чеснок</x:v>
      </x:c>
      <x:c r="E1036" s="28" t="str">
        <x:v>Чеснок | чеснок</x:v>
      </x:c>
      <x:c r="F1036" s="28" t="str">
        <x:v>Луковые овощи</x:v>
      </x:c>
      <x:c r="G1036" s="28" t="str">
        <x:v>жирная рыба</x:v>
      </x:c>
      <x:c r="H1036" s="28" t="str">
        <x:v>Жирная рыба | жирная рыба</x:v>
      </x:c>
      <x:c r="I1036" s="28" t="str">
        <x:v>Рыба и морепродукты</x:v>
      </x:c>
      <x:c r="J1036" s="28" t="str">
        <x:v>резкий сернистый, зелёный и мясной; после запекания — сладкий и ореховый</x:v>
      </x:c>
      <x:c r="K1036" s="28" t="str">
        <x:v>жирный, морской, умами</x:v>
      </x:c>
      <x:c r="L1036" s="28" t="str">
        <x:v>аллицин, диаллилдисульфид, диаллилтрисульфид, метантиол</x:v>
      </x:c>
      <x:c r="M1036" s="28" t="str">
        <x:v>альдегиды, амины</x:v>
      </x:c>
      <x:c r="N1036" s="28" t="str">
        <x:v>умами</x:v>
      </x:c>
      <x:c r="O1036" s="28" t="str">
        <x:v>надёжная общая ключевая молекула не установлена</x:v>
      </x:c>
      <x:c r="P1036" s="28" t="str">
        <x:v>пересечение ароматических семейств; умами и солёный контраст; сернистая или горчичная комплементарность</x:v>
      </x:c>
      <x:c r="Q103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6" s="28" t="str">
        <x:v>сильное жжение и раздражение тройничного нерва</x:v>
      </x:c>
      <x:c r="S1036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3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6" s="28" t="str">
        <x:v>Чеснок имеет профиль «резкий сернистый, зелёный и мясной; после запекания — сладкий и ореховый». Партнёр «жирная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6" s="28" t="str">
        <x:v>сырой чеснок быстро доминирует; пережжённый чеснок очень горький; хранить и обрабатывать по пищевым нормам</x:v>
      </x:c>
      <x:c r="W1036" s="28" t="str">
        <x:v>сливочное масло, соевый соус или тимьян</x:v>
      </x:c>
      <x:c r="X1036" s="28" t="str">
        <x:v>горячее блюдо, бульон, соус, пюре, ферментация или гарнир с жирная рыба</x:v>
      </x:c>
      <x:c r="Y1036" s="28" t="str">
        <x:v>еда, соусы/маринады</x:v>
      </x:c>
      <x:c r="Z1036" s="28" t="str">
        <x:v>Средняя</x:v>
      </x:c>
      <x:c r="AA1036" s="28" t="str">
        <x:v>Тезариус вкусов (Ники Сегнит)(1).pdf</x:v>
      </x:c>
      <x:c r="AB1036" s="28" t="str">
        <x:v>Тезариус вкусов (Ники Сегнит)(1).pdf: 293, 419</x:v>
      </x:c>
      <x:c r="AC1036" s="28" t="str">
        <x:v>развёрнутая пара/статья, стр. 293; развёрнутая пара/статья, стр. 419</x:v>
      </x:c>
      <x:c r="AD1036" s="28" t="n">
        <x:v>1</x:v>
      </x:c>
      <x:c r="AE1036" s="28" t="n">
        <x:v>2</x:v>
      </x:c>
      <x:c r="AF1036" s="28" t="n">
        <x:f>IF(Z1036="Высокая",3,IF(Z1036="Средняя",2,1))+AD1036*2+MIN(AE1036,3)</x:f>
        <x:v>6</x:v>
      </x:c>
    </x:row>
    <x:row r="1037" ht="64" customHeight="1">
      <x:c r="A1037" s="28" t="str">
        <x:v>VEG-1036</x:v>
      </x:c>
      <x:c r="B1037" s="28" t="str">
        <x:v>чеснок</x:v>
      </x:c>
      <x:c r="C1037" s="28" t="str">
        <x:v>Универсальные</x:v>
      </x:c>
      <x:c r="D1037" s="28" t="str">
        <x:v>чеснок</x:v>
      </x:c>
      <x:c r="E1037" s="28" t="str">
        <x:v>garlic</x:v>
      </x:c>
      <x:c r="F1037" s="28" t="str">
        <x:v>Луковые овощи</x:v>
      </x:c>
      <x:c r="G1037" s="28" t="str">
        <x:v>зелёные водоросли</x:v>
      </x:c>
      <x:c r="H1037" s="28" t="str">
        <x:v>green algae</x:v>
      </x:c>
      <x:c r="I1037" s="28" t="str">
        <x:v>Прочее</x:v>
      </x:c>
      <x:c r="J1037" s="28" t="str">
        <x:v>резкий сернистый, зелёный и мясной; после запекания — сладкий и ореховый</x:v>
      </x:c>
      <x:c r="K1037" s="28" t="str">
        <x:v>профиль зависит от конкретного продукта</x:v>
      </x:c>
      <x:c r="L1037" s="28" t="str">
        <x:v>аллицин, диаллилдисульфид, диаллилтрисульфид, метантиол</x:v>
      </x:c>
      <x:c r="M1037" s="28" t="str">
        <x:v>конкретный молекулярный профиль не указан</x:v>
      </x:c>
      <x:c r="N1037" s="28" t="str">
        <x:v>прямое пересечение семейств не подтверждено</x:v>
      </x:c>
      <x:c r="O1037" s="28" t="str">
        <x:v>надёжная общая ключевая молекула не установлена</x:v>
      </x:c>
      <x:c r="P1037" s="28" t="str">
        <x:v>сернистая или горчичная комплементарность</x:v>
      </x:c>
      <x:c r="Q103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7" s="28" t="str">
        <x:v>сильное жжение и раздражение тройничного нерва</x:v>
      </x:c>
      <x:c r="S1037" s="28" t="str">
        <x:v>водная луковичная матрица; реакция начинается после повреждения клеток</x:v>
      </x:c>
      <x:c r="T103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7" s="28" t="str">
        <x:v>Чеснок имеет профиль «резкий сернистый, зелёный и мясной; после запекания — сладкий и ореховый». Партнёр «зелёные 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7" s="28" t="str">
        <x:v>сырой чеснок быстро доминирует; пережжённый чеснок очень горький; хранить и обрабатывать по пищевым нормам</x:v>
      </x:c>
      <x:c r="W1037" s="28" t="str">
        <x:v>соль, кислота или ароматический жир</x:v>
      </x:c>
      <x:c r="X1037" s="28" t="str">
        <x:v>горячее блюдо, бульон, соус, пюре, ферментация или гарнир с зелёные водоросли</x:v>
      </x:c>
      <x:c r="Y1037" s="28" t="str">
        <x:v>еда, соусы/маринады</x:v>
      </x:c>
      <x:c r="Z1037" s="28" t="str">
        <x:v>Средняя</x:v>
      </x:c>
      <x:c r="AA1037" s="28" t="str">
        <x:v>The Art &amp; Science of Foodpairing.pdf</x:v>
      </x:c>
      <x:c r="AB1037" s="28" t="str">
        <x:v>The Art &amp; Science of Foodpairing.pdf: 114</x:v>
      </x:c>
      <x:c r="AC1037" s="28" t="str">
        <x:v>связь из pairing grid, стр. 114</x:v>
      </x:c>
      <x:c r="AD1037" s="28" t="n">
        <x:v>1</x:v>
      </x:c>
      <x:c r="AE1037" s="28" t="n">
        <x:v>1</x:v>
      </x:c>
      <x:c r="AF1037" s="28" t="n">
        <x:f>IF(Z1037="Высокая",3,IF(Z1037="Средняя",2,1))+AD1037*2+MIN(AE1037,3)</x:f>
        <x:v>5</x:v>
      </x:c>
    </x:row>
    <x:row r="1038" ht="64" customHeight="1">
      <x:c r="A1038" s="28" t="str">
        <x:v>VEG-1037</x:v>
      </x:c>
      <x:c r="B1038" s="28" t="str">
        <x:v>чеснок</x:v>
      </x:c>
      <x:c r="C1038" s="28" t="str">
        <x:v>Напитки</x:v>
      </x:c>
      <x:c r="D1038" s="28" t="str">
        <x:v>чеснок</x:v>
      </x:c>
      <x:c r="E1038" s="28" t="str">
        <x:v>garlic</x:v>
      </x:c>
      <x:c r="F1038" s="28" t="str">
        <x:v>Луковые овощи</x:v>
      </x:c>
      <x:c r="G1038" s="28" t="str">
        <x:v>зелёный чай</x:v>
      </x:c>
      <x:c r="H1038" s="28" t="str">
        <x:v>green tea</x:v>
      </x:c>
      <x:c r="I1038" s="28" t="str">
        <x:v>Чай</x:v>
      </x:c>
      <x:c r="J1038" s="28" t="str">
        <x:v>резкий сернистый, зелёный и мясной; после запекания — сладкий и ореховый</x:v>
      </x:c>
      <x:c r="K1038" s="28" t="str">
        <x:v>цветочный, древесный или зелёный</x:v>
      </x:c>
      <x:c r="L1038" s="28" t="str">
        <x:v>аллицин, диаллилдисульфид, диаллилтрисульфид, метантиол</x:v>
      </x:c>
      <x:c r="M1038" s="28" t="str">
        <x:v>линалоол, полифенолы</x:v>
      </x:c>
      <x:c r="N1038" s="28" t="str">
        <x:v>прямое пересечение семейств не подтверждено</x:v>
      </x:c>
      <x:c r="O1038" s="28" t="str">
        <x:v>надёжная общая ключевая молекула не установлена</x:v>
      </x:c>
      <x:c r="P1038" s="28" t="str">
        <x:v>сернистая или горчичная комплементарность</x:v>
      </x:c>
      <x:c r="Q103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8" s="28" t="str">
        <x:v>сильное жжение и раздражение тройничного нерва</x:v>
      </x:c>
      <x:c r="S1038" s="28" t="str">
        <x:v>водная луковичная матрица; реакция начинается после повреждения клеток</x:v>
      </x:c>
      <x:c r="T103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8" s="28" t="str">
        <x:v>Чеснок имеет профиль «резкий сернистый, зелёный и мясной; после запекания — сладкий и ореховый». Партнёр «зелёный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8" s="28" t="str">
        <x:v>сырой чеснок быстро доминирует; пережжённый чеснок очень горький; хранить и обрабатывать по пищевым нормам</x:v>
      </x:c>
      <x:c r="W1038" s="28" t="str">
        <x:v>соль, кислота или ароматический жир</x:v>
      </x:c>
      <x:c r="X1038" s="28" t="str">
        <x:v>горячее блюдо, бульон, соус, пюре, ферментация или гарнир с зелёный чай</x:v>
      </x:c>
      <x:c r="Y1038" s="28" t="str">
        <x:v>напитки, еда, соусы/маринады</x:v>
      </x:c>
      <x:c r="Z1038" s="28" t="str">
        <x:v>Средняя</x:v>
      </x:c>
      <x:c r="AA1038" s="28" t="str">
        <x:v>The Art &amp; Science of Foodpairing.pdf</x:v>
      </x:c>
      <x:c r="AB1038" s="28" t="str">
        <x:v>The Art &amp; Science of Foodpairing.pdf: 113</x:v>
      </x:c>
      <x:c r="AC1038" s="28" t="str">
        <x:v>связь из pairing grid, стр. 113</x:v>
      </x:c>
      <x:c r="AD1038" s="28" t="n">
        <x:v>1</x:v>
      </x:c>
      <x:c r="AE1038" s="28" t="n">
        <x:v>1</x:v>
      </x:c>
      <x:c r="AF1038" s="28" t="n">
        <x:f>IF(Z1038="Высокая",3,IF(Z1038="Средняя",2,1))+AD1038*2+MIN(AE1038,3)</x:f>
        <x:v>5</x:v>
      </x:c>
    </x:row>
    <x:row r="1039" ht="64" customHeight="1">
      <x:c r="A1039" s="28" t="str">
        <x:v>VEG-1038</x:v>
      </x:c>
      <x:c r="B1039" s="28" t="str">
        <x:v>чеснок</x:v>
      </x:c>
      <x:c r="C1039" s="28" t="str">
        <x:v>Универсальные</x:v>
      </x:c>
      <x:c r="D1039" s="28" t="str">
        <x:v>чеснок</x:v>
      </x:c>
      <x:c r="E1039" s="28" t="str">
        <x:v>garlic, tomatoes, chilli peppers, beans and beef seasoned with</x:v>
      </x:c>
      <x:c r="F1039" s="28" t="str">
        <x:v>Луковые овощи</x:v>
      </x:c>
      <x:c r="G1039" s="28" t="str">
        <x:v>зира</x:v>
      </x:c>
      <x:c r="H1039" s="28" t="str">
        <x:v>cumin</x:v>
      </x:c>
      <x:c r="I1039" s="28" t="str">
        <x:v>Специи</x:v>
      </x:c>
      <x:c r="J1039" s="28" t="str">
        <x:v>резкий сернистый, зелёный и мясной; после запекания — сладкий и ореховый</x:v>
      </x:c>
      <x:c r="K1039" s="28" t="str">
        <x:v>жареный, землистый, пряный</x:v>
      </x:c>
      <x:c r="L1039" s="28" t="str">
        <x:v>аллицин, диаллилдисульфид, диаллилтрисульфид, метантиол</x:v>
      </x:c>
      <x:c r="M1039" s="28" t="str">
        <x:v>куминовый альдегид, терпены</x:v>
      </x:c>
      <x:c r="N1039" s="28" t="str">
        <x:v>жареный</x:v>
      </x:c>
      <x:c r="O1039" s="28" t="str">
        <x:v>надёжная общая ключевая молекула не установлена</x:v>
      </x:c>
      <x:c r="P1039" s="28" t="str">
        <x:v>пересечение ароматических семейств; сернистая или горчичная комплементарность</x:v>
      </x:c>
      <x:c r="Q103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39" s="28" t="str">
        <x:v>сильное жжение и раздражение тройничного нерва</x:v>
      </x:c>
      <x:c r="S1039" s="28" t="str">
        <x:v>водная луковичная матрица; реакция начинается после повреждения клеток</x:v>
      </x:c>
      <x:c r="T103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39" s="28" t="str">
        <x:v>Чеснок имеет профиль «резкий сернистый, зелёный и мясной; после запекания — сладкий и ореховый». Партнёр «зира» относится к группе «Специи» и даёт жареный, землистый, пряный. Профили пересекаются в семействах: жареный.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39" s="28" t="str">
        <x:v>сырой чеснок быстро доминирует; пережжённый чеснок очень горький; хранить и обрабатывать по пищевым нормам</x:v>
      </x:c>
      <x:c r="W1039" s="28" t="str">
        <x:v>цитрус, йогурт или мёд</x:v>
      </x:c>
      <x:c r="X1039" s="28" t="str">
        <x:v>горячее блюдо, бульон, соус, пюре, ферментация или гарнир с зира</x:v>
      </x:c>
      <x:c r="Y1039" s="28" t="str">
        <x:v>еда, соусы/маринады</x:v>
      </x:c>
      <x:c r="Z1039" s="28" t="str">
        <x:v>Средняя</x:v>
      </x:c>
      <x:c r="AA1039" s="28" t="str">
        <x:v>The Art &amp; Science of Foodpairing.pdf</x:v>
      </x:c>
      <x:c r="AB1039" s="28" t="str">
        <x:v>The Art &amp; Science of Foodpairing.pdf: 228</x:v>
      </x:c>
      <x:c r="AC1039" s="28" t="str">
        <x:v>связь из pairing grid, стр. 228</x:v>
      </x:c>
      <x:c r="AD1039" s="28" t="n">
        <x:v>1</x:v>
      </x:c>
      <x:c r="AE1039" s="28" t="n">
        <x:v>1</x:v>
      </x:c>
      <x:c r="AF1039" s="28" t="n">
        <x:f>IF(Z1039="Высокая",3,IF(Z1039="Средняя",2,1))+AD1039*2+MIN(AE1039,3)</x:f>
        <x:v>5</x:v>
      </x:c>
    </x:row>
    <x:row r="1040" ht="64" customHeight="1">
      <x:c r="A1040" s="28" t="str">
        <x:v>VEG-1039</x:v>
      </x:c>
      <x:c r="B1040" s="28" t="str">
        <x:v>чеснок</x:v>
      </x:c>
      <x:c r="C1040" s="28" t="str">
        <x:v>Универсальные</x:v>
      </x:c>
      <x:c r="D1040" s="28" t="str">
        <x:v>чеснок</x:v>
      </x:c>
      <x:c r="E1040" s="28" t="str">
        <x:v>Чеснок | чеснок</x:v>
      </x:c>
      <x:c r="F1040" s="28" t="str">
        <x:v>Луковые овощи</x:v>
      </x:c>
      <x:c r="G1040" s="28" t="str">
        <x:v>имбирь</x:v>
      </x:c>
      <x:c r="H1040" s="28" t="str">
        <x:v>Имбирь | имбирь</x:v>
      </x:c>
      <x:c r="I1040" s="28" t="str">
        <x:v>Специи</x:v>
      </x:c>
      <x:c r="J1040" s="28" t="str">
        <x:v>резкий сернистый, зелёный и мясной; после запекания — сладкий и ореховый</x:v>
      </x:c>
      <x:c r="K1040" s="28" t="str">
        <x:v>пряный, тёплый, цитрусовый</x:v>
      </x:c>
      <x:c r="L1040" s="28" t="str">
        <x:v>аллицин, диаллилдисульфид, диаллилтрисульфид, метантиол</x:v>
      </x:c>
      <x:c r="M1040" s="28" t="str">
        <x:v>гингеролы, цитраль</x:v>
      </x:c>
      <x:c r="N1040" s="28" t="str">
        <x:v>прямое пересечение семейств не подтверждено</x:v>
      </x:c>
      <x:c r="O1040" s="28" t="str">
        <x:v>надёжная общая ключевая молекула не установлена</x:v>
      </x:c>
      <x:c r="P1040" s="28" t="str">
        <x:v>сернистая или горчичная комплементарность</x:v>
      </x:c>
      <x:c r="Q104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0" s="28" t="str">
        <x:v>сильное жжение и раздражение тройничного нерва</x:v>
      </x:c>
      <x:c r="S1040" s="28" t="str">
        <x:v>водная луковичная матрица; реакция начинается после повреждения клеток</x:v>
      </x:c>
      <x:c r="T104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0" s="28" t="str">
        <x:v>Чеснок имеет профиль «резкий сернистый, зелёный и мясной; после запекания — сладкий и ореховый».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0" s="28" t="str">
        <x:v>сырой чеснок быстро доминирует; пережжённый чеснок очень горький; хранить и обрабатывать по пищевым нормам</x:v>
      </x:c>
      <x:c r="W1040" s="28" t="str">
        <x:v>цитрус, йогурт или мёд</x:v>
      </x:c>
      <x:c r="X1040" s="28" t="str">
        <x:v>горячее блюдо, бульон, соус, пюре, ферментация или гарнир с имбирь</x:v>
      </x:c>
      <x:c r="Y1040" s="28" t="str">
        <x:v>еда, соусы/маринады</x:v>
      </x:c>
      <x:c r="Z1040" s="28" t="str">
        <x:v>Средняя</x:v>
      </x:c>
      <x:c r="AA1040" s="28" t="str">
        <x:v>Тезариус вкусов (Ники Сегнит)(1).pdf</x:v>
      </x:c>
      <x:c r="AB1040" s="28" t="str">
        <x:v>Тезариус вкусов (Ники Сегнит)(1).pdf: 293, 821</x:v>
      </x:c>
      <x:c r="AC1040" s="28" t="str">
        <x:v>развёрнутая пара/статья, стр. 293; развёрнутая пара/статья, стр. 821</x:v>
      </x:c>
      <x:c r="AD1040" s="28" t="n">
        <x:v>1</x:v>
      </x:c>
      <x:c r="AE1040" s="28" t="n">
        <x:v>2</x:v>
      </x:c>
      <x:c r="AF1040" s="28" t="n">
        <x:f>IF(Z1040="Высокая",3,IF(Z1040="Средняя",2,1))+AD1040*2+MIN(AE1040,3)</x:f>
        <x:v>6</x:v>
      </x:c>
    </x:row>
    <x:row r="1041" ht="64" customHeight="1">
      <x:c r="A1041" s="28" t="str">
        <x:v>VEG-1040</x:v>
      </x:c>
      <x:c r="B1041" s="28" t="str">
        <x:v>чеснок</x:v>
      </x:c>
      <x:c r="C1041" s="28" t="str">
        <x:v>Еда и соусы</x:v>
      </x:c>
      <x:c r="D1041" s="28" t="str">
        <x:v>чеснок</x:v>
      </x:c>
      <x:c r="E1041" s="28" t="str">
        <x:v>garlic</x:v>
      </x:c>
      <x:c r="F1041" s="28" t="str">
        <x:v>Луковые овощи</x:v>
      </x:c>
      <x:c r="G1041" s="28" t="str">
        <x:v>индейка</x:v>
      </x:c>
      <x:c r="H1041" s="28" t="str">
        <x:v>poached turkey</x:v>
      </x:c>
      <x:c r="I1041" s="28" t="str">
        <x:v>Мясо и птица</x:v>
      </x:c>
      <x:c r="J1041" s="28" t="str">
        <x:v>резкий сернистый, зелёный и мясной; после запекания — сладкий и ореховый</x:v>
      </x:c>
      <x:c r="K1041" s="28" t="str">
        <x:v>жареный, мясной и умами</x:v>
      </x:c>
      <x:c r="L1041" s="28" t="str">
        <x:v>аллицин, диаллилдисульфид, диаллилтрисульфид, метантиол</x:v>
      </x:c>
      <x:c r="M1041" s="28" t="str">
        <x:v>пиразины, сернистые соединения</x:v>
      </x:c>
      <x:c r="N1041" s="28" t="str">
        <x:v>жареный, умами</x:v>
      </x:c>
      <x:c r="O1041" s="28" t="str">
        <x:v>надёжная общая ключевая молекула не установлена</x:v>
      </x:c>
      <x:c r="P1041" s="28" t="str">
        <x:v>пересечение ароматических семейств; умами и солёный контраст; сернистая или горчичная комплементарность</x:v>
      </x:c>
      <x:c r="Q104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1" s="28" t="str">
        <x:v>сильное жжение и раздражение тройничного нерва</x:v>
      </x:c>
      <x:c r="S1041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4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1" s="28" t="str">
        <x:v>Чеснок имеет профиль «резкий сернистый, зелёный и мясной; после запекания — сладкий и ореховый». Партнёр «индейка»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1" s="28" t="str">
        <x:v>сырой чеснок быстро доминирует; пережжённый чеснок очень горький; хранить и обрабатывать по пищевым нормам</x:v>
      </x:c>
      <x:c r="W1041" s="28" t="str">
        <x:v>сливочное масло, соевый соус или тимьян</x:v>
      </x:c>
      <x:c r="X1041" s="28" t="str">
        <x:v>горячее блюдо, бульон, соус, пюре, ферментация или гарнир с индейка</x:v>
      </x:c>
      <x:c r="Y1041" s="28" t="str">
        <x:v>еда, соусы/маринады</x:v>
      </x:c>
      <x:c r="Z1041" s="28" t="str">
        <x:v>Средняя</x:v>
      </x:c>
      <x:c r="AA1041" s="28" t="str">
        <x:v>The Art &amp; Science of Foodpairing.pdf</x:v>
      </x:c>
      <x:c r="AB1041" s="28" t="str">
        <x:v>The Art &amp; Science of Foodpairing.pdf: 113</x:v>
      </x:c>
      <x:c r="AC1041" s="28" t="str">
        <x:v>связь из pairing grid, стр. 113</x:v>
      </x:c>
      <x:c r="AD1041" s="28" t="n">
        <x:v>1</x:v>
      </x:c>
      <x:c r="AE1041" s="28" t="n">
        <x:v>1</x:v>
      </x:c>
      <x:c r="AF1041" s="28" t="n">
        <x:f>IF(Z1041="Высокая",3,IF(Z1041="Средняя",2,1))+AD1041*2+MIN(AE1041,3)</x:f>
        <x:v>5</x:v>
      </x:c>
    </x:row>
    <x:row r="1042" ht="64" customHeight="1">
      <x:c r="A1042" s="28" t="str">
        <x:v>VEG-1041</x:v>
      </x:c>
      <x:c r="B1042" s="28" t="str">
        <x:v>чеснок</x:v>
      </x:c>
      <x:c r="C1042" s="28" t="str">
        <x:v>Универсальные</x:v>
      </x:c>
      <x:c r="D1042" s="28" t="str">
        <x:v>чеснок</x:v>
      </x:c>
      <x:c r="E1042" s="28" t="str">
        <x:v>garlic</x:v>
      </x:c>
      <x:c r="F1042" s="28" t="str">
        <x:v>Луковые овощи</x:v>
      </x:c>
      <x:c r="G1042" s="28" t="str">
        <x:v>испанский чоризо</x:v>
      </x:c>
      <x:c r="H1042" s="28" t="str">
        <x:v>Spanishchorizo</x:v>
      </x:c>
      <x:c r="I1042" s="28" t="str">
        <x:v>Прочее</x:v>
      </x:c>
      <x:c r="J1042" s="28" t="str">
        <x:v>резкий сернистый, зелёный и мясной; после запекания — сладкий и ореховый</x:v>
      </x:c>
      <x:c r="K1042" s="28" t="str">
        <x:v>профиль зависит от конкретного продукта</x:v>
      </x:c>
      <x:c r="L1042" s="28" t="str">
        <x:v>аллицин, диаллилдисульфид, диаллилтрисульфид, метантиол</x:v>
      </x:c>
      <x:c r="M1042" s="28" t="str">
        <x:v>конкретный молекулярный профиль не указан</x:v>
      </x:c>
      <x:c r="N1042" s="28" t="str">
        <x:v>прямое пересечение семейств не подтверждено</x:v>
      </x:c>
      <x:c r="O1042" s="28" t="str">
        <x:v>надёжная общая ключевая молекула не установлена</x:v>
      </x:c>
      <x:c r="P1042" s="28" t="str">
        <x:v>сернистая или горчичная комплементарность</x:v>
      </x:c>
      <x:c r="Q104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2" s="28" t="str">
        <x:v>сильное жжение и раздражение тройничного нерва</x:v>
      </x:c>
      <x:c r="S1042" s="28" t="str">
        <x:v>водная луковичная матрица; реакция начинается после повреждения клеток</x:v>
      </x:c>
      <x:c r="T104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2" s="28" t="str">
        <x:v>Чеснок имеет профиль «резкий сернистый, зелёный и мясной; после запекания — сладкий и ореховый».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2" s="28" t="str">
        <x:v>сырой чеснок быстро доминирует; пережжённый чеснок очень горький; хранить и обрабатывать по пищевым нормам</x:v>
      </x:c>
      <x:c r="W1042" s="28" t="str">
        <x:v>соль, кислота или ароматический жир</x:v>
      </x:c>
      <x:c r="X1042" s="28" t="str">
        <x:v>горячее блюдо, бульон, соус, пюре, ферментация или гарнир с испанский чоризо</x:v>
      </x:c>
      <x:c r="Y1042" s="28" t="str">
        <x:v>еда, соусы/маринады</x:v>
      </x:c>
      <x:c r="Z1042" s="28" t="str">
        <x:v>Средняя</x:v>
      </x:c>
      <x:c r="AA1042" s="28" t="str">
        <x:v>The Art &amp; Science of Foodpairing.pdf</x:v>
      </x:c>
      <x:c r="AB1042" s="28" t="str">
        <x:v>The Art &amp; Science of Foodpairing.pdf: 114</x:v>
      </x:c>
      <x:c r="AC1042" s="28" t="str">
        <x:v>связь из pairing grid, стр. 114</x:v>
      </x:c>
      <x:c r="AD1042" s="28" t="n">
        <x:v>1</x:v>
      </x:c>
      <x:c r="AE1042" s="28" t="n">
        <x:v>1</x:v>
      </x:c>
      <x:c r="AF1042" s="28" t="n">
        <x:f>IF(Z1042="Высокая",3,IF(Z1042="Средняя",2,1))+AD1042*2+MIN(AE1042,3)</x:f>
        <x:v>5</x:v>
      </x:c>
    </x:row>
    <x:row r="1043" ht="64" customHeight="1">
      <x:c r="A1043" s="28" t="str">
        <x:v>VEG-1042</x:v>
      </x:c>
      <x:c r="B1043" s="28" t="str">
        <x:v>чеснок</x:v>
      </x:c>
      <x:c r="C1043" s="28" t="str">
        <x:v>Десерты и выпечка</x:v>
      </x:c>
      <x:c r="D1043" s="28" t="str">
        <x:v>чеснок</x:v>
      </x:c>
      <x:c r="E1043" s="28" t="str">
        <x:v>garlic</x:v>
      </x:c>
      <x:c r="F1043" s="28" t="str">
        <x:v>Луковые овощи</x:v>
      </x:c>
      <x:c r="G1043" s="28" t="str">
        <x:v>какао-крупка</x:v>
      </x:c>
      <x:c r="H1043" s="28" t="str">
        <x:v>cocoa nibs</x:v>
      </x:c>
      <x:c r="I1043" s="28" t="str">
        <x:v>Какао и шоколад</x:v>
      </x:c>
      <x:c r="J1043" s="28" t="str">
        <x:v>резкий сернистый, зелёный и мясной; после запекания — сладкий и ореховый</x:v>
      </x:c>
      <x:c r="K1043" s="28" t="str">
        <x:v>какаовый, жареный и горько-сладкий</x:v>
      </x:c>
      <x:c r="L1043" s="28" t="str">
        <x:v>аллицин, диаллилдисульфид, диаллилтрисульфид, метантиол</x:v>
      </x:c>
      <x:c r="M1043" s="28" t="str">
        <x:v>альдегиды, пиразины, фураны</x:v>
      </x:c>
      <x:c r="N1043" s="28" t="str">
        <x:v>жареный</x:v>
      </x:c>
      <x:c r="O1043" s="28" t="str">
        <x:v>надёжная общая ключевая молекула не установлена</x:v>
      </x:c>
      <x:c r="P1043" s="28" t="str">
        <x:v>пересечение ароматических семейств; сернистая или горчичная комплементарность</x:v>
      </x:c>
      <x:c r="Q104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3" s="28" t="str">
        <x:v>сильное жжение и раздражение тройничного нерва</x:v>
      </x:c>
      <x:c r="S1043" s="28" t="str">
        <x:v>водная луковичная матрица; реакция начинается после повреждения клеток</x:v>
      </x:c>
      <x:c r="T104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3" s="28" t="str">
        <x:v>Чеснок имеет профиль «резкий сернистый, зелёный и мясной; после запекания — сладкий и ореховый». Партнёр «какао-крупка» относится к группе «Какао и шоколад» и даёт какаовый, жареный и горько-сладкий.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3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W1043" s="28" t="str">
        <x:v>сливки, орех или карамель</x:v>
      </x:c>
      <x:c r="X1043" s="28" t="str">
        <x:v>горячее блюдо, бульон, соус, пюре, ферментация или гарнир с какао-крупка</x:v>
      </x:c>
      <x:c r="Y1043" s="28" t="str">
        <x:v>еда, десерты, соусы/маринады</x:v>
      </x:c>
      <x:c r="Z1043" s="28" t="str">
        <x:v>Средняя</x:v>
      </x:c>
      <x:c r="AA1043" s="28" t="str">
        <x:v>The Art &amp; Science of Foodpairing.pdf</x:v>
      </x:c>
      <x:c r="AB1043" s="28" t="str">
        <x:v>The Art &amp; Science of Foodpairing.pdf: 113</x:v>
      </x:c>
      <x:c r="AC1043" s="28" t="str">
        <x:v>связь из pairing grid, стр. 113</x:v>
      </x:c>
      <x:c r="AD1043" s="28" t="n">
        <x:v>1</x:v>
      </x:c>
      <x:c r="AE1043" s="28" t="n">
        <x:v>1</x:v>
      </x:c>
      <x:c r="AF1043" s="28" t="n">
        <x:f>IF(Z1043="Высокая",3,IF(Z1043="Средняя",2,1))+AD1043*2+MIN(AE1043,3)</x:f>
        <x:v>5</x:v>
      </x:c>
    </x:row>
    <x:row r="1044" ht="64" customHeight="1">
      <x:c r="A1044" s="28" t="str">
        <x:v>VEG-1043</x:v>
      </x:c>
      <x:c r="B1044" s="28" t="str">
        <x:v>чеснок</x:v>
      </x:c>
      <x:c r="C1044" s="28" t="str">
        <x:v>Универсальные</x:v>
      </x:c>
      <x:c r="D1044" s="28" t="str">
        <x:v>чеснок</x:v>
      </x:c>
      <x:c r="E1044" s="28" t="str">
        <x:v>garlic</x:v>
      </x:c>
      <x:c r="F1044" s="28" t="str">
        <x:v>Луковые овощи</x:v>
      </x:c>
      <x:c r="G1044" s="28" t="str">
        <x:v>канталупа</x:v>
      </x:c>
      <x:c r="H1044" s="28" t="str">
        <x:v>cantaloupe</x:v>
      </x:c>
      <x:c r="I1044" s="28" t="str">
        <x:v>Прочее</x:v>
      </x:c>
      <x:c r="J1044" s="28" t="str">
        <x:v>резкий сернистый, зелёный и мясной; после запекания — сладкий и ореховый</x:v>
      </x:c>
      <x:c r="K1044" s="28" t="str">
        <x:v>профиль зависит от конкретного продукта</x:v>
      </x:c>
      <x:c r="L1044" s="28" t="str">
        <x:v>аллицин, диаллилдисульфид, диаллилтрисульфид, метантиол</x:v>
      </x:c>
      <x:c r="M1044" s="28" t="str">
        <x:v>конкретный молекулярный профиль не указан</x:v>
      </x:c>
      <x:c r="N1044" s="28" t="str">
        <x:v>прямое пересечение семейств не подтверждено</x:v>
      </x:c>
      <x:c r="O1044" s="28" t="str">
        <x:v>надёжная общая ключевая молекула не установлена</x:v>
      </x:c>
      <x:c r="P1044" s="28" t="str">
        <x:v>сернистая или горчичная комплементарность</x:v>
      </x:c>
      <x:c r="Q104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4" s="28" t="str">
        <x:v>сильное жжение и раздражение тройничного нерва</x:v>
      </x:c>
      <x:c r="S1044" s="28" t="str">
        <x:v>водная луковичная матрица; реакция начинается после повреждения клеток</x:v>
      </x:c>
      <x:c r="T104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4" s="28" t="str">
        <x:v>Чеснок имеет профиль «резкий сернистый, зелёный и мясной; после запекания — сладкий и ореховый». Партнёр «канталупа»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4" s="28" t="str">
        <x:v>сырой чеснок быстро доминирует; пережжённый чеснок очень горький; хранить и обрабатывать по пищевым нормам</x:v>
      </x:c>
      <x:c r="W1044" s="28" t="str">
        <x:v>соль, кислота или ароматический жир</x:v>
      </x:c>
      <x:c r="X1044" s="28" t="str">
        <x:v>горячее блюдо, бульон, соус, пюре, ферментация или гарнир с канталупа</x:v>
      </x:c>
      <x:c r="Y1044" s="28" t="str">
        <x:v>еда, соусы/маринады</x:v>
      </x:c>
      <x:c r="Z1044" s="28" t="str">
        <x:v>Средняя</x:v>
      </x:c>
      <x:c r="AA1044" s="28" t="str">
        <x:v>The Art &amp; Science of Foodpairing.pdf</x:v>
      </x:c>
      <x:c r="AB1044" s="28" t="str">
        <x:v>The Art &amp; Science of Foodpairing.pdf: 114</x:v>
      </x:c>
      <x:c r="AC1044" s="28" t="str">
        <x:v>связь из pairing grid, стр. 114</x:v>
      </x:c>
      <x:c r="AD1044" s="28" t="n">
        <x:v>1</x:v>
      </x:c>
      <x:c r="AE1044" s="28" t="n">
        <x:v>1</x:v>
      </x:c>
      <x:c r="AF1044" s="28" t="n">
        <x:f>IF(Z1044="Высокая",3,IF(Z1044="Средняя",2,1))+AD1044*2+MIN(AE1044,3)</x:f>
        <x:v>5</x:v>
      </x:c>
    </x:row>
    <x:row r="1045" ht="64" customHeight="1">
      <x:c r="A1045" s="28" t="str">
        <x:v>VEG-1044</x:v>
      </x:c>
      <x:c r="B1045" s="28" t="str">
        <x:v>чеснок</x:v>
      </x:c>
      <x:c r="C1045" s="28" t="str">
        <x:v>Еда и соусы</x:v>
      </x:c>
      <x:c r="D1045" s="28" t="str">
        <x:v>чеснок</x:v>
      </x:c>
      <x:c r="E1045" s="28" t="str">
        <x:v>garlic | Чеснок | чеснок</x:v>
      </x:c>
      <x:c r="F1045" s="28" t="str">
        <x:v>Луковые овощи</x:v>
      </x:c>
      <x:c r="G1045" s="28" t="str">
        <x:v>капуста</x:v>
      </x:c>
      <x:c r="H1045" s="28" t="str">
        <x:v>Brussels sprouts | Капуста | капуста</x:v>
      </x:c>
      <x:c r="I1045" s="28" t="str">
        <x:v>Крестоцветные</x:v>
      </x:c>
      <x:c r="J1045" s="28" t="str">
        <x:v>резкий сернистый, зелёный и мясной; после запекания — сладкий и ореховый</x:v>
      </x:c>
      <x:c r="K1045" s="28" t="str">
        <x:v>зелёный, горчичный, сернистый и сладковатый после приготовления</x:v>
      </x:c>
      <x:c r="L1045" s="28" t="str">
        <x:v>аллицин, диаллилдисульфид, диаллилтрисульфид, метантиол</x:v>
      </x:c>
      <x:c r="M1045" s="28" t="str">
        <x:v>глюкозинолаты, диметилсульфид, изотиоцианаты, метантиол</x:v>
      </x:c>
      <x:c r="N1045" s="28" t="str">
        <x:v>сернистый</x:v>
      </x:c>
      <x:c r="O1045" s="28" t="str">
        <x:v>метантиол</x:v>
      </x:c>
      <x:c r="P1045" s="28" t="str">
        <x:v>общие характерные молекулы; пересечение ароматических семейств; сернистая или горчичная комплементарность</x:v>
      </x:c>
      <x:c r="Q104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5" s="28" t="str">
        <x:v>сильное жжение и раздражение тройничного нерва</x:v>
      </x:c>
      <x:c r="S1045" s="28" t="str">
        <x:v>водная луковичная матрица; реакция начинается после повреждения клеток</x:v>
      </x:c>
      <x:c r="T104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5" s="28" t="str">
        <x:v>Чеснок имеет профиль «резкий сернистый, зелёный и мясной; после запекания — сладкий и ореховый». Партнёр «капуста» относится к группе «Крестоцветные» и даёт зелёный, горчичный, сернистый и сладковатый после приготовления.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5" s="28" t="str">
        <x:v>сырой чеснок быстро доминирует; пережжённый чеснок очень горький; хранить и обрабатывать по пищевым нормам</x:v>
      </x:c>
      <x:c r="W1045" s="28" t="str">
        <x:v>соль, кислота или ароматический жир</x:v>
      </x:c>
      <x:c r="X1045" s="28" t="str">
        <x:v>горячее блюдо, бульон, соус, пюре, ферментация или гарнир с капуста</x:v>
      </x:c>
      <x:c r="Y1045" s="28" t="str">
        <x:v>еда, соусы/маринады</x:v>
      </x:c>
      <x:c r="Z1045" s="28" t="str">
        <x:v>Высокая</x:v>
      </x:c>
      <x:c r="AA1045" s="28" t="str">
        <x:v>The Art &amp; Science of Foodpairing.pdf | Тезариус вкусов (Ники Сегнит)(1).pdf</x:v>
      </x:c>
      <x:c r="AB1045" s="28" t="str">
        <x:v>Тезариус вкусов (Ники Сегнит)(1).pdf: 294, 316; The Art &amp; Science of Foodpairing.pdf: 114</x:v>
      </x:c>
      <x:c r="AC1045" s="28" t="str">
        <x:v>развёрнутая пара/статья, стр. 294; развёрнутая пара/статья, стр. 316; связь из pairing grid, стр. 114</x:v>
      </x:c>
      <x:c r="AD1045" s="28" t="n">
        <x:v>2</x:v>
      </x:c>
      <x:c r="AE1045" s="28" t="n">
        <x:v>3</x:v>
      </x:c>
      <x:c r="AF1045" s="28" t="n">
        <x:f>IF(Z1045="Высокая",3,IF(Z1045="Средняя",2,1))+AD1045*2+MIN(AE1045,3)</x:f>
        <x:v>10</x:v>
      </x:c>
    </x:row>
    <x:row r="1046" ht="64" customHeight="1">
      <x:c r="A1046" s="28" t="str">
        <x:v>VEG-1045</x:v>
      </x:c>
      <x:c r="B1046" s="28" t="str">
        <x:v>чеснок</x:v>
      </x:c>
      <x:c r="C1046" s="28" t="str">
        <x:v>Еда и соусы</x:v>
      </x:c>
      <x:c r="D1046" s="28" t="str">
        <x:v>чеснок</x:v>
      </x:c>
      <x:c r="E1046" s="28" t="str">
        <x:v>garlic</x:v>
      </x:c>
      <x:c r="F1046" s="28" t="str">
        <x:v>Луковые овощи</x:v>
      </x:c>
      <x:c r="G1046" s="28" t="str">
        <x:v>кефаль</x:v>
      </x:c>
      <x:c r="H1046" s="28" t="str">
        <x:v>poached grey mullet</x:v>
      </x:c>
      <x:c r="I1046" s="28" t="str">
        <x:v>Рыба и морепродукты</x:v>
      </x:c>
      <x:c r="J1046" s="28" t="str">
        <x:v>резкий сернистый, зелёный и мясной; после запекания — сладкий и ореховый</x:v>
      </x:c>
      <x:c r="K1046" s="28" t="str">
        <x:v>морской, солоноватый и умами</x:v>
      </x:c>
      <x:c r="L1046" s="28" t="str">
        <x:v>аллицин, диаллилдисульфид, диаллилтрисульфид, метантиол</x:v>
      </x:c>
      <x:c r="M1046" s="28" t="str">
        <x:v>альдегиды, амины</x:v>
      </x:c>
      <x:c r="N1046" s="28" t="str">
        <x:v>умами</x:v>
      </x:c>
      <x:c r="O1046" s="28" t="str">
        <x:v>надёжная общая ключевая молекула не установлена</x:v>
      </x:c>
      <x:c r="P1046" s="28" t="str">
        <x:v>пересечение ароматических семейств; умами и солёный контраст; сернистая или горчичная комплементарность</x:v>
      </x:c>
      <x:c r="Q104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6" s="28" t="str">
        <x:v>сильное жжение и раздражение тройничного нерва</x:v>
      </x:c>
      <x:c r="S1046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4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6" s="28" t="str">
        <x:v>Чеснок имеет профиль «резкий сернистый, зелёный и мясной; после запекания — сладкий и ореховый». Партнёр «кефаль»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6" s="28" t="str">
        <x:v>сырой чеснок быстро доминирует; пережжённый чеснок очень горький; хранить и обрабатывать по пищевым нормам</x:v>
      </x:c>
      <x:c r="W1046" s="28" t="str">
        <x:v>сливочное масло, соевый соус или тимьян</x:v>
      </x:c>
      <x:c r="X1046" s="28" t="str">
        <x:v>горячее блюдо, бульон, соус, пюре, ферментация или гарнир с кефаль</x:v>
      </x:c>
      <x:c r="Y1046" s="28" t="str">
        <x:v>еда, соусы/маринады</x:v>
      </x:c>
      <x:c r="Z1046" s="28" t="str">
        <x:v>Средняя</x:v>
      </x:c>
      <x:c r="AA1046" s="28" t="str">
        <x:v>The Art &amp; Science of Foodpairing.pdf</x:v>
      </x:c>
      <x:c r="AB1046" s="28" t="str">
        <x:v>The Art &amp; Science of Foodpairing.pdf: 114</x:v>
      </x:c>
      <x:c r="AC1046" s="28" t="str">
        <x:v>связь из pairing grid, стр. 114</x:v>
      </x:c>
      <x:c r="AD1046" s="28" t="n">
        <x:v>1</x:v>
      </x:c>
      <x:c r="AE1046" s="28" t="n">
        <x:v>1</x:v>
      </x:c>
      <x:c r="AF1046" s="28" t="n">
        <x:f>IF(Z1046="Высокая",3,IF(Z1046="Средняя",2,1))+AD1046*2+MIN(AE1046,3)</x:f>
        <x:v>5</x:v>
      </x:c>
    </x:row>
    <x:row r="1047" ht="64" customHeight="1">
      <x:c r="A1047" s="28" t="str">
        <x:v>VEG-1046</x:v>
      </x:c>
      <x:c r="B1047" s="28" t="str">
        <x:v>чеснок</x:v>
      </x:c>
      <x:c r="C1047" s="28" t="str">
        <x:v>Еда и соусы</x:v>
      </x:c>
      <x:c r="D1047" s="28" t="str">
        <x:v>чеснок</x:v>
      </x:c>
      <x:c r="E1047" s="28" t="str">
        <x:v>black garlic puree | garlic</x:v>
      </x:c>
      <x:c r="F1047" s="28" t="str">
        <x:v>Луковые овощи</x:v>
      </x:c>
      <x:c r="G1047" s="28" t="str">
        <x:v>кимчи</x:v>
      </x:c>
      <x:c r="H1047" s="28" t="str">
        <x:v>baechu kimchi</x:v>
      </x:c>
      <x:c r="I1047" s="28" t="str">
        <x:v>Ферментированные продукты и соусы</x:v>
      </x:c>
      <x:c r="J1047" s="28" t="str">
        <x:v>резкий сернистый, зелёный и мясной; после запекания — сладкий и ореховый</x:v>
      </x:c>
      <x:c r="K1047" s="28" t="str">
        <x:v>ферментированный, умами и сложный</x:v>
      </x:c>
      <x:c r="L1047" s="28" t="str">
        <x:v>аллицин, диаллилдисульфид, диаллилтрисульфид, метантиол</x:v>
      </x:c>
      <x:c r="M1047" s="28" t="str">
        <x:v>пиразины, фураны, эфиры</x:v>
      </x:c>
      <x:c r="N1047" s="28" t="str">
        <x:v>жареный, умами</x:v>
      </x:c>
      <x:c r="O1047" s="28" t="str">
        <x:v>надёжная общая ключевая молекула не установлена</x:v>
      </x:c>
      <x:c r="P1047" s="28" t="str">
        <x:v>пересечение ароматических семейств; умами и солёный контраст; сернистая или горчичная комплементарность</x:v>
      </x:c>
      <x:c r="Q104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7" s="28" t="str">
        <x:v>сильное жжение и раздражение тройничного нерва</x:v>
      </x:c>
      <x:c r="S1047" s="28" t="str">
        <x:v>водная луковичная матрица; реакция начинается после повреждения клеток</x:v>
      </x:c>
      <x:c r="T104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7" s="28" t="str">
        <x:v>Чеснок имеет профиль «резкий сернистый, зелёный и мясной; после запекания — сладкий и ореховый». Партнёр «кимчи» относится к группе «Ферментированные продукты и соусы» и даёт ферментированный, умами и сложный.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7" s="28" t="str">
        <x:v>сырой чеснок быстро доминирует; пережжённый чеснок очень горький; хранить и обрабатывать по пищевым нормам</x:v>
      </x:c>
      <x:c r="W1047" s="28" t="str">
        <x:v>имбирь, чеснок или кунжут</x:v>
      </x:c>
      <x:c r="X1047" s="28" t="str">
        <x:v>горячее блюдо, бульон, соус, пюре, ферментация или гарнир с кимчи</x:v>
      </x:c>
      <x:c r="Y1047" s="28" t="str">
        <x:v>еда, соусы/маринады</x:v>
      </x:c>
      <x:c r="Z1047" s="28" t="str">
        <x:v>Средняя</x:v>
      </x:c>
      <x:c r="AA1047" s="28" t="str">
        <x:v>The Art &amp; Science of Foodpairing.pdf</x:v>
      </x:c>
      <x:c r="AB1047" s="28" t="str">
        <x:v>The Art &amp; Science of Foodpairing.pdf: 114, 305</x:v>
      </x:c>
      <x:c r="AC1047" s="28" t="str">
        <x:v>связь из pairing grid, стр. 114; связь из pairing grid, стр. 305</x:v>
      </x:c>
      <x:c r="AD1047" s="28" t="n">
        <x:v>1</x:v>
      </x:c>
      <x:c r="AE1047" s="28" t="n">
        <x:v>2</x:v>
      </x:c>
      <x:c r="AF1047" s="28" t="n">
        <x:f>IF(Z1047="Высокая",3,IF(Z1047="Средняя",2,1))+AD1047*2+MIN(AE1047,3)</x:f>
        <x:v>6</x:v>
      </x:c>
    </x:row>
    <x:row r="1048" ht="64" customHeight="1">
      <x:c r="A1048" s="28" t="str">
        <x:v>VEG-1047</x:v>
      </x:c>
      <x:c r="B1048" s="28" t="str">
        <x:v>чеснок</x:v>
      </x:c>
      <x:c r="C1048" s="28" t="str">
        <x:v>Десерты и выпечка</x:v>
      </x:c>
      <x:c r="D1048" s="28" t="str">
        <x:v>чеснок</x:v>
      </x:c>
      <x:c r="E1048" s="28" t="str">
        <x:v>black garlic | garlic</x:v>
      </x:c>
      <x:c r="F1048" s="28" t="str">
        <x:v>Луковые овощи</x:v>
      </x:c>
      <x:c r="G1048" s="28" t="str">
        <x:v>клубника</x:v>
      </x:c>
      <x:c r="H1048" s="28" t="str">
        <x:v>strawberry</x:v>
      </x:c>
      <x:c r="I1048" s="28" t="str">
        <x:v>Фрукты и ягоды</x:v>
      </x:c>
      <x:c r="J1048" s="28" t="str">
        <x:v>резкий сернистый, зелёный и мясной; после запекания — сладкий и ореховый</x:v>
      </x:c>
      <x:c r="K1048" s="28" t="str">
        <x:v>зелёный, карамельный, фруктовый</x:v>
      </x:c>
      <x:c r="L1048" s="28" t="str">
        <x:v>аллицин, диаллилдисульфид, диаллилтрисульфид, метантиол</x:v>
      </x:c>
      <x:c r="M1048" s="28" t="str">
        <x:v>фуранеол, эфиры</x:v>
      </x:c>
      <x:c r="N1048" s="28" t="str">
        <x:v>прямое пересечение семейств не подтверждено</x:v>
      </x:c>
      <x:c r="O1048" s="28" t="str">
        <x:v>надёжная общая ключевая молекула не установлена</x:v>
      </x:c>
      <x:c r="P1048" s="28" t="str">
        <x:v>кислотно-сладкий баланс; сернистая или горчичная комплементарность</x:v>
      </x:c>
      <x:c r="Q104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8" s="28" t="str">
        <x:v>сильное жжение и раздражение тройничного нерва</x:v>
      </x:c>
      <x:c r="S1048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04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8" s="28" t="str">
        <x:v>Чеснок имеет профиль «резкий сернистый, зелёный и мясной; после запекания — сладкий и ореховый».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8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048" s="28" t="str">
        <x:v>цитрус, мёд или мягкая трава</x:v>
      </x:c>
      <x:c r="X1048" s="28" t="str">
        <x:v>горячее блюдо, бульон, соус, пюре, ферментация или гарнир с клубника</x:v>
      </x:c>
      <x:c r="Y1048" s="28" t="str">
        <x:v>еда, десерты, соусы/маринады</x:v>
      </x:c>
      <x:c r="Z1048" s="28" t="str">
        <x:v>Высокая</x:v>
      </x:c>
      <x:c r="AA1048" s="28" t="str">
        <x:v>The Art &amp; Science of Foodpairing.pdf</x:v>
      </x:c>
      <x:c r="AB1048" s="28" t="str">
        <x:v>The Art &amp; Science of Foodpairing.pdf: 112, 113</x:v>
      </x:c>
      <x:c r="AC1048" s="28" t="str">
        <x:v>Chef pairing, стр. 112; связь из pairing grid, стр. 113</x:v>
      </x:c>
      <x:c r="AD1048" s="28" t="n">
        <x:v>1</x:v>
      </x:c>
      <x:c r="AE1048" s="28" t="n">
        <x:v>2</x:v>
      </x:c>
      <x:c r="AF1048" s="28" t="n">
        <x:f>IF(Z1048="Высокая",3,IF(Z1048="Средняя",2,1))+AD1048*2+MIN(AE1048,3)</x:f>
        <x:v>7</x:v>
      </x:c>
    </x:row>
    <x:row r="1049" ht="64" customHeight="1">
      <x:c r="A1049" s="28" t="str">
        <x:v>VEG-1048</x:v>
      </x:c>
      <x:c r="B1049" s="28" t="str">
        <x:v>чеснок</x:v>
      </x:c>
      <x:c r="C1049" s="28" t="str">
        <x:v>Десерты и выпечка</x:v>
      </x:c>
      <x:c r="D1049" s="28" t="str">
        <x:v>чеснок</x:v>
      </x:c>
      <x:c r="E1049" s="28" t="str">
        <x:v>Чеснок | чеснок</x:v>
      </x:c>
      <x:c r="F1049" s="28" t="str">
        <x:v>Луковые овощи</x:v>
      </x:c>
      <x:c r="G1049" s="28" t="str">
        <x:v>козий сыр</x:v>
      </x:c>
      <x:c r="H1049" s="28" t="str">
        <x:v>Козий сыр | козий сыр</x:v>
      </x:c>
      <x:c r="I1049" s="28" t="str">
        <x:v>Молочные продукты и сыры</x:v>
      </x:c>
      <x:c r="J1049" s="28" t="str">
        <x:v>резкий сернистый, зелёный и мясной; после запекания — сладкий и ореховый</x:v>
      </x:c>
      <x:c r="K1049" s="28" t="str">
        <x:v>молочный, умами, ферментированный</x:v>
      </x:c>
      <x:c r="L1049" s="28" t="str">
        <x:v>аллицин, диаллилдисульфид, диаллилтрисульфид, метантиол</x:v>
      </x:c>
      <x:c r="M1049" s="28" t="str">
        <x:v>диацетил, жирные кислоты</x:v>
      </x:c>
      <x:c r="N1049" s="28" t="str">
        <x:v>умами</x:v>
      </x:c>
      <x:c r="O1049" s="28" t="str">
        <x:v>надёжная общая ключевая молекула не установлена</x:v>
      </x:c>
      <x:c r="P1049" s="28" t="str">
        <x:v>пересечение ароматических семейств; жировая матрица; сернистая или горчичная комплементарность</x:v>
      </x:c>
      <x:c r="Q104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49" s="28" t="str">
        <x:v>сильное жжение и раздражение тройничного нерва</x:v>
      </x:c>
      <x:c r="S1049" s="28" t="str">
        <x:v>водная луковичная матрица; реакция начинается после повреждения клеток Жировая фаза удерживает гидрофобные молекулы, но может сделать вкус тяжёлым.</x:v>
      </x:c>
      <x:c r="T104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49" s="28" t="str">
        <x:v>Чеснок имеет профиль «резкий сернистый, зелёный и мясной; после запекания — сладкий и ореховый».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49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W1049" s="28" t="str">
        <x:v>кислота, зелень или жареный орех</x:v>
      </x:c>
      <x:c r="X1049" s="28" t="str">
        <x:v>горячее блюдо, бульон, соус, пюре, ферментация или гарнир с козий сыр</x:v>
      </x:c>
      <x:c r="Y1049" s="28" t="str">
        <x:v>еда, десерты, соусы/маринады</x:v>
      </x:c>
      <x:c r="Z1049" s="28" t="str">
        <x:v>Средняя</x:v>
      </x:c>
      <x:c r="AA1049" s="28" t="str">
        <x:v>Тезариус вкусов (Ники Сегнит)(1).pdf</x:v>
      </x:c>
      <x:c r="AB1049" s="28" t="str">
        <x:v>Тезариус вкусов (Ники Сегнит)(1).pdf: 143, 294</x:v>
      </x:c>
      <x:c r="AC1049" s="28" t="str">
        <x:v>развёрнутая пара/статья, стр. 143; развёрнутая пара/статья, стр. 294</x:v>
      </x:c>
      <x:c r="AD1049" s="28" t="n">
        <x:v>1</x:v>
      </x:c>
      <x:c r="AE1049" s="28" t="n">
        <x:v>2</x:v>
      </x:c>
      <x:c r="AF1049" s="28" t="n">
        <x:f>IF(Z1049="Высокая",3,IF(Z1049="Средняя",2,1))+AD1049*2+MIN(AE1049,3)</x:f>
        <x:v>6</x:v>
      </x:c>
    </x:row>
    <x:row r="1050" ht="64" customHeight="1">
      <x:c r="A1050" s="28" t="str">
        <x:v>VEG-1049</x:v>
      </x:c>
      <x:c r="B1050" s="28" t="str">
        <x:v>чеснок</x:v>
      </x:c>
      <x:c r="C1050" s="28" t="str">
        <x:v>Универсальные</x:v>
      </x:c>
      <x:c r="D1050" s="28" t="str">
        <x:v>чеснок</x:v>
      </x:c>
      <x:c r="E1050" s="28" t="str">
        <x:v>garlic</x:v>
      </x:c>
      <x:c r="F1050" s="28" t="str">
        <x:v>Луковые овощи</x:v>
      </x:c>
      <x:c r="G1050" s="28" t="str">
        <x:v>кольраби</x:v>
      </x:c>
      <x:c r="H1050" s="28" t="str">
        <x:v>baked kohlrabi</x:v>
      </x:c>
      <x:c r="I1050" s="28" t="str">
        <x:v>Прочее</x:v>
      </x:c>
      <x:c r="J1050" s="28" t="str">
        <x:v>резкий сернистый, зелёный и мясной; после запекания — сладкий и ореховый</x:v>
      </x:c>
      <x:c r="K1050" s="28" t="str">
        <x:v>профиль зависит от конкретного продукта</x:v>
      </x:c>
      <x:c r="L1050" s="28" t="str">
        <x:v>аллицин, диаллилдисульфид, диаллилтрисульфид, метантиол</x:v>
      </x:c>
      <x:c r="M1050" s="28" t="str">
        <x:v>конкретный молекулярный профиль не указан</x:v>
      </x:c>
      <x:c r="N1050" s="28" t="str">
        <x:v>прямое пересечение семейств не подтверждено</x:v>
      </x:c>
      <x:c r="O1050" s="28" t="str">
        <x:v>надёжная общая ключевая молекула не установлена</x:v>
      </x:c>
      <x:c r="P1050" s="28" t="str">
        <x:v>сернистая или горчичная комплементарность</x:v>
      </x:c>
      <x:c r="Q105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0" s="28" t="str">
        <x:v>сильное жжение и раздражение тройничного нерва</x:v>
      </x:c>
      <x:c r="S1050" s="28" t="str">
        <x:v>водная луковичная матрица; реакция начинается после повреждения клеток</x:v>
      </x:c>
      <x:c r="T105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0" s="28" t="str">
        <x:v>Чеснок имеет профиль «резкий сернистый, зелёный и мясной; после запекания — сладкий и ореховый». Партнёр «кольраби»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0" s="28" t="str">
        <x:v>сырой чеснок быстро доминирует; пережжённый чеснок очень горький; хранить и обрабатывать по пищевым нормам</x:v>
      </x:c>
      <x:c r="W1050" s="28" t="str">
        <x:v>соль, кислота или ароматический жир</x:v>
      </x:c>
      <x:c r="X1050" s="28" t="str">
        <x:v>горячее блюдо, бульон, соус, пюре, ферментация или гарнир с кольраби</x:v>
      </x:c>
      <x:c r="Y1050" s="28" t="str">
        <x:v>еда, соусы/маринады</x:v>
      </x:c>
      <x:c r="Z1050" s="28" t="str">
        <x:v>Средняя</x:v>
      </x:c>
      <x:c r="AA1050" s="28" t="str">
        <x:v>The Art &amp; Science of Foodpairing.pdf</x:v>
      </x:c>
      <x:c r="AB1050" s="28" t="str">
        <x:v>The Art &amp; Science of Foodpairing.pdf: 114</x:v>
      </x:c>
      <x:c r="AC1050" s="28" t="str">
        <x:v>связь из pairing grid, стр. 114</x:v>
      </x:c>
      <x:c r="AD1050" s="28" t="n">
        <x:v>1</x:v>
      </x:c>
      <x:c r="AE1050" s="28" t="n">
        <x:v>1</x:v>
      </x:c>
      <x:c r="AF1050" s="28" t="n">
        <x:f>IF(Z1050="Высокая",3,IF(Z1050="Средняя",2,1))+AD1050*2+MIN(AE1050,3)</x:f>
        <x:v>5</x:v>
      </x:c>
    </x:row>
    <x:row r="1051" ht="64" customHeight="1">
      <x:c r="A1051" s="28" t="str">
        <x:v>VEG-1050</x:v>
      </x:c>
      <x:c r="B1051" s="28" t="str">
        <x:v>чеснок</x:v>
      </x:c>
      <x:c r="C1051" s="28" t="str">
        <x:v>Напитки</x:v>
      </x:c>
      <x:c r="D1051" s="28" t="str">
        <x:v>чеснок</x:v>
      </x:c>
      <x:c r="E1051" s="28" t="str">
        <x:v>wild garlic</x:v>
      </x:c>
      <x:c r="F1051" s="28" t="str">
        <x:v>Луковые овощи</x:v>
      </x:c>
      <x:c r="G1051" s="28" t="str">
        <x:v>коньяк</x:v>
      </x:c>
      <x:c r="H1051" s="28" t="str">
        <x:v>cognac</x:v>
      </x:c>
      <x:c r="I1051" s="28" t="str">
        <x:v>Алкогольные напитки</x:v>
      </x:c>
      <x:c r="J1051" s="28" t="str">
        <x:v>резкий сернистый, зелёный и мясной; после запекания — сладкий и ореховый</x:v>
      </x:c>
      <x:c r="K1051" s="28" t="str">
        <x:v>спиртовой, фруктовый или древесный</x:v>
      </x:c>
      <x:c r="L1051" s="28" t="str">
        <x:v>аллицин, диаллилдисульфид, диаллилтрисульфид, метантиол</x:v>
      </x:c>
      <x:c r="M1051" s="28" t="str">
        <x:v>альдегиды, эфиры</x:v>
      </x:c>
      <x:c r="N1051" s="28" t="str">
        <x:v>прямое пересечение семейств не подтверждено</x:v>
      </x:c>
      <x:c r="O1051" s="28" t="str">
        <x:v>надёжная общая ключевая молекула не установлена</x:v>
      </x:c>
      <x:c r="P1051" s="28" t="str">
        <x:v>сернистая или горчичная комплементарность</x:v>
      </x:c>
      <x:c r="Q105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1" s="28" t="str">
        <x:v>сильное жжение и раздражение тройничного нерва</x:v>
      </x:c>
      <x:c r="S1051" s="28" t="str">
        <x:v>водная луковичная матрица; реакция начинается после повреждения клеток Этанол извлекает терпены и сернистые соединения эффективнее воды; время контакта ограничивать.</x:v>
      </x:c>
      <x:c r="T105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1" s="28" t="str">
        <x:v>Чеснок имеет профиль «резкий сернистый, зелёный и мясной; после запекания — сладкий и ореховый».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1" s="28" t="str">
        <x:v>сырой чеснок быстро доминирует; пережжённый чеснок очень горький; хранить и обрабатывать по пищевым нормам</x:v>
      </x:c>
      <x:c r="W1051" s="28" t="str">
        <x:v>соль, кислота или ароматический жир</x:v>
      </x:c>
      <x:c r="X1051" s="28" t="str">
        <x:v>горячее блюдо, бульон, соус, пюре, ферментация или гарнир с коньяк</x:v>
      </x:c>
      <x:c r="Y1051" s="28" t="str">
        <x:v>напитки, еда, соусы/маринады</x:v>
      </x:c>
      <x:c r="Z1051" s="28" t="str">
        <x:v>Средняя</x:v>
      </x:c>
      <x:c r="AA1051" s="28" t="str">
        <x:v>The Art &amp; Science of Foodpairing.pdf</x:v>
      </x:c>
      <x:c r="AB1051" s="28" t="str">
        <x:v>The Art &amp; Science of Foodpairing.pdf: 123</x:v>
      </x:c>
      <x:c r="AC1051" s="28" t="str">
        <x:v>связь из pairing grid, стр. 123</x:v>
      </x:c>
      <x:c r="AD1051" s="28" t="n">
        <x:v>1</x:v>
      </x:c>
      <x:c r="AE1051" s="28" t="n">
        <x:v>1</x:v>
      </x:c>
      <x:c r="AF1051" s="28" t="n">
        <x:f>IF(Z1051="Высокая",3,IF(Z1051="Средняя",2,1))+AD1051*2+MIN(AE1051,3)</x:f>
        <x:v>5</x:v>
      </x:c>
    </x:row>
    <x:row r="1052" ht="64" customHeight="1">
      <x:c r="A1052" s="28" t="str">
        <x:v>VEG-1051</x:v>
      </x:c>
      <x:c r="B1052" s="28" t="str">
        <x:v>чеснок</x:v>
      </x:c>
      <x:c r="C1052" s="28" t="str">
        <x:v>Еда и соусы</x:v>
      </x:c>
      <x:c r="D1052" s="28" t="str">
        <x:v>чеснок</x:v>
      </x:c>
      <x:c r="E1052" s="28" t="str">
        <x:v>garlic</x:v>
      </x:c>
      <x:c r="F1052" s="28" t="str">
        <x:v>Луковые овощи</x:v>
      </x:c>
      <x:c r="G1052" s="28" t="str">
        <x:v>копчёный лосось</x:v>
      </x:c>
      <x:c r="H1052" s="28" t="str">
        <x:v>smokedAtlantic salmon</x:v>
      </x:c>
      <x:c r="I1052" s="28" t="str">
        <x:v>Рыба и морепродукты</x:v>
      </x:c>
      <x:c r="J1052" s="28" t="str">
        <x:v>резкий сернистый, зелёный и мясной; после запекания — сладкий и ореховый</x:v>
      </x:c>
      <x:c r="K1052" s="28" t="str">
        <x:v>морской, солоноватый и умами</x:v>
      </x:c>
      <x:c r="L1052" s="28" t="str">
        <x:v>аллицин, диаллилдисульфид, диаллилтрисульфид, метантиол</x:v>
      </x:c>
      <x:c r="M1052" s="28" t="str">
        <x:v>альдегиды, амины</x:v>
      </x:c>
      <x:c r="N1052" s="28" t="str">
        <x:v>умами</x:v>
      </x:c>
      <x:c r="O1052" s="28" t="str">
        <x:v>надёжная общая ключевая молекула не установлена</x:v>
      </x:c>
      <x:c r="P1052" s="28" t="str">
        <x:v>пересечение ароматических семейств; умами и солёный контраст; сернистая или горчичная комплементарность</x:v>
      </x:c>
      <x:c r="Q105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2" s="28" t="str">
        <x:v>сильное жжение и раздражение тройничного нерва</x:v>
      </x:c>
      <x:c r="S1052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5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2" s="28" t="str">
        <x:v>Чеснок имеет профиль «резкий сернистый, зелёный и мясной; после запекания — сладкий и ореховый». Партнёр «копчёный лосось»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2" s="28" t="str">
        <x:v>сырой чеснок быстро доминирует; пережжённый чеснок очень горький; хранить и обрабатывать по пищевым нормам</x:v>
      </x:c>
      <x:c r="W1052" s="28" t="str">
        <x:v>сливочное масло, соевый соус или тимьян</x:v>
      </x:c>
      <x:c r="X1052" s="28" t="str">
        <x:v>горячее блюдо, бульон, соус, пюре, ферментация или гарнир с копчёный лосось</x:v>
      </x:c>
      <x:c r="Y1052" s="28" t="str">
        <x:v>еда, соусы/маринады</x:v>
      </x:c>
      <x:c r="Z1052" s="28" t="str">
        <x:v>Средняя</x:v>
      </x:c>
      <x:c r="AA1052" s="28" t="str">
        <x:v>The Art &amp; Science of Foodpairing.pdf</x:v>
      </x:c>
      <x:c r="AB1052" s="28" t="str">
        <x:v>The Art &amp; Science of Foodpairing.pdf: 113</x:v>
      </x:c>
      <x:c r="AC1052" s="28" t="str">
        <x:v>связь из pairing grid, стр. 113</x:v>
      </x:c>
      <x:c r="AD1052" s="28" t="n">
        <x:v>1</x:v>
      </x:c>
      <x:c r="AE1052" s="28" t="n">
        <x:v>1</x:v>
      </x:c>
      <x:c r="AF1052" s="28" t="n">
        <x:f>IF(Z1052="Высокая",3,IF(Z1052="Средняя",2,1))+AD1052*2+MIN(AE1052,3)</x:f>
        <x:v>5</x:v>
      </x:c>
    </x:row>
    <x:row r="1053" ht="64" customHeight="1">
      <x:c r="A1053" s="28" t="str">
        <x:v>VEG-1052</x:v>
      </x:c>
      <x:c r="B1053" s="28" t="str">
        <x:v>чеснок</x:v>
      </x:c>
      <x:c r="C1053" s="28" t="str">
        <x:v>Универсальные</x:v>
      </x:c>
      <x:c r="D1053" s="28" t="str">
        <x:v>чеснок</x:v>
      </x:c>
      <x:c r="E1053" s="28" t="str">
        <x:v>garlic</x:v>
      </x:c>
      <x:c r="F1053" s="28" t="str">
        <x:v>Луковые овощи</x:v>
      </x:c>
      <x:c r="G1053" s="28" t="str">
        <x:v>корица</x:v>
      </x:c>
      <x:c r="H1053" s="28" t="str">
        <x:v>cinnamon</x:v>
      </x:c>
      <x:c r="I1053" s="28" t="str">
        <x:v>Специи</x:v>
      </x:c>
      <x:c r="J1053" s="28" t="str">
        <x:v>резкий сернистый, зелёный и мясной; после запекания — сладкий и ореховый</x:v>
      </x:c>
      <x:c r="K1053" s="28" t="str">
        <x:v>древесный, пряный, сладкий</x:v>
      </x:c>
      <x:c r="L1053" s="28" t="str">
        <x:v>аллицин, диаллилдисульфид, диаллилтрисульфид, метантиол</x:v>
      </x:c>
      <x:c r="M1053" s="28" t="str">
        <x:v>циннамальдегид, эвгенол</x:v>
      </x:c>
      <x:c r="N1053" s="28" t="str">
        <x:v>прямое пересечение семейств не подтверждено</x:v>
      </x:c>
      <x:c r="O1053" s="28" t="str">
        <x:v>надёжная общая ключевая молекула не установлена</x:v>
      </x:c>
      <x:c r="P1053" s="28" t="str">
        <x:v>сернистая или горчичная комплементарность</x:v>
      </x:c>
      <x:c r="Q105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3" s="28" t="str">
        <x:v>сильное жжение и раздражение тройничного нерва</x:v>
      </x:c>
      <x:c r="S1053" s="28" t="str">
        <x:v>водная луковичная матрица; реакция начинается после повреждения клеток</x:v>
      </x:c>
      <x:c r="T105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3" s="28" t="str">
        <x:v>Чеснок имеет профиль «резкий сернистый, зелёный и мясной; после запекания — сладкий и ореховый».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3" s="28" t="str">
        <x:v>сырой чеснок быстро доминирует; пережжённый чеснок очень горький; хранить и обрабатывать по пищевым нормам</x:v>
      </x:c>
      <x:c r="W1053" s="28" t="str">
        <x:v>цитрус, йогурт или мёд</x:v>
      </x:c>
      <x:c r="X1053" s="28" t="str">
        <x:v>горячее блюдо, бульон, соус, пюре, ферментация или гарнир с корица</x:v>
      </x:c>
      <x:c r="Y1053" s="28" t="str">
        <x:v>еда, соусы/маринады</x:v>
      </x:c>
      <x:c r="Z1053" s="28" t="str">
        <x:v>Средняя</x:v>
      </x:c>
      <x:c r="AA1053" s="28" t="str">
        <x:v>The Art &amp; Science of Foodpairing.pdf</x:v>
      </x:c>
      <x:c r="AB1053" s="28" t="str">
        <x:v>The Art &amp; Science of Foodpairing.pdf: 113</x:v>
      </x:c>
      <x:c r="AC1053" s="28" t="str">
        <x:v>связь из pairing grid, стр. 113</x:v>
      </x:c>
      <x:c r="AD1053" s="28" t="n">
        <x:v>1</x:v>
      </x:c>
      <x:c r="AE1053" s="28" t="n">
        <x:v>1</x:v>
      </x:c>
      <x:c r="AF1053" s="28" t="n">
        <x:f>IF(Z1053="Высокая",3,IF(Z1053="Средняя",2,1))+AD1053*2+MIN(AE1053,3)</x:f>
        <x:v>5</x:v>
      </x:c>
    </x:row>
    <x:row r="1054" ht="64" customHeight="1">
      <x:c r="A1054" s="28" t="str">
        <x:v>VEG-1053</x:v>
      </x:c>
      <x:c r="B1054" s="28" t="str">
        <x:v>чеснок</x:v>
      </x:c>
      <x:c r="C1054" s="28" t="str">
        <x:v>Напитки</x:v>
      </x:c>
      <x:c r="D1054" s="28" t="str">
        <x:v>чеснок</x:v>
      </x:c>
      <x:c r="E1054" s="28" t="str">
        <x:v>garlic</x:v>
      </x:c>
      <x:c r="F1054" s="28" t="str">
        <x:v>Луковые овощи</x:v>
      </x:c>
      <x:c r="G1054" s="28" t="str">
        <x:v>кофе</x:v>
      </x:c>
      <x:c r="H1054" s="28" t="str">
        <x:v>roasted Robusta coffee bean</x:v>
      </x:c>
      <x:c r="I1054" s="28" t="str">
        <x:v>Кофе</x:v>
      </x:c>
      <x:c r="J1054" s="28" t="str">
        <x:v>резкий сернистый, зелёный и мясной; после запекания — сладкий и ореховый</x:v>
      </x:c>
      <x:c r="K1054" s="28" t="str">
        <x:v>жареный, карамельный, ореховый</x:v>
      </x:c>
      <x:c r="L1054" s="28" t="str">
        <x:v>аллицин, диаллилдисульфид, диаллилтрисульфид, метантиол</x:v>
      </x:c>
      <x:c r="M1054" s="28" t="str">
        <x:v>гваякол, пиразины, фураны</x:v>
      </x:c>
      <x:c r="N1054" s="28" t="str">
        <x:v>жареный</x:v>
      </x:c>
      <x:c r="O1054" s="28" t="str">
        <x:v>надёжная общая ключевая молекула не установлена</x:v>
      </x:c>
      <x:c r="P1054" s="28" t="str">
        <x:v>пересечение ароматических семейств; сернистая или горчичная комплементарность</x:v>
      </x:c>
      <x:c r="Q105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4" s="28" t="str">
        <x:v>сильное жжение и раздражение тройничного нерва</x:v>
      </x:c>
      <x:c r="S1054" s="28" t="str">
        <x:v>водная луковичная матрица; реакция начинается после повреждения клеток</x:v>
      </x:c>
      <x:c r="T105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4" s="28" t="str">
        <x:v>Чеснок имеет профиль «резкий сернистый, зелёный и мясной; после запекания — сладкий и ореховый». Партнёр «кофе» относится к группе «Кофе» и даёт жареный, карамельный,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4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W1054" s="28" t="str">
        <x:v>сливки, орех или карамель</x:v>
      </x:c>
      <x:c r="X1054" s="28" t="str">
        <x:v>горячее блюдо, бульон, соус, пюре, ферментация или гарнир с кофе</x:v>
      </x:c>
      <x:c r="Y1054" s="28" t="str">
        <x:v>напитки, еда, соусы/маринады</x:v>
      </x:c>
      <x:c r="Z1054" s="28" t="str">
        <x:v>Средняя</x:v>
      </x:c>
      <x:c r="AA1054" s="28" t="str">
        <x:v>The Art &amp; Science of Foodpairing.pdf</x:v>
      </x:c>
      <x:c r="AB1054" s="28" t="str">
        <x:v>The Art &amp; Science of Foodpairing.pdf: 113</x:v>
      </x:c>
      <x:c r="AC1054" s="28" t="str">
        <x:v>связь из pairing grid, стр. 113</x:v>
      </x:c>
      <x:c r="AD1054" s="28" t="n">
        <x:v>1</x:v>
      </x:c>
      <x:c r="AE1054" s="28" t="n">
        <x:v>1</x:v>
      </x:c>
      <x:c r="AF1054" s="28" t="n">
        <x:f>IF(Z1054="Высокая",3,IF(Z1054="Средняя",2,1))+AD1054*2+MIN(AE1054,3)</x:f>
        <x:v>5</x:v>
      </x:c>
    </x:row>
    <x:row r="1055" ht="64" customHeight="1">
      <x:c r="A1055" s="28" t="str">
        <x:v>VEG-1054</x:v>
      </x:c>
      <x:c r="B1055" s="28" t="str">
        <x:v>чеснок</x:v>
      </x:c>
      <x:c r="C1055" s="28" t="str">
        <x:v>Еда и соусы</x:v>
      </x:c>
      <x:c r="D1055" s="28" t="str">
        <x:v>чеснок</x:v>
      </x:c>
      <x:c r="E1055" s="28" t="str">
        <x:v>garlic</x:v>
      </x:c>
      <x:c r="F1055" s="28" t="str">
        <x:v>Луковые овощи</x:v>
      </x:c>
      <x:c r="G1055" s="28" t="str">
        <x:v>креветки</x:v>
      </x:c>
      <x:c r="H1055" s="28" t="str">
        <x:v>brown shrimp | roasted brown shrimp</x:v>
      </x:c>
      <x:c r="I1055" s="28" t="str">
        <x:v>Рыба и морепродукты</x:v>
      </x:c>
      <x:c r="J1055" s="28" t="str">
        <x:v>резкий сернистый, зелёный и мясной; после запекания — сладкий и ореховый</x:v>
      </x:c>
      <x:c r="K1055" s="28" t="str">
        <x:v>морской, солоноватый и умами</x:v>
      </x:c>
      <x:c r="L1055" s="28" t="str">
        <x:v>аллицин, диаллилдисульфид, диаллилтрисульфид, метантиол</x:v>
      </x:c>
      <x:c r="M1055" s="28" t="str">
        <x:v>альдегиды, амины</x:v>
      </x:c>
      <x:c r="N1055" s="28" t="str">
        <x:v>умами</x:v>
      </x:c>
      <x:c r="O1055" s="28" t="str">
        <x:v>надёжная общая ключевая молекула не установлена</x:v>
      </x:c>
      <x:c r="P1055" s="28" t="str">
        <x:v>пересечение ароматических семейств; умами и солёный контраст; сернистая или горчичная комплементарность</x:v>
      </x:c>
      <x:c r="Q105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5" s="28" t="str">
        <x:v>сильное жжение и раздражение тройничного нерва</x:v>
      </x:c>
      <x:c r="S1055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5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5" s="28" t="str">
        <x:v>Чеснок имеет профиль «резкий сернистый, зелёный и мясной; после запекания — сладкий и ореховый». Партнёр «креветки»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5" s="28" t="str">
        <x:v>сырой чеснок быстро доминирует; пережжённый чеснок очень горький; хранить и обрабатывать по пищевым нормам</x:v>
      </x:c>
      <x:c r="W1055" s="28" t="str">
        <x:v>сливочное масло, соевый соус или тимьян</x:v>
      </x:c>
      <x:c r="X1055" s="28" t="str">
        <x:v>горячее блюдо, бульон, соус, пюре, ферментация или гарнир с креветки</x:v>
      </x:c>
      <x:c r="Y1055" s="28" t="str">
        <x:v>еда, соусы/маринады</x:v>
      </x:c>
      <x:c r="Z1055" s="28" t="str">
        <x:v>Средняя</x:v>
      </x:c>
      <x:c r="AA1055" s="28" t="str">
        <x:v>The Art &amp; Science of Foodpairing.pdf</x:v>
      </x:c>
      <x:c r="AB1055" s="28" t="str">
        <x:v>The Art &amp; Science of Foodpairing.pdf: 113, 114</x:v>
      </x:c>
      <x:c r="AC1055" s="28" t="str">
        <x:v>связь из pairing grid, стр. 113; связь из pairing grid, стр. 114</x:v>
      </x:c>
      <x:c r="AD1055" s="28" t="n">
        <x:v>1</x:v>
      </x:c>
      <x:c r="AE1055" s="28" t="n">
        <x:v>2</x:v>
      </x:c>
      <x:c r="AF1055" s="28" t="n">
        <x:f>IF(Z1055="Высокая",3,IF(Z1055="Средняя",2,1))+AD1055*2+MIN(AE1055,3)</x:f>
        <x:v>6</x:v>
      </x:c>
    </x:row>
    <x:row r="1056" ht="64" customHeight="1">
      <x:c r="A1056" s="28" t="str">
        <x:v>VEG-1055</x:v>
      </x:c>
      <x:c r="B1056" s="28" t="str">
        <x:v>чеснок</x:v>
      </x:c>
      <x:c r="C1056" s="28" t="str">
        <x:v>Универсальные</x:v>
      </x:c>
      <x:c r="D1056" s="28" t="str">
        <x:v>чеснок</x:v>
      </x:c>
      <x:c r="E1056" s="28" t="str">
        <x:v>garlic</x:v>
      </x:c>
      <x:c r="F1056" s="28" t="str">
        <x:v>Луковые овощи</x:v>
      </x:c>
      <x:c r="G1056" s="28" t="str">
        <x:v>кумкват</x:v>
      </x:c>
      <x:c r="H1056" s="28" t="str">
        <x:v>kumquat</x:v>
      </x:c>
      <x:c r="I1056" s="28" t="str">
        <x:v>Прочее</x:v>
      </x:c>
      <x:c r="J1056" s="28" t="str">
        <x:v>резкий сернистый, зелёный и мясной; после запекания — сладкий и ореховый</x:v>
      </x:c>
      <x:c r="K1056" s="28" t="str">
        <x:v>профиль зависит от конкретного продукта</x:v>
      </x:c>
      <x:c r="L1056" s="28" t="str">
        <x:v>аллицин, диаллилдисульфид, диаллилтрисульфид, метантиол</x:v>
      </x:c>
      <x:c r="M1056" s="28" t="str">
        <x:v>конкретный молекулярный профиль не указан</x:v>
      </x:c>
      <x:c r="N1056" s="28" t="str">
        <x:v>прямое пересечение семейств не подтверждено</x:v>
      </x:c>
      <x:c r="O1056" s="28" t="str">
        <x:v>надёжная общая ключевая молекула не установлена</x:v>
      </x:c>
      <x:c r="P1056" s="28" t="str">
        <x:v>сернистая или горчичная комплементарность</x:v>
      </x:c>
      <x:c r="Q105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6" s="28" t="str">
        <x:v>сильное жжение и раздражение тройничного нерва</x:v>
      </x:c>
      <x:c r="S1056" s="28" t="str">
        <x:v>водная луковичная матрица; реакция начинается после повреждения клеток</x:v>
      </x:c>
      <x:c r="T105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6" s="28" t="str">
        <x:v>Чеснок имеет профиль «резкий сернистый, зелёный и мясной; после запекания — сладкий и ореховый». Партнёр «кумкват»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6" s="28" t="str">
        <x:v>сырой чеснок быстро доминирует; пережжённый чеснок очень горький; хранить и обрабатывать по пищевым нормам</x:v>
      </x:c>
      <x:c r="W1056" s="28" t="str">
        <x:v>соль, кислота или ароматический жир</x:v>
      </x:c>
      <x:c r="X1056" s="28" t="str">
        <x:v>горячее блюдо, бульон, соус, пюре, ферментация или гарнир с кумкват</x:v>
      </x:c>
      <x:c r="Y1056" s="28" t="str">
        <x:v>еда, соусы/маринады</x:v>
      </x:c>
      <x:c r="Z1056" s="28" t="str">
        <x:v>Средняя</x:v>
      </x:c>
      <x:c r="AA1056" s="28" t="str">
        <x:v>The Art &amp; Science of Foodpairing.pdf</x:v>
      </x:c>
      <x:c r="AB1056" s="28" t="str">
        <x:v>The Art &amp; Science of Foodpairing.pdf: 113</x:v>
      </x:c>
      <x:c r="AC1056" s="28" t="str">
        <x:v>связь из pairing grid, стр. 113</x:v>
      </x:c>
      <x:c r="AD1056" s="28" t="n">
        <x:v>1</x:v>
      </x:c>
      <x:c r="AE1056" s="28" t="n">
        <x:v>1</x:v>
      </x:c>
      <x:c r="AF1056" s="28" t="n">
        <x:f>IF(Z1056="Высокая",3,IF(Z1056="Средняя",2,1))+AD1056*2+MIN(AE1056,3)</x:f>
        <x:v>5</x:v>
      </x:c>
    </x:row>
    <x:row r="1057" ht="64" customHeight="1">
      <x:c r="A1057" s="28" t="str">
        <x:v>VEG-1056</x:v>
      </x:c>
      <x:c r="B1057" s="28" t="str">
        <x:v>чеснок</x:v>
      </x:c>
      <x:c r="C1057" s="28" t="str">
        <x:v>Еда и соусы</x:v>
      </x:c>
      <x:c r="D1057" s="28" t="str">
        <x:v>чеснок</x:v>
      </x:c>
      <x:c r="E1057" s="28" t="str">
        <x:v>garlic</x:v>
      </x:c>
      <x:c r="F1057" s="28" t="str">
        <x:v>Луковые овощи</x:v>
      </x:c>
      <x:c r="G1057" s="28" t="str">
        <x:v>курица</x:v>
      </x:c>
      <x:c r="H1057" s="28" t="str">
        <x:v>poached chicken breastfillet</x:v>
      </x:c>
      <x:c r="I1057" s="28" t="str">
        <x:v>Мясо и птица</x:v>
      </x:c>
      <x:c r="J1057" s="28" t="str">
        <x:v>резкий сернистый, зелёный и мясной; после запекания — сладкий и ореховый</x:v>
      </x:c>
      <x:c r="K1057" s="28" t="str">
        <x:v>жареный, мясной и умами</x:v>
      </x:c>
      <x:c r="L1057" s="28" t="str">
        <x:v>аллицин, диаллилдисульфид, диаллилтрисульфид, метантиол</x:v>
      </x:c>
      <x:c r="M1057" s="28" t="str">
        <x:v>пиразины, сернистые соединения</x:v>
      </x:c>
      <x:c r="N1057" s="28" t="str">
        <x:v>жареный, умами</x:v>
      </x:c>
      <x:c r="O1057" s="28" t="str">
        <x:v>надёжная общая ключевая молекула не установлена</x:v>
      </x:c>
      <x:c r="P1057" s="28" t="str">
        <x:v>пересечение ароматических семейств; умами и солёный контраст; сернистая или горчичная комплементарность</x:v>
      </x:c>
      <x:c r="Q105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7" s="28" t="str">
        <x:v>сильное жжение и раздражение тройничного нерва</x:v>
      </x:c>
      <x:c r="S1057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5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7" s="28" t="str">
        <x:v>Чеснок имеет профиль «резкий сернистый, зелёный и мясной; после запекания — сладкий и ореховый». Партнёр «курица»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7" s="28" t="str">
        <x:v>сырой чеснок быстро доминирует; пережжённый чеснок очень горький; хранить и обрабатывать по пищевым нормам</x:v>
      </x:c>
      <x:c r="W1057" s="28" t="str">
        <x:v>сливочное масло, соевый соус или тимьян</x:v>
      </x:c>
      <x:c r="X1057" s="28" t="str">
        <x:v>горячее блюдо, бульон, соус, пюре, ферментация или гарнир с курица</x:v>
      </x:c>
      <x:c r="Y1057" s="28" t="str">
        <x:v>еда, соусы/маринады</x:v>
      </x:c>
      <x:c r="Z1057" s="28" t="str">
        <x:v>Средняя</x:v>
      </x:c>
      <x:c r="AA1057" s="28" t="str">
        <x:v>The Art &amp; Science of Foodpairing.pdf</x:v>
      </x:c>
      <x:c r="AB1057" s="28" t="str">
        <x:v>The Art &amp; Science of Foodpairing.pdf: 113</x:v>
      </x:c>
      <x:c r="AC1057" s="28" t="str">
        <x:v>связь из pairing grid, стр. 113</x:v>
      </x:c>
      <x:c r="AD1057" s="28" t="n">
        <x:v>1</x:v>
      </x:c>
      <x:c r="AE1057" s="28" t="n">
        <x:v>1</x:v>
      </x:c>
      <x:c r="AF1057" s="28" t="n">
        <x:f>IF(Z1057="Высокая",3,IF(Z1057="Средняя",2,1))+AD1057*2+MIN(AE1057,3)</x:f>
        <x:v>5</x:v>
      </x:c>
    </x:row>
    <x:row r="1058" ht="64" customHeight="1">
      <x:c r="A1058" s="28" t="str">
        <x:v>VEG-1057</x:v>
      </x:c>
      <x:c r="B1058" s="28" t="str">
        <x:v>чеснок</x:v>
      </x:c>
      <x:c r="C1058" s="28" t="str">
        <x:v>Универсальные</x:v>
      </x:c>
      <x:c r="D1058" s="28" t="str">
        <x:v>чеснок</x:v>
      </x:c>
      <x:c r="E1058" s="28" t="str">
        <x:v>garlic</x:v>
      </x:c>
      <x:c r="F1058" s="28" t="str">
        <x:v>Луковые овощи</x:v>
      </x:c>
      <x:c r="G1058" s="28" t="str">
        <x:v>куркума</x:v>
      </x:c>
      <x:c r="H1058" s="28" t="str">
        <x:v>turmeric</x:v>
      </x:c>
      <x:c r="I1058" s="28" t="str">
        <x:v>Прочее</x:v>
      </x:c>
      <x:c r="J1058" s="28" t="str">
        <x:v>резкий сернистый, зелёный и мясной; после запекания — сладкий и ореховый</x:v>
      </x:c>
      <x:c r="K1058" s="28" t="str">
        <x:v>профиль зависит от конкретного продукта</x:v>
      </x:c>
      <x:c r="L1058" s="28" t="str">
        <x:v>аллицин, диаллилдисульфид, диаллилтрисульфид, метантиол</x:v>
      </x:c>
      <x:c r="M1058" s="28" t="str">
        <x:v>конкретный молекулярный профиль не указан</x:v>
      </x:c>
      <x:c r="N1058" s="28" t="str">
        <x:v>прямое пересечение семейств не подтверждено</x:v>
      </x:c>
      <x:c r="O1058" s="28" t="str">
        <x:v>надёжная общая ключевая молекула не установлена</x:v>
      </x:c>
      <x:c r="P1058" s="28" t="str">
        <x:v>сернистая или горчичная комплементарность</x:v>
      </x:c>
      <x:c r="Q105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8" s="28" t="str">
        <x:v>сильное жжение и раздражение тройничного нерва</x:v>
      </x:c>
      <x:c r="S1058" s="28" t="str">
        <x:v>водная луковичная матрица; реакция начинается после повреждения клеток</x:v>
      </x:c>
      <x:c r="T105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8" s="28" t="str">
        <x:v>Чеснок имеет профиль «резкий сернистый, зелёный и мясной; после запекания — сладкий и ореховый».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8" s="28" t="str">
        <x:v>сырой чеснок быстро доминирует; пережжённый чеснок очень горький; хранить и обрабатывать по пищевым нормам</x:v>
      </x:c>
      <x:c r="W1058" s="28" t="str">
        <x:v>соль, кислота или ароматический жир</x:v>
      </x:c>
      <x:c r="X1058" s="28" t="str">
        <x:v>горячее блюдо, бульон, соус, пюре, ферментация или гарнир с куркума</x:v>
      </x:c>
      <x:c r="Y1058" s="28" t="str">
        <x:v>еда, соусы/маринады</x:v>
      </x:c>
      <x:c r="Z1058" s="28" t="str">
        <x:v>Средняя</x:v>
      </x:c>
      <x:c r="AA1058" s="28" t="str">
        <x:v>The Art &amp; Science of Foodpairing.pdf</x:v>
      </x:c>
      <x:c r="AB1058" s="28" t="str">
        <x:v>The Art &amp; Science of Foodpairing.pdf: 113</x:v>
      </x:c>
      <x:c r="AC1058" s="28" t="str">
        <x:v>связь из pairing grid, стр. 113</x:v>
      </x:c>
      <x:c r="AD1058" s="28" t="n">
        <x:v>1</x:v>
      </x:c>
      <x:c r="AE1058" s="28" t="n">
        <x:v>1</x:v>
      </x:c>
      <x:c r="AF1058" s="28" t="n">
        <x:f>IF(Z1058="Высокая",3,IF(Z1058="Средняя",2,1))+AD1058*2+MIN(AE1058,3)</x:f>
        <x:v>5</x:v>
      </x:c>
    </x:row>
    <x:row r="1059" ht="64" customHeight="1">
      <x:c r="A1059" s="28" t="str">
        <x:v>VEG-1058</x:v>
      </x:c>
      <x:c r="B1059" s="28" t="str">
        <x:v>чеснок</x:v>
      </x:c>
      <x:c r="C1059" s="28" t="str">
        <x:v>Универсальные</x:v>
      </x:c>
      <x:c r="D1059" s="28" t="str">
        <x:v>чеснок</x:v>
      </x:c>
      <x:c r="E1059" s="28" t="str">
        <x:v>garlic</x:v>
      </x:c>
      <x:c r="F1059" s="28" t="str">
        <x:v>Луковые овощи</x:v>
      </x:c>
      <x:c r="G1059" s="28" t="str">
        <x:v>лемонграсс</x:v>
      </x:c>
      <x:c r="H1059" s="28" t="str">
        <x:v>lemongrass</x:v>
      </x:c>
      <x:c r="I1059" s="28" t="str">
        <x:v>Травы, цветы и листья</x:v>
      </x:c>
      <x:c r="J1059" s="28" t="str">
        <x:v>резкий сернистый, зелёный и мясной; после запекания — сладкий и ореховый</x:v>
      </x:c>
      <x:c r="K1059" s="28" t="str">
        <x:v>зелёный, цветочный и терпеновый</x:v>
      </x:c>
      <x:c r="L1059" s="28" t="str">
        <x:v>аллицин, диаллилдисульфид, диаллилтрисульфид, метантиол</x:v>
      </x:c>
      <x:c r="M1059" s="28" t="str">
        <x:v>линалоол, терпены</x:v>
      </x:c>
      <x:c r="N1059" s="28" t="str">
        <x:v>прямое пересечение семейств не подтверждено</x:v>
      </x:c>
      <x:c r="O1059" s="28" t="str">
        <x:v>надёжная общая ключевая молекула не установлена</x:v>
      </x:c>
      <x:c r="P1059" s="28" t="str">
        <x:v>сернистая или горчичная комплементарность</x:v>
      </x:c>
      <x:c r="Q105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59" s="28" t="str">
        <x:v>сильное жжение и раздражение тройничного нерва</x:v>
      </x:c>
      <x:c r="S1059" s="28" t="str">
        <x:v>водная луковичная матрица; реакция начинается после повреждения клеток</x:v>
      </x:c>
      <x:c r="T105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59" s="28" t="str">
        <x:v>Чеснок имеет профиль «резкий сернистый, зелёный и мясной; после запекания — сладкий и ореховый». Партнёр «лемонграсс»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59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W1059" s="28" t="str">
        <x:v>оливковое масло, лимон или сыр</x:v>
      </x:c>
      <x:c r="X1059" s="28" t="str">
        <x:v>горячее блюдо, бульон, соус, пюре, ферментация или гарнир с лемонграсс</x:v>
      </x:c>
      <x:c r="Y1059" s="28" t="str">
        <x:v>еда, соусы/маринады</x:v>
      </x:c>
      <x:c r="Z1059" s="28" t="str">
        <x:v>Средняя</x:v>
      </x:c>
      <x:c r="AA1059" s="28" t="str">
        <x:v>The Art &amp; Science of Foodpairing.pdf</x:v>
      </x:c>
      <x:c r="AB1059" s="28" t="str">
        <x:v>The Art &amp; Science of Foodpairing.pdf: 113, 114</x:v>
      </x:c>
      <x:c r="AC1059" s="28" t="str">
        <x:v>связь из pairing grid, стр. 113; связь из pairing grid, стр. 114</x:v>
      </x:c>
      <x:c r="AD1059" s="28" t="n">
        <x:v>1</x:v>
      </x:c>
      <x:c r="AE1059" s="28" t="n">
        <x:v>2</x:v>
      </x:c>
      <x:c r="AF1059" s="28" t="n">
        <x:f>IF(Z1059="Высокая",3,IF(Z1059="Средняя",2,1))+AD1059*2+MIN(AE1059,3)</x:f>
        <x:v>6</x:v>
      </x:c>
    </x:row>
    <x:row r="1060" ht="64" customHeight="1">
      <x:c r="A1060" s="28" t="str">
        <x:v>VEG-1059</x:v>
      </x:c>
      <x:c r="B1060" s="28" t="str">
        <x:v>чеснок</x:v>
      </x:c>
      <x:c r="C1060" s="28" t="str">
        <x:v>Универсальные</x:v>
      </x:c>
      <x:c r="D1060" s="28" t="str">
        <x:v>чеснок</x:v>
      </x:c>
      <x:c r="E1060" s="28" t="str">
        <x:v>garlic</x:v>
      </x:c>
      <x:c r="F1060" s="28" t="str">
        <x:v>Луковые овощи</x:v>
      </x:c>
      <x:c r="G1060" s="28" t="str">
        <x:v>лепестки розы</x:v>
      </x:c>
      <x:c r="H1060" s="28" t="str">
        <x:v>fresh ediblerose petals</x:v>
      </x:c>
      <x:c r="I1060" s="28" t="str">
        <x:v>Прочее</x:v>
      </x:c>
      <x:c r="J1060" s="28" t="str">
        <x:v>резкий сернистый, зелёный и мясной; после запекания — сладкий и ореховый</x:v>
      </x:c>
      <x:c r="K1060" s="28" t="str">
        <x:v>профиль зависит от конкретного продукта</x:v>
      </x:c>
      <x:c r="L1060" s="28" t="str">
        <x:v>аллицин, диаллилдисульфид, диаллилтрисульфид, метантиол</x:v>
      </x:c>
      <x:c r="M1060" s="28" t="str">
        <x:v>конкретный молекулярный профиль не указан</x:v>
      </x:c>
      <x:c r="N1060" s="28" t="str">
        <x:v>прямое пересечение семейств не подтверждено</x:v>
      </x:c>
      <x:c r="O1060" s="28" t="str">
        <x:v>надёжная общая ключевая молекула не установлена</x:v>
      </x:c>
      <x:c r="P1060" s="28" t="str">
        <x:v>сернистая или горчичная комплементарность</x:v>
      </x:c>
      <x:c r="Q106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0" s="28" t="str">
        <x:v>сильное жжение и раздражение тройничного нерва</x:v>
      </x:c>
      <x:c r="S1060" s="28" t="str">
        <x:v>водная луковичная матрица; реакция начинается после повреждения клеток</x:v>
      </x:c>
      <x:c r="T106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0" s="28" t="str">
        <x:v>Чеснок имеет профиль «резкий сернистый, зелёный и мясной; после запекания — сладкий и ореховый». Партнёр «лепестки розы»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0" s="28" t="str">
        <x:v>сырой чеснок быстро доминирует; пережжённый чеснок очень горький; хранить и обрабатывать по пищевым нормам</x:v>
      </x:c>
      <x:c r="W1060" s="28" t="str">
        <x:v>соль, кислота или ароматический жир</x:v>
      </x:c>
      <x:c r="X1060" s="28" t="str">
        <x:v>горячее блюдо, бульон, соус, пюре, ферментация или гарнир с лепестки розы</x:v>
      </x:c>
      <x:c r="Y1060" s="28" t="str">
        <x:v>еда, соусы/маринады</x:v>
      </x:c>
      <x:c r="Z1060" s="28" t="str">
        <x:v>Средняя</x:v>
      </x:c>
      <x:c r="AA1060" s="28" t="str">
        <x:v>The Art &amp; Science of Foodpairing.pdf</x:v>
      </x:c>
      <x:c r="AB1060" s="28" t="str">
        <x:v>The Art &amp; Science of Foodpairing.pdf: 113</x:v>
      </x:c>
      <x:c r="AC1060" s="28" t="str">
        <x:v>связь из pairing grid, стр. 113</x:v>
      </x:c>
      <x:c r="AD1060" s="28" t="n">
        <x:v>1</x:v>
      </x:c>
      <x:c r="AE1060" s="28" t="n">
        <x:v>1</x:v>
      </x:c>
      <x:c r="AF1060" s="28" t="n">
        <x:f>IF(Z1060="Высокая",3,IF(Z1060="Средняя",2,1))+AD1060*2+MIN(AE1060,3)</x:f>
        <x:v>5</x:v>
      </x:c>
    </x:row>
    <x:row r="1061" ht="64" customHeight="1">
      <x:c r="A1061" s="28" t="str">
        <x:v>VEG-1060</x:v>
      </x:c>
      <x:c r="B1061" s="28" t="str">
        <x:v>чеснок</x:v>
      </x:c>
      <x:c r="C1061" s="28" t="str">
        <x:v>Десерты и выпечка</x:v>
      </x:c>
      <x:c r="D1061" s="28" t="str">
        <x:v>чеснок</x:v>
      </x:c>
      <x:c r="E1061" s="28" t="str">
        <x:v>garlic</x:v>
      </x:c>
      <x:c r="F1061" s="28" t="str">
        <x:v>Луковые овощи</x:v>
      </x:c>
      <x:c r="G1061" s="28" t="str">
        <x:v>лимонная вербена</x:v>
      </x:c>
      <x:c r="H1061" s="28" t="str">
        <x:v>lemon verbena</x:v>
      </x:c>
      <x:c r="I1061" s="28" t="str">
        <x:v>Фрукты и ягоды</x:v>
      </x:c>
      <x:c r="J1061" s="28" t="str">
        <x:v>резкий сернистый, зелёный и мясной; после запекания — сладкий и ореховый</x:v>
      </x:c>
      <x:c r="K1061" s="28" t="str">
        <x:v>кислый, свежий, цитрусовый</x:v>
      </x:c>
      <x:c r="L1061" s="28" t="str">
        <x:v>аллицин, диаллилдисульфид, диаллилтрисульфид, метантиол</x:v>
      </x:c>
      <x:c r="M1061" s="28" t="str">
        <x:v>лимонен, цитраль</x:v>
      </x:c>
      <x:c r="N1061" s="28" t="str">
        <x:v>прямое пересечение семейств не подтверждено</x:v>
      </x:c>
      <x:c r="O1061" s="28" t="str">
        <x:v>надёжная общая ключевая молекула не установлена</x:v>
      </x:c>
      <x:c r="P1061" s="28" t="str">
        <x:v>кислотно-сладкий баланс; сернистая или горчичная комплементарность</x:v>
      </x:c>
      <x:c r="Q106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1" s="28" t="str">
        <x:v>сильное жжение и раздражение тройничного нерва</x:v>
      </x:c>
      <x:c r="S1061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06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1" s="28" t="str">
        <x:v>Чеснок имеет профиль «резкий сернистый, зелёный и мясной; после запекания — сладкий и ореховый». Партнёр «лимонная вербена»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1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061" s="28" t="str">
        <x:v>цитрус, мёд или мягкая трава</x:v>
      </x:c>
      <x:c r="X1061" s="28" t="str">
        <x:v>горячее блюдо, бульон, соус, пюре, ферментация или гарнир с лимонная вербена</x:v>
      </x:c>
      <x:c r="Y1061" s="28" t="str">
        <x:v>еда, десерты, соусы/маринады</x:v>
      </x:c>
      <x:c r="Z1061" s="28" t="str">
        <x:v>Средняя</x:v>
      </x:c>
      <x:c r="AA1061" s="28" t="str">
        <x:v>The Art &amp; Science of Foodpairing.pdf</x:v>
      </x:c>
      <x:c r="AB1061" s="28" t="str">
        <x:v>The Art &amp; Science of Foodpairing.pdf: 113</x:v>
      </x:c>
      <x:c r="AC1061" s="28" t="str">
        <x:v>связь из pairing grid, стр. 113</x:v>
      </x:c>
      <x:c r="AD1061" s="28" t="n">
        <x:v>1</x:v>
      </x:c>
      <x:c r="AE1061" s="28" t="n">
        <x:v>1</x:v>
      </x:c>
      <x:c r="AF1061" s="28" t="n">
        <x:f>IF(Z1061="Высокая",3,IF(Z1061="Средняя",2,1))+AD1061*2+MIN(AE1061,3)</x:f>
        <x:v>5</x:v>
      </x:c>
    </x:row>
    <x:row r="1062" ht="64" customHeight="1">
      <x:c r="A1062" s="28" t="str">
        <x:v>VEG-1061</x:v>
      </x:c>
      <x:c r="B1062" s="28" t="str">
        <x:v>чеснок</x:v>
      </x:c>
      <x:c r="C1062" s="28" t="str">
        <x:v>Универсальные</x:v>
      </x:c>
      <x:c r="D1062" s="28" t="str">
        <x:v>чеснок</x:v>
      </x:c>
      <x:c r="E1062" s="28" t="str">
        <x:v>Чеснок | чеснок</x:v>
      </x:c>
      <x:c r="F1062" s="28" t="str">
        <x:v>Луковые овощи</x:v>
      </x:c>
      <x:c r="G1062" s="28" t="str">
        <x:v>листья кориандра</x:v>
      </x:c>
      <x:c r="H1062" s="28" t="str">
        <x:v>Листья кориандра | листья кориандра</x:v>
      </x:c>
      <x:c r="I1062" s="28" t="str">
        <x:v>Травы, цветы и листья</x:v>
      </x:c>
      <x:c r="J1062" s="28" t="str">
        <x:v>резкий сернистый, зелёный и мясной; после запекания — сладкий и ореховый</x:v>
      </x:c>
      <x:c r="K1062" s="28" t="str">
        <x:v>зелёный, цветочный и терпеновый</x:v>
      </x:c>
      <x:c r="L1062" s="28" t="str">
        <x:v>аллицин, диаллилдисульфид, диаллилтрисульфид, метантиол</x:v>
      </x:c>
      <x:c r="M1062" s="28" t="str">
        <x:v>линалоол, терпены</x:v>
      </x:c>
      <x:c r="N1062" s="28" t="str">
        <x:v>прямое пересечение семейств не подтверждено</x:v>
      </x:c>
      <x:c r="O1062" s="28" t="str">
        <x:v>надёжная общая ключевая молекула не установлена</x:v>
      </x:c>
      <x:c r="P1062" s="28" t="str">
        <x:v>сернистая или горчичная комплементарность</x:v>
      </x:c>
      <x:c r="Q106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2" s="28" t="str">
        <x:v>сильное жжение и раздражение тройничного нерва</x:v>
      </x:c>
      <x:c r="S1062" s="28" t="str">
        <x:v>водная луковичная матрица; реакция начинается после повреждения клеток</x:v>
      </x:c>
      <x:c r="T106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2" s="28" t="str">
        <x:v>Чеснок имеет профиль «резкий сернистый, зелёный и мясной; после запекания — сладкий и ореховый».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2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W1062" s="28" t="str">
        <x:v>оливковое масло, лимон или сыр</x:v>
      </x:c>
      <x:c r="X1062" s="28" t="str">
        <x:v>горячее блюдо, бульон, соус, пюре, ферментация или гарнир с листья кориандра</x:v>
      </x:c>
      <x:c r="Y1062" s="28" t="str">
        <x:v>еда, соусы/маринады</x:v>
      </x:c>
      <x:c r="Z1062" s="28" t="str">
        <x:v>Средняя</x:v>
      </x:c>
      <x:c r="AA1062" s="28" t="str">
        <x:v>Тезариус вкусов (Ники Сегнит)(1).pdf</x:v>
      </x:c>
      <x:c r="AB1062" s="28" t="str">
        <x:v>Тезариус вкусов (Ники Сегнит)(1).pdf: 294, 523</x:v>
      </x:c>
      <x:c r="AC1062" s="28" t="str">
        <x:v>развёрнутая пара/статья, стр. 294; развёрнутая пара/статья, стр. 523</x:v>
      </x:c>
      <x:c r="AD1062" s="28" t="n">
        <x:v>1</x:v>
      </x:c>
      <x:c r="AE1062" s="28" t="n">
        <x:v>2</x:v>
      </x:c>
      <x:c r="AF1062" s="28" t="n">
        <x:f>IF(Z1062="Высокая",3,IF(Z1062="Средняя",2,1))+AD1062*2+MIN(AE1062,3)</x:f>
        <x:v>6</x:v>
      </x:c>
    </x:row>
    <x:row r="1063" ht="64" customHeight="1">
      <x:c r="A1063" s="28" t="str">
        <x:v>VEG-1062</x:v>
      </x:c>
      <x:c r="B1063" s="28" t="str">
        <x:v>чеснок</x:v>
      </x:c>
      <x:c r="C1063" s="28" t="str">
        <x:v>Универсальные</x:v>
      </x:c>
      <x:c r="D1063" s="28" t="str">
        <x:v>чеснок</x:v>
      </x:c>
      <x:c r="E1063" s="28" t="str">
        <x:v>garlic</x:v>
      </x:c>
      <x:c r="F1063" s="28" t="str">
        <x:v>Луковые овощи</x:v>
      </x:c>
      <x:c r="G1063" s="28" t="str">
        <x:v>листья тмина</x:v>
      </x:c>
      <x:c r="H1063" s="28" t="str">
        <x:v>dried caraway leaves</x:v>
      </x:c>
      <x:c r="I1063" s="28" t="str">
        <x:v>Прочее</x:v>
      </x:c>
      <x:c r="J1063" s="28" t="str">
        <x:v>резкий сернистый, зелёный и мясной; после запекания — сладкий и ореховый</x:v>
      </x:c>
      <x:c r="K1063" s="28" t="str">
        <x:v>профиль зависит от конкретного продукта</x:v>
      </x:c>
      <x:c r="L1063" s="28" t="str">
        <x:v>аллицин, диаллилдисульфид, диаллилтрисульфид, метантиол</x:v>
      </x:c>
      <x:c r="M1063" s="28" t="str">
        <x:v>конкретный молекулярный профиль не указан</x:v>
      </x:c>
      <x:c r="N1063" s="28" t="str">
        <x:v>прямое пересечение семейств не подтверждено</x:v>
      </x:c>
      <x:c r="O1063" s="28" t="str">
        <x:v>надёжная общая ключевая молекула не установлена</x:v>
      </x:c>
      <x:c r="P1063" s="28" t="str">
        <x:v>сернистая или горчичная комплементарность</x:v>
      </x:c>
      <x:c r="Q106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3" s="28" t="str">
        <x:v>сильное жжение и раздражение тройничного нерва</x:v>
      </x:c>
      <x:c r="S1063" s="28" t="str">
        <x:v>водная луковичная матрица; реакция начинается после повреждения клеток</x:v>
      </x:c>
      <x:c r="T106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3" s="28" t="str">
        <x:v>Чеснок имеет профиль «резкий сернистый, зелёный и мясной; после запекания — сладкий и ореховый». Партнёр «листья тмина»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3" s="28" t="str">
        <x:v>сырой чеснок быстро доминирует; пережжённый чеснок очень горький; хранить и обрабатывать по пищевым нормам</x:v>
      </x:c>
      <x:c r="W1063" s="28" t="str">
        <x:v>соль, кислота или ароматический жир</x:v>
      </x:c>
      <x:c r="X1063" s="28" t="str">
        <x:v>горячее блюдо, бульон, соус, пюре, ферментация или гарнир с листья тмина</x:v>
      </x:c>
      <x:c r="Y1063" s="28" t="str">
        <x:v>еда, соусы/маринады</x:v>
      </x:c>
      <x:c r="Z1063" s="28" t="str">
        <x:v>Средняя</x:v>
      </x:c>
      <x:c r="AA1063" s="28" t="str">
        <x:v>The Art &amp; Science of Foodpairing.pdf</x:v>
      </x:c>
      <x:c r="AB1063" s="28" t="str">
        <x:v>The Art &amp; Science of Foodpairing.pdf: 113</x:v>
      </x:c>
      <x:c r="AC1063" s="28" t="str">
        <x:v>связь из pairing grid, стр. 113</x:v>
      </x:c>
      <x:c r="AD1063" s="28" t="n">
        <x:v>1</x:v>
      </x:c>
      <x:c r="AE1063" s="28" t="n">
        <x:v>1</x:v>
      </x:c>
      <x:c r="AF1063" s="28" t="n">
        <x:f>IF(Z1063="Высокая",3,IF(Z1063="Средняя",2,1))+AD1063*2+MIN(AE1063,3)</x:f>
        <x:v>5</x:v>
      </x:c>
    </x:row>
    <x:row r="1064" ht="64" customHeight="1">
      <x:c r="A1064" s="28" t="str">
        <x:v>VEG-1063</x:v>
      </x:c>
      <x:c r="B1064" s="28" t="str">
        <x:v>чеснок</x:v>
      </x:c>
      <x:c r="C1064" s="28" t="str">
        <x:v>Универсальные</x:v>
      </x:c>
      <x:c r="D1064" s="28" t="str">
        <x:v>чеснок</x:v>
      </x:c>
      <x:c r="E1064" s="28" t="str">
        <x:v>garlic</x:v>
      </x:c>
      <x:c r="F1064" s="28" t="str">
        <x:v>Луковые овощи</x:v>
      </x:c>
      <x:c r="G1064" s="28" t="str">
        <x:v>лобстер</x:v>
      </x:c>
      <x:c r="H1064" s="28" t="str">
        <x:v>boiled spiny lobster</x:v>
      </x:c>
      <x:c r="I1064" s="28" t="str">
        <x:v>Прочее</x:v>
      </x:c>
      <x:c r="J1064" s="28" t="str">
        <x:v>резкий сернистый, зелёный и мясной; после запекания — сладкий и ореховый</x:v>
      </x:c>
      <x:c r="K1064" s="28" t="str">
        <x:v>профиль зависит от конкретного продукта</x:v>
      </x:c>
      <x:c r="L1064" s="28" t="str">
        <x:v>аллицин, диаллилдисульфид, диаллилтрисульфид, метантиол</x:v>
      </x:c>
      <x:c r="M1064" s="28" t="str">
        <x:v>конкретный молекулярный профиль не указан</x:v>
      </x:c>
      <x:c r="N1064" s="28" t="str">
        <x:v>прямое пересечение семейств не подтверждено</x:v>
      </x:c>
      <x:c r="O1064" s="28" t="str">
        <x:v>надёжная общая ключевая молекула не установлена</x:v>
      </x:c>
      <x:c r="P1064" s="28" t="str">
        <x:v>сернистая или горчичная комплементарность</x:v>
      </x:c>
      <x:c r="Q106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4" s="28" t="str">
        <x:v>сильное жжение и раздражение тройничного нерва</x:v>
      </x:c>
      <x:c r="S1064" s="28" t="str">
        <x:v>водная луковичная матрица; реакция начинается после повреждения клеток</x:v>
      </x:c>
      <x:c r="T106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4" s="28" t="str">
        <x:v>Чеснок имеет профиль «резкий сернистый, зелёный и мясной; после запекания — сладкий и ореховый». Партнёр «лобстер»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4" s="28" t="str">
        <x:v>сырой чеснок быстро доминирует; пережжённый чеснок очень горький; хранить и обрабатывать по пищевым нормам</x:v>
      </x:c>
      <x:c r="W1064" s="28" t="str">
        <x:v>соль, кислота или ароматический жир</x:v>
      </x:c>
      <x:c r="X1064" s="28" t="str">
        <x:v>горячее блюдо, бульон, соус, пюре, ферментация или гарнир с лобстер</x:v>
      </x:c>
      <x:c r="Y1064" s="28" t="str">
        <x:v>еда, соусы/маринады</x:v>
      </x:c>
      <x:c r="Z1064" s="28" t="str">
        <x:v>Средняя</x:v>
      </x:c>
      <x:c r="AA1064" s="28" t="str">
        <x:v>The Art &amp; Science of Foodpairing.pdf</x:v>
      </x:c>
      <x:c r="AB1064" s="28" t="str">
        <x:v>The Art &amp; Science of Foodpairing.pdf: 113, 114</x:v>
      </x:c>
      <x:c r="AC1064" s="28" t="str">
        <x:v>связь из pairing grid, стр. 113; связь из pairing grid, стр. 114</x:v>
      </x:c>
      <x:c r="AD1064" s="28" t="n">
        <x:v>1</x:v>
      </x:c>
      <x:c r="AE1064" s="28" t="n">
        <x:v>2</x:v>
      </x:c>
      <x:c r="AF1064" s="28" t="n">
        <x:f>IF(Z1064="Высокая",3,IF(Z1064="Средняя",2,1))+AD1064*2+MIN(AE1064,3)</x:f>
        <x:v>6</x:v>
      </x:c>
    </x:row>
    <x:row r="1065" ht="64" customHeight="1">
      <x:c r="A1065" s="28" t="str">
        <x:v>VEG-1064</x:v>
      </x:c>
      <x:c r="B1065" s="28" t="str">
        <x:v>чеснок</x:v>
      </x:c>
      <x:c r="C1065" s="28" t="str">
        <x:v>Еда и соусы</x:v>
      </x:c>
      <x:c r="D1065" s="28" t="str">
        <x:v>чеснок</x:v>
      </x:c>
      <x:c r="E1065" s="28" t="str">
        <x:v>garlic</x:v>
      </x:c>
      <x:c r="F1065" s="28" t="str">
        <x:v>Луковые овощи</x:v>
      </x:c>
      <x:c r="G1065" s="28" t="str">
        <x:v>лосось</x:v>
      </x:c>
      <x:c r="H1065" s="28" t="str">
        <x:v>poached salmon</x:v>
      </x:c>
      <x:c r="I1065" s="28" t="str">
        <x:v>Рыба и морепродукты</x:v>
      </x:c>
      <x:c r="J1065" s="28" t="str">
        <x:v>резкий сернистый, зелёный и мясной; после запекания — сладкий и ореховый</x:v>
      </x:c>
      <x:c r="K1065" s="28" t="str">
        <x:v>морской, солоноватый и умами</x:v>
      </x:c>
      <x:c r="L1065" s="28" t="str">
        <x:v>аллицин, диаллилдисульфид, диаллилтрисульфид, метантиол</x:v>
      </x:c>
      <x:c r="M1065" s="28" t="str">
        <x:v>альдегиды, амины</x:v>
      </x:c>
      <x:c r="N1065" s="28" t="str">
        <x:v>умами</x:v>
      </x:c>
      <x:c r="O1065" s="28" t="str">
        <x:v>надёжная общая ключевая молекула не установлена</x:v>
      </x:c>
      <x:c r="P1065" s="28" t="str">
        <x:v>пересечение ароматических семейств; умами и солёный контраст; сернистая или горчичная комплементарность</x:v>
      </x:c>
      <x:c r="Q106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5" s="28" t="str">
        <x:v>сильное жжение и раздражение тройничного нерва</x:v>
      </x:c>
      <x:c r="S1065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6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5" s="28" t="str">
        <x:v>Чеснок имеет профиль «резкий сернистый, зелёный и мясной; после запекания — сладкий и ореховый». Партнёр «лосось»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5" s="28" t="str">
        <x:v>сырой чеснок быстро доминирует; пережжённый чеснок очень горький; хранить и обрабатывать по пищевым нормам</x:v>
      </x:c>
      <x:c r="W1065" s="28" t="str">
        <x:v>сливочное масло, соевый соус или тимьян</x:v>
      </x:c>
      <x:c r="X1065" s="28" t="str">
        <x:v>горячее блюдо, бульон, соус, пюре, ферментация или гарнир с лосось</x:v>
      </x:c>
      <x:c r="Y1065" s="28" t="str">
        <x:v>еда, соусы/маринады</x:v>
      </x:c>
      <x:c r="Z1065" s="28" t="str">
        <x:v>Средняя</x:v>
      </x:c>
      <x:c r="AA1065" s="28" t="str">
        <x:v>The Art &amp; Science of Foodpairing.pdf</x:v>
      </x:c>
      <x:c r="AB1065" s="28" t="str">
        <x:v>The Art &amp; Science of Foodpairing.pdf: 114</x:v>
      </x:c>
      <x:c r="AC1065" s="28" t="str">
        <x:v>связь из pairing grid, стр. 114</x:v>
      </x:c>
      <x:c r="AD1065" s="28" t="n">
        <x:v>1</x:v>
      </x:c>
      <x:c r="AE1065" s="28" t="n">
        <x:v>1</x:v>
      </x:c>
      <x:c r="AF1065" s="28" t="n">
        <x:f>IF(Z1065="Высокая",3,IF(Z1065="Средняя",2,1))+AD1065*2+MIN(AE1065,3)</x:f>
        <x:v>5</x:v>
      </x:c>
    </x:row>
    <x:row r="1066" ht="64" customHeight="1">
      <x:c r="A1066" s="28" t="str">
        <x:v>VEG-1065</x:v>
      </x:c>
      <x:c r="B1066" s="28" t="str">
        <x:v>чеснок</x:v>
      </x:c>
      <x:c r="C1066" s="28" t="str">
        <x:v>Десерты и выпечка</x:v>
      </x:c>
      <x:c r="D1066" s="28" t="str">
        <x:v>чеснок</x:v>
      </x:c>
      <x:c r="E1066" s="28" t="str">
        <x:v>garlic</x:v>
      </x:c>
      <x:c r="F1066" s="28" t="str">
        <x:v>Луковые овощи</x:v>
      </x:c>
      <x:c r="G1066" s="28" t="str">
        <x:v>манго</x:v>
      </x:c>
      <x:c r="H1066" s="28" t="str">
        <x:v>Alphonso mango | mango</x:v>
      </x:c>
      <x:c r="I1066" s="28" t="str">
        <x:v>Фрукты и ягоды</x:v>
      </x:c>
      <x:c r="J1066" s="28" t="str">
        <x:v>резкий сернистый, зелёный и мясной; после запекания — сладкий и ореховый</x:v>
      </x:c>
      <x:c r="K1066" s="28" t="str">
        <x:v>фруктовый, цветочный и свежий</x:v>
      </x:c>
      <x:c r="L1066" s="28" t="str">
        <x:v>аллицин, диаллилдисульфид, диаллилтрисульфид, метантиол</x:v>
      </x:c>
      <x:c r="M1066" s="28" t="str">
        <x:v>альдегиды, эфиры</x:v>
      </x:c>
      <x:c r="N1066" s="28" t="str">
        <x:v>прямое пересечение семейств не подтверждено</x:v>
      </x:c>
      <x:c r="O1066" s="28" t="str">
        <x:v>надёжная общая ключевая молекула не установлена</x:v>
      </x:c>
      <x:c r="P1066" s="28" t="str">
        <x:v>кислотно-сладкий баланс; сернистая или горчичная комплементарность</x:v>
      </x:c>
      <x:c r="Q106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6" s="28" t="str">
        <x:v>сильное жжение и раздражение тройничного нерва</x:v>
      </x:c>
      <x:c r="S1066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06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6" s="28" t="str">
        <x:v>Чеснок имеет профиль «резкий сернистый, зелёный и мясной; после запекания — сладкий и ореховый».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6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066" s="28" t="str">
        <x:v>цитрус, мёд или мягкая трава</x:v>
      </x:c>
      <x:c r="X1066" s="28" t="str">
        <x:v>горячее блюдо, бульон, соус, пюре, ферментация или гарнир с манго</x:v>
      </x:c>
      <x:c r="Y1066" s="28" t="str">
        <x:v>еда, десерты, соусы/маринады</x:v>
      </x:c>
      <x:c r="Z1066" s="28" t="str">
        <x:v>Средняя</x:v>
      </x:c>
      <x:c r="AA1066" s="28" t="str">
        <x:v>The Art &amp; Science of Foodpairing.pdf</x:v>
      </x:c>
      <x:c r="AB1066" s="28" t="str">
        <x:v>The Art &amp; Science of Foodpairing.pdf: 113</x:v>
      </x:c>
      <x:c r="AC1066" s="28" t="str">
        <x:v>связь из pairing grid, стр. 113; связь из pairing grid, стр. 113</x:v>
      </x:c>
      <x:c r="AD1066" s="28" t="n">
        <x:v>1</x:v>
      </x:c>
      <x:c r="AE1066" s="28" t="n">
        <x:v>2</x:v>
      </x:c>
      <x:c r="AF1066" s="28" t="n">
        <x:f>IF(Z1066="Высокая",3,IF(Z1066="Средняя",2,1))+AD1066*2+MIN(AE1066,3)</x:f>
        <x:v>6</x:v>
      </x:c>
    </x:row>
    <x:row r="1067" ht="64" customHeight="1">
      <x:c r="A1067" s="28" t="str">
        <x:v>VEG-1066</x:v>
      </x:c>
      <x:c r="B1067" s="28" t="str">
        <x:v>чеснок</x:v>
      </x:c>
      <x:c r="C1067" s="28" t="str">
        <x:v>Универсальные</x:v>
      </x:c>
      <x:c r="D1067" s="28" t="str">
        <x:v>чеснок</x:v>
      </x:c>
      <x:c r="E1067" s="28" t="str">
        <x:v>garlic</x:v>
      </x:c>
      <x:c r="F1067" s="28" t="str">
        <x:v>Луковые овощи</x:v>
      </x:c>
      <x:c r="G1067" s="28" t="str">
        <x:v>мандариновая цедра</x:v>
      </x:c>
      <x:c r="H1067" s="28" t="str">
        <x:v>mandarin peel</x:v>
      </x:c>
      <x:c r="I1067" s="28" t="str">
        <x:v>Прочее</x:v>
      </x:c>
      <x:c r="J1067" s="28" t="str">
        <x:v>резкий сернистый, зелёный и мясной; после запекания — сладкий и ореховый</x:v>
      </x:c>
      <x:c r="K1067" s="28" t="str">
        <x:v>профиль зависит от конкретного продукта</x:v>
      </x:c>
      <x:c r="L1067" s="28" t="str">
        <x:v>аллицин, диаллилдисульфид, диаллилтрисульфид, метантиол</x:v>
      </x:c>
      <x:c r="M1067" s="28" t="str">
        <x:v>конкретный молекулярный профиль не указан</x:v>
      </x:c>
      <x:c r="N1067" s="28" t="str">
        <x:v>прямое пересечение семейств не подтверждено</x:v>
      </x:c>
      <x:c r="O1067" s="28" t="str">
        <x:v>надёжная общая ключевая молекула не установлена</x:v>
      </x:c>
      <x:c r="P1067" s="28" t="str">
        <x:v>сернистая или горчичная комплементарность</x:v>
      </x:c>
      <x:c r="Q106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7" s="28" t="str">
        <x:v>сильное жжение и раздражение тройничного нерва</x:v>
      </x:c>
      <x:c r="S1067" s="28" t="str">
        <x:v>водная луковичная матрица; реакция начинается после повреждения клеток</x:v>
      </x:c>
      <x:c r="T106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7" s="28" t="str">
        <x:v>Чеснок имеет профиль «резкий сернистый, зелёный и мясной; после запекания — сладкий и ореховый». Партнёр «мандариновая цедра»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7" s="28" t="str">
        <x:v>сырой чеснок быстро доминирует; пережжённый чеснок очень горький; хранить и обрабатывать по пищевым нормам</x:v>
      </x:c>
      <x:c r="W1067" s="28" t="str">
        <x:v>соль, кислота или ароматический жир</x:v>
      </x:c>
      <x:c r="X1067" s="28" t="str">
        <x:v>горячее блюдо, бульон, соус, пюре, ферментация или гарнир с мандариновая цедра</x:v>
      </x:c>
      <x:c r="Y1067" s="28" t="str">
        <x:v>еда, соусы/маринады</x:v>
      </x:c>
      <x:c r="Z1067" s="28" t="str">
        <x:v>Средняя</x:v>
      </x:c>
      <x:c r="AA1067" s="28" t="str">
        <x:v>The Art &amp; Science of Foodpairing.pdf</x:v>
      </x:c>
      <x:c r="AB1067" s="28" t="str">
        <x:v>The Art &amp; Science of Foodpairing.pdf: 113</x:v>
      </x:c>
      <x:c r="AC1067" s="28" t="str">
        <x:v>связь из pairing grid, стр. 113</x:v>
      </x:c>
      <x:c r="AD1067" s="28" t="n">
        <x:v>1</x:v>
      </x:c>
      <x:c r="AE1067" s="28" t="n">
        <x:v>1</x:v>
      </x:c>
      <x:c r="AF1067" s="28" t="n">
        <x:f>IF(Z1067="Высокая",3,IF(Z1067="Средняя",2,1))+AD1067*2+MIN(AE1067,3)</x:f>
        <x:v>5</x:v>
      </x:c>
    </x:row>
    <x:row r="1068" ht="64" customHeight="1">
      <x:c r="A1068" s="28" t="str">
        <x:v>VEG-1067</x:v>
      </x:c>
      <x:c r="B1068" s="28" t="str">
        <x:v>чеснок</x:v>
      </x:c>
      <x:c r="C1068" s="28" t="str">
        <x:v>Напитки</x:v>
      </x:c>
      <x:c r="D1068" s="28" t="str">
        <x:v>чеснок</x:v>
      </x:c>
      <x:c r="E1068" s="28" t="str">
        <x:v>garlic</x:v>
      </x:c>
      <x:c r="F1068" s="28" t="str">
        <x:v>Луковые овощи</x:v>
      </x:c>
      <x:c r="G1068" s="28" t="str">
        <x:v>матча</x:v>
      </x:c>
      <x:c r="H1068" s="28" t="str">
        <x:v>matcha</x:v>
      </x:c>
      <x:c r="I1068" s="28" t="str">
        <x:v>Чай</x:v>
      </x:c>
      <x:c r="J1068" s="28" t="str">
        <x:v>резкий сернистый, зелёный и мясной; после запекания — сладкий и ореховый</x:v>
      </x:c>
      <x:c r="K1068" s="28" t="str">
        <x:v>цветочный, древесный или зелёный</x:v>
      </x:c>
      <x:c r="L1068" s="28" t="str">
        <x:v>аллицин, диаллилдисульфид, диаллилтрисульфид, метантиол</x:v>
      </x:c>
      <x:c r="M1068" s="28" t="str">
        <x:v>линалоол, полифенолы</x:v>
      </x:c>
      <x:c r="N1068" s="28" t="str">
        <x:v>прямое пересечение семейств не подтверждено</x:v>
      </x:c>
      <x:c r="O1068" s="28" t="str">
        <x:v>надёжная общая ключевая молекула не установлена</x:v>
      </x:c>
      <x:c r="P1068" s="28" t="str">
        <x:v>сернистая или горчичная комплементарность</x:v>
      </x:c>
      <x:c r="Q106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8" s="28" t="str">
        <x:v>сильное жжение и раздражение тройничного нерва</x:v>
      </x:c>
      <x:c r="S1068" s="28" t="str">
        <x:v>водная луковичная матрица; реакция начинается после повреждения клеток</x:v>
      </x:c>
      <x:c r="T106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8" s="28" t="str">
        <x:v>Чеснок имеет профиль «резкий сернистый, зелёный и мясной; после запекания — сладкий и ореховый». Партнёр «матча»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8" s="28" t="str">
        <x:v>сырой чеснок быстро доминирует; пережжённый чеснок очень горький; хранить и обрабатывать по пищевым нормам</x:v>
      </x:c>
      <x:c r="W1068" s="28" t="str">
        <x:v>соль, кислота или ароматический жир</x:v>
      </x:c>
      <x:c r="X1068" s="28" t="str">
        <x:v>горячее блюдо, бульон, соус, пюре, ферментация или гарнир с матча</x:v>
      </x:c>
      <x:c r="Y1068" s="28" t="str">
        <x:v>напитки, еда, соусы/маринады</x:v>
      </x:c>
      <x:c r="Z1068" s="28" t="str">
        <x:v>Средняя</x:v>
      </x:c>
      <x:c r="AA1068" s="28" t="str">
        <x:v>The Art &amp; Science of Foodpairing.pdf</x:v>
      </x:c>
      <x:c r="AB1068" s="28" t="str">
        <x:v>The Art &amp; Science of Foodpairing.pdf: 113</x:v>
      </x:c>
      <x:c r="AC1068" s="28" t="str">
        <x:v>связь из pairing grid, стр. 113</x:v>
      </x:c>
      <x:c r="AD1068" s="28" t="n">
        <x:v>1</x:v>
      </x:c>
      <x:c r="AE1068" s="28" t="n">
        <x:v>1</x:v>
      </x:c>
      <x:c r="AF1068" s="28" t="n">
        <x:f>IF(Z1068="Высокая",3,IF(Z1068="Средняя",2,1))+AD1068*2+MIN(AE1068,3)</x:f>
        <x:v>5</x:v>
      </x:c>
    </x:row>
    <x:row r="1069" ht="64" customHeight="1">
      <x:c r="A1069" s="28" t="str">
        <x:v>VEG-1068</x:v>
      </x:c>
      <x:c r="B1069" s="28" t="str">
        <x:v>чеснок</x:v>
      </x:c>
      <x:c r="C1069" s="28" t="str">
        <x:v>Универсальные</x:v>
      </x:c>
      <x:c r="D1069" s="28" t="str">
        <x:v>чеснок</x:v>
      </x:c>
      <x:c r="E1069" s="28" t="str">
        <x:v>garlic</x:v>
      </x:c>
      <x:c r="F1069" s="28" t="str">
        <x:v>Луковые овощи</x:v>
      </x:c>
      <x:c r="G1069" s="28" t="str">
        <x:v>мерланг</x:v>
      </x:c>
      <x:c r="H1069" s="28" t="str">
        <x:v>braised pout whiting</x:v>
      </x:c>
      <x:c r="I1069" s="28" t="str">
        <x:v>Прочее</x:v>
      </x:c>
      <x:c r="J1069" s="28" t="str">
        <x:v>резкий сернистый, зелёный и мясной; после запекания — сладкий и ореховый</x:v>
      </x:c>
      <x:c r="K1069" s="28" t="str">
        <x:v>профиль зависит от конкретного продукта</x:v>
      </x:c>
      <x:c r="L1069" s="28" t="str">
        <x:v>аллицин, диаллилдисульфид, диаллилтрисульфид, метантиол</x:v>
      </x:c>
      <x:c r="M1069" s="28" t="str">
        <x:v>конкретный молекулярный профиль не указан</x:v>
      </x:c>
      <x:c r="N1069" s="28" t="str">
        <x:v>прямое пересечение семейств не подтверждено</x:v>
      </x:c>
      <x:c r="O1069" s="28" t="str">
        <x:v>надёжная общая ключевая молекула не установлена</x:v>
      </x:c>
      <x:c r="P1069" s="28" t="str">
        <x:v>сернистая или горчичная комплементарность</x:v>
      </x:c>
      <x:c r="Q106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69" s="28" t="str">
        <x:v>сильное жжение и раздражение тройничного нерва</x:v>
      </x:c>
      <x:c r="S1069" s="28" t="str">
        <x:v>водная луковичная матрица; реакция начинается после повреждения клеток</x:v>
      </x:c>
      <x:c r="T106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69" s="28" t="str">
        <x:v>Чеснок имеет профиль «резкий сернистый, зелёный и мясной; после запекания — сладкий и ореховый». Партнёр «мерланг»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69" s="28" t="str">
        <x:v>сырой чеснок быстро доминирует; пережжённый чеснок очень горький; хранить и обрабатывать по пищевым нормам</x:v>
      </x:c>
      <x:c r="W1069" s="28" t="str">
        <x:v>соль, кислота или ароматический жир</x:v>
      </x:c>
      <x:c r="X1069" s="28" t="str">
        <x:v>горячее блюдо, бульон, соус, пюре, ферментация или гарнир с мерланг</x:v>
      </x:c>
      <x:c r="Y1069" s="28" t="str">
        <x:v>еда, соусы/маринады</x:v>
      </x:c>
      <x:c r="Z1069" s="28" t="str">
        <x:v>Средняя</x:v>
      </x:c>
      <x:c r="AA1069" s="28" t="str">
        <x:v>The Art &amp; Science of Foodpairing.pdf</x:v>
      </x:c>
      <x:c r="AB1069" s="28" t="str">
        <x:v>The Art &amp; Science of Foodpairing.pdf: 114</x:v>
      </x:c>
      <x:c r="AC1069" s="28" t="str">
        <x:v>связь из pairing grid, стр. 114</x:v>
      </x:c>
      <x:c r="AD1069" s="28" t="n">
        <x:v>1</x:v>
      </x:c>
      <x:c r="AE1069" s="28" t="n">
        <x:v>1</x:v>
      </x:c>
      <x:c r="AF1069" s="28" t="n">
        <x:f>IF(Z1069="Высокая",3,IF(Z1069="Средняя",2,1))+AD1069*2+MIN(AE1069,3)</x:f>
        <x:v>5</x:v>
      </x:c>
    </x:row>
    <x:row r="1070" ht="64" customHeight="1">
      <x:c r="A1070" s="28" t="str">
        <x:v>VEG-1069</x:v>
      </x:c>
      <x:c r="B1070" s="28" t="str">
        <x:v>чеснок</x:v>
      </x:c>
      <x:c r="C1070" s="28" t="str">
        <x:v>Десерты и выпечка</x:v>
      </x:c>
      <x:c r="D1070" s="28" t="str">
        <x:v>чеснок</x:v>
      </x:c>
      <x:c r="E1070" s="28" t="str">
        <x:v>Чеснок | чеснок</x:v>
      </x:c>
      <x:c r="F1070" s="28" t="str">
        <x:v>Луковые овощи</x:v>
      </x:c>
      <x:c r="G1070" s="28" t="str">
        <x:v>миндаль</x:v>
      </x:c>
      <x:c r="H1070" s="28" t="str">
        <x:v>Миндаль | миндаль</x:v>
      </x:c>
      <x:c r="I1070" s="28" t="str">
        <x:v>Орехи и семена</x:v>
      </x:c>
      <x:c r="J1070" s="28" t="str">
        <x:v>резкий сернистый, зелёный и мясной; после запекания — сладкий и ореховый</x:v>
      </x:c>
      <x:c r="K1070" s="28" t="str">
        <x:v>жареный, миндальный, ореховый</x:v>
      </x:c>
      <x:c r="L1070" s="28" t="str">
        <x:v>аллицин, диаллилдисульфид, диаллилтрисульфид, метантиол</x:v>
      </x:c>
      <x:c r="M1070" s="28" t="str">
        <x:v>бензальдегид, пиразины</x:v>
      </x:c>
      <x:c r="N1070" s="28" t="str">
        <x:v>жареный</x:v>
      </x:c>
      <x:c r="O1070" s="28" t="str">
        <x:v>надёжная общая ключевая молекула не установлена</x:v>
      </x:c>
      <x:c r="P1070" s="28" t="str">
        <x:v>пересечение ароматических семейств; сернистая или горчичная комплементарность</x:v>
      </x:c>
      <x:c r="Q107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0" s="28" t="str">
        <x:v>сильное жжение и раздражение тройничного нерва</x:v>
      </x:c>
      <x:c r="S1070" s="28" t="str">
        <x:v>водная луковичная матрица; реакция начинается после повреждения клеток</x:v>
      </x:c>
      <x:c r="T107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0" s="28" t="str">
        <x:v>Чеснок имеет профиль «резкий сернистый, зелёный и мясной; после запекания — сладкий и ореховый». Партнёр «миндаль» относится к группе «Орехи и семена» и даёт жареный, миндальный,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0" s="28" t="str">
        <x:v>сырой чеснок быстро доминирует; пережжённый чеснок очень горький; хранить и обрабатывать по пищевым нормам</x:v>
      </x:c>
      <x:c r="W1070" s="28" t="str">
        <x:v>соль, кислота или ароматический жир</x:v>
      </x:c>
      <x:c r="X1070" s="28" t="str">
        <x:v>горячее блюдо, бульон, соус, пюре, ферментация или гарнир с миндаль</x:v>
      </x:c>
      <x:c r="Y1070" s="28" t="str">
        <x:v>еда, десерты, соусы/маринады</x:v>
      </x:c>
      <x:c r="Z1070" s="28" t="str">
        <x:v>Средняя</x:v>
      </x:c>
      <x:c r="AA1070" s="28" t="str">
        <x:v>Тезариус вкусов (Ники Сегнит)(1).pdf</x:v>
      </x:c>
      <x:c r="AB1070" s="28" t="str">
        <x:v>Тезариус вкусов (Ники Сегнит)(1).pdf: 295, 650</x:v>
      </x:c>
      <x:c r="AC1070" s="28" t="str">
        <x:v>развёрнутая пара/статья, стр. 295; развёрнутая пара/статья, стр. 650</x:v>
      </x:c>
      <x:c r="AD1070" s="28" t="n">
        <x:v>1</x:v>
      </x:c>
      <x:c r="AE1070" s="28" t="n">
        <x:v>2</x:v>
      </x:c>
      <x:c r="AF1070" s="28" t="n">
        <x:f>IF(Z1070="Высокая",3,IF(Z1070="Средняя",2,1))+AD1070*2+MIN(AE1070,3)</x:f>
        <x:v>6</x:v>
      </x:c>
    </x:row>
    <x:row r="1071" ht="64" customHeight="1">
      <x:c r="A1071" s="28" t="str">
        <x:v>VEG-1070</x:v>
      </x:c>
      <x:c r="B1071" s="28" t="str">
        <x:v>чеснок</x:v>
      </x:c>
      <x:c r="C1071" s="28" t="str">
        <x:v>Еда и соусы</x:v>
      </x:c>
      <x:c r="D1071" s="28" t="str">
        <x:v>чеснок</x:v>
      </x:c>
      <x:c r="E1071" s="28" t="str">
        <x:v>garlic | Чеснок | чеснок</x:v>
      </x:c>
      <x:c r="F1071" s="28" t="str">
        <x:v>Луковые овощи</x:v>
      </x:c>
      <x:c r="G1071" s="28" t="str">
        <x:v>моллюски</x:v>
      </x:c>
      <x:c r="H1071" s="28" t="str">
        <x:v>cooked clams | Моллюски | моллюски</x:v>
      </x:c>
      <x:c r="I1071" s="28" t="str">
        <x:v>Рыба и морепродукты</x:v>
      </x:c>
      <x:c r="J1071" s="28" t="str">
        <x:v>резкий сернистый, зелёный и мясной; после запекания — сладкий и ореховый</x:v>
      </x:c>
      <x:c r="K1071" s="28" t="str">
        <x:v>морской, солоноватый и умами</x:v>
      </x:c>
      <x:c r="L1071" s="28" t="str">
        <x:v>аллицин, диаллилдисульфид, диаллилтрисульфид, метантиол</x:v>
      </x:c>
      <x:c r="M1071" s="28" t="str">
        <x:v>альдегиды, амины</x:v>
      </x:c>
      <x:c r="N1071" s="28" t="str">
        <x:v>умами</x:v>
      </x:c>
      <x:c r="O1071" s="28" t="str">
        <x:v>надёжная общая ключевая молекула не установлена</x:v>
      </x:c>
      <x:c r="P1071" s="28" t="str">
        <x:v>пересечение ароматических семейств; умами и солёный контраст; сернистая или горчичная комплементарность</x:v>
      </x:c>
      <x:c r="Q107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1" s="28" t="str">
        <x:v>сильное жжение и раздражение тройничного нерва</x:v>
      </x:c>
      <x:c r="S1071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7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1" s="28" t="str">
        <x:v>Чеснок имеет профиль «резкий сернистый, зелёный и мясной; после запекания — сладкий и ореховый».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1" s="28" t="str">
        <x:v>сырой чеснок быстро доминирует; пережжённый чеснок очень горький; хранить и обрабатывать по пищевым нормам</x:v>
      </x:c>
      <x:c r="W1071" s="28" t="str">
        <x:v>сливочное масло, соевый соус или тимьян</x:v>
      </x:c>
      <x:c r="X1071" s="28" t="str">
        <x:v>горячее блюдо, бульон, соус, пюре, ферментация или гарнир с моллюски</x:v>
      </x:c>
      <x:c r="Y1071" s="28" t="str">
        <x:v>еда, соусы/маринады</x:v>
      </x:c>
      <x:c r="Z1071" s="28" t="str">
        <x:v>Высокая</x:v>
      </x:c>
      <x:c r="AA1071" s="28" t="str">
        <x:v>The Art &amp; Science of Foodpairing.pdf | Тезариус вкусов (Ники Сегнит)(1).pdf</x:v>
      </x:c>
      <x:c r="AB1071" s="28" t="str">
        <x:v>Тезариус вкусов (Ники Сегнит)(1).pdf: 296, 378; The Art &amp; Science of Foodpairing.pdf: 114</x:v>
      </x:c>
      <x:c r="AC1071" s="28" t="str">
        <x:v>развёрнутая пара/статья, стр. 296; развёрнутая пара/статья, стр. 378; связь из pairing grid, стр. 114</x:v>
      </x:c>
      <x:c r="AD1071" s="28" t="n">
        <x:v>2</x:v>
      </x:c>
      <x:c r="AE1071" s="28" t="n">
        <x:v>3</x:v>
      </x:c>
      <x:c r="AF1071" s="28" t="n">
        <x:f>IF(Z1071="Высокая",3,IF(Z1071="Средняя",2,1))+AD1071*2+MIN(AE1071,3)</x:f>
        <x:v>10</x:v>
      </x:c>
    </x:row>
    <x:row r="1072" ht="64" customHeight="1">
      <x:c r="A1072" s="28" t="str">
        <x:v>VEG-1071</x:v>
      </x:c>
      <x:c r="B1072" s="28" t="str">
        <x:v>чеснок</x:v>
      </x:c>
      <x:c r="C1072" s="28" t="str">
        <x:v>Универсальные</x:v>
      </x:c>
      <x:c r="D1072" s="28" t="str">
        <x:v>чеснок</x:v>
      </x:c>
      <x:c r="E1072" s="28" t="str">
        <x:v>garlic</x:v>
      </x:c>
      <x:c r="F1072" s="28" t="str">
        <x:v>Луковые овощи</x:v>
      </x:c>
      <x:c r="G1072" s="28" t="str">
        <x:v>морской угорь</x:v>
      </x:c>
      <x:c r="H1072" s="28" t="str">
        <x:v>cooked European conger</x:v>
      </x:c>
      <x:c r="I1072" s="28" t="str">
        <x:v>Прочее</x:v>
      </x:c>
      <x:c r="J1072" s="28" t="str">
        <x:v>резкий сернистый, зелёный и мясной; после запекания — сладкий и ореховый</x:v>
      </x:c>
      <x:c r="K1072" s="28" t="str">
        <x:v>профиль зависит от конкретного продукта</x:v>
      </x:c>
      <x:c r="L1072" s="28" t="str">
        <x:v>аллицин, диаллилдисульфид, диаллилтрисульфид, метантиол</x:v>
      </x:c>
      <x:c r="M1072" s="28" t="str">
        <x:v>конкретный молекулярный профиль не указан</x:v>
      </x:c>
      <x:c r="N1072" s="28" t="str">
        <x:v>прямое пересечение семейств не подтверждено</x:v>
      </x:c>
      <x:c r="O1072" s="28" t="str">
        <x:v>надёжная общая ключевая молекула не установлена</x:v>
      </x:c>
      <x:c r="P1072" s="28" t="str">
        <x:v>сернистая или горчичная комплементарность</x:v>
      </x:c>
      <x:c r="Q107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2" s="28" t="str">
        <x:v>сильное жжение и раздражение тройничного нерва</x:v>
      </x:c>
      <x:c r="S1072" s="28" t="str">
        <x:v>водная луковичная матрица; реакция начинается после повреждения клеток</x:v>
      </x:c>
      <x:c r="T107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2" s="28" t="str">
        <x:v>Чеснок имеет профиль «резкий сернистый, зелёный и мясной; после запекания — сладкий и ореховый». Партнёр «морской угорь»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2" s="28" t="str">
        <x:v>сырой чеснок быстро доминирует; пережжённый чеснок очень горький; хранить и обрабатывать по пищевым нормам</x:v>
      </x:c>
      <x:c r="W1072" s="28" t="str">
        <x:v>соль, кислота или ароматический жир</x:v>
      </x:c>
      <x:c r="X1072" s="28" t="str">
        <x:v>горячее блюдо, бульон, соус, пюре, ферментация или гарнир с морской угорь</x:v>
      </x:c>
      <x:c r="Y1072" s="28" t="str">
        <x:v>еда, соусы/маринады</x:v>
      </x:c>
      <x:c r="Z1072" s="28" t="str">
        <x:v>Средняя</x:v>
      </x:c>
      <x:c r="AA1072" s="28" t="str">
        <x:v>The Art &amp; Science of Foodpairing.pdf</x:v>
      </x:c>
      <x:c r="AB1072" s="28" t="str">
        <x:v>The Art &amp; Science of Foodpairing.pdf: 114</x:v>
      </x:c>
      <x:c r="AC1072" s="28" t="str">
        <x:v>связь из pairing grid, стр. 114</x:v>
      </x:c>
      <x:c r="AD1072" s="28" t="n">
        <x:v>1</x:v>
      </x:c>
      <x:c r="AE1072" s="28" t="n">
        <x:v>1</x:v>
      </x:c>
      <x:c r="AF1072" s="28" t="n">
        <x:f>IF(Z1072="Высокая",3,IF(Z1072="Средняя",2,1))+AD1072*2+MIN(AE1072,3)</x:f>
        <x:v>5</x:v>
      </x:c>
    </x:row>
    <x:row r="1073" ht="64" customHeight="1">
      <x:c r="A1073" s="28" t="str">
        <x:v>VEG-1072</x:v>
      </x:c>
      <x:c r="B1073" s="28" t="str">
        <x:v>чеснок</x:v>
      </x:c>
      <x:c r="C1073" s="28" t="str">
        <x:v>Десерты и выпечка</x:v>
      </x:c>
      <x:c r="D1073" s="28" t="str">
        <x:v>чеснок</x:v>
      </x:c>
      <x:c r="E1073" s="28" t="str">
        <x:v>Чеснок | чеснок</x:v>
      </x:c>
      <x:c r="F1073" s="28" t="str">
        <x:v>Луковые овощи</x:v>
      </x:c>
      <x:c r="G1073" s="28" t="str">
        <x:v>мягкий сыр</x:v>
      </x:c>
      <x:c r="H1073" s="28" t="str">
        <x:v>Мягкий сыр | мягкий сыр</x:v>
      </x:c>
      <x:c r="I1073" s="28" t="str">
        <x:v>Молочные продукты и сыры</x:v>
      </x:c>
      <x:c r="J1073" s="28" t="str">
        <x:v>резкий сернистый, зелёный и мясной; после запекания — сладкий и ореховый</x:v>
      </x:c>
      <x:c r="K1073" s="28" t="str">
        <x:v>молочный, умами, ферментированный</x:v>
      </x:c>
      <x:c r="L1073" s="28" t="str">
        <x:v>аллицин, диаллилдисульфид, диаллилтрисульфид, метантиол</x:v>
      </x:c>
      <x:c r="M1073" s="28" t="str">
        <x:v>диацетил, жирные кислоты</x:v>
      </x:c>
      <x:c r="N1073" s="28" t="str">
        <x:v>умами</x:v>
      </x:c>
      <x:c r="O1073" s="28" t="str">
        <x:v>надёжная общая ключевая молекула не установлена</x:v>
      </x:c>
      <x:c r="P1073" s="28" t="str">
        <x:v>пересечение ароматических семейств; жировая матрица; сернистая или горчичная комплементарность</x:v>
      </x:c>
      <x:c r="Q107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3" s="28" t="str">
        <x:v>сильное жжение и раздражение тройничного нерва</x:v>
      </x:c>
      <x:c r="S1073" s="28" t="str">
        <x:v>водная луковичная матрица; реакция начинается после повреждения клеток Жировая фаза удерживает гидрофобные молекулы, но может сделать вкус тяжёлым.</x:v>
      </x:c>
      <x:c r="T107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3" s="28" t="str">
        <x:v>Чеснок имеет профиль «резкий сернистый, зелёный и мясной; после запекания — сладкий и ореховый».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3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W1073" s="28" t="str">
        <x:v>кислота, зелень или жареный орех</x:v>
      </x:c>
      <x:c r="X1073" s="28" t="str">
        <x:v>горячее блюдо, бульон, соус, пюре, ферментация или гарнир с мягкий сыр</x:v>
      </x:c>
      <x:c r="Y1073" s="28" t="str">
        <x:v>еда, десерты, соусы/маринады</x:v>
      </x:c>
      <x:c r="Z1073" s="28" t="str">
        <x:v>Средняя</x:v>
      </x:c>
      <x:c r="AA1073" s="28" t="str">
        <x:v>Тезариус вкусов (Ники Сегнит)(1).pdf</x:v>
      </x:c>
      <x:c r="AB1073" s="28" t="str">
        <x:v>Тезариус вкусов (Ники Сегнит)(1).pdf: 188, 296</x:v>
      </x:c>
      <x:c r="AC1073" s="28" t="str">
        <x:v>развёрнутая пара/статья, стр. 188; развёрнутая пара/статья, стр. 296</x:v>
      </x:c>
      <x:c r="AD1073" s="28" t="n">
        <x:v>1</x:v>
      </x:c>
      <x:c r="AE1073" s="28" t="n">
        <x:v>2</x:v>
      </x:c>
      <x:c r="AF1073" s="28" t="n">
        <x:f>IF(Z1073="Высокая",3,IF(Z1073="Средняя",2,1))+AD1073*2+MIN(AE1073,3)</x:f>
        <x:v>6</x:v>
      </x:c>
    </x:row>
    <x:row r="1074" ht="64" customHeight="1">
      <x:c r="A1074" s="28" t="str">
        <x:v>VEG-1073</x:v>
      </x:c>
      <x:c r="B1074" s="28" t="str">
        <x:v>чеснок</x:v>
      </x:c>
      <x:c r="C1074" s="28" t="str">
        <x:v>Универсальные</x:v>
      </x:c>
      <x:c r="D1074" s="28" t="str">
        <x:v>чеснок</x:v>
      </x:c>
      <x:c r="E1074" s="28" t="str">
        <x:v>Чеснок | чеснок</x:v>
      </x:c>
      <x:c r="F1074" s="28" t="str">
        <x:v>Луковые овощи</x:v>
      </x:c>
      <x:c r="G1074" s="28" t="str">
        <x:v>мята</x:v>
      </x:c>
      <x:c r="H1074" s="28" t="str">
        <x:v>Мята | мята</x:v>
      </x:c>
      <x:c r="I1074" s="28" t="str">
        <x:v>Травы, цветы и листья</x:v>
      </x:c>
      <x:c r="J1074" s="28" t="str">
        <x:v>резкий сернистый, зелёный и мясной; после запекания — сладкий и ореховый</x:v>
      </x:c>
      <x:c r="K1074" s="28" t="str">
        <x:v>зелёный, холодящий</x:v>
      </x:c>
      <x:c r="L1074" s="28" t="str">
        <x:v>аллицин, диаллилдисульфид, диаллилтрисульфид, метантиол</x:v>
      </x:c>
      <x:c r="M1074" s="28" t="str">
        <x:v>ментол</x:v>
      </x:c>
      <x:c r="N1074" s="28" t="str">
        <x:v>прямое пересечение семейств не подтверждено</x:v>
      </x:c>
      <x:c r="O1074" s="28" t="str">
        <x:v>надёжная общая ключевая молекула не установлена</x:v>
      </x:c>
      <x:c r="P1074" s="28" t="str">
        <x:v>сернистая или горчичная комплементарность</x:v>
      </x:c>
      <x:c r="Q107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4" s="28" t="str">
        <x:v>сильное жжение и раздражение тройничного нерва</x:v>
      </x:c>
      <x:c r="S1074" s="28" t="str">
        <x:v>водная луковичная матрица; реакция начинается после повреждения клеток</x:v>
      </x:c>
      <x:c r="T107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4" s="28" t="str">
        <x:v>Чеснок имеет профиль «резкий сернистый, зелёный и мясной; после запекания — сладкий и ореховый».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4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W1074" s="28" t="str">
        <x:v>оливковое масло, лимон или сыр</x:v>
      </x:c>
      <x:c r="X1074" s="28" t="str">
        <x:v>горячее блюдо, бульон, соус, пюре, ферментация или гарнир с мята</x:v>
      </x:c>
      <x:c r="Y1074" s="28" t="str">
        <x:v>еда, соусы/маринады</x:v>
      </x:c>
      <x:c r="Z1074" s="28" t="str">
        <x:v>Средняя</x:v>
      </x:c>
      <x:c r="AA1074" s="28" t="str">
        <x:v>Тезариус вкусов (Ники Сегнит)(1).pdf</x:v>
      </x:c>
      <x:c r="AB1074" s="28" t="str">
        <x:v>Тезариус вкусов (Ники Сегнит)(1).pdf: 296, 870</x:v>
      </x:c>
      <x:c r="AC1074" s="28" t="str">
        <x:v>развёрнутая пара/статья, стр. 296; развёрнутая пара/статья, стр. 870</x:v>
      </x:c>
      <x:c r="AD1074" s="28" t="n">
        <x:v>1</x:v>
      </x:c>
      <x:c r="AE1074" s="28" t="n">
        <x:v>2</x:v>
      </x:c>
      <x:c r="AF1074" s="28" t="n">
        <x:f>IF(Z1074="Высокая",3,IF(Z1074="Средняя",2,1))+AD1074*2+MIN(AE1074,3)</x:f>
        <x:v>6</x:v>
      </x:c>
    </x:row>
    <x:row r="1075" ht="64" customHeight="1">
      <x:c r="A1075" s="28" t="str">
        <x:v>VEG-1074</x:v>
      </x:c>
      <x:c r="B1075" s="28" t="str">
        <x:v>чеснок</x:v>
      </x:c>
      <x:c r="C1075" s="28" t="str">
        <x:v>Универсальные</x:v>
      </x:c>
      <x:c r="D1075" s="28" t="str">
        <x:v>чеснок</x:v>
      </x:c>
      <x:c r="E1075" s="28" t="str">
        <x:v>garlic</x:v>
      </x:c>
      <x:c r="F1075" s="28" t="str">
        <x:v>Луковые овощи</x:v>
      </x:c>
      <x:c r="G1075" s="28" t="str">
        <x:v>нори</x:v>
      </x:c>
      <x:c r="H1075" s="28" t="str">
        <x:v>norisheets</x:v>
      </x:c>
      <x:c r="I1075" s="28" t="str">
        <x:v>Прочее</x:v>
      </x:c>
      <x:c r="J1075" s="28" t="str">
        <x:v>резкий сернистый, зелёный и мясной; после запекания — сладкий и ореховый</x:v>
      </x:c>
      <x:c r="K1075" s="28" t="str">
        <x:v>профиль зависит от конкретного продукта</x:v>
      </x:c>
      <x:c r="L1075" s="28" t="str">
        <x:v>аллицин, диаллилдисульфид, диаллилтрисульфид, метантиол</x:v>
      </x:c>
      <x:c r="M1075" s="28" t="str">
        <x:v>конкретный молекулярный профиль не указан</x:v>
      </x:c>
      <x:c r="N1075" s="28" t="str">
        <x:v>прямое пересечение семейств не подтверждено</x:v>
      </x:c>
      <x:c r="O1075" s="28" t="str">
        <x:v>надёжная общая ключевая молекула не установлена</x:v>
      </x:c>
      <x:c r="P1075" s="28" t="str">
        <x:v>сернистая или горчичная комплементарность</x:v>
      </x:c>
      <x:c r="Q107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5" s="28" t="str">
        <x:v>сильное жжение и раздражение тройничного нерва</x:v>
      </x:c>
      <x:c r="S1075" s="28" t="str">
        <x:v>водная луковичная матрица; реакция начинается после повреждения клеток</x:v>
      </x:c>
      <x:c r="T107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5" s="28" t="str">
        <x:v>Чеснок имеет профиль «резкий сернистый, зелёный и мясной; после запекания — сладкий и ореховый». Партнёр «нори»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5" s="28" t="str">
        <x:v>сырой чеснок быстро доминирует; пережжённый чеснок очень горький; хранить и обрабатывать по пищевым нормам</x:v>
      </x:c>
      <x:c r="W1075" s="28" t="str">
        <x:v>соль, кислота или ароматический жир</x:v>
      </x:c>
      <x:c r="X1075" s="28" t="str">
        <x:v>горячее блюдо, бульон, соус, пюре, ферментация или гарнир с нори</x:v>
      </x:c>
      <x:c r="Y1075" s="28" t="str">
        <x:v>еда, соусы/маринады</x:v>
      </x:c>
      <x:c r="Z1075" s="28" t="str">
        <x:v>Средняя</x:v>
      </x:c>
      <x:c r="AA1075" s="28" t="str">
        <x:v>The Art &amp; Science of Foodpairing.pdf</x:v>
      </x:c>
      <x:c r="AB1075" s="28" t="str">
        <x:v>The Art &amp; Science of Foodpairing.pdf: 113</x:v>
      </x:c>
      <x:c r="AC1075" s="28" t="str">
        <x:v>связь из pairing grid, стр. 113</x:v>
      </x:c>
      <x:c r="AD1075" s="28" t="n">
        <x:v>1</x:v>
      </x:c>
      <x:c r="AE1075" s="28" t="n">
        <x:v>1</x:v>
      </x:c>
      <x:c r="AF1075" s="28" t="n">
        <x:f>IF(Z1075="Высокая",3,IF(Z1075="Средняя",2,1))+AD1075*2+MIN(AE1075,3)</x:f>
        <x:v>5</x:v>
      </x:c>
    </x:row>
    <x:row r="1076" ht="64" customHeight="1">
      <x:c r="A1076" s="28" t="str">
        <x:v>VEG-1075</x:v>
      </x:c>
      <x:c r="B1076" s="28" t="str">
        <x:v>чеснок</x:v>
      </x:c>
      <x:c r="C1076" s="28" t="str">
        <x:v>Универсальные</x:v>
      </x:c>
      <x:c r="D1076" s="28" t="str">
        <x:v>чеснок</x:v>
      </x:c>
      <x:c r="E1076" s="28" t="str">
        <x:v>Чеснок | чеснок</x:v>
      </x:c>
      <x:c r="F1076" s="28" t="str">
        <x:v>Луковые овощи</x:v>
      </x:c>
      <x:c r="G1076" s="28" t="str">
        <x:v>огурец</x:v>
      </x:c>
      <x:c r="H1076" s="28" t="str">
        <x:v>Огурцы | огурцы</x:v>
      </x:c>
      <x:c r="I1076" s="28" t="str">
        <x:v>Тыквенные</x:v>
      </x:c>
      <x:c r="J1076" s="28" t="str">
        <x:v>резкий сернистый, зелёный и мясной; после запекания — сладкий и ореховый</x:v>
      </x:c>
      <x:c r="K1076" s="28" t="str">
        <x:v>зелёный, водянистый, свежий и дынный</x:v>
      </x:c>
      <x:c r="L1076" s="28" t="str">
        <x:v>аллицин, диаллилдисульфид, диаллилтрисульфид, метантиол</x:v>
      </x:c>
      <x:c r="M1076" s="28" t="str">
        <x:v>(E)-2-ноненаль, (E,Z)-2,6-нонадиеналь, гексаналь</x:v>
      </x:c>
      <x:c r="N1076" s="28" t="str">
        <x:v>прямое пересечение семейств не подтверждено</x:v>
      </x:c>
      <x:c r="O1076" s="28" t="str">
        <x:v>надёжная общая ключевая молекула не установлена</x:v>
      </x:c>
      <x:c r="P1076" s="28" t="str">
        <x:v>сернистая или горчичная комплементарность</x:v>
      </x:c>
      <x:c r="Q107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6" s="28" t="str">
        <x:v>сильное жжение и раздражение тройничного нерва</x:v>
      </x:c>
      <x:c r="S1076" s="28" t="str">
        <x:v>водная луковичная матрица; реакция начинается после повреждения клеток</x:v>
      </x:c>
      <x:c r="T107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6" s="28" t="str">
        <x:v>Чеснок имеет профиль «резкий сернистый, зелёный и мясной; после запекания — сладкий и ореховый».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6" s="28" t="str">
        <x:v>сырой чеснок быстро доминирует; пережжённый чеснок очень горький; хранить и обрабатывать по пищевым нормам</x:v>
      </x:c>
      <x:c r="W1076" s="28" t="str">
        <x:v>соль, кислота или ароматический жир</x:v>
      </x:c>
      <x:c r="X1076" s="28" t="str">
        <x:v>горячее блюдо, бульон, соус, пюре, ферментация или гарнир с огурец</x:v>
      </x:c>
      <x:c r="Y1076" s="28" t="str">
        <x:v>еда, соусы/маринады</x:v>
      </x:c>
      <x:c r="Z1076" s="28" t="str">
        <x:v>Средняя</x:v>
      </x:c>
      <x:c r="AA1076" s="28" t="str">
        <x:v>Тезариус вкусов (Ники Сегнит)(1).pdf</x:v>
      </x:c>
      <x:c r="AB1076" s="28" t="str">
        <x:v>Тезариус вкусов (Ники Сегнит)(1).pdf: 296, 498</x:v>
      </x:c>
      <x:c r="AC1076" s="28" t="str">
        <x:v>развёрнутая пара/статья, стр. 296; развёрнутая пара/статья, стр. 498</x:v>
      </x:c>
      <x:c r="AD1076" s="28" t="n">
        <x:v>1</x:v>
      </x:c>
      <x:c r="AE1076" s="28" t="n">
        <x:v>2</x:v>
      </x:c>
      <x:c r="AF1076" s="28" t="n">
        <x:f>IF(Z1076="Высокая",3,IF(Z1076="Средняя",2,1))+AD1076*2+MIN(AE1076,3)</x:f>
        <x:v>6</x:v>
      </x:c>
    </x:row>
    <x:row r="1077" ht="64" customHeight="1">
      <x:c r="A1077" s="28" t="str">
        <x:v>VEG-1076</x:v>
      </x:c>
      <x:c r="B1077" s="28" t="str">
        <x:v>чеснок</x:v>
      </x:c>
      <x:c r="C1077" s="28" t="str">
        <x:v>Универсальные</x:v>
      </x:c>
      <x:c r="D1077" s="28" t="str">
        <x:v>чеснок</x:v>
      </x:c>
      <x:c r="E1077" s="28" t="str">
        <x:v>garlic</x:v>
      </x:c>
      <x:c r="F1077" s="28" t="str">
        <x:v>Луковые овощи</x:v>
      </x:c>
      <x:c r="G1077" s="28" t="str">
        <x:v>оленина</x:v>
      </x:c>
      <x:c r="H1077" s="28" t="str">
        <x:v>pan-fried venison</x:v>
      </x:c>
      <x:c r="I1077" s="28" t="str">
        <x:v>Прочее</x:v>
      </x:c>
      <x:c r="J1077" s="28" t="str">
        <x:v>резкий сернистый, зелёный и мясной; после запекания — сладкий и ореховый</x:v>
      </x:c>
      <x:c r="K1077" s="28" t="str">
        <x:v>профиль зависит от конкретного продукта</x:v>
      </x:c>
      <x:c r="L1077" s="28" t="str">
        <x:v>аллицин, диаллилдисульфид, диаллилтрисульфид, метантиол</x:v>
      </x:c>
      <x:c r="M1077" s="28" t="str">
        <x:v>конкретный молекулярный профиль не указан</x:v>
      </x:c>
      <x:c r="N1077" s="28" t="str">
        <x:v>прямое пересечение семейств не подтверждено</x:v>
      </x:c>
      <x:c r="O1077" s="28" t="str">
        <x:v>надёжная общая ключевая молекула не установлена</x:v>
      </x:c>
      <x:c r="P1077" s="28" t="str">
        <x:v>сернистая или горчичная комплементарность</x:v>
      </x:c>
      <x:c r="Q107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7" s="28" t="str">
        <x:v>сильное жжение и раздражение тройничного нерва</x:v>
      </x:c>
      <x:c r="S1077" s="28" t="str">
        <x:v>водная луковичная матрица; реакция начинается после повреждения клеток</x:v>
      </x:c>
      <x:c r="T107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7" s="28" t="str">
        <x:v>Чеснок имеет профиль «резкий сернистый, зелёный и мясной; после запекания — сладкий и ореховый». Партнёр «оленина»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7" s="28" t="str">
        <x:v>сырой чеснок быстро доминирует; пережжённый чеснок очень горький; хранить и обрабатывать по пищевым нормам</x:v>
      </x:c>
      <x:c r="W1077" s="28" t="str">
        <x:v>соль, кислота или ароматический жир</x:v>
      </x:c>
      <x:c r="X1077" s="28" t="str">
        <x:v>горячее блюдо, бульон, соус, пюре, ферментация или гарнир с оленина</x:v>
      </x:c>
      <x:c r="Y1077" s="28" t="str">
        <x:v>еда, соусы/маринады</x:v>
      </x:c>
      <x:c r="Z1077" s="28" t="str">
        <x:v>Средняя</x:v>
      </x:c>
      <x:c r="AA1077" s="28" t="str">
        <x:v>The Art &amp; Science of Foodpairing.pdf</x:v>
      </x:c>
      <x:c r="AB1077" s="28" t="str">
        <x:v>The Art &amp; Science of Foodpairing.pdf: 113</x:v>
      </x:c>
      <x:c r="AC1077" s="28" t="str">
        <x:v>связь из pairing grid, стр. 113</x:v>
      </x:c>
      <x:c r="AD1077" s="28" t="n">
        <x:v>1</x:v>
      </x:c>
      <x:c r="AE1077" s="28" t="n">
        <x:v>1</x:v>
      </x:c>
      <x:c r="AF1077" s="28" t="n">
        <x:f>IF(Z1077="Высокая",3,IF(Z1077="Средняя",2,1))+AD1077*2+MIN(AE1077,3)</x:f>
        <x:v>5</x:v>
      </x:c>
    </x:row>
    <x:row r="1078" ht="64" customHeight="1">
      <x:c r="A1078" s="28" t="str">
        <x:v>VEG-1077</x:v>
      </x:c>
      <x:c r="B1078" s="28" t="str">
        <x:v>чеснок</x:v>
      </x:c>
      <x:c r="C1078" s="28" t="str">
        <x:v>Универсальные</x:v>
      </x:c>
      <x:c r="D1078" s="28" t="str">
        <x:v>чеснок</x:v>
      </x:c>
      <x:c r="E1078" s="28" t="str">
        <x:v>Чеснок | чеснок</x:v>
      </x:c>
      <x:c r="F1078" s="28" t="str">
        <x:v>Луковые овощи</x:v>
      </x:c>
      <x:c r="G1078" s="28" t="str">
        <x:v>оливки</x:v>
      </x:c>
      <x:c r="H1078" s="28" t="str">
        <x:v>Оливки | оливки</x:v>
      </x:c>
      <x:c r="I1078" s="28" t="str">
        <x:v>Прочее</x:v>
      </x:c>
      <x:c r="J1078" s="28" t="str">
        <x:v>резкий сернистый, зелёный и мясной; после запекания — сладкий и ореховый</x:v>
      </x:c>
      <x:c r="K1078" s="28" t="str">
        <x:v>профиль зависит от конкретного продукта</x:v>
      </x:c>
      <x:c r="L1078" s="28" t="str">
        <x:v>аллицин, диаллилдисульфид, диаллилтрисульфид, метантиол</x:v>
      </x:c>
      <x:c r="M1078" s="28" t="str">
        <x:v>конкретный молекулярный профиль не указан</x:v>
      </x:c>
      <x:c r="N1078" s="28" t="str">
        <x:v>прямое пересечение семейств не подтверждено</x:v>
      </x:c>
      <x:c r="O1078" s="28" t="str">
        <x:v>надёжная общая ключевая молекула не установлена</x:v>
      </x:c>
      <x:c r="P1078" s="28" t="str">
        <x:v>сернистая или горчичная комплементарность</x:v>
      </x:c>
      <x:c r="Q107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8" s="28" t="str">
        <x:v>сильное жжение и раздражение тройничного нерва</x:v>
      </x:c>
      <x:c r="S1078" s="28" t="str">
        <x:v>водная луковичная матрица; реакция начинается после повреждения клеток</x:v>
      </x:c>
      <x:c r="T107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8" s="28" t="str">
        <x:v>Чеснок имеет профиль «резкий сернистый, зелёный и мясной; после запекания — сладкий и ореховый».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8" s="28" t="str">
        <x:v>сырой чеснок быстро доминирует; пережжённый чеснок очень горький; хранить и обрабатывать по пищевым нормам</x:v>
      </x:c>
      <x:c r="W1078" s="28" t="str">
        <x:v>соль, кислота или ароматический жир</x:v>
      </x:c>
      <x:c r="X1078" s="28" t="str">
        <x:v>горячее блюдо, бульон, соус, пюре, ферментация или гарнир с оливки</x:v>
      </x:c>
      <x:c r="Y1078" s="28" t="str">
        <x:v>еда, соусы/маринады</x:v>
      </x:c>
      <x:c r="Z1078" s="28" t="str">
        <x:v>Средняя</x:v>
      </x:c>
      <x:c r="AA1078" s="28" t="str">
        <x:v>Тезариус вкусов (Ники Сегнит)(1).pdf</x:v>
      </x:c>
      <x:c r="AB1078" s="28" t="str">
        <x:v>Тезариус вкусов (Ники Сегнит)(1).pdf: 297, 471</x:v>
      </x:c>
      <x:c r="AC1078" s="28" t="str">
        <x:v>развёрнутая пара/статья, стр. 297; развёрнутая пара/статья, стр. 471</x:v>
      </x:c>
      <x:c r="AD1078" s="28" t="n">
        <x:v>1</x:v>
      </x:c>
      <x:c r="AE1078" s="28" t="n">
        <x:v>2</x:v>
      </x:c>
      <x:c r="AF1078" s="28" t="n">
        <x:f>IF(Z1078="Высокая",3,IF(Z1078="Средняя",2,1))+AD1078*2+MIN(AE1078,3)</x:f>
        <x:v>6</x:v>
      </x:c>
    </x:row>
    <x:row r="1079" ht="64" customHeight="1">
      <x:c r="A1079" s="28" t="str">
        <x:v>VEG-1078</x:v>
      </x:c>
      <x:c r="B1079" s="28" t="str">
        <x:v>чеснок</x:v>
      </x:c>
      <x:c r="C1079" s="28" t="str">
        <x:v>Универсальные</x:v>
      </x:c>
      <x:c r="D1079" s="28" t="str">
        <x:v>чеснок</x:v>
      </x:c>
      <x:c r="E1079" s="28" t="str">
        <x:v>garlic</x:v>
      </x:c>
      <x:c r="F1079" s="28" t="str">
        <x:v>Луковые овощи</x:v>
      </x:c>
      <x:c r="G1079" s="28" t="str">
        <x:v>оливковое масло пикваль</x:v>
      </x:c>
      <x:c r="H1079" s="28" t="str">
        <x:v>Picual olive oil</x:v>
      </x:c>
      <x:c r="I1079" s="28" t="str">
        <x:v>Масла и жиры</x:v>
      </x:c>
      <x:c r="J1079" s="28" t="str">
        <x:v>резкий сернистый, зелёный и мясной; после запекания — сладкий и ореховый</x:v>
      </x:c>
      <x:c r="K1079" s="28" t="str">
        <x:v>жирный и мягкий</x:v>
      </x:c>
      <x:c r="L1079" s="28" t="str">
        <x:v>аллицин, диаллилдисульфид, диаллилтрисульфид, метантиол</x:v>
      </x:c>
      <x:c r="M1079" s="28" t="str">
        <x:v>альдегиды, лактоны</x:v>
      </x:c>
      <x:c r="N1079" s="28" t="str">
        <x:v>прямое пересечение семейств не подтверждено</x:v>
      </x:c>
      <x:c r="O1079" s="28" t="str">
        <x:v>надёжная общая ключевая молекула не установлена</x:v>
      </x:c>
      <x:c r="P1079" s="28" t="str">
        <x:v>жировая матрица; сернистая или горчичная комплементарность</x:v>
      </x:c>
      <x:c r="Q107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79" s="28" t="str">
        <x:v>сильное жжение и раздражение тройничного нерва</x:v>
      </x:c>
      <x:c r="S1079" s="28" t="str">
        <x:v>водная луковичная матрица; реакция начинается после повреждения клеток Жировая фаза удерживает гидрофобные молекулы, но может сделать вкус тяжёлым.</x:v>
      </x:c>
      <x:c r="T107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79" s="28" t="str">
        <x:v>Чеснок имеет профиль «резкий сернистый, зелёный и мясной; после запекания — сладкий и ореховый».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79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W1079" s="28" t="str">
        <x:v>кислота, зелень или жареный орех</x:v>
      </x:c>
      <x:c r="X1079" s="28" t="str">
        <x:v>горячее блюдо, бульон, соус, пюре, ферментация или гарнир с оливковое масло пикваль</x:v>
      </x:c>
      <x:c r="Y1079" s="28" t="str">
        <x:v>еда, соусы/маринады</x:v>
      </x:c>
      <x:c r="Z1079" s="28" t="str">
        <x:v>Средняя</x:v>
      </x:c>
      <x:c r="AA1079" s="28" t="str">
        <x:v>The Art &amp; Science of Foodpairing.pdf</x:v>
      </x:c>
      <x:c r="AB1079" s="28" t="str">
        <x:v>The Art &amp; Science of Foodpairing.pdf: 113</x:v>
      </x:c>
      <x:c r="AC1079" s="28" t="str">
        <x:v>связь из pairing grid, стр. 113</x:v>
      </x:c>
      <x:c r="AD1079" s="28" t="n">
        <x:v>1</x:v>
      </x:c>
      <x:c r="AE1079" s="28" t="n">
        <x:v>1</x:v>
      </x:c>
      <x:c r="AF1079" s="28" t="n">
        <x:f>IF(Z1079="Высокая",3,IF(Z1079="Средняя",2,1))+AD1079*2+MIN(AE1079,3)</x:f>
        <x:v>5</x:v>
      </x:c>
    </x:row>
    <x:row r="1080" ht="64" customHeight="1">
      <x:c r="A1080" s="28" t="str">
        <x:v>VEG-1079</x:v>
      </x:c>
      <x:c r="B1080" s="28" t="str">
        <x:v>чеснок</x:v>
      </x:c>
      <x:c r="C1080" s="28" t="str">
        <x:v>Десерты и выпечка</x:v>
      </x:c>
      <x:c r="D1080" s="28" t="str">
        <x:v>чеснок</x:v>
      </x:c>
      <x:c r="E1080" s="28" t="str">
        <x:v>garlic</x:v>
      </x:c>
      <x:c r="F1080" s="28" t="str">
        <x:v>Луковые овощи</x:v>
      </x:c>
      <x:c r="G1080" s="28" t="str">
        <x:v>паста тикка масала</x:v>
      </x:c>
      <x:c r="H1080" s="28" t="str">
        <x:v>tikka masala paste</x:v>
      </x:c>
      <x:c r="I1080" s="28" t="str">
        <x:v>Выпечка, крупы, сахара и десерты</x:v>
      </x:c>
      <x:c r="J1080" s="28" t="str">
        <x:v>резкий сернистый, зелёный и мясной; после запекания — сладкий и ореховый</x:v>
      </x:c>
      <x:c r="K1080" s="28" t="str">
        <x:v>сладкий, карамельный и жареный</x:v>
      </x:c>
      <x:c r="L1080" s="28" t="str">
        <x:v>аллицин, диаллилдисульфид, диаллилтрисульфид, метантиол</x:v>
      </x:c>
      <x:c r="M1080" s="28" t="str">
        <x:v>мальтол, пиразины, фураны</x:v>
      </x:c>
      <x:c r="N1080" s="28" t="str">
        <x:v>жареный</x:v>
      </x:c>
      <x:c r="O1080" s="28" t="str">
        <x:v>надёжная общая ключевая молекула не установлена</x:v>
      </x:c>
      <x:c r="P1080" s="28" t="str">
        <x:v>пересечение ароматических семейств; сернистая или горчичная комплементарность</x:v>
      </x:c>
      <x:c r="Q108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0" s="28" t="str">
        <x:v>сильное жжение и раздражение тройничного нерва</x:v>
      </x:c>
      <x:c r="S1080" s="28" t="str">
        <x:v>водная луковичная матрица; реакция начинается после повреждения клеток</x:v>
      </x:c>
      <x:c r="T108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0" s="28" t="str">
        <x:v>Чеснок имеет профиль «резкий сернистый, зелёный и мясной; после запекания — сладкий и ореховый». Партнёр «паста тикка масала»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0" s="28" t="str">
        <x:v>сырой чеснок быстро доминирует; пережжённый чеснок очень горький; хранить и обрабатывать по пищевым нормам</x:v>
      </x:c>
      <x:c r="W1080" s="28" t="str">
        <x:v>соль, кислота или ароматический жир</x:v>
      </x:c>
      <x:c r="X1080" s="28" t="str">
        <x:v>горячее блюдо, бульон, соус, пюре, ферментация или гарнир с паста тикка масала</x:v>
      </x:c>
      <x:c r="Y1080" s="28" t="str">
        <x:v>еда, десерты, соусы/маринады</x:v>
      </x:c>
      <x:c r="Z1080" s="28" t="str">
        <x:v>Средняя</x:v>
      </x:c>
      <x:c r="AA1080" s="28" t="str">
        <x:v>The Art &amp; Science of Foodpairing.pdf</x:v>
      </x:c>
      <x:c r="AB1080" s="28" t="str">
        <x:v>The Art &amp; Science of Foodpairing.pdf: 114</x:v>
      </x:c>
      <x:c r="AC1080" s="28" t="str">
        <x:v>связь из pairing grid, стр. 114</x:v>
      </x:c>
      <x:c r="AD1080" s="28" t="n">
        <x:v>1</x:v>
      </x:c>
      <x:c r="AE1080" s="28" t="n">
        <x:v>1</x:v>
      </x:c>
      <x:c r="AF1080" s="28" t="n">
        <x:f>IF(Z1080="Высокая",3,IF(Z1080="Средняя",2,1))+AD1080*2+MIN(AE1080,3)</x:f>
        <x:v>5</x:v>
      </x:c>
    </x:row>
    <x:row r="1081" ht="64" customHeight="1">
      <x:c r="A1081" s="28" t="str">
        <x:v>VEG-1080</x:v>
      </x:c>
      <x:c r="B1081" s="28" t="str">
        <x:v>чеснок</x:v>
      </x:c>
      <x:c r="C1081" s="28" t="str">
        <x:v>Универсальные</x:v>
      </x:c>
      <x:c r="D1081" s="28" t="str">
        <x:v>чеснок</x:v>
      </x:c>
      <x:c r="E1081" s="28" t="str">
        <x:v>garlic</x:v>
      </x:c>
      <x:c r="F1081" s="28" t="str">
        <x:v>Луковые овощи</x:v>
      </x:c>
      <x:c r="G1081" s="28" t="str">
        <x:v>пастернак</x:v>
      </x:c>
      <x:c r="H1081" s="28" t="str">
        <x:v>boiled parsnip | parsnip</x:v>
      </x:c>
      <x:c r="I1081" s="28" t="str">
        <x:v>Корнеплоды</x:v>
      </x:c>
      <x:c r="J1081" s="28" t="str">
        <x:v>резкий сернистый, зелёный и мясной; после запекания — сладкий и ореховый</x:v>
      </x:c>
      <x:c r="K1081" s="28" t="str">
        <x:v>сладкий, пряный, древесный и слегка анисовый</x:v>
      </x:c>
      <x:c r="L1081" s="28" t="str">
        <x:v>аллицин, диаллилдисульфид, диаллилтрисульфид, метантиол</x:v>
      </x:c>
      <x:c r="M1081" s="28" t="str">
        <x:v>пинены, терпены, фенольные соединения, фураны</x:v>
      </x:c>
      <x:c r="N1081" s="28" t="str">
        <x:v>прямое пересечение семейств не подтверждено</x:v>
      </x:c>
      <x:c r="O1081" s="28" t="str">
        <x:v>надёжная общая ключевая молекула не установлена</x:v>
      </x:c>
      <x:c r="P1081" s="28" t="str">
        <x:v>сернистая или горчичная комплементарность</x:v>
      </x:c>
      <x:c r="Q108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1" s="28" t="str">
        <x:v>сильное жжение и раздражение тройничного нерва</x:v>
      </x:c>
      <x:c r="S1081" s="28" t="str">
        <x:v>водная луковичная матрица; реакция начинается после повреждения клеток</x:v>
      </x:c>
      <x:c r="T108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1" s="28" t="str">
        <x:v>Чеснок имеет профиль «резкий сернистый, зелёный и мясной; после запекания — сладкий и ореховый». Партнёр «пастернак» относится к группе «Корнеплоды» и даёт сладкий, пряный, древесный и слегка анисовый.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1" s="28" t="str">
        <x:v>сырой чеснок быстро доминирует; пережжённый чеснок очень горький; хранить и обрабатывать по пищевым нормам</x:v>
      </x:c>
      <x:c r="W1081" s="28" t="str">
        <x:v>соль, кислота или ароматический жир</x:v>
      </x:c>
      <x:c r="X1081" s="28" t="str">
        <x:v>горячее блюдо, бульон, соус, пюре, ферментация или гарнир с пастернак</x:v>
      </x:c>
      <x:c r="Y1081" s="28" t="str">
        <x:v>еда, соусы/маринады</x:v>
      </x:c>
      <x:c r="Z1081" s="28" t="str">
        <x:v>Средняя</x:v>
      </x:c>
      <x:c r="AA1081" s="28" t="str">
        <x:v>The Art &amp; Science of Foodpairing.pdf</x:v>
      </x:c>
      <x:c r="AB1081" s="28" t="str">
        <x:v>The Art &amp; Science of Foodpairing.pdf: 113, 114</x:v>
      </x:c>
      <x:c r="AC1081" s="28" t="str">
        <x:v>связь из pairing grid, стр. 113; связь из pairing grid, стр. 114</x:v>
      </x:c>
      <x:c r="AD1081" s="28" t="n">
        <x:v>1</x:v>
      </x:c>
      <x:c r="AE1081" s="28" t="n">
        <x:v>2</x:v>
      </x:c>
      <x:c r="AF1081" s="28" t="n">
        <x:f>IF(Z1081="Высокая",3,IF(Z1081="Средняя",2,1))+AD1081*2+MIN(AE1081,3)</x:f>
        <x:v>6</x:v>
      </x:c>
    </x:row>
    <x:row r="1082" ht="64" customHeight="1">
      <x:c r="A1082" s="28" t="str">
        <x:v>VEG-1081</x:v>
      </x:c>
      <x:c r="B1082" s="28" t="str">
        <x:v>чеснок</x:v>
      </x:c>
      <x:c r="C1082" s="28" t="str">
        <x:v>Еда и соусы</x:v>
      </x:c>
      <x:c r="D1082" s="28" t="str">
        <x:v>чеснок</x:v>
      </x:c>
      <x:c r="E1082" s="28" t="str">
        <x:v>garlic</x:v>
      </x:c>
      <x:c r="F1082" s="28" t="str">
        <x:v>Луковые овощи</x:v>
      </x:c>
      <x:c r="G1082" s="28" t="str">
        <x:v>пекинская утка</x:v>
      </x:c>
      <x:c r="H1082" s="28" t="str">
        <x:v>roast Peking duck</x:v>
      </x:c>
      <x:c r="I1082" s="28" t="str">
        <x:v>Мясо и птица</x:v>
      </x:c>
      <x:c r="J1082" s="28" t="str">
        <x:v>резкий сернистый, зелёный и мясной; после запекания — сладкий и ореховый</x:v>
      </x:c>
      <x:c r="K1082" s="28" t="str">
        <x:v>жареный, мясной и умами</x:v>
      </x:c>
      <x:c r="L1082" s="28" t="str">
        <x:v>аллицин, диаллилдисульфид, диаллилтрисульфид, метантиол</x:v>
      </x:c>
      <x:c r="M1082" s="28" t="str">
        <x:v>пиразины, сернистые соединения</x:v>
      </x:c>
      <x:c r="N1082" s="28" t="str">
        <x:v>жареный, умами</x:v>
      </x:c>
      <x:c r="O1082" s="28" t="str">
        <x:v>надёжная общая ключевая молекула не установлена</x:v>
      </x:c>
      <x:c r="P1082" s="28" t="str">
        <x:v>пересечение ароматических семейств; умами и солёный контраст; сернистая или горчичная комплементарность</x:v>
      </x:c>
      <x:c r="Q108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2" s="28" t="str">
        <x:v>сильное жжение и раздражение тройничного нерва</x:v>
      </x:c>
      <x:c r="S1082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8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2" s="28" t="str">
        <x:v>Чеснок имеет профиль «резкий сернистый, зелёный и мясной; после запекания — сладкий и ореховый». Партнёр «пекинская утка»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2" s="28" t="str">
        <x:v>сырой чеснок быстро доминирует; пережжённый чеснок очень горький; хранить и обрабатывать по пищевым нормам</x:v>
      </x:c>
      <x:c r="W1082" s="28" t="str">
        <x:v>сливочное масло, соевый соус или тимьян</x:v>
      </x:c>
      <x:c r="X1082" s="28" t="str">
        <x:v>горячее блюдо, бульон, соус, пюре, ферментация или гарнир с пекинская утка</x:v>
      </x:c>
      <x:c r="Y1082" s="28" t="str">
        <x:v>еда, соусы/маринады</x:v>
      </x:c>
      <x:c r="Z1082" s="28" t="str">
        <x:v>Средняя</x:v>
      </x:c>
      <x:c r="AA1082" s="28" t="str">
        <x:v>The Art &amp; Science of Foodpairing.pdf</x:v>
      </x:c>
      <x:c r="AB1082" s="28" t="str">
        <x:v>The Art &amp; Science of Foodpairing.pdf: 114</x:v>
      </x:c>
      <x:c r="AC1082" s="28" t="str">
        <x:v>связь из pairing grid, стр. 114</x:v>
      </x:c>
      <x:c r="AD1082" s="28" t="n">
        <x:v>1</x:v>
      </x:c>
      <x:c r="AE1082" s="28" t="n">
        <x:v>1</x:v>
      </x:c>
      <x:c r="AF1082" s="28" t="n">
        <x:f>IF(Z1082="Высокая",3,IF(Z1082="Средняя",2,1))+AD1082*2+MIN(AE1082,3)</x:f>
        <x:v>5</x:v>
      </x:c>
    </x:row>
    <x:row r="1083" ht="64" customHeight="1">
      <x:c r="A1083" s="28" t="str">
        <x:v>VEG-1082</x:v>
      </x:c>
      <x:c r="B1083" s="28" t="str">
        <x:v>чеснок</x:v>
      </x:c>
      <x:c r="C1083" s="28" t="str">
        <x:v>Универсальные</x:v>
      </x:c>
      <x:c r="D1083" s="28" t="str">
        <x:v>чеснок</x:v>
      </x:c>
      <x:c r="E1083" s="28" t="str">
        <x:v>garlic</x:v>
      </x:c>
      <x:c r="F1083" s="28" t="str">
        <x:v>Луковые овощи</x:v>
      </x:c>
      <x:c r="G1083" s="28" t="str">
        <x:v>пепперони</x:v>
      </x:c>
      <x:c r="H1083" s="28" t="str">
        <x:v>pepperoni</x:v>
      </x:c>
      <x:c r="I1083" s="28" t="str">
        <x:v>Прочее</x:v>
      </x:c>
      <x:c r="J1083" s="28" t="str">
        <x:v>резкий сернистый, зелёный и мясной; после запекания — сладкий и ореховый</x:v>
      </x:c>
      <x:c r="K1083" s="28" t="str">
        <x:v>профиль зависит от конкретного продукта</x:v>
      </x:c>
      <x:c r="L1083" s="28" t="str">
        <x:v>аллицин, диаллилдисульфид, диаллилтрисульфид, метантиол</x:v>
      </x:c>
      <x:c r="M1083" s="28" t="str">
        <x:v>конкретный молекулярный профиль не указан</x:v>
      </x:c>
      <x:c r="N1083" s="28" t="str">
        <x:v>прямое пересечение семейств не подтверждено</x:v>
      </x:c>
      <x:c r="O1083" s="28" t="str">
        <x:v>надёжная общая ключевая молекула не установлена</x:v>
      </x:c>
      <x:c r="P1083" s="28" t="str">
        <x:v>сернистая или горчичная комплементарность</x:v>
      </x:c>
      <x:c r="Q108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3" s="28" t="str">
        <x:v>сильное жжение и раздражение тройничного нерва</x:v>
      </x:c>
      <x:c r="S1083" s="28" t="str">
        <x:v>водная луковичная матрица; реакция начинается после повреждения клеток</x:v>
      </x:c>
      <x:c r="T108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3" s="28" t="str">
        <x:v>Чеснок имеет профиль «резкий сернистый, зелёный и мясной; после запекания — сладкий и ореховый». Партнёр «пепперони»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3" s="28" t="str">
        <x:v>сырой чеснок быстро доминирует; пережжённый чеснок очень горький; хранить и обрабатывать по пищевым нормам</x:v>
      </x:c>
      <x:c r="W1083" s="28" t="str">
        <x:v>соль, кислота или ароматический жир</x:v>
      </x:c>
      <x:c r="X1083" s="28" t="str">
        <x:v>горячее блюдо, бульон, соус, пюре, ферментация или гарнир с пепперони</x:v>
      </x:c>
      <x:c r="Y1083" s="28" t="str">
        <x:v>еда, соусы/маринады</x:v>
      </x:c>
      <x:c r="Z1083" s="28" t="str">
        <x:v>Средняя</x:v>
      </x:c>
      <x:c r="AA1083" s="28" t="str">
        <x:v>The Art &amp; Science of Foodpairing.pdf</x:v>
      </x:c>
      <x:c r="AB1083" s="28" t="str">
        <x:v>The Art &amp; Science of Foodpairing.pdf: 113</x:v>
      </x:c>
      <x:c r="AC1083" s="28" t="str">
        <x:v>связь из pairing grid, стр. 113</x:v>
      </x:c>
      <x:c r="AD1083" s="28" t="n">
        <x:v>1</x:v>
      </x:c>
      <x:c r="AE1083" s="28" t="n">
        <x:v>1</x:v>
      </x:c>
      <x:c r="AF1083" s="28" t="n">
        <x:f>IF(Z1083="Высокая",3,IF(Z1083="Средняя",2,1))+AD1083*2+MIN(AE1083,3)</x:f>
        <x:v>5</x:v>
      </x:c>
    </x:row>
    <x:row r="1084" ht="64" customHeight="1">
      <x:c r="A1084" s="28" t="str">
        <x:v>VEG-1083</x:v>
      </x:c>
      <x:c r="B1084" s="28" t="str">
        <x:v>чеснок</x:v>
      </x:c>
      <x:c r="C1084" s="28" t="str">
        <x:v>Универсальные</x:v>
      </x:c>
      <x:c r="D1084" s="28" t="str">
        <x:v>чеснок</x:v>
      </x:c>
      <x:c r="E1084" s="28" t="str">
        <x:v>Чеснок | чеснок</x:v>
      </x:c>
      <x:c r="F1084" s="28" t="str">
        <x:v>Луковые овощи</x:v>
      </x:c>
      <x:c r="G1084" s="28" t="str">
        <x:v>петрушка</x:v>
      </x:c>
      <x:c r="H1084" s="28" t="str">
        <x:v>Петрушка | петрушка</x:v>
      </x:c>
      <x:c r="I1084" s="28" t="str">
        <x:v>Травы, цветы и листья</x:v>
      </x:c>
      <x:c r="J1084" s="28" t="str">
        <x:v>резкий сернистый, зелёный и мясной; после запекания — сладкий и ореховый</x:v>
      </x:c>
      <x:c r="K1084" s="28" t="str">
        <x:v>зелёный, травянистый</x:v>
      </x:c>
      <x:c r="L1084" s="28" t="str">
        <x:v>аллицин, диаллилдисульфид, диаллилтрисульфид, метантиол</x:v>
      </x:c>
      <x:c r="M1084" s="28" t="str">
        <x:v>апиол, п-ментатриен</x:v>
      </x:c>
      <x:c r="N1084" s="28" t="str">
        <x:v>прямое пересечение семейств не подтверждено</x:v>
      </x:c>
      <x:c r="O1084" s="28" t="str">
        <x:v>надёжная общая ключевая молекула не установлена</x:v>
      </x:c>
      <x:c r="P1084" s="28" t="str">
        <x:v>сернистая или горчичная комплементарность</x:v>
      </x:c>
      <x:c r="Q108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4" s="28" t="str">
        <x:v>сильное жжение и раздражение тройничного нерва</x:v>
      </x:c>
      <x:c r="S1084" s="28" t="str">
        <x:v>водная луковичная матрица; реакция начинается после повреждения клеток</x:v>
      </x:c>
      <x:c r="T108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4" s="28" t="str">
        <x:v>Чеснок имеет профиль «резкий сернистый, зелёный и мясной; после запекания — сладкий и ореховый».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4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W1084" s="28" t="str">
        <x:v>оливковое масло, лимон или сыр</x:v>
      </x:c>
      <x:c r="X1084" s="28" t="str">
        <x:v>горячее блюдо, бульон, соус, пюре, ферментация или гарнир с петрушка</x:v>
      </x:c>
      <x:c r="Y1084" s="28" t="str">
        <x:v>еда, соусы/маринады</x:v>
      </x:c>
      <x:c r="Z1084" s="28" t="str">
        <x:v>Средняя</x:v>
      </x:c>
      <x:c r="AA1084" s="28" t="str">
        <x:v>Тезариус вкусов (Ники Сегнит)(1).pdf</x:v>
      </x:c>
      <x:c r="AB1084" s="28" t="str">
        <x:v>Тезариус вкусов (Ники Сегнит)(1).pdf: 297, 511, 806</x:v>
      </x:c>
      <x:c r="AC1084" s="28" t="str">
        <x:v>развёрнутая пара/статья, стр. 297; развёрнутая пара/статья, стр. 511; развёрнутая пара/статья, стр. 806</x:v>
      </x:c>
      <x:c r="AD1084" s="28" t="n">
        <x:v>1</x:v>
      </x:c>
      <x:c r="AE1084" s="28" t="n">
        <x:v>3</x:v>
      </x:c>
      <x:c r="AF1084" s="28" t="n">
        <x:f>IF(Z1084="Высокая",3,IF(Z1084="Средняя",2,1))+AD1084*2+MIN(AE1084,3)</x:f>
        <x:v>7</x:v>
      </x:c>
    </x:row>
    <x:row r="1085" ht="64" customHeight="1">
      <x:c r="A1085" s="28" t="str">
        <x:v>VEG-1084</x:v>
      </x:c>
      <x:c r="B1085" s="28" t="str">
        <x:v>чеснок</x:v>
      </x:c>
      <x:c r="C1085" s="28" t="str">
        <x:v>Еда и соусы</x:v>
      </x:c>
      <x:c r="D1085" s="28" t="str">
        <x:v>чеснок</x:v>
      </x:c>
      <x:c r="E1085" s="28" t="str">
        <x:v>Чеснок | чеснок</x:v>
      </x:c>
      <x:c r="F1085" s="28" t="str">
        <x:v>Луковые овощи</x:v>
      </x:c>
      <x:c r="G1085" s="28" t="str">
        <x:v>печень</x:v>
      </x:c>
      <x:c r="H1085" s="28" t="str">
        <x:v>Печень | печень</x:v>
      </x:c>
      <x:c r="I1085" s="28" t="str">
        <x:v>Мясо и птица</x:v>
      </x:c>
      <x:c r="J1085" s="28" t="str">
        <x:v>резкий сернистый, зелёный и мясной; после запекания — сладкий и ореховый</x:v>
      </x:c>
      <x:c r="K1085" s="28" t="str">
        <x:v>жареный, мясной и умами</x:v>
      </x:c>
      <x:c r="L1085" s="28" t="str">
        <x:v>аллицин, диаллилдисульфид, диаллилтрисульфид, метантиол</x:v>
      </x:c>
      <x:c r="M1085" s="28" t="str">
        <x:v>пиразины, сернистые соединения</x:v>
      </x:c>
      <x:c r="N1085" s="28" t="str">
        <x:v>жареный, умами</x:v>
      </x:c>
      <x:c r="O1085" s="28" t="str">
        <x:v>надёжная общая ключевая молекула не установлена</x:v>
      </x:c>
      <x:c r="P1085" s="28" t="str">
        <x:v>пересечение ароматических семейств; умами и солёный контраст; сернистая или горчичная комплементарность</x:v>
      </x:c>
      <x:c r="Q108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5" s="28" t="str">
        <x:v>сильное жжение и раздражение тройничного нерва</x:v>
      </x:c>
      <x:c r="S1085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8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5" s="28" t="str">
        <x:v>Чеснок имеет профиль «резкий сернистый, зелёный и мясной; после запекания — сладкий и ореховый». Партнёр «печень»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5" s="28" t="str">
        <x:v>сырой чеснок быстро доминирует; пережжённый чеснок очень горький; хранить и обрабатывать по пищевым нормам</x:v>
      </x:c>
      <x:c r="W1085" s="28" t="str">
        <x:v>сливочное масло, соевый соус или тимьян</x:v>
      </x:c>
      <x:c r="X1085" s="28" t="str">
        <x:v>горячее блюдо, бульон, соус, пюре, ферментация или гарнир с печень</x:v>
      </x:c>
      <x:c r="Y1085" s="28" t="str">
        <x:v>еда, соусы/маринады</x:v>
      </x:c>
      <x:c r="Z1085" s="28" t="str">
        <x:v>Средняя</x:v>
      </x:c>
      <x:c r="AA1085" s="28" t="str">
        <x:v>Тезариус вкусов (Ники Сегнит)(1).pdf</x:v>
      </x:c>
      <x:c r="AB1085" s="28" t="str">
        <x:v>Тезариус вкусов (Ники Сегнит)(1).pdf: 102, 297</x:v>
      </x:c>
      <x:c r="AC1085" s="28" t="str">
        <x:v>развёрнутая пара/статья, стр. 102; развёрнутая пара/статья, стр. 297</x:v>
      </x:c>
      <x:c r="AD1085" s="28" t="n">
        <x:v>1</x:v>
      </x:c>
      <x:c r="AE1085" s="28" t="n">
        <x:v>2</x:v>
      </x:c>
      <x:c r="AF1085" s="28" t="n">
        <x:f>IF(Z1085="Высокая",3,IF(Z1085="Средняя",2,1))+AD1085*2+MIN(AE1085,3)</x:f>
        <x:v>6</x:v>
      </x:c>
    </x:row>
    <x:row r="1086" ht="64" customHeight="1">
      <x:c r="A1086" s="28" t="str">
        <x:v>VEG-1085</x:v>
      </x:c>
      <x:c r="B1086" s="28" t="str">
        <x:v>чеснок</x:v>
      </x:c>
      <x:c r="C1086" s="28" t="str">
        <x:v>Десерты и выпечка</x:v>
      </x:c>
      <x:c r="D1086" s="28" t="str">
        <x:v>чеснок</x:v>
      </x:c>
      <x:c r="E1086" s="28" t="str">
        <x:v>garlic</x:v>
      </x:c>
      <x:c r="F1086" s="28" t="str">
        <x:v>Луковые овощи</x:v>
      </x:c>
      <x:c r="G1086" s="28" t="str">
        <x:v>пралине из миндаля и фундука</x:v>
      </x:c>
      <x:c r="H1086" s="28" t="str">
        <x:v>almond and hazelnut praline paste</x:v>
      </x:c>
      <x:c r="I1086" s="28" t="str">
        <x:v>Орехи и семена</x:v>
      </x:c>
      <x:c r="J1086" s="28" t="str">
        <x:v>резкий сернистый, зелёный и мясной; после запекания — сладкий и ореховый</x:v>
      </x:c>
      <x:c r="K1086" s="28" t="str">
        <x:v>жареный, какаовый, ореховый</x:v>
      </x:c>
      <x:c r="L1086" s="28" t="str">
        <x:v>аллицин, диаллилдисульфид, диаллилтрисульфид, метантиол</x:v>
      </x:c>
      <x:c r="M1086" s="28" t="str">
        <x:v>пиразины, фильбертон</x:v>
      </x:c>
      <x:c r="N1086" s="28" t="str">
        <x:v>жареный</x:v>
      </x:c>
      <x:c r="O1086" s="28" t="str">
        <x:v>надёжная общая ключевая молекула не установлена</x:v>
      </x:c>
      <x:c r="P1086" s="28" t="str">
        <x:v>пересечение ароматических семейств; сернистая или горчичная комплементарность</x:v>
      </x:c>
      <x:c r="Q108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6" s="28" t="str">
        <x:v>сильное жжение и раздражение тройничного нерва</x:v>
      </x:c>
      <x:c r="S1086" s="28" t="str">
        <x:v>водная луковичная матрица; реакция начинается после повреждения клеток</x:v>
      </x:c>
      <x:c r="T108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6" s="28" t="str">
        <x:v>Чеснок имеет профиль «резкий сернистый, зелёный и мясной; после запекания — сладкий и ореховый». Партнёр «пралине из миндаля и фундука»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6" s="28" t="str">
        <x:v>сырой чеснок быстро доминирует; пережжённый чеснок очень горький; хранить и обрабатывать по пищевым нормам</x:v>
      </x:c>
      <x:c r="W1086" s="28" t="str">
        <x:v>соль, кислота или ароматический жир</x:v>
      </x:c>
      <x:c r="X1086" s="28" t="str">
        <x:v>горячее блюдо, бульон, соус, пюре, ферментация или гарнир с пралине из миндаля и фундука</x:v>
      </x:c>
      <x:c r="Y1086" s="28" t="str">
        <x:v>еда, десерты, соусы/маринады</x:v>
      </x:c>
      <x:c r="Z1086" s="28" t="str">
        <x:v>Средняя</x:v>
      </x:c>
      <x:c r="AA1086" s="28" t="str">
        <x:v>The Art &amp; Science of Foodpairing.pdf</x:v>
      </x:c>
      <x:c r="AB1086" s="28" t="str">
        <x:v>The Art &amp; Science of Foodpairing.pdf: 113</x:v>
      </x:c>
      <x:c r="AC1086" s="28" t="str">
        <x:v>связь из pairing grid, стр. 113</x:v>
      </x:c>
      <x:c r="AD1086" s="28" t="n">
        <x:v>1</x:v>
      </x:c>
      <x:c r="AE1086" s="28" t="n">
        <x:v>1</x:v>
      </x:c>
      <x:c r="AF1086" s="28" t="n">
        <x:f>IF(Z1086="Высокая",3,IF(Z1086="Средняя",2,1))+AD1086*2+MIN(AE1086,3)</x:f>
        <x:v>5</x:v>
      </x:c>
    </x:row>
    <x:row r="1087" ht="64" customHeight="1">
      <x:c r="A1087" s="28" t="str">
        <x:v>VEG-1086</x:v>
      </x:c>
      <x:c r="B1087" s="28" t="str">
        <x:v>чеснок</x:v>
      </x:c>
      <x:c r="C1087" s="28" t="str">
        <x:v>Десерты и выпечка</x:v>
      </x:c>
      <x:c r="D1087" s="28" t="str">
        <x:v>чеснок</x:v>
      </x:c>
      <x:c r="E1087" s="28" t="str">
        <x:v>Чеснок | чеснок</x:v>
      </x:c>
      <x:c r="F1087" s="28" t="str">
        <x:v>Луковые овощи</x:v>
      </x:c>
      <x:c r="G1087" s="28" t="str">
        <x:v>рассольный сыр</x:v>
      </x:c>
      <x:c r="H1087" s="28" t="str">
        <x:v>Рассольный сыр | рассольный сыр</x:v>
      </x:c>
      <x:c r="I1087" s="28" t="str">
        <x:v>Молочные продукты и сыры</x:v>
      </x:c>
      <x:c r="J1087" s="28" t="str">
        <x:v>резкий сернистый, зелёный и мясной; после запекания — сладкий и ореховый</x:v>
      </x:c>
      <x:c r="K1087" s="28" t="str">
        <x:v>молочный, умами, ферментированный</x:v>
      </x:c>
      <x:c r="L1087" s="28" t="str">
        <x:v>аллицин, диаллилдисульфид, диаллилтрисульфид, метантиол</x:v>
      </x:c>
      <x:c r="M1087" s="28" t="str">
        <x:v>диацетил, жирные кислоты</x:v>
      </x:c>
      <x:c r="N1087" s="28" t="str">
        <x:v>умами</x:v>
      </x:c>
      <x:c r="O1087" s="28" t="str">
        <x:v>надёжная общая ключевая молекула не установлена</x:v>
      </x:c>
      <x:c r="P1087" s="28" t="str">
        <x:v>пересечение ароматических семейств; жировая матрица; сернистая или горчичная комплементарность</x:v>
      </x:c>
      <x:c r="Q108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7" s="28" t="str">
        <x:v>сильное жжение и раздражение тройничного нерва</x:v>
      </x:c>
      <x:c r="S1087" s="28" t="str">
        <x:v>водная луковичная матрица; реакция начинается после повреждения клеток Жировая фаза удерживает гидрофобные молекулы, но может сделать вкус тяжёлым.</x:v>
      </x:c>
      <x:c r="T108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7" s="28" t="str">
        <x:v>Чеснок имеет профиль «резкий сернистый, зелёный и мясной; после запекания — сладкий и ореховый». Партнёр «рассольный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7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W1087" s="28" t="str">
        <x:v>кислота, зелень или жареный орех</x:v>
      </x:c>
      <x:c r="X1087" s="28" t="str">
        <x:v>горячее блюдо, бульон, соус, пюре, ферментация или гарнир с рассольный сыр</x:v>
      </x:c>
      <x:c r="Y1087" s="28" t="str">
        <x:v>еда, десерты, соусы/маринады</x:v>
      </x:c>
      <x:c r="Z1087" s="28" t="str">
        <x:v>Средняя</x:v>
      </x:c>
      <x:c r="AA1087" s="28" t="str">
        <x:v>Тезариус вкусов (Ники Сегнит)(1).pdf</x:v>
      </x:c>
      <x:c r="AB1087" s="28" t="str">
        <x:v>Тезариус вкусов (Ники Сегнит)(1).pdf: 150, 297</x:v>
      </x:c>
      <x:c r="AC1087" s="28" t="str">
        <x:v>развёрнутая пара/статья, стр. 150; развёрнутая пара/статья, стр. 297</x:v>
      </x:c>
      <x:c r="AD1087" s="28" t="n">
        <x:v>1</x:v>
      </x:c>
      <x:c r="AE1087" s="28" t="n">
        <x:v>2</x:v>
      </x:c>
      <x:c r="AF1087" s="28" t="n">
        <x:f>IF(Z1087="Высокая",3,IF(Z1087="Средняя",2,1))+AD1087*2+MIN(AE1087,3)</x:f>
        <x:v>6</x:v>
      </x:c>
    </x:row>
    <x:row r="1088" ht="64" customHeight="1">
      <x:c r="A1088" s="28" t="str">
        <x:v>VEG-1087</x:v>
      </x:c>
      <x:c r="B1088" s="28" t="str">
        <x:v>чеснок</x:v>
      </x:c>
      <x:c r="C1088" s="28" t="str">
        <x:v>Универсальные</x:v>
      </x:c>
      <x:c r="D1088" s="28" t="str">
        <x:v>чеснок</x:v>
      </x:c>
      <x:c r="E1088" s="28" t="str">
        <x:v>garlic</x:v>
      </x:c>
      <x:c r="F1088" s="28" t="str">
        <x:v>Луковые овощи</x:v>
      </x:c>
      <x:c r="G1088" s="28" t="str">
        <x:v>редис</x:v>
      </x:c>
      <x:c r="H1088" s="28" t="str">
        <x:v>daikon</x:v>
      </x:c>
      <x:c r="I1088" s="28" t="str">
        <x:v>Корнеплоды и крестоцветные</x:v>
      </x:c>
      <x:c r="J1088" s="28" t="str">
        <x:v>резкий сернистый, зелёный и мясной; после запекания — сладкий и ореховый</x:v>
      </x:c>
      <x:c r="K1088" s="28" t="str">
        <x:v>горчичный, зелёный, перечный и водянистый</x:v>
      </x:c>
      <x:c r="L1088" s="28" t="str">
        <x:v>аллицин, диаллилдисульфид, диаллилтрисульфид, метантиол</x:v>
      </x:c>
      <x:c r="M1088" s="28" t="str">
        <x:v>зелёные альдегиды, изотиоцианаты, метантиол</x:v>
      </x:c>
      <x:c r="N1088" s="28" t="str">
        <x:v>прямое пересечение семейств не подтверждено</x:v>
      </x:c>
      <x:c r="O1088" s="28" t="str">
        <x:v>метантиол</x:v>
      </x:c>
      <x:c r="P1088" s="28" t="str">
        <x:v>общие характерные молекулы; сернистая или горчичная комплементарность</x:v>
      </x:c>
      <x:c r="Q108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8" s="28" t="str">
        <x:v>сильное жжение и раздражение тройничного нерва</x:v>
      </x:c>
      <x:c r="S1088" s="28" t="str">
        <x:v>водная луковичная матрица; реакция начинается после повреждения клеток</x:v>
      </x:c>
      <x:c r="T108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8" s="28" t="str">
        <x:v>Чеснок имеет профиль «резкий сернистый, зелёный и мясной; после запекания — сладкий и ореховый». Партнёр «редис» относится к группе «Корнеплоды и крестоцветные» и даёт горчичный, зелёный, перечный и водянистый.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8" s="28" t="str">
        <x:v>сырой чеснок быстро доминирует; пережжённый чеснок очень горький; хранить и обрабатывать по пищевым нормам</x:v>
      </x:c>
      <x:c r="W1088" s="28" t="str">
        <x:v>соль, кислота или ароматический жир</x:v>
      </x:c>
      <x:c r="X1088" s="28" t="str">
        <x:v>горячее блюдо, бульон, соус, пюре, ферментация или гарнир с редис</x:v>
      </x:c>
      <x:c r="Y1088" s="28" t="str">
        <x:v>еда, соусы/маринады</x:v>
      </x:c>
      <x:c r="Z1088" s="28" t="str">
        <x:v>Средняя</x:v>
      </x:c>
      <x:c r="AA1088" s="28" t="str">
        <x:v>The Art &amp; Science of Foodpairing.pdf</x:v>
      </x:c>
      <x:c r="AB1088" s="28" t="str">
        <x:v>The Art &amp; Science of Foodpairing.pdf: 113</x:v>
      </x:c>
      <x:c r="AC1088" s="28" t="str">
        <x:v>связь из pairing grid, стр. 113</x:v>
      </x:c>
      <x:c r="AD1088" s="28" t="n">
        <x:v>1</x:v>
      </x:c>
      <x:c r="AE1088" s="28" t="n">
        <x:v>1</x:v>
      </x:c>
      <x:c r="AF1088" s="28" t="n">
        <x:f>IF(Z1088="Высокая",3,IF(Z1088="Средняя",2,1))+AD1088*2+MIN(AE1088,3)</x:f>
        <x:v>5</x:v>
      </x:c>
    </x:row>
    <x:row r="1089" ht="64" customHeight="1">
      <x:c r="A1089" s="28" t="str">
        <x:v>VEG-1088</x:v>
      </x:c>
      <x:c r="B1089" s="28" t="str">
        <x:v>чеснок</x:v>
      </x:c>
      <x:c r="C1089" s="28" t="str">
        <x:v>Универсальные</x:v>
      </x:c>
      <x:c r="D1089" s="28" t="str">
        <x:v>чеснок</x:v>
      </x:c>
      <x:c r="E1089" s="28" t="str">
        <x:v>garlic | Чеснок | чеснок</x:v>
      </x:c>
      <x:c r="F1089" s="28" t="str">
        <x:v>Луковые овощи</x:v>
      </x:c>
      <x:c r="G1089" s="28" t="str">
        <x:v>розмарин</x:v>
      </x:c>
      <x:c r="H1089" s="28" t="str">
        <x:v>rosemary | Розмарин | розмарин</x:v>
      </x:c>
      <x:c r="I1089" s="28" t="str">
        <x:v>Травы, цветы и листья</x:v>
      </x:c>
      <x:c r="J1089" s="28" t="str">
        <x:v>резкий сернистый, зелёный и мясной; после запекания — сладкий и ореховый</x:v>
      </x:c>
      <x:c r="K1089" s="28" t="str">
        <x:v>древесный, камфорный, хвойный</x:v>
      </x:c>
      <x:c r="L1089" s="28" t="str">
        <x:v>аллицин, диаллилдисульфид, диаллилтрисульфид, метантиол</x:v>
      </x:c>
      <x:c r="M1089" s="28" t="str">
        <x:v>1,8-цинеол, пинены</x:v>
      </x:c>
      <x:c r="N1089" s="28" t="str">
        <x:v>прямое пересечение семейств не подтверждено</x:v>
      </x:c>
      <x:c r="O1089" s="28" t="str">
        <x:v>надёжная общая ключевая молекула не установлена</x:v>
      </x:c>
      <x:c r="P1089" s="28" t="str">
        <x:v>сернистая или горчичная комплементарность</x:v>
      </x:c>
      <x:c r="Q108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89" s="28" t="str">
        <x:v>сильное жжение и раздражение тройничного нерва</x:v>
      </x:c>
      <x:c r="S1089" s="28" t="str">
        <x:v>водная луковичная матрица; реакция начинается после повреждения клеток</x:v>
      </x:c>
      <x:c r="T108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89" s="28" t="str">
        <x:v>Чеснок имеет профиль «резкий сернистый, зелёный и мясной; после запекания — сладкий и ореховый».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89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W1089" s="28" t="str">
        <x:v>оливковое масло, лимон или сыр</x:v>
      </x:c>
      <x:c r="X1089" s="28" t="str">
        <x:v>горячее блюдо, бульон, соус, пюре, ферментация или гарнир с розмарин</x:v>
      </x:c>
      <x:c r="Y1089" s="28" t="str">
        <x:v>еда, соусы/маринады</x:v>
      </x:c>
      <x:c r="Z1089" s="28" t="str">
        <x:v>Высокая</x:v>
      </x:c>
      <x:c r="AA1089" s="28" t="str">
        <x:v>The Art &amp; Science of Foodpairing.pdf | Тезариус вкусов (Ники Сегнит)(1).pdf</x:v>
      </x:c>
      <x:c r="AB1089" s="28" t="str">
        <x:v>Тезариус вкусов (Ники Сегнит)(1).pdf: 297, 840; The Art &amp; Science of Foodpairing.pdf: 113</x:v>
      </x:c>
      <x:c r="AC1089" s="28" t="str">
        <x:v>развёрнутая пара/статья, стр. 297; развёрнутая пара/статья, стр. 840; связь из pairing grid, стр. 113</x:v>
      </x:c>
      <x:c r="AD1089" s="28" t="n">
        <x:v>2</x:v>
      </x:c>
      <x:c r="AE1089" s="28" t="n">
        <x:v>3</x:v>
      </x:c>
      <x:c r="AF1089" s="28" t="n">
        <x:f>IF(Z1089="Высокая",3,IF(Z1089="Средняя",2,1))+AD1089*2+MIN(AE1089,3)</x:f>
        <x:v>10</x:v>
      </x:c>
    </x:row>
    <x:row r="1090" ht="64" customHeight="1">
      <x:c r="A1090" s="28" t="str">
        <x:v>VEG-1089</x:v>
      </x:c>
      <x:c r="B1090" s="28" t="str">
        <x:v>чеснок</x:v>
      </x:c>
      <x:c r="C1090" s="28" t="str">
        <x:v>Еда и соусы</x:v>
      </x:c>
      <x:c r="D1090" s="28" t="str">
        <x:v>чеснок</x:v>
      </x:c>
      <x:c r="E1090" s="28" t="str">
        <x:v>Чеснок | чеснок</x:v>
      </x:c>
      <x:c r="F1090" s="28" t="str">
        <x:v>Луковые овощи</x:v>
      </x:c>
      <x:c r="G1090" s="28" t="str">
        <x:v>свинина</x:v>
      </x:c>
      <x:c r="H1090" s="28" t="str">
        <x:v>Свинина | свинина</x:v>
      </x:c>
      <x:c r="I1090" s="28" t="str">
        <x:v>Мясо и птица</x:v>
      </x:c>
      <x:c r="J1090" s="28" t="str">
        <x:v>резкий сернистый, зелёный и мясной; после запекания — сладкий и ореховый</x:v>
      </x:c>
      <x:c r="K1090" s="28" t="str">
        <x:v>жареный, мясной и умами</x:v>
      </x:c>
      <x:c r="L1090" s="28" t="str">
        <x:v>аллицин, диаллилдисульфид, диаллилтрисульфид, метантиол</x:v>
      </x:c>
      <x:c r="M1090" s="28" t="str">
        <x:v>пиразины, сернистые соединения</x:v>
      </x:c>
      <x:c r="N1090" s="28" t="str">
        <x:v>жареный, умами</x:v>
      </x:c>
      <x:c r="O1090" s="28" t="str">
        <x:v>надёжная общая ключевая молекула не установлена</x:v>
      </x:c>
      <x:c r="P1090" s="28" t="str">
        <x:v>пересечение ароматических семейств; умами и солёный контраст; сернистая или горчичная комплементарность</x:v>
      </x:c>
      <x:c r="Q109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0" s="28" t="str">
        <x:v>сильное жжение и раздражение тройничного нерва</x:v>
      </x:c>
      <x:c r="S1090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9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0" s="28" t="str">
        <x:v>Чеснок имеет профиль «резкий сернистый, зелёный и мясной; после запекания — сладкий и ореховый». Партнёр «свинина»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0" s="28" t="str">
        <x:v>сырой чеснок быстро доминирует; пережжённый чеснок очень горький; хранить и обрабатывать по пищевым нормам</x:v>
      </x:c>
      <x:c r="W1090" s="28" t="str">
        <x:v>сливочное масло, соевый соус или тимьян</x:v>
      </x:c>
      <x:c r="X1090" s="28" t="str">
        <x:v>горячее блюдо, бульон, соус, пюре, ферментация или гарнир с свинина</x:v>
      </x:c>
      <x:c r="Y1090" s="28" t="str">
        <x:v>еда, соусы/маринады</x:v>
      </x:c>
      <x:c r="Z1090" s="28" t="str">
        <x:v>Средняя</x:v>
      </x:c>
      <x:c r="AA1090" s="28" t="str">
        <x:v>Тезариус вкусов (Ники Сегнит)(1).pdf</x:v>
      </x:c>
      <x:c r="AB1090" s="28" t="str">
        <x:v>Тезариус вкусов (Ники Сегнит)(1).pdf: 89, 298</x:v>
      </x:c>
      <x:c r="AC1090" s="28" t="str">
        <x:v>развёрнутая пара/статья, стр. 89; развёрнутая пара/статья, стр. 298</x:v>
      </x:c>
      <x:c r="AD1090" s="28" t="n">
        <x:v>1</x:v>
      </x:c>
      <x:c r="AE1090" s="28" t="n">
        <x:v>2</x:v>
      </x:c>
      <x:c r="AF1090" s="28" t="n">
        <x:f>IF(Z1090="Высокая",3,IF(Z1090="Средняя",2,1))+AD1090*2+MIN(AE1090,3)</x:f>
        <x:v>6</x:v>
      </x:c>
    </x:row>
    <x:row r="1091" ht="64" customHeight="1">
      <x:c r="A1091" s="28" t="str">
        <x:v>VEG-1090</x:v>
      </x:c>
      <x:c r="B1091" s="28" t="str">
        <x:v>чеснок</x:v>
      </x:c>
      <x:c r="C1091" s="28" t="str">
        <x:v>Универсальные</x:v>
      </x:c>
      <x:c r="D1091" s="28" t="str">
        <x:v>чеснок</x:v>
      </x:c>
      <x:c r="E1091" s="28" t="str">
        <x:v>Чеснок | чеснок</x:v>
      </x:c>
      <x:c r="F1091" s="28" t="str">
        <x:v>Луковые овощи</x:v>
      </x:c>
      <x:c r="G1091" s="28" t="str">
        <x:v>семена кориандра</x:v>
      </x:c>
      <x:c r="H1091" s="28" t="str">
        <x:v>Семена кориандра | семена кориандра</x:v>
      </x:c>
      <x:c r="I1091" s="28" t="str">
        <x:v>Специи</x:v>
      </x:c>
      <x:c r="J1091" s="28" t="str">
        <x:v>резкий сернистый, зелёный и мясной; после запекания — сладкий и ореховый</x:v>
      </x:c>
      <x:c r="K1091" s="28" t="str">
        <x:v>пряный, цветочный, цитрусовый</x:v>
      </x:c>
      <x:c r="L1091" s="28" t="str">
        <x:v>аллицин, диаллилдисульфид, диаллилтрисульфид, метантиол</x:v>
      </x:c>
      <x:c r="M1091" s="28" t="str">
        <x:v>лимонен, линалоол</x:v>
      </x:c>
      <x:c r="N1091" s="28" t="str">
        <x:v>прямое пересечение семейств не подтверждено</x:v>
      </x:c>
      <x:c r="O1091" s="28" t="str">
        <x:v>надёжная общая ключевая молекула не установлена</x:v>
      </x:c>
      <x:c r="P1091" s="28" t="str">
        <x:v>сернистая или горчичная комплементарность</x:v>
      </x:c>
      <x:c r="Q109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1" s="28" t="str">
        <x:v>сильное жжение и раздражение тройничного нерва</x:v>
      </x:c>
      <x:c r="S1091" s="28" t="str">
        <x:v>водная луковичная матрица; реакция начинается после повреждения клеток</x:v>
      </x:c>
      <x:c r="T109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1" s="28" t="str">
        <x:v>Чеснок имеет профиль «резкий сернистый, зелёный и мясной; после запекания — сладкий и ореховый». Партнёр «семена кориандра» относится к группе «Специи» и даёт пряный,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1" s="28" t="str">
        <x:v>сырой чеснок быстро доминирует; пережжённый чеснок очень горький; хранить и обрабатывать по пищевым нормам</x:v>
      </x:c>
      <x:c r="W1091" s="28" t="str">
        <x:v>цитрус, йогурт или мёд</x:v>
      </x:c>
      <x:c r="X1091" s="28" t="str">
        <x:v>горячее блюдо, бульон, соус, пюре, ферментация или гарнир с семена кориандра</x:v>
      </x:c>
      <x:c r="Y1091" s="28" t="str">
        <x:v>еда, соусы/маринады</x:v>
      </x:c>
      <x:c r="Z1091" s="28" t="str">
        <x:v>Средняя</x:v>
      </x:c>
      <x:c r="AA1091" s="28" t="str">
        <x:v>Тезариус вкусов (Ники Сегнит)(1).pdf</x:v>
      </x:c>
      <x:c r="AB1091" s="28" t="str">
        <x:v>Тезариус вкусов (Ники Сегнит)(1).pdf: 298, 910</x:v>
      </x:c>
      <x:c r="AC1091" s="28" t="str">
        <x:v>развёрнутая пара/статья, стр. 298; развёрнутая пара/статья, стр. 910</x:v>
      </x:c>
      <x:c r="AD1091" s="28" t="n">
        <x:v>1</x:v>
      </x:c>
      <x:c r="AE1091" s="28" t="n">
        <x:v>2</x:v>
      </x:c>
      <x:c r="AF1091" s="28" t="n">
        <x:f>IF(Z1091="Высокая",3,IF(Z1091="Средняя",2,1))+AD1091*2+MIN(AE1091,3)</x:f>
        <x:v>6</x:v>
      </x:c>
    </x:row>
    <x:row r="1092" ht="64" customHeight="1">
      <x:c r="A1092" s="28" t="str">
        <x:v>VEG-1091</x:v>
      </x:c>
      <x:c r="B1092" s="28" t="str">
        <x:v>чеснок</x:v>
      </x:c>
      <x:c r="C1092" s="28" t="str">
        <x:v>Универсальные</x:v>
      </x:c>
      <x:c r="D1092" s="28" t="str">
        <x:v>чеснок</x:v>
      </x:c>
      <x:c r="E1092" s="28" t="str">
        <x:v>garlic</x:v>
      </x:c>
      <x:c r="F1092" s="28" t="str">
        <x:v>Луковые овощи</x:v>
      </x:c>
      <x:c r="G1092" s="28" t="str">
        <x:v>скорцонера</x:v>
      </x:c>
      <x:c r="H1092" s="28" t="str">
        <x:v>cooked black salsify</x:v>
      </x:c>
      <x:c r="I1092" s="28" t="str">
        <x:v>Прочее</x:v>
      </x:c>
      <x:c r="J1092" s="28" t="str">
        <x:v>резкий сернистый, зелёный и мясной; после запекания — сладкий и ореховый</x:v>
      </x:c>
      <x:c r="K1092" s="28" t="str">
        <x:v>профиль зависит от конкретного продукта</x:v>
      </x:c>
      <x:c r="L1092" s="28" t="str">
        <x:v>аллицин, диаллилдисульфид, диаллилтрисульфид, метантиол</x:v>
      </x:c>
      <x:c r="M1092" s="28" t="str">
        <x:v>конкретный молекулярный профиль не указан</x:v>
      </x:c>
      <x:c r="N1092" s="28" t="str">
        <x:v>прямое пересечение семейств не подтверждено</x:v>
      </x:c>
      <x:c r="O1092" s="28" t="str">
        <x:v>надёжная общая ключевая молекула не установлена</x:v>
      </x:c>
      <x:c r="P1092" s="28" t="str">
        <x:v>сернистая или горчичная комплементарность</x:v>
      </x:c>
      <x:c r="Q109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2" s="28" t="str">
        <x:v>сильное жжение и раздражение тройничного нерва</x:v>
      </x:c>
      <x:c r="S1092" s="28" t="str">
        <x:v>водная луковичная матрица; реакция начинается после повреждения клеток</x:v>
      </x:c>
      <x:c r="T109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2" s="28" t="str">
        <x:v>Чеснок имеет профиль «резкий сернистый, зелёный и мясной; после запекания — сладкий и ореховый». Партнёр «скорцонера»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2" s="28" t="str">
        <x:v>сырой чеснок быстро доминирует; пережжённый чеснок очень горький; хранить и обрабатывать по пищевым нормам</x:v>
      </x:c>
      <x:c r="W1092" s="28" t="str">
        <x:v>соль, кислота или ароматический жир</x:v>
      </x:c>
      <x:c r="X1092" s="28" t="str">
        <x:v>горячее блюдо, бульон, соус, пюре, ферментация или гарнир с скорцонера</x:v>
      </x:c>
      <x:c r="Y1092" s="28" t="str">
        <x:v>еда, соусы/маринады</x:v>
      </x:c>
      <x:c r="Z1092" s="28" t="str">
        <x:v>Средняя</x:v>
      </x:c>
      <x:c r="AA1092" s="28" t="str">
        <x:v>The Art &amp; Science of Foodpairing.pdf</x:v>
      </x:c>
      <x:c r="AB1092" s="28" t="str">
        <x:v>The Art &amp; Science of Foodpairing.pdf: 113</x:v>
      </x:c>
      <x:c r="AC1092" s="28" t="str">
        <x:v>связь из pairing grid, стр. 113</x:v>
      </x:c>
      <x:c r="AD1092" s="28" t="n">
        <x:v>1</x:v>
      </x:c>
      <x:c r="AE1092" s="28" t="n">
        <x:v>1</x:v>
      </x:c>
      <x:c r="AF1092" s="28" t="n">
        <x:f>IF(Z1092="Высокая",3,IF(Z1092="Средняя",2,1))+AD1092*2+MIN(AE1092,3)</x:f>
        <x:v>5</x:v>
      </x:c>
    </x:row>
    <x:row r="1093" ht="64" customHeight="1">
      <x:c r="A1093" s="28" t="str">
        <x:v>VEG-1092</x:v>
      </x:c>
      <x:c r="B1093" s="28" t="str">
        <x:v>чеснок</x:v>
      </x:c>
      <x:c r="C1093" s="28" t="str">
        <x:v>Десерты и выпечка</x:v>
      </x:c>
      <x:c r="D1093" s="28" t="str">
        <x:v>чеснок</x:v>
      </x:c>
      <x:c r="E1093" s="28" t="str">
        <x:v>garlic</x:v>
      </x:c>
      <x:c r="F1093" s="28" t="str">
        <x:v>Луковые овощи</x:v>
      </x:c>
      <x:c r="G1093" s="28" t="str">
        <x:v>сливовый бренди</x:v>
      </x:c>
      <x:c r="H1093" s="28" t="str">
        <x:v>plum brandy</x:v>
      </x:c>
      <x:c r="I1093" s="28" t="str">
        <x:v>Фрукты и ягоды</x:v>
      </x:c>
      <x:c r="J1093" s="28" t="str">
        <x:v>резкий сернистый, зелёный и мясной; после запекания — сладкий и ореховый</x:v>
      </x:c>
      <x:c r="K1093" s="28" t="str">
        <x:v>фруктовый, цветочный и свежий</x:v>
      </x:c>
      <x:c r="L1093" s="28" t="str">
        <x:v>аллицин, диаллилдисульфид, диаллилтрисульфид, метантиол</x:v>
      </x:c>
      <x:c r="M1093" s="28" t="str">
        <x:v>альдегиды, эфиры</x:v>
      </x:c>
      <x:c r="N1093" s="28" t="str">
        <x:v>прямое пересечение семейств не подтверждено</x:v>
      </x:c>
      <x:c r="O1093" s="28" t="str">
        <x:v>надёжная общая ключевая молекула не установлена</x:v>
      </x:c>
      <x:c r="P1093" s="28" t="str">
        <x:v>кислотно-сладкий баланс; сернистая или горчичная комплементарность</x:v>
      </x:c>
      <x:c r="Q109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3" s="28" t="str">
        <x:v>сильное жжение и раздражение тройничного нерва</x:v>
      </x:c>
      <x:c r="S1093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09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3" s="28" t="str">
        <x:v>Чеснок имеет профиль «резкий сернистый, зелёный и мясной; после запекания — сладкий и ореховый». Партнёр «сливовый бренди»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093" s="28" t="str">
        <x:v>цитрус, мёд или мягкая трава</x:v>
      </x:c>
      <x:c r="X1093" s="28" t="str">
        <x:v>горячее блюдо, бульон, соус, пюре, ферментация или гарнир с сливовый бренди</x:v>
      </x:c>
      <x:c r="Y1093" s="28" t="str">
        <x:v>еда, десерты, соусы/маринады</x:v>
      </x:c>
      <x:c r="Z1093" s="28" t="str">
        <x:v>Средняя</x:v>
      </x:c>
      <x:c r="AA1093" s="28" t="str">
        <x:v>The Art &amp; Science of Foodpairing.pdf</x:v>
      </x:c>
      <x:c r="AB1093" s="28" t="str">
        <x:v>The Art &amp; Science of Foodpairing.pdf: 113</x:v>
      </x:c>
      <x:c r="AC1093" s="28" t="str">
        <x:v>связь из pairing grid, стр. 113</x:v>
      </x:c>
      <x:c r="AD1093" s="28" t="n">
        <x:v>1</x:v>
      </x:c>
      <x:c r="AE1093" s="28" t="n">
        <x:v>1</x:v>
      </x:c>
      <x:c r="AF1093" s="28" t="n">
        <x:f>IF(Z1093="Высокая",3,IF(Z1093="Средняя",2,1))+AD1093*2+MIN(AE1093,3)</x:f>
        <x:v>5</x:v>
      </x:c>
    </x:row>
    <x:row r="1094" ht="64" customHeight="1">
      <x:c r="A1094" s="28" t="str">
        <x:v>VEG-1093</x:v>
      </x:c>
      <x:c r="B1094" s="28" t="str">
        <x:v>чеснок</x:v>
      </x:c>
      <x:c r="C1094" s="28" t="str">
        <x:v>Десерты и выпечка</x:v>
      </x:c>
      <x:c r="D1094" s="28" t="str">
        <x:v>чеснок</x:v>
      </x:c>
      <x:c r="E1094" s="28" t="str">
        <x:v>garlic</x:v>
      </x:c>
      <x:c r="F1094" s="28" t="str">
        <x:v>Луковые овощи</x:v>
      </x:c>
      <x:c r="G1094" s="28" t="str">
        <x:v>сметана</x:v>
      </x:c>
      <x:c r="H1094" s="28" t="str">
        <x:v>sour cream</x:v>
      </x:c>
      <x:c r="I1094" s="28" t="str">
        <x:v>Молочные продукты и сыры</x:v>
      </x:c>
      <x:c r="J1094" s="28" t="str">
        <x:v>резкий сернистый, зелёный и мясной; после запекания — сладкий и ореховый</x:v>
      </x:c>
      <x:c r="K1094" s="28" t="str">
        <x:v>молочный, сливочный и ферментированный</x:v>
      </x:c>
      <x:c r="L1094" s="28" t="str">
        <x:v>аллицин, диаллилдисульфид, диаллилтрисульфид, метантиол</x:v>
      </x:c>
      <x:c r="M1094" s="28" t="str">
        <x:v>диацетил, жирные кислоты, лактоны</x:v>
      </x:c>
      <x:c r="N1094" s="28" t="str">
        <x:v>умами</x:v>
      </x:c>
      <x:c r="O1094" s="28" t="str">
        <x:v>надёжная общая ключевая молекула не установлена</x:v>
      </x:c>
      <x:c r="P1094" s="28" t="str">
        <x:v>пересечение ароматических семейств; жировая матрица; сернистая или горчичная комплементарность</x:v>
      </x:c>
      <x:c r="Q109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4" s="28" t="str">
        <x:v>сильное жжение и раздражение тройничного нерва</x:v>
      </x:c>
      <x:c r="S1094" s="28" t="str">
        <x:v>водная луковичная матрица; реакция начинается после повреждения клеток Жировая фаза удерживает гидрофобные молекулы, но может сделать вкус тяжёлым.</x:v>
      </x:c>
      <x:c r="T109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4" s="28" t="str">
        <x:v>Чеснок имеет профиль «резкий сернистый, зелёный и мясной; после запекания — сладкий и ореховый». Партнёр «сметана» относится к группе «Молочные продукты и сыры» и даёт молочный, сливочный и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4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W1094" s="28" t="str">
        <x:v>кислота, зелень или жареный орех</x:v>
      </x:c>
      <x:c r="X1094" s="28" t="str">
        <x:v>горячее блюдо, бульон, соус, пюре, ферментация или гарнир с сметана</x:v>
      </x:c>
      <x:c r="Y1094" s="28" t="str">
        <x:v>еда, десерты, соусы/маринады</x:v>
      </x:c>
      <x:c r="Z1094" s="28" t="str">
        <x:v>Средняя</x:v>
      </x:c>
      <x:c r="AA1094" s="28" t="str">
        <x:v>The Art &amp; Science of Foodpairing.pdf</x:v>
      </x:c>
      <x:c r="AB1094" s="28" t="str">
        <x:v>The Art &amp; Science of Foodpairing.pdf: 114</x:v>
      </x:c>
      <x:c r="AC1094" s="28" t="str">
        <x:v>связь из pairing grid, стр. 114</x:v>
      </x:c>
      <x:c r="AD1094" s="28" t="n">
        <x:v>1</x:v>
      </x:c>
      <x:c r="AE1094" s="28" t="n">
        <x:v>1</x:v>
      </x:c>
      <x:c r="AF1094" s="28" t="n">
        <x:f>IF(Z1094="Высокая",3,IF(Z1094="Средняя",2,1))+AD1094*2+MIN(AE1094,3)</x:f>
        <x:v>5</x:v>
      </x:c>
    </x:row>
    <x:row r="1095" ht="64" customHeight="1">
      <x:c r="A1095" s="28" t="str">
        <x:v>VEG-1094</x:v>
      </x:c>
      <x:c r="B1095" s="28" t="str">
        <x:v>чеснок</x:v>
      </x:c>
      <x:c r="C1095" s="28" t="str">
        <x:v>Универсальные</x:v>
      </x:c>
      <x:c r="D1095" s="28" t="str">
        <x:v>чеснок</x:v>
      </x:c>
      <x:c r="E1095" s="28" t="str">
        <x:v>garlic</x:v>
      </x:c>
      <x:c r="F1095" s="28" t="str">
        <x:v>Луковые овощи</x:v>
      </x:c>
      <x:c r="G1095" s="28" t="str">
        <x:v>соевый напиток</x:v>
      </x:c>
      <x:c r="H1095" s="28" t="str">
        <x:v>soya drink</x:v>
      </x:c>
      <x:c r="I1095" s="28" t="str">
        <x:v>Прочее</x:v>
      </x:c>
      <x:c r="J1095" s="28" t="str">
        <x:v>резкий сернистый, зелёный и мясной; после запекания — сладкий и ореховый</x:v>
      </x:c>
      <x:c r="K1095" s="28" t="str">
        <x:v>профиль зависит от конкретного продукта</x:v>
      </x:c>
      <x:c r="L1095" s="28" t="str">
        <x:v>аллицин, диаллилдисульфид, диаллилтрисульфид, метантиол</x:v>
      </x:c>
      <x:c r="M1095" s="28" t="str">
        <x:v>конкретный молекулярный профиль не указан</x:v>
      </x:c>
      <x:c r="N1095" s="28" t="str">
        <x:v>прямое пересечение семейств не подтверждено</x:v>
      </x:c>
      <x:c r="O1095" s="28" t="str">
        <x:v>надёжная общая ключевая молекула не установлена</x:v>
      </x:c>
      <x:c r="P1095" s="28" t="str">
        <x:v>сернистая или горчичная комплементарность</x:v>
      </x:c>
      <x:c r="Q109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5" s="28" t="str">
        <x:v>сильное жжение и раздражение тройничного нерва</x:v>
      </x:c>
      <x:c r="S1095" s="28" t="str">
        <x:v>водная луковичная матрица; реакция начинается после повреждения клеток</x:v>
      </x:c>
      <x:c r="T109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5" s="28" t="str">
        <x:v>Чеснок имеет профиль «резкий сернистый, зелёный и мясной; после запекания — сладкий и ореховый». Партнёр «соевый напиток»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5" s="28" t="str">
        <x:v>сырой чеснок быстро доминирует; пережжённый чеснок очень горький; хранить и обрабатывать по пищевым нормам</x:v>
      </x:c>
      <x:c r="W1095" s="28" t="str">
        <x:v>соль, кислота или ароматический жир</x:v>
      </x:c>
      <x:c r="X1095" s="28" t="str">
        <x:v>горячее блюдо, бульон, соус, пюре, ферментация или гарнир с соевый напиток</x:v>
      </x:c>
      <x:c r="Y1095" s="28" t="str">
        <x:v>напитки, еда, соусы/маринады</x:v>
      </x:c>
      <x:c r="Z1095" s="28" t="str">
        <x:v>Средняя</x:v>
      </x:c>
      <x:c r="AA1095" s="28" t="str">
        <x:v>The Art &amp; Science of Foodpairing.pdf</x:v>
      </x:c>
      <x:c r="AB1095" s="28" t="str">
        <x:v>The Art &amp; Science of Foodpairing.pdf: 113</x:v>
      </x:c>
      <x:c r="AC1095" s="28" t="str">
        <x:v>связь из pairing grid, стр. 113</x:v>
      </x:c>
      <x:c r="AD1095" s="28" t="n">
        <x:v>1</x:v>
      </x:c>
      <x:c r="AE1095" s="28" t="n">
        <x:v>1</x:v>
      </x:c>
      <x:c r="AF1095" s="28" t="n">
        <x:f>IF(Z1095="Высокая",3,IF(Z1095="Средняя",2,1))+AD1095*2+MIN(AE1095,3)</x:f>
        <x:v>5</x:v>
      </x:c>
    </x:row>
    <x:row r="1096" ht="64" customHeight="1">
      <x:c r="A1096" s="28" t="str">
        <x:v>VEG-1095</x:v>
      </x:c>
      <x:c r="B1096" s="28" t="str">
        <x:v>чеснок</x:v>
      </x:c>
      <x:c r="C1096" s="28" t="str">
        <x:v>Еда и соусы</x:v>
      </x:c>
      <x:c r="D1096" s="28" t="str">
        <x:v>чеснок</x:v>
      </x:c>
      <x:c r="E1096" s="28" t="str">
        <x:v>garlic</x:v>
      </x:c>
      <x:c r="F1096" s="28" t="str">
        <x:v>Луковые овощи</x:v>
      </x:c>
      <x:c r="G1096" s="28" t="str">
        <x:v>солёные анчоусы</x:v>
      </x:c>
      <x:c r="H1096" s="28" t="str">
        <x:v>salted anchovies</x:v>
      </x:c>
      <x:c r="I1096" s="28" t="str">
        <x:v>Рыба и морепродукты</x:v>
      </x:c>
      <x:c r="J1096" s="28" t="str">
        <x:v>резкий сернистый, зелёный и мясной; после запекания — сладкий и ореховый</x:v>
      </x:c>
      <x:c r="K1096" s="28" t="str">
        <x:v>морской, солоноватый и умами</x:v>
      </x:c>
      <x:c r="L1096" s="28" t="str">
        <x:v>аллицин, диаллилдисульфид, диаллилтрисульфид, метантиол</x:v>
      </x:c>
      <x:c r="M1096" s="28" t="str">
        <x:v>альдегиды, амины</x:v>
      </x:c>
      <x:c r="N1096" s="28" t="str">
        <x:v>умами</x:v>
      </x:c>
      <x:c r="O1096" s="28" t="str">
        <x:v>надёжная общая ключевая молекула не установлена</x:v>
      </x:c>
      <x:c r="P1096" s="28" t="str">
        <x:v>пересечение ароматических семейств; умами и солёный контраст; сернистая или горчичная комплементарность</x:v>
      </x:c>
      <x:c r="Q109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6" s="28" t="str">
        <x:v>сильное жжение и раздражение тройничного нерва</x:v>
      </x:c>
      <x:c r="S1096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09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6" s="28" t="str">
        <x:v>Чеснок имеет профиль «резкий сернистый, зелёный и мясной; после запекания — сладкий и ореховый». Партнёр «солёные 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6" s="28" t="str">
        <x:v>сырой чеснок быстро доминирует; пережжённый чеснок очень горький; хранить и обрабатывать по пищевым нормам</x:v>
      </x:c>
      <x:c r="W1096" s="28" t="str">
        <x:v>сливочное масло, соевый соус или тимьян</x:v>
      </x:c>
      <x:c r="X1096" s="28" t="str">
        <x:v>горячее блюдо, бульон, соус, пюре, ферментация или гарнир с солёные анчоусы</x:v>
      </x:c>
      <x:c r="Y1096" s="28" t="str">
        <x:v>еда, соусы/маринады</x:v>
      </x:c>
      <x:c r="Z1096" s="28" t="str">
        <x:v>Средняя</x:v>
      </x:c>
      <x:c r="AA1096" s="28" t="str">
        <x:v>The Art &amp; Science of Foodpairing.pdf</x:v>
      </x:c>
      <x:c r="AB1096" s="28" t="str">
        <x:v>The Art &amp; Science of Foodpairing.pdf: 113</x:v>
      </x:c>
      <x:c r="AC1096" s="28" t="str">
        <x:v>связь из pairing grid, стр. 113</x:v>
      </x:c>
      <x:c r="AD1096" s="28" t="n">
        <x:v>1</x:v>
      </x:c>
      <x:c r="AE1096" s="28" t="n">
        <x:v>1</x:v>
      </x:c>
      <x:c r="AF1096" s="28" t="n">
        <x:f>IF(Z1096="Высокая",3,IF(Z1096="Средняя",2,1))+AD1096*2+MIN(AE1096,3)</x:f>
        <x:v>5</x:v>
      </x:c>
    </x:row>
    <x:row r="1097" ht="64" customHeight="1">
      <x:c r="A1097" s="28" t="str">
        <x:v>VEG-1096</x:v>
      </x:c>
      <x:c r="B1097" s="28" t="str">
        <x:v>чеснок</x:v>
      </x:c>
      <x:c r="C1097" s="28" t="str">
        <x:v>Универсальные</x:v>
      </x:c>
      <x:c r="D1097" s="28" t="str">
        <x:v>чеснок</x:v>
      </x:c>
      <x:c r="E1097" s="28" t="str">
        <x:v>garlic</x:v>
      </x:c>
      <x:c r="F1097" s="28" t="str">
        <x:v>Луковые овощи</x:v>
      </x:c>
      <x:c r="G1097" s="28" t="str">
        <x:v>спаржа</x:v>
      </x:c>
      <x:c r="H1097" s="28" t="str">
        <x:v>poached white asparagus</x:v>
      </x:c>
      <x:c r="I1097" s="28" t="str">
        <x:v>Побеговые овощи</x:v>
      </x:c>
      <x:c r="J1097" s="28" t="str">
        <x:v>резкий сернистый, зелёный и мясной; после запекания — сладкий и ореховый</x:v>
      </x:c>
      <x:c r="K1097" s="28" t="str">
        <x:v>зелёный, сернистый, ореховый и слегка сладкий</x:v>
      </x:c>
      <x:c r="L1097" s="28" t="str">
        <x:v>аллицин, диаллилдисульфид, диаллилтрисульфид, метантиол</x:v>
      </x:c>
      <x:c r="M1097" s="28" t="str">
        <x:v>аспарагусовая кислота, диметилсульфид, метантиол, пиразины</x:v>
      </x:c>
      <x:c r="N1097" s="28" t="str">
        <x:v>сернистый</x:v>
      </x:c>
      <x:c r="O1097" s="28" t="str">
        <x:v>метантиол</x:v>
      </x:c>
      <x:c r="P1097" s="28" t="str">
        <x:v>общие характерные молекулы; пересечение ароматических семейств; сернистая или горчичная комплементарность</x:v>
      </x:c>
      <x:c r="Q109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7" s="28" t="str">
        <x:v>сильное жжение и раздражение тройничного нерва</x:v>
      </x:c>
      <x:c r="S1097" s="28" t="str">
        <x:v>водная луковичная матрица; реакция начинается после повреждения клеток</x:v>
      </x:c>
      <x:c r="T109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7" s="28" t="str">
        <x:v>Чеснок имеет профиль «резкий сернистый, зелёный и мясной; после запекания — сладкий и ореховый». Партнёр «спаржа» относится к группе «Побеговые овощи» и даёт зелёный, сернистый, ореховый и слегка сладкий.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7" s="28" t="str">
        <x:v>сырой чеснок быстро доминирует; пережжённый чеснок очень горький; хранить и обрабатывать по пищевым нормам</x:v>
      </x:c>
      <x:c r="W1097" s="28" t="str">
        <x:v>соль, кислота или ароматический жир</x:v>
      </x:c>
      <x:c r="X1097" s="28" t="str">
        <x:v>горячее блюдо, бульон, соус, пюре, ферментация или гарнир с спаржа</x:v>
      </x:c>
      <x:c r="Y1097" s="28" t="str">
        <x:v>еда, соусы/маринады</x:v>
      </x:c>
      <x:c r="Z1097" s="28" t="str">
        <x:v>Средняя</x:v>
      </x:c>
      <x:c r="AA1097" s="28" t="str">
        <x:v>The Art &amp; Science of Foodpairing.pdf</x:v>
      </x:c>
      <x:c r="AB1097" s="28" t="str">
        <x:v>The Art &amp; Science of Foodpairing.pdf: 114</x:v>
      </x:c>
      <x:c r="AC1097" s="28" t="str">
        <x:v>связь из pairing grid, стр. 114</x:v>
      </x:c>
      <x:c r="AD1097" s="28" t="n">
        <x:v>1</x:v>
      </x:c>
      <x:c r="AE1097" s="28" t="n">
        <x:v>1</x:v>
      </x:c>
      <x:c r="AF1097" s="28" t="n">
        <x:f>IF(Z1097="Высокая",3,IF(Z1097="Средняя",2,1))+AD1097*2+MIN(AE1097,3)</x:f>
        <x:v>5</x:v>
      </x:c>
    </x:row>
    <x:row r="1098" ht="64" customHeight="1">
      <x:c r="A1098" s="28" t="str">
        <x:v>VEG-1097</x:v>
      </x:c>
      <x:c r="B1098" s="28" t="str">
        <x:v>чеснок</x:v>
      </x:c>
      <x:c r="C1098" s="28" t="str">
        <x:v>Универсальные</x:v>
      </x:c>
      <x:c r="D1098" s="28" t="str">
        <x:v>чеснок</x:v>
      </x:c>
      <x:c r="E1098" s="28" t="str">
        <x:v>garlic</x:v>
      </x:c>
      <x:c r="F1098" s="28" t="str">
        <x:v>Луковые овощи</x:v>
      </x:c>
      <x:c r="G1098" s="28" t="str">
        <x:v>стилтон</x:v>
      </x:c>
      <x:c r="H1098" s="28" t="str">
        <x:v>Stilton</x:v>
      </x:c>
      <x:c r="I1098" s="28" t="str">
        <x:v>Прочее</x:v>
      </x:c>
      <x:c r="J1098" s="28" t="str">
        <x:v>резкий сернистый, зелёный и мясной; после запекания — сладкий и ореховый</x:v>
      </x:c>
      <x:c r="K1098" s="28" t="str">
        <x:v>профиль зависит от конкретного продукта</x:v>
      </x:c>
      <x:c r="L1098" s="28" t="str">
        <x:v>аллицин, диаллилдисульфид, диаллилтрисульфид, метантиол</x:v>
      </x:c>
      <x:c r="M1098" s="28" t="str">
        <x:v>конкретный молекулярный профиль не указан</x:v>
      </x:c>
      <x:c r="N1098" s="28" t="str">
        <x:v>прямое пересечение семейств не подтверждено</x:v>
      </x:c>
      <x:c r="O1098" s="28" t="str">
        <x:v>надёжная общая ключевая молекула не установлена</x:v>
      </x:c>
      <x:c r="P1098" s="28" t="str">
        <x:v>сернистая или горчичная комплементарность</x:v>
      </x:c>
      <x:c r="Q109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8" s="28" t="str">
        <x:v>сильное жжение и раздражение тройничного нерва</x:v>
      </x:c>
      <x:c r="S1098" s="28" t="str">
        <x:v>водная луковичная матрица; реакция начинается после повреждения клеток</x:v>
      </x:c>
      <x:c r="T109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8" s="28" t="str">
        <x:v>Чеснок имеет профиль «резкий сернистый, зелёный и мясной; после запекания — сладкий и ореховый». Партнёр «стилтон»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8" s="28" t="str">
        <x:v>сырой чеснок быстро доминирует; пережжённый чеснок очень горький; хранить и обрабатывать по пищевым нормам</x:v>
      </x:c>
      <x:c r="W1098" s="28" t="str">
        <x:v>соль, кислота или ароматический жир</x:v>
      </x:c>
      <x:c r="X1098" s="28" t="str">
        <x:v>горячее блюдо, бульон, соус, пюре, ферментация или гарнир с стилтон</x:v>
      </x:c>
      <x:c r="Y1098" s="28" t="str">
        <x:v>еда, соусы/маринады</x:v>
      </x:c>
      <x:c r="Z1098" s="28" t="str">
        <x:v>Средняя</x:v>
      </x:c>
      <x:c r="AA1098" s="28" t="str">
        <x:v>The Art &amp; Science of Foodpairing.pdf</x:v>
      </x:c>
      <x:c r="AB1098" s="28" t="str">
        <x:v>The Art &amp; Science of Foodpairing.pdf: 114</x:v>
      </x:c>
      <x:c r="AC1098" s="28" t="str">
        <x:v>связь из pairing grid, стр. 114</x:v>
      </x:c>
      <x:c r="AD1098" s="28" t="n">
        <x:v>1</x:v>
      </x:c>
      <x:c r="AE1098" s="28" t="n">
        <x:v>1</x:v>
      </x:c>
      <x:c r="AF1098" s="28" t="n">
        <x:f>IF(Z1098="Высокая",3,IF(Z1098="Средняя",2,1))+AD1098*2+MIN(AE1098,3)</x:f>
        <x:v>5</x:v>
      </x:c>
    </x:row>
    <x:row r="1099" ht="64" customHeight="1">
      <x:c r="A1099" s="28" t="str">
        <x:v>VEG-1098</x:v>
      </x:c>
      <x:c r="B1099" s="28" t="str">
        <x:v>чеснок</x:v>
      </x:c>
      <x:c r="C1099" s="28" t="str">
        <x:v>Десерты и выпечка</x:v>
      </x:c>
      <x:c r="D1099" s="28" t="str">
        <x:v>чеснок</x:v>
      </x:c>
      <x:c r="E1099" s="28" t="str">
        <x:v>garlic</x:v>
      </x:c>
      <x:c r="F1099" s="28" t="str">
        <x:v>Луковые овощи</x:v>
      </x:c>
      <x:c r="G1099" s="28" t="str">
        <x:v>сыр</x:v>
      </x:c>
      <x:c r="H1099" s="28" t="str">
        <x:v>Carre de l'Est cheese | Parmesan-style cheese | ldiazabal cheese | semi-hard goats' cheese</x:v>
      </x:c>
      <x:c r="I1099" s="28" t="str">
        <x:v>Молочные продукты и сыры</x:v>
      </x:c>
      <x:c r="J1099" s="28" t="str">
        <x:v>резкий сернистый, зелёный и мясной; после запекания — сладкий и ореховый</x:v>
      </x:c>
      <x:c r="K1099" s="28" t="str">
        <x:v>молочный, умами, ферментированный</x:v>
      </x:c>
      <x:c r="L1099" s="28" t="str">
        <x:v>аллицин, диаллилдисульфид, диаллилтрисульфид, метантиол</x:v>
      </x:c>
      <x:c r="M1099" s="28" t="str">
        <x:v>диацетил, жирные кислоты</x:v>
      </x:c>
      <x:c r="N1099" s="28" t="str">
        <x:v>умами</x:v>
      </x:c>
      <x:c r="O1099" s="28" t="str">
        <x:v>надёжная общая ключевая молекула не установлена</x:v>
      </x:c>
      <x:c r="P1099" s="28" t="str">
        <x:v>пересечение ароматических семейств; жировая матрица; сернистая или горчичная комплементарность</x:v>
      </x:c>
      <x:c r="Q109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099" s="28" t="str">
        <x:v>сильное жжение и раздражение тройничного нерва</x:v>
      </x:c>
      <x:c r="S1099" s="28" t="str">
        <x:v>водная луковичная матрица; реакция начинается после повреждения клеток Жировая фаза удерживает гидрофобные молекулы, но может сделать вкус тяжёлым.</x:v>
      </x:c>
      <x:c r="T109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099" s="28" t="str">
        <x:v>Чеснок имеет профиль «резкий сернистый, зелёный и мясной; после запекания — сладкий и ореховый». Партнёр «сыр»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099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W1099" s="28" t="str">
        <x:v>кислота, зелень или жареный орех</x:v>
      </x:c>
      <x:c r="X1099" s="28" t="str">
        <x:v>горячее блюдо, бульон, соус, пюре, ферментация или гарнир с сыр</x:v>
      </x:c>
      <x:c r="Y1099" s="28" t="str">
        <x:v>еда, десерты, соусы/маринады</x:v>
      </x:c>
      <x:c r="Z1099" s="28" t="str">
        <x:v>Средняя</x:v>
      </x:c>
      <x:c r="AA1099" s="28" t="str">
        <x:v>The Art &amp; Science of Foodpairing.pdf</x:v>
      </x:c>
      <x:c r="AB1099" s="28" t="str">
        <x:v>The Art &amp; Science of Foodpairing.pdf: 113, 114</x:v>
      </x:c>
      <x:c r="AC1099" s="28" t="str">
        <x:v>связь из pairing grid, стр. 113; связь из pairing grid, стр. 114; связь из pairing grid, стр. 114; связь из pairing grid, стр. 114</x:v>
      </x:c>
      <x:c r="AD1099" s="28" t="n">
        <x:v>1</x:v>
      </x:c>
      <x:c r="AE1099" s="28" t="n">
        <x:v>4</x:v>
      </x:c>
      <x:c r="AF1099" s="28" t="n">
        <x:f>IF(Z1099="Высокая",3,IF(Z1099="Средняя",2,1))+AD1099*2+MIN(AE1099,3)</x:f>
        <x:v>7</x:v>
      </x:c>
    </x:row>
    <x:row r="1100" ht="64" customHeight="1">
      <x:c r="A1100" s="28" t="str">
        <x:v>VEG-1099</x:v>
      </x:c>
      <x:c r="B1100" s="28" t="str">
        <x:v>чеснок</x:v>
      </x:c>
      <x:c r="C1100" s="28" t="str">
        <x:v>Универсальные</x:v>
      </x:c>
      <x:c r="D1100" s="28" t="str">
        <x:v>чеснок</x:v>
      </x:c>
      <x:c r="E1100" s="28" t="str">
        <x:v>garlic</x:v>
      </x:c>
      <x:c r="F1100" s="28" t="str">
        <x:v>Луковые овощи</x:v>
      </x:c>
      <x:c r="G1100" s="28" t="str">
        <x:v>таитянская ваниль</x:v>
      </x:c>
      <x:c r="H1100" s="28" t="str">
        <x:v>Tahitian vanilla</x:v>
      </x:c>
      <x:c r="I1100" s="28" t="str">
        <x:v>Специи</x:v>
      </x:c>
      <x:c r="J1100" s="28" t="str">
        <x:v>резкий сернистый, зелёный и мясной; после запекания — сладкий и ореховый</x:v>
      </x:c>
      <x:c r="K1100" s="28" t="str">
        <x:v>ванильный, древесный, цветочный</x:v>
      </x:c>
      <x:c r="L1100" s="28" t="str">
        <x:v>аллицин, диаллилдисульфид, диаллилтрисульфид, метантиол</x:v>
      </x:c>
      <x:c r="M1100" s="28" t="str">
        <x:v>ванилин</x:v>
      </x:c>
      <x:c r="N1100" s="28" t="str">
        <x:v>прямое пересечение семейств не подтверждено</x:v>
      </x:c>
      <x:c r="O1100" s="28" t="str">
        <x:v>надёжная общая ключевая молекула не установлена</x:v>
      </x:c>
      <x:c r="P1100" s="28" t="str">
        <x:v>сернистая или горчичная комплементарность</x:v>
      </x:c>
      <x:c r="Q110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0" s="28" t="str">
        <x:v>сильное жжение и раздражение тройничного нерва</x:v>
      </x:c>
      <x:c r="S1100" s="28" t="str">
        <x:v>водная луковичная матрица; реакция начинается после повреждения клеток</x:v>
      </x:c>
      <x:c r="T110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0" s="28" t="str">
        <x:v>Чеснок имеет профиль «резкий сернистый, зелёный и мясной; после запекания — сладкий и ореховый». Партнёр «таитянская 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0" s="28" t="str">
        <x:v>сырой чеснок быстро доминирует; пережжённый чеснок очень горький; хранить и обрабатывать по пищевым нормам</x:v>
      </x:c>
      <x:c r="W1100" s="28" t="str">
        <x:v>цитрус, йогурт или мёд</x:v>
      </x:c>
      <x:c r="X1100" s="28" t="str">
        <x:v>горячее блюдо, бульон, соус, пюре, ферментация или гарнир с таитянская ваниль</x:v>
      </x:c>
      <x:c r="Y1100" s="28" t="str">
        <x:v>еда, соусы/маринады</x:v>
      </x:c>
      <x:c r="Z1100" s="28" t="str">
        <x:v>Средняя</x:v>
      </x:c>
      <x:c r="AA1100" s="28" t="str">
        <x:v>The Art &amp; Science of Foodpairing.pdf</x:v>
      </x:c>
      <x:c r="AB1100" s="28" t="str">
        <x:v>The Art &amp; Science of Foodpairing.pdf: 114</x:v>
      </x:c>
      <x:c r="AC1100" s="28" t="str">
        <x:v>связь из pairing grid, стр. 114</x:v>
      </x:c>
      <x:c r="AD1100" s="28" t="n">
        <x:v>1</x:v>
      </x:c>
      <x:c r="AE1100" s="28" t="n">
        <x:v>1</x:v>
      </x:c>
      <x:c r="AF1100" s="28" t="n">
        <x:f>IF(Z1100="Высокая",3,IF(Z1100="Средняя",2,1))+AD1100*2+MIN(AE1100,3)</x:f>
        <x:v>5</x:v>
      </x:c>
    </x:row>
    <x:row r="1101" ht="64" customHeight="1">
      <x:c r="A1101" s="28" t="str">
        <x:v>VEG-1100</x:v>
      </x:c>
      <x:c r="B1101" s="28" t="str">
        <x:v>чеснок</x:v>
      </x:c>
      <x:c r="C1101" s="28" t="str">
        <x:v>Универсальные</x:v>
      </x:c>
      <x:c r="D1101" s="28" t="str">
        <x:v>чеснок</x:v>
      </x:c>
      <x:c r="E1101" s="28" t="str">
        <x:v>garlic</x:v>
      </x:c>
      <x:c r="F1101" s="28" t="str">
        <x:v>Луковые овощи</x:v>
      </x:c>
      <x:c r="G1101" s="28" t="str">
        <x:v>тамаринд</x:v>
      </x:c>
      <x:c r="H1101" s="28" t="str">
        <x:v>tamarind</x:v>
      </x:c>
      <x:c r="I1101" s="28" t="str">
        <x:v>Прочее</x:v>
      </x:c>
      <x:c r="J1101" s="28" t="str">
        <x:v>резкий сернистый, зелёный и мясной; после запекания — сладкий и ореховый</x:v>
      </x:c>
      <x:c r="K1101" s="28" t="str">
        <x:v>профиль зависит от конкретного продукта</x:v>
      </x:c>
      <x:c r="L1101" s="28" t="str">
        <x:v>аллицин, диаллилдисульфид, диаллилтрисульфид, метантиол</x:v>
      </x:c>
      <x:c r="M1101" s="28" t="str">
        <x:v>конкретный молекулярный профиль не указан</x:v>
      </x:c>
      <x:c r="N1101" s="28" t="str">
        <x:v>прямое пересечение семейств не подтверждено</x:v>
      </x:c>
      <x:c r="O1101" s="28" t="str">
        <x:v>надёжная общая ключевая молекула не установлена</x:v>
      </x:c>
      <x:c r="P1101" s="28" t="str">
        <x:v>сернистая или горчичная комплементарность</x:v>
      </x:c>
      <x:c r="Q110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1" s="28" t="str">
        <x:v>сильное жжение и раздражение тройничного нерва</x:v>
      </x:c>
      <x:c r="S1101" s="28" t="str">
        <x:v>водная луковичная матрица; реакция начинается после повреждения клеток</x:v>
      </x:c>
      <x:c r="T110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1" s="28" t="str">
        <x:v>Чеснок имеет профиль «резкий сернистый, зелёный и мясной; после запекания — сладкий и ореховый». Партнёр «тамаринд»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1" s="28" t="str">
        <x:v>сырой чеснок быстро доминирует; пережжённый чеснок очень горький; хранить и обрабатывать по пищевым нормам</x:v>
      </x:c>
      <x:c r="W1101" s="28" t="str">
        <x:v>соль, кислота или ароматический жир</x:v>
      </x:c>
      <x:c r="X1101" s="28" t="str">
        <x:v>горячее блюдо, бульон, соус, пюре, ферментация или гарнир с тамаринд</x:v>
      </x:c>
      <x:c r="Y1101" s="28" t="str">
        <x:v>еда, соусы/маринады</x:v>
      </x:c>
      <x:c r="Z1101" s="28" t="str">
        <x:v>Высокая</x:v>
      </x:c>
      <x:c r="AA1101" s="28" t="str">
        <x:v>The Art &amp; Science of Foodpairing.pdf</x:v>
      </x:c>
      <x:c r="AB1101" s="28" t="str">
        <x:v>The Art &amp; Science of Foodpairing.pdf: 114</x:v>
      </x:c>
      <x:c r="AC1101" s="28" t="str">
        <x:v>прямая Classic pairing, стр. 114; связь из pairing grid, стр. 114</x:v>
      </x:c>
      <x:c r="AD1101" s="28" t="n">
        <x:v>1</x:v>
      </x:c>
      <x:c r="AE1101" s="28" t="n">
        <x:v>2</x:v>
      </x:c>
      <x:c r="AF1101" s="28" t="n">
        <x:f>IF(Z1101="Высокая",3,IF(Z1101="Средняя",2,1))+AD1101*2+MIN(AE1101,3)</x:f>
        <x:v>7</x:v>
      </x:c>
    </x:row>
    <x:row r="1102" ht="64" customHeight="1">
      <x:c r="A1102" s="28" t="str">
        <x:v>VEG-1101</x:v>
      </x:c>
      <x:c r="B1102" s="28" t="str">
        <x:v>чеснок</x:v>
      </x:c>
      <x:c r="C1102" s="28" t="str">
        <x:v>Универсальные</x:v>
      </x:c>
      <x:c r="D1102" s="28" t="str">
        <x:v>чеснок</x:v>
      </x:c>
      <x:c r="E1102" s="28" t="str">
        <x:v>garlic | Чеснок | чеснок</x:v>
      </x:c>
      <x:c r="F1102" s="28" t="str">
        <x:v>Луковые овощи</x:v>
      </x:c>
      <x:c r="G1102" s="28" t="str">
        <x:v>тимьян</x:v>
      </x:c>
      <x:c r="H1102" s="28" t="str">
        <x:v>thyme | Тимьян | тимьян</x:v>
      </x:c>
      <x:c r="I1102" s="28" t="str">
        <x:v>Травы, цветы и листья</x:v>
      </x:c>
      <x:c r="J1102" s="28" t="str">
        <x:v>резкий сернистый, зелёный и мясной; после запекания — сладкий и ореховый</x:v>
      </x:c>
      <x:c r="K1102" s="28" t="str">
        <x:v>древесный, зелёный, фенольный</x:v>
      </x:c>
      <x:c r="L1102" s="28" t="str">
        <x:v>аллицин, диаллилдисульфид, диаллилтрисульфид, метантиол</x:v>
      </x:c>
      <x:c r="M1102" s="28" t="str">
        <x:v>карвакрол, тимол</x:v>
      </x:c>
      <x:c r="N1102" s="28" t="str">
        <x:v>прямое пересечение семейств не подтверждено</x:v>
      </x:c>
      <x:c r="O1102" s="28" t="str">
        <x:v>надёжная общая ключевая молекула не установлена</x:v>
      </x:c>
      <x:c r="P1102" s="28" t="str">
        <x:v>сернистая или горчичная комплементарность</x:v>
      </x:c>
      <x:c r="Q110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2" s="28" t="str">
        <x:v>сильное жжение и раздражение тройничного нерва</x:v>
      </x:c>
      <x:c r="S1102" s="28" t="str">
        <x:v>водная луковичная матрица; реакция начинается после повреждения клеток</x:v>
      </x:c>
      <x:c r="T110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2" s="28" t="str">
        <x:v>Чеснок имеет профиль «резкий сернистый, зелёный и мясной; после запекания — сладкий и ореховый».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2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W1102" s="28" t="str">
        <x:v>оливковое масло, лимон или сыр</x:v>
      </x:c>
      <x:c r="X1102" s="28" t="str">
        <x:v>горячее блюдо, бульон, соус, пюре, ферментация или гарнир с тимьян</x:v>
      </x:c>
      <x:c r="Y1102" s="28" t="str">
        <x:v>еда, соусы/маринады</x:v>
      </x:c>
      <x:c r="Z1102" s="28" t="str">
        <x:v>Высокая</x:v>
      </x:c>
      <x:c r="AA1102" s="28" t="str">
        <x:v>The Art &amp; Science of Foodpairing.pdf | Тезариус вкусов (Ники Сегнит)(1).pdf</x:v>
      </x:c>
      <x:c r="AB1102" s="28" t="str">
        <x:v>Тезариус вкусов (Ники Сегнит)(1).pdf: 210, 298, 862; The Art &amp; Science of Foodpairing.pdf: 114</x:v>
      </x:c>
      <x:c r="AC1102" s="28" t="str">
        <x:v>развёрнутая пара/статья, стр. 210; развёрнутая пара/статья, стр. 298; развёрнутая пара/статья, стр. 862; связь из pairing grid, стр. 114</x:v>
      </x:c>
      <x:c r="AD1102" s="28" t="n">
        <x:v>2</x:v>
      </x:c>
      <x:c r="AE1102" s="28" t="n">
        <x:v>4</x:v>
      </x:c>
      <x:c r="AF1102" s="28" t="n">
        <x:f>IF(Z1102="Высокая",3,IF(Z1102="Средняя",2,1))+AD1102*2+MIN(AE1102,3)</x:f>
        <x:v>10</x:v>
      </x:c>
    </x:row>
    <x:row r="1103" ht="64" customHeight="1">
      <x:c r="A1103" s="28" t="str">
        <x:v>VEG-1102</x:v>
      </x:c>
      <x:c r="B1103" s="28" t="str">
        <x:v>чеснок</x:v>
      </x:c>
      <x:c r="C1103" s="28" t="str">
        <x:v>Универсальные</x:v>
      </x:c>
      <x:c r="D1103" s="28" t="str">
        <x:v>чеснок</x:v>
      </x:c>
      <x:c r="E1103" s="28" t="str">
        <x:v>fried garlic | garlic | Чеснок | чеснок</x:v>
      </x:c>
      <x:c r="F1103" s="28" t="str">
        <x:v>Луковые овощи</x:v>
      </x:c>
      <x:c r="G1103" s="28" t="str">
        <x:v>томат</x:v>
      </x:c>
      <x:c r="H1103" s="28" t="str">
        <x:v>canned tomato | tomato and tomato puree | Томаты | томаты</x:v>
      </x:c>
      <x:c r="I1103" s="28" t="str">
        <x:v>Плодовые овощи</x:v>
      </x:c>
      <x:c r="J1103" s="28" t="str">
        <x:v>резкий сернистый, зелёный и мясной; после запекания — сладкий и ореховый</x:v>
      </x:c>
      <x:c r="K1103" s="28" t="str">
        <x:v>зелёный, фруктовый, листовой, сернистый и умами</x:v>
      </x:c>
      <x:c r="L1103" s="28" t="str">
        <x:v>аллицин, диаллилдисульфид, диаллилтрисульфид, метантиол</x:v>
      </x:c>
      <x:c r="M1103" s="28" t="str">
        <x:v>β-ионон, гексаналь, глутамат, метиональ, цис-3-гексеналь</x:v>
      </x:c>
      <x:c r="N1103" s="28" t="str">
        <x:v>сернистый, умами</x:v>
      </x:c>
      <x:c r="O1103" s="28" t="str">
        <x:v>надёжная общая ключевая молекула не установлена</x:v>
      </x:c>
      <x:c r="P1103" s="28" t="str">
        <x:v>пересечение ароматических семейств; сернистая или горчичная комплементарность</x:v>
      </x:c>
      <x:c r="Q110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3" s="28" t="str">
        <x:v>сильное жжение и раздражение тройничного нерва</x:v>
      </x:c>
      <x:c r="S1103" s="28" t="str">
        <x:v>водная луковичная матрица; реакция начинается после повреждения клеток</x:v>
      </x:c>
      <x:c r="T110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3" s="28" t="str">
        <x:v>Чеснок имеет профиль «резкий сернистый, зелёный и мясной; после запекания — сладкий и ореховый». Партнёр «томат» относится к группе «Плодовые овощи» и даёт зелёный, фруктовый, листовой, сернистый и умами. Профили пересекаются в семействах: сернистый, умами.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3" s="28" t="str">
        <x:v>сырой чеснок быстро доминирует; пережжённый чеснок очень горький; хранить и обрабатывать по пищевым нормам</x:v>
      </x:c>
      <x:c r="W1103" s="28" t="str">
        <x:v>соль, кислота или ароматический жир</x:v>
      </x:c>
      <x:c r="X1103" s="28" t="str">
        <x:v>горячее блюдо, бульон, соус, пюре, ферментация или гарнир с томат</x:v>
      </x:c>
      <x:c r="Y1103" s="28" t="str">
        <x:v>еда, соусы/маринады</x:v>
      </x:c>
      <x:c r="Z1103" s="28" t="str">
        <x:v>Высокая</x:v>
      </x:c>
      <x:c r="AA1103" s="28" t="str">
        <x:v>The Art &amp; Science of Foodpairing.pdf | Тезариус вкусов (Ники Сегнит)(1).pdf</x:v>
      </x:c>
      <x:c r="AB1103" s="28" t="str">
        <x:v>Тезариус вкусов (Ники Сегнит)(1).pdf: 299, 690; The Art &amp; Science of Foodpairing.pdf: 114, 161</x:v>
      </x:c>
      <x:c r="AC1103" s="28" t="str">
        <x:v>развёрнутая пара/статья, стр. 299; развёрнутая пара/статья, стр. 690; связь из pairing grid, стр. 114; связь из pairing grid, стр. 161</x:v>
      </x:c>
      <x:c r="AD1103" s="28" t="n">
        <x:v>2</x:v>
      </x:c>
      <x:c r="AE1103" s="28" t="n">
        <x:v>4</x:v>
      </x:c>
      <x:c r="AF1103" s="28" t="n">
        <x:f>IF(Z1103="Высокая",3,IF(Z1103="Средняя",2,1))+AD1103*2+MIN(AE1103,3)</x:f>
        <x:v>10</x:v>
      </x:c>
    </x:row>
    <x:row r="1104" ht="64" customHeight="1">
      <x:c r="A1104" s="28" t="str">
        <x:v>VEG-1103</x:v>
      </x:c>
      <x:c r="B1104" s="28" t="str">
        <x:v>чеснок</x:v>
      </x:c>
      <x:c r="C1104" s="28" t="str">
        <x:v>Еда и соусы</x:v>
      </x:c>
      <x:c r="D1104" s="28" t="str">
        <x:v>чеснок</x:v>
      </x:c>
      <x:c r="E1104" s="28" t="str">
        <x:v>Чеснок | чеснок</x:v>
      </x:c>
      <x:c r="F1104" s="28" t="str">
        <x:v>Луковые овощи</x:v>
      </x:c>
      <x:c r="G1104" s="28" t="str">
        <x:v>трюфель</x:v>
      </x:c>
      <x:c r="H1104" s="28" t="str">
        <x:v>Трюфель | трюфель</x:v>
      </x:c>
      <x:c r="I1104" s="28" t="str">
        <x:v>Грибы</x:v>
      </x:c>
      <x:c r="J1104" s="28" t="str">
        <x:v>резкий сернистый, зелёный и мясной; после запекания — сладкий и ореховый</x:v>
      </x:c>
      <x:c r="K1104" s="28" t="str">
        <x:v>землистый, грибной и умами</x:v>
      </x:c>
      <x:c r="L1104" s="28" t="str">
        <x:v>аллицин, диаллилдисульфид, диаллилтрисульфид, метантиол</x:v>
      </x:c>
      <x:c r="M1104" s="28" t="str">
        <x:v>1-октен-3-ол, сернистые соединения</x:v>
      </x:c>
      <x:c r="N1104" s="28" t="str">
        <x:v>жареный, умами</x:v>
      </x:c>
      <x:c r="O1104" s="28" t="str">
        <x:v>надёжная общая ключевая молекула не установлена</x:v>
      </x:c>
      <x:c r="P1104" s="28" t="str">
        <x:v>пересечение ароматических семейств; умами и солёный контраст; сернистая или горчичная комплементарность</x:v>
      </x:c>
      <x:c r="Q110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4" s="28" t="str">
        <x:v>сильное жжение и раздражение тройничного нерва</x:v>
      </x:c>
      <x:c r="S1104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10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4" s="28" t="str">
        <x:v>Чеснок имеет профиль «резкий сернистый, зелёный и мясной; после запекания — сладкий и ореховый». Партнёр «трюфель» относится к группе «Грибы» и даёт землистый, грибной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4" s="28" t="str">
        <x:v>сырой чеснок быстро доминирует; пережжённый чеснок очень горький; хранить и обрабатывать по пищевым нормам</x:v>
      </x:c>
      <x:c r="W1104" s="28" t="str">
        <x:v>соль, кислота или ароматический жир</x:v>
      </x:c>
      <x:c r="X1104" s="28" t="str">
        <x:v>горячее блюдо, бульон, соус, пюре, ферментация или гарнир с трюфель</x:v>
      </x:c>
      <x:c r="Y1104" s="28" t="str">
        <x:v>еда, соусы/маринады</x:v>
      </x:c>
      <x:c r="Z1104" s="28" t="str">
        <x:v>Средняя</x:v>
      </x:c>
      <x:c r="AA1104" s="28" t="str">
        <x:v>Тезариус вкусов (Ники Сегнит)(1).pdf</x:v>
      </x:c>
      <x:c r="AB1104" s="28" t="str">
        <x:v>Тезариус вкусов (Ники Сегнит)(1).pdf: 299, 307</x:v>
      </x:c>
      <x:c r="AC1104" s="28" t="str">
        <x:v>развёрнутая пара/статья, стр. 299; развёрнутая пара/статья, стр. 307</x:v>
      </x:c>
      <x:c r="AD1104" s="28" t="n">
        <x:v>1</x:v>
      </x:c>
      <x:c r="AE1104" s="28" t="n">
        <x:v>2</x:v>
      </x:c>
      <x:c r="AF1104" s="28" t="n">
        <x:f>IF(Z1104="Высокая",3,IF(Z1104="Средняя",2,1))+AD1104*2+MIN(AE1104,3)</x:f>
        <x:v>6</x:v>
      </x:c>
    </x:row>
    <x:row r="1105" ht="64" customHeight="1">
      <x:c r="A1105" s="28" t="str">
        <x:v>VEG-1104</x:v>
      </x:c>
      <x:c r="B1105" s="28" t="str">
        <x:v>чеснок</x:v>
      </x:c>
      <x:c r="C1105" s="28" t="str">
        <x:v>Универсальные</x:v>
      </x:c>
      <x:c r="D1105" s="28" t="str">
        <x:v>чеснок</x:v>
      </x:c>
      <x:c r="E1105" s="28" t="str">
        <x:v>garlic</x:v>
      </x:c>
      <x:c r="F1105" s="28" t="str">
        <x:v>Луковые овощи</x:v>
      </x:c>
      <x:c r="G1105" s="28" t="str">
        <x:v>тыква</x:v>
      </x:c>
      <x:c r="H1105" s="28" t="str">
        <x:v>boiled pumpkin</x:v>
      </x:c>
      <x:c r="I1105" s="28" t="str">
        <x:v>Тыквенные</x:v>
      </x:c>
      <x:c r="J1105" s="28" t="str">
        <x:v>резкий сернистый, зелёный и мясной; после запекания — сладкий и ореховый</x:v>
      </x:c>
      <x:c r="K1105" s="28" t="str">
        <x:v>сладкий, крахмалистый, ореховый и слегка цветочный</x:v>
      </x:c>
      <x:c r="L1105" s="28" t="str">
        <x:v>аллицин, диаллилдисульфид, диаллилтрисульфид, метантиол</x:v>
      </x:c>
      <x:c r="M1105" s="28" t="str">
        <x:v>лактоны, норизопреноиды, пиразины, фураны</x:v>
      </x:c>
      <x:c r="N1105" s="28" t="str">
        <x:v>прямое пересечение семейств не подтверждено</x:v>
      </x:c>
      <x:c r="O1105" s="28" t="str">
        <x:v>надёжная общая ключевая молекула не установлена</x:v>
      </x:c>
      <x:c r="P1105" s="28" t="str">
        <x:v>сернистая или горчичная комплементарность</x:v>
      </x:c>
      <x:c r="Q110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5" s="28" t="str">
        <x:v>сильное жжение и раздражение тройничного нерва</x:v>
      </x:c>
      <x:c r="S1105" s="28" t="str">
        <x:v>водная луковичная матрица; реакция начинается после повреждения клеток</x:v>
      </x:c>
      <x:c r="T110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5" s="28" t="str">
        <x:v>Чеснок имеет профиль «резкий сернистый, зелёный и мясной; после запекания — сладкий и ореховый». Партнёр «тыква» относится к группе «Тыквенные» и даёт сладкий, крахмалистый, ореховый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5" s="28" t="str">
        <x:v>сырой чеснок быстро доминирует; пережжённый чеснок очень горький; хранить и обрабатывать по пищевым нормам</x:v>
      </x:c>
      <x:c r="W1105" s="28" t="str">
        <x:v>соль, кислота или ароматический жир</x:v>
      </x:c>
      <x:c r="X1105" s="28" t="str">
        <x:v>горячее блюдо, бульон, соус, пюре, ферментация или гарнир с тыква</x:v>
      </x:c>
      <x:c r="Y1105" s="28" t="str">
        <x:v>еда, соусы/маринады</x:v>
      </x:c>
      <x:c r="Z1105" s="28" t="str">
        <x:v>Средняя</x:v>
      </x:c>
      <x:c r="AA1105" s="28" t="str">
        <x:v>The Art &amp; Science of Foodpairing.pdf</x:v>
      </x:c>
      <x:c r="AB1105" s="28" t="str">
        <x:v>The Art &amp; Science of Foodpairing.pdf: 113</x:v>
      </x:c>
      <x:c r="AC1105" s="28" t="str">
        <x:v>связь из pairing grid, стр. 113; связь из pairing grid, стр. 113</x:v>
      </x:c>
      <x:c r="AD1105" s="28" t="n">
        <x:v>1</x:v>
      </x:c>
      <x:c r="AE1105" s="28" t="n">
        <x:v>2</x:v>
      </x:c>
      <x:c r="AF1105" s="28" t="n">
        <x:f>IF(Z1105="Высокая",3,IF(Z1105="Средняя",2,1))+AD1105*2+MIN(AE1105,3)</x:f>
        <x:v>6</x:v>
      </x:c>
    </x:row>
    <x:row r="1106" ht="64" customHeight="1">
      <x:c r="A1106" s="28" t="str">
        <x:v>VEG-1105</x:v>
      </x:c>
      <x:c r="B1106" s="28" t="str">
        <x:v>чеснок</x:v>
      </x:c>
      <x:c r="C1106" s="28" t="str">
        <x:v>Универсальные</x:v>
      </x:c>
      <x:c r="D1106" s="28" t="str">
        <x:v>чеснок</x:v>
      </x:c>
      <x:c r="E1106" s="28" t="str">
        <x:v>garlic</x:v>
      </x:c>
      <x:c r="F1106" s="28" t="str">
        <x:v>Луковые овощи</x:v>
      </x:c>
      <x:c r="G1106" s="28" t="str">
        <x:v>тыква баттернат</x:v>
      </x:c>
      <x:c r="H1106" s="28" t="str">
        <x:v>boiled butternut squash</x:v>
      </x:c>
      <x:c r="I1106" s="28" t="str">
        <x:v>Тыквенные</x:v>
      </x:c>
      <x:c r="J1106" s="28" t="str">
        <x:v>резкий сернистый, зелёный и мясной; после запекания — сладкий и ореховый</x:v>
      </x:c>
      <x:c r="K1106" s="28" t="str">
        <x:v>сладкий, сливочный, ореховый и карамельный</x:v>
      </x:c>
      <x:c r="L1106" s="28" t="str">
        <x:v>аллицин, диаллилдисульфид, диаллилтрисульфид, метантиол</x:v>
      </x:c>
      <x:c r="M1106" s="28" t="str">
        <x:v>лактоны, мальтол, норизопреноиды, фураны</x:v>
      </x:c>
      <x:c r="N1106" s="28" t="str">
        <x:v>прямое пересечение семейств не подтверждено</x:v>
      </x:c>
      <x:c r="O1106" s="28" t="str">
        <x:v>надёжная общая ключевая молекула не установлена</x:v>
      </x:c>
      <x:c r="P1106" s="28" t="str">
        <x:v>сернистая или горчичная комплементарность</x:v>
      </x:c>
      <x:c r="Q110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6" s="28" t="str">
        <x:v>сильное жжение и раздражение тройничного нерва</x:v>
      </x:c>
      <x:c r="S1106" s="28" t="str">
        <x:v>водная луковичная матрица; реакция начинается после повреждения клеток</x:v>
      </x:c>
      <x:c r="T110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6" s="28" t="str">
        <x:v>Чеснок имеет профиль «резкий сернистый, зелёный и мясной; после запекания — сладкий и ореховый».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6" s="28" t="str">
        <x:v>сырой чеснок быстро доминирует; пережжённый чеснок очень горький; хранить и обрабатывать по пищевым нормам</x:v>
      </x:c>
      <x:c r="W1106" s="28" t="str">
        <x:v>соль, кислота или ароматический жир</x:v>
      </x:c>
      <x:c r="X1106" s="28" t="str">
        <x:v>горячее блюдо, бульон, соус, пюре, ферментация или гарнир с тыква баттернат</x:v>
      </x:c>
      <x:c r="Y1106" s="28" t="str">
        <x:v>еда, соусы/маринады</x:v>
      </x:c>
      <x:c r="Z1106" s="28" t="str">
        <x:v>Средняя</x:v>
      </x:c>
      <x:c r="AA1106" s="28" t="str">
        <x:v>The Art &amp; Science of Foodpairing.pdf</x:v>
      </x:c>
      <x:c r="AB1106" s="28" t="str">
        <x:v>The Art &amp; Science of Foodpairing.pdf: 114</x:v>
      </x:c>
      <x:c r="AC1106" s="28" t="str">
        <x:v>связь из pairing grid, стр. 114</x:v>
      </x:c>
      <x:c r="AD1106" s="28" t="n">
        <x:v>1</x:v>
      </x:c>
      <x:c r="AE1106" s="28" t="n">
        <x:v>1</x:v>
      </x:c>
      <x:c r="AF1106" s="28" t="n">
        <x:f>IF(Z1106="Высокая",3,IF(Z1106="Средняя",2,1))+AD1106*2+MIN(AE1106,3)</x:f>
        <x:v>5</x:v>
      </x:c>
    </x:row>
    <x:row r="1107" ht="64" customHeight="1">
      <x:c r="A1107" s="28" t="str">
        <x:v>VEG-1106</x:v>
      </x:c>
      <x:c r="B1107" s="28" t="str">
        <x:v>чеснок</x:v>
      </x:c>
      <x:c r="C1107" s="28" t="str">
        <x:v>Универсальные</x:v>
      </x:c>
      <x:c r="D1107" s="28" t="str">
        <x:v>чеснок</x:v>
      </x:c>
      <x:c r="E1107" s="28" t="str">
        <x:v>garlic</x:v>
      </x:c>
      <x:c r="F1107" s="28" t="str">
        <x:v>Луковые овощи</x:v>
      </x:c>
      <x:c r="G1107" s="28" t="str">
        <x:v>тюрбо</x:v>
      </x:c>
      <x:c r="H1107" s="28" t="str">
        <x:v>grilled turbot</x:v>
      </x:c>
      <x:c r="I1107" s="28" t="str">
        <x:v>Прочее</x:v>
      </x:c>
      <x:c r="J1107" s="28" t="str">
        <x:v>резкий сернистый, зелёный и мясной; после запекания — сладкий и ореховый</x:v>
      </x:c>
      <x:c r="K1107" s="28" t="str">
        <x:v>профиль зависит от конкретного продукта</x:v>
      </x:c>
      <x:c r="L1107" s="28" t="str">
        <x:v>аллицин, диаллилдисульфид, диаллилтрисульфид, метантиол</x:v>
      </x:c>
      <x:c r="M1107" s="28" t="str">
        <x:v>конкретный молекулярный профиль не указан</x:v>
      </x:c>
      <x:c r="N1107" s="28" t="str">
        <x:v>прямое пересечение семейств не подтверждено</x:v>
      </x:c>
      <x:c r="O1107" s="28" t="str">
        <x:v>надёжная общая ключевая молекула не установлена</x:v>
      </x:c>
      <x:c r="P1107" s="28" t="str">
        <x:v>сернистая или горчичная комплементарность</x:v>
      </x:c>
      <x:c r="Q110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7" s="28" t="str">
        <x:v>сильное жжение и раздражение тройничного нерва</x:v>
      </x:c>
      <x:c r="S1107" s="28" t="str">
        <x:v>водная луковичная матрица; реакция начинается после повреждения клеток</x:v>
      </x:c>
      <x:c r="T110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7" s="28" t="str">
        <x:v>Чеснок имеет профиль «резкий сернистый, зелёный и мясной; после запекания — сладкий и ореховый». Партнёр «тюрбо»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7" s="28" t="str">
        <x:v>сырой чеснок быстро доминирует; пережжённый чеснок очень горький; хранить и обрабатывать по пищевым нормам</x:v>
      </x:c>
      <x:c r="W1107" s="28" t="str">
        <x:v>соль, кислота или ароматический жир</x:v>
      </x:c>
      <x:c r="X1107" s="28" t="str">
        <x:v>горячее блюдо, бульон, соус, пюре, ферментация или гарнир с тюрбо</x:v>
      </x:c>
      <x:c r="Y1107" s="28" t="str">
        <x:v>еда, соусы/маринады</x:v>
      </x:c>
      <x:c r="Z1107" s="28" t="str">
        <x:v>Средняя</x:v>
      </x:c>
      <x:c r="AA1107" s="28" t="str">
        <x:v>The Art &amp; Science of Foodpairing.pdf</x:v>
      </x:c>
      <x:c r="AB1107" s="28" t="str">
        <x:v>The Art &amp; Science of Foodpairing.pdf: 113</x:v>
      </x:c>
      <x:c r="AC1107" s="28" t="str">
        <x:v>связь из pairing grid, стр. 113</x:v>
      </x:c>
      <x:c r="AD1107" s="28" t="n">
        <x:v>1</x:v>
      </x:c>
      <x:c r="AE1107" s="28" t="n">
        <x:v>1</x:v>
      </x:c>
      <x:c r="AF1107" s="28" t="n">
        <x:f>IF(Z1107="Высокая",3,IF(Z1107="Средняя",2,1))+AD1107*2+MIN(AE1107,3)</x:f>
        <x:v>5</x:v>
      </x:c>
    </x:row>
    <x:row r="1108" ht="64" customHeight="1">
      <x:c r="A1108" s="28" t="str">
        <x:v>VEG-1107</x:v>
      </x:c>
      <x:c r="B1108" s="28" t="str">
        <x:v>чеснок</x:v>
      </x:c>
      <x:c r="C1108" s="28" t="str">
        <x:v>Еда и соусы</x:v>
      </x:c>
      <x:c r="D1108" s="28" t="str">
        <x:v>чеснок</x:v>
      </x:c>
      <x:c r="E1108" s="28" t="str">
        <x:v>garlic</x:v>
      </x:c>
      <x:c r="F1108" s="28" t="str">
        <x:v>Луковые овощи</x:v>
      </x:c>
      <x:c r="G1108" s="28" t="str">
        <x:v>устрица</x:v>
      </x:c>
      <x:c r="H1108" s="28" t="str">
        <x:v>oyster</x:v>
      </x:c>
      <x:c r="I1108" s="28" t="str">
        <x:v>Рыба и морепродукты</x:v>
      </x:c>
      <x:c r="J1108" s="28" t="str">
        <x:v>резкий сернистый, зелёный и мясной; после запекания — сладкий и ореховый</x:v>
      </x:c>
      <x:c r="K1108" s="28" t="str">
        <x:v>морской, солоноватый и умами</x:v>
      </x:c>
      <x:c r="L1108" s="28" t="str">
        <x:v>аллицин, диаллилдисульфид, диаллилтрисульфид, метантиол</x:v>
      </x:c>
      <x:c r="M1108" s="28" t="str">
        <x:v>альдегиды, амины</x:v>
      </x:c>
      <x:c r="N1108" s="28" t="str">
        <x:v>умами</x:v>
      </x:c>
      <x:c r="O1108" s="28" t="str">
        <x:v>надёжная общая ключевая молекула не установлена</x:v>
      </x:c>
      <x:c r="P1108" s="28" t="str">
        <x:v>пересечение ароматических семейств; умами и солёный контраст; сернистая или горчичная комплементарность</x:v>
      </x:c>
      <x:c r="Q110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8" s="28" t="str">
        <x:v>сильное жжение и раздражение тройничного нерва</x:v>
      </x:c>
      <x:c r="S1108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10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8" s="28" t="str">
        <x:v>Чеснок имеет профиль «резкий сернистый, зелёный и мясной; после запекания — сладкий и ореховый». Партнёр «устрица»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8" s="28" t="str">
        <x:v>сырой чеснок быстро доминирует; пережжённый чеснок очень горький; хранить и обрабатывать по пищевым нормам</x:v>
      </x:c>
      <x:c r="W1108" s="28" t="str">
        <x:v>сливочное масло, соевый соус или тимьян</x:v>
      </x:c>
      <x:c r="X1108" s="28" t="str">
        <x:v>горячее блюдо, бульон, соус, пюре, ферментация или гарнир с устрица</x:v>
      </x:c>
      <x:c r="Y1108" s="28" t="str">
        <x:v>еда, соусы/маринады</x:v>
      </x:c>
      <x:c r="Z1108" s="28" t="str">
        <x:v>Средняя</x:v>
      </x:c>
      <x:c r="AA1108" s="28" t="str">
        <x:v>The Art &amp; Science of Foodpairing.pdf</x:v>
      </x:c>
      <x:c r="AB1108" s="28" t="str">
        <x:v>The Art &amp; Science of Foodpairing.pdf: 113, 114</x:v>
      </x:c>
      <x:c r="AC1108" s="28" t="str">
        <x:v>связь из pairing grid, стр. 113; связь из pairing grid, стр. 114</x:v>
      </x:c>
      <x:c r="AD1108" s="28" t="n">
        <x:v>1</x:v>
      </x:c>
      <x:c r="AE1108" s="28" t="n">
        <x:v>2</x:v>
      </x:c>
      <x:c r="AF1108" s="28" t="n">
        <x:f>IF(Z1108="Высокая",3,IF(Z1108="Средняя",2,1))+AD1108*2+MIN(AE1108,3)</x:f>
        <x:v>6</x:v>
      </x:c>
    </x:row>
    <x:row r="1109" ht="64" customHeight="1">
      <x:c r="A1109" s="28" t="str">
        <x:v>VEG-1108</x:v>
      </x:c>
      <x:c r="B1109" s="28" t="str">
        <x:v>чеснок</x:v>
      </x:c>
      <x:c r="C1109" s="28" t="str">
        <x:v>Универсальные</x:v>
      </x:c>
      <x:c r="D1109" s="28" t="str">
        <x:v>чеснок</x:v>
      </x:c>
      <x:c r="E1109" s="28" t="str">
        <x:v>garlic</x:v>
      </x:c>
      <x:c r="F1109" s="28" t="str">
        <x:v>Луковые овощи</x:v>
      </x:c>
      <x:c r="G1109" s="28" t="str">
        <x:v>утиная грудка</x:v>
      </x:c>
      <x:c r="H1109" s="28" t="str">
        <x:v>pan-friedduck breast</x:v>
      </x:c>
      <x:c r="I1109" s="28" t="str">
        <x:v>Прочее</x:v>
      </x:c>
      <x:c r="J1109" s="28" t="str">
        <x:v>резкий сернистый, зелёный и мясной; после запекания — сладкий и ореховый</x:v>
      </x:c>
      <x:c r="K1109" s="28" t="str">
        <x:v>профиль зависит от конкретного продукта</x:v>
      </x:c>
      <x:c r="L1109" s="28" t="str">
        <x:v>аллицин, диаллилдисульфид, диаллилтрисульфид, метантиол</x:v>
      </x:c>
      <x:c r="M1109" s="28" t="str">
        <x:v>конкретный молекулярный профиль не указан</x:v>
      </x:c>
      <x:c r="N1109" s="28" t="str">
        <x:v>прямое пересечение семейств не подтверждено</x:v>
      </x:c>
      <x:c r="O1109" s="28" t="str">
        <x:v>надёжная общая ключевая молекула не установлена</x:v>
      </x:c>
      <x:c r="P1109" s="28" t="str">
        <x:v>сернистая или горчичная комплементарность</x:v>
      </x:c>
      <x:c r="Q110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09" s="28" t="str">
        <x:v>сильное жжение и раздражение тройничного нерва</x:v>
      </x:c>
      <x:c r="S1109" s="28" t="str">
        <x:v>водная луковичная матрица; реакция начинается после повреждения клеток</x:v>
      </x:c>
      <x:c r="T110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09" s="28" t="str">
        <x:v>Чеснок имеет профиль «резкий сернистый, зелёный и мясной; после запекания — сладкий и ореховый». Партнёр «утиная грудка»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09" s="28" t="str">
        <x:v>сырой чеснок быстро доминирует; пережжённый чеснок очень горький; хранить и обрабатывать по пищевым нормам</x:v>
      </x:c>
      <x:c r="W1109" s="28" t="str">
        <x:v>соль, кислота или ароматический жир</x:v>
      </x:c>
      <x:c r="X1109" s="28" t="str">
        <x:v>горячее блюдо, бульон, соус, пюре, ферментация или гарнир с утиная грудка</x:v>
      </x:c>
      <x:c r="Y1109" s="28" t="str">
        <x:v>еда, соусы/маринады</x:v>
      </x:c>
      <x:c r="Z1109" s="28" t="str">
        <x:v>Средняя</x:v>
      </x:c>
      <x:c r="AA1109" s="28" t="str">
        <x:v>The Art &amp; Science of Foodpairing.pdf</x:v>
      </x:c>
      <x:c r="AB1109" s="28" t="str">
        <x:v>The Art &amp; Science of Foodpairing.pdf: 113</x:v>
      </x:c>
      <x:c r="AC1109" s="28" t="str">
        <x:v>связь из pairing grid, стр. 113</x:v>
      </x:c>
      <x:c r="AD1109" s="28" t="n">
        <x:v>1</x:v>
      </x:c>
      <x:c r="AE1109" s="28" t="n">
        <x:v>1</x:v>
      </x:c>
      <x:c r="AF1109" s="28" t="n">
        <x:f>IF(Z1109="Высокая",3,IF(Z1109="Средняя",2,1))+AD1109*2+MIN(AE1109,3)</x:f>
        <x:v>5</x:v>
      </x:c>
    </x:row>
    <x:row r="1110" ht="64" customHeight="1">
      <x:c r="A1110" s="28" t="str">
        <x:v>VEG-1109</x:v>
      </x:c>
      <x:c r="B1110" s="28" t="str">
        <x:v>чеснок</x:v>
      </x:c>
      <x:c r="C1110" s="28" t="str">
        <x:v>Десерты и выпечка</x:v>
      </x:c>
      <x:c r="D1110" s="28" t="str">
        <x:v>чеснок</x:v>
      </x:c>
      <x:c r="E1110" s="28" t="str">
        <x:v>Чеснок | чеснок</x:v>
      </x:c>
      <x:c r="F1110" s="28" t="str">
        <x:v>Луковые овощи</x:v>
      </x:c>
      <x:c r="G1110" s="28" t="str">
        <x:v>фундук</x:v>
      </x:c>
      <x:c r="H1110" s="28" t="str">
        <x:v>Фундук | фундук</x:v>
      </x:c>
      <x:c r="I1110" s="28" t="str">
        <x:v>Орехи и семена</x:v>
      </x:c>
      <x:c r="J1110" s="28" t="str">
        <x:v>резкий сернистый, зелёный и мясной; после запекания — сладкий и ореховый</x:v>
      </x:c>
      <x:c r="K1110" s="28" t="str">
        <x:v>жареный, какаовый, ореховый</x:v>
      </x:c>
      <x:c r="L1110" s="28" t="str">
        <x:v>аллицин, диаллилдисульфид, диаллилтрисульфид, метантиол</x:v>
      </x:c>
      <x:c r="M1110" s="28" t="str">
        <x:v>пиразины, фильбертон</x:v>
      </x:c>
      <x:c r="N1110" s="28" t="str">
        <x:v>жареный</x:v>
      </x:c>
      <x:c r="O1110" s="28" t="str">
        <x:v>надёжная общая ключевая молекула не установлена</x:v>
      </x:c>
      <x:c r="P1110" s="28" t="str">
        <x:v>пересечение ароматических семейств; сернистая или горчичная комплементарность</x:v>
      </x:c>
      <x:c r="Q111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0" s="28" t="str">
        <x:v>сильное жжение и раздражение тройничного нерва</x:v>
      </x:c>
      <x:c r="S1110" s="28" t="str">
        <x:v>водная луковичная матрица; реакция начинается после повреждения клеток</x:v>
      </x:c>
      <x:c r="T111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0" s="28" t="str">
        <x:v>Чеснок имеет профиль «резкий сернистый, зелёный и мясной; после запекания — сладкий и ореховый». Партнёр «фундук»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0" s="28" t="str">
        <x:v>сырой чеснок быстро доминирует; пережжённый чеснок очень горький; хранить и обрабатывать по пищевым нормам</x:v>
      </x:c>
      <x:c r="W1110" s="28" t="str">
        <x:v>соль, кислота или ароматический жир</x:v>
      </x:c>
      <x:c r="X1110" s="28" t="str">
        <x:v>горячее блюдо, бульон, соус, пюре, ферментация или гарнир с фундук</x:v>
      </x:c>
      <x:c r="Y1110" s="28" t="str">
        <x:v>еда, десерты, соусы/маринады</x:v>
      </x:c>
      <x:c r="Z1110" s="28" t="str">
        <x:v>Средняя</x:v>
      </x:c>
      <x:c r="AA1110" s="28" t="str">
        <x:v>Тезариус вкусов (Ники Сегнит)(1).pdf</x:v>
      </x:c>
      <x:c r="AB1110" s="28" t="str">
        <x:v>Тезариус вкусов (Ники Сегнит)(1).pdf: 299, 377, 638</x:v>
      </x:c>
      <x:c r="AC1110" s="28" t="str">
        <x:v>развёрнутая пара/статья, стр. 299; развёрнутая пара/статья, стр. 377; развёрнутая пара/статья, стр. 638</x:v>
      </x:c>
      <x:c r="AD1110" s="28" t="n">
        <x:v>1</x:v>
      </x:c>
      <x:c r="AE1110" s="28" t="n">
        <x:v>3</x:v>
      </x:c>
      <x:c r="AF1110" s="28" t="n">
        <x:f>IF(Z1110="Высокая",3,IF(Z1110="Средняя",2,1))+AD1110*2+MIN(AE1110,3)</x:f>
        <x:v>7</x:v>
      </x:c>
    </x:row>
    <x:row r="1111" ht="64" customHeight="1">
      <x:c r="A1111" s="28" t="str">
        <x:v>VEG-1110</x:v>
      </x:c>
      <x:c r="B1111" s="28" t="str">
        <x:v>чеснок</x:v>
      </x:c>
      <x:c r="C1111" s="28" t="str">
        <x:v>Еда и соусы</x:v>
      </x:c>
      <x:c r="D1111" s="28" t="str">
        <x:v>чеснок</x:v>
      </x:c>
      <x:c r="E1111" s="28" t="str">
        <x:v>black garlic puree</x:v>
      </x:c>
      <x:c r="F1111" s="28" t="str">
        <x:v>Луковые овощи</x:v>
      </x:c>
      <x:c r="G1111" s="28" t="str">
        <x:v>хамон иберико</x:v>
      </x:c>
      <x:c r="H1111" s="28" t="str">
        <x:v>lberico ham</x:v>
      </x:c>
      <x:c r="I1111" s="28" t="str">
        <x:v>Мясо и птица</x:v>
      </x:c>
      <x:c r="J1111" s="28" t="str">
        <x:v>резкий сернистый, зелёный и мясной; после запекания — сладкий и ореховый</x:v>
      </x:c>
      <x:c r="K1111" s="28" t="str">
        <x:v>жареный, мясной и умами</x:v>
      </x:c>
      <x:c r="L1111" s="28" t="str">
        <x:v>аллицин, диаллилдисульфид, диаллилтрисульфид, метантиол</x:v>
      </x:c>
      <x:c r="M1111" s="28" t="str">
        <x:v>пиразины, сернистые соединения</x:v>
      </x:c>
      <x:c r="N1111" s="28" t="str">
        <x:v>жареный, умами</x:v>
      </x:c>
      <x:c r="O1111" s="28" t="str">
        <x:v>надёжная общая ключевая молекула не установлена</x:v>
      </x:c>
      <x:c r="P1111" s="28" t="str">
        <x:v>пересечение ароматических семейств; умами и солёный контраст; сернистая или горчичная комплементарность</x:v>
      </x:c>
      <x:c r="Q111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1" s="28" t="str">
        <x:v>сильное жжение и раздражение тройничного нерва</x:v>
      </x:c>
      <x:c r="S1111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11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1" s="28" t="str">
        <x:v>Чеснок имеет профиль «резкий сернистый, зелёный и мясной; после запекания — сладкий и ореховый». Партнёр «хамон иберико»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1" s="28" t="str">
        <x:v>сырой чеснок быстро доминирует; пережжённый чеснок очень горький; хранить и обрабатывать по пищевым нормам</x:v>
      </x:c>
      <x:c r="W1111" s="28" t="str">
        <x:v>сливочное масло, соевый соус или тимьян</x:v>
      </x:c>
      <x:c r="X1111" s="28" t="str">
        <x:v>горячее блюдо, бульон, соус, пюре, ферментация или гарнир с хамон иберико</x:v>
      </x:c>
      <x:c r="Y1111" s="28" t="str">
        <x:v>еда, соусы/маринады</x:v>
      </x:c>
      <x:c r="Z1111" s="28" t="str">
        <x:v>Средняя</x:v>
      </x:c>
      <x:c r="AA1111" s="28" t="str">
        <x:v>The Art &amp; Science of Foodpairing.pdf</x:v>
      </x:c>
      <x:c r="AB1111" s="28" t="str">
        <x:v>The Art &amp; Science of Foodpairing.pdf: 278</x:v>
      </x:c>
      <x:c r="AC1111" s="28" t="str">
        <x:v>связь из pairing grid, стр. 278</x:v>
      </x:c>
      <x:c r="AD1111" s="28" t="n">
        <x:v>1</x:v>
      </x:c>
      <x:c r="AE1111" s="28" t="n">
        <x:v>1</x:v>
      </x:c>
      <x:c r="AF1111" s="28" t="n">
        <x:f>IF(Z1111="Высокая",3,IF(Z1111="Средняя",2,1))+AD1111*2+MIN(AE1111,3)</x:f>
        <x:v>5</x:v>
      </x:c>
    </x:row>
    <x:row r="1112" ht="64" customHeight="1">
      <x:c r="A1112" s="28" t="str">
        <x:v>VEG-1111</x:v>
      </x:c>
      <x:c r="B1112" s="28" t="str">
        <x:v>чеснок</x:v>
      </x:c>
      <x:c r="C1112" s="28" t="str">
        <x:v>Десерты и выпечка</x:v>
      </x:c>
      <x:c r="D1112" s="28" t="str">
        <x:v>чеснок</x:v>
      </x:c>
      <x:c r="E1112" s="28" t="str">
        <x:v>garlic | roasted garlic</x:v>
      </x:c>
      <x:c r="F1112" s="28" t="str">
        <x:v>Луковые овощи</x:v>
      </x:c>
      <x:c r="G1112" s="28" t="str">
        <x:v>хлеб</x:v>
      </x:c>
      <x:c r="H1112" s="28" t="str">
        <x:v>bread | rye bread croutons | white toasting bread</x:v>
      </x:c>
      <x:c r="I1112" s="28" t="str">
        <x:v>Выпечка, крупы, сахара и десерты</x:v>
      </x:c>
      <x:c r="J1112" s="28" t="str">
        <x:v>резкий сернистый, зелёный и мясной; после запекания — сладкий и ореховый</x:v>
      </x:c>
      <x:c r="K1112" s="28" t="str">
        <x:v>жареный, зерновой</x:v>
      </x:c>
      <x:c r="L1112" s="28" t="str">
        <x:v>аллицин, диаллилдисульфид, диаллилтрисульфид, метантиол</x:v>
      </x:c>
      <x:c r="M1112" s="28" t="str">
        <x:v>3-метилбутаналь, пиразины, фураны</x:v>
      </x:c>
      <x:c r="N1112" s="28" t="str">
        <x:v>жареный</x:v>
      </x:c>
      <x:c r="O1112" s="28" t="str">
        <x:v>надёжная общая ключевая молекула не установлена</x:v>
      </x:c>
      <x:c r="P1112" s="28" t="str">
        <x:v>пересечение ароматических семейств; сернистая или горчичная комплементарность</x:v>
      </x:c>
      <x:c r="Q111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2" s="28" t="str">
        <x:v>сильное жжение и раздражение тройничного нерва</x:v>
      </x:c>
      <x:c r="S1112" s="28" t="str">
        <x:v>водная луковичная матрица; реакция начинается после повреждения клеток</x:v>
      </x:c>
      <x:c r="T111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2" s="28" t="str">
        <x:v>Чеснок имеет профиль «резкий сернистый, зелёный и мясной; после запекания — сладкий и ореховый». Партнёр «хлеб» относится к группе «Выпечка, крупы, сахара и десерты» и даёт жареный, зерновой.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2" s="28" t="str">
        <x:v>сырой чеснок быстро доминирует; пережжённый чеснок очень горький; хранить и обрабатывать по пищевым нормам</x:v>
      </x:c>
      <x:c r="W1112" s="28" t="str">
        <x:v>соль, кислота или ароматический жир</x:v>
      </x:c>
      <x:c r="X1112" s="28" t="str">
        <x:v>горячее блюдо, бульон, соус, пюре, ферментация или гарнир с хлеб</x:v>
      </x:c>
      <x:c r="Y1112" s="28" t="str">
        <x:v>еда, десерты, соусы/маринады</x:v>
      </x:c>
      <x:c r="Z1112" s="28" t="str">
        <x:v>Высокая</x:v>
      </x:c>
      <x:c r="AA1112" s="28" t="str">
        <x:v>The Art &amp; Science of Foodpairing.pdf</x:v>
      </x:c>
      <x:c r="AB1112" s="28" t="str">
        <x:v>The Art &amp; Science of Foodpairing.pdf: 112, 114</x:v>
      </x:c>
      <x:c r="AC1112" s="28" t="str">
        <x:v>прямая Classic pairing, стр. 112; связь из pairing grid, стр. 114; связь из pairing grid, стр. 114</x:v>
      </x:c>
      <x:c r="AD1112" s="28" t="n">
        <x:v>1</x:v>
      </x:c>
      <x:c r="AE1112" s="28" t="n">
        <x:v>3</x:v>
      </x:c>
      <x:c r="AF1112" s="28" t="n">
        <x:f>IF(Z1112="Высокая",3,IF(Z1112="Средняя",2,1))+AD1112*2+MIN(AE1112,3)</x:f>
        <x:v>8</x:v>
      </x:c>
    </x:row>
    <x:row r="1113" ht="64" customHeight="1">
      <x:c r="A1113" s="28" t="str">
        <x:v>VEG-1112</x:v>
      </x:c>
      <x:c r="B1113" s="28" t="str">
        <x:v>чеснок</x:v>
      </x:c>
      <x:c r="C1113" s="28" t="str">
        <x:v>Еда и соусы</x:v>
      </x:c>
      <x:c r="D1113" s="28" t="str">
        <x:v>чеснок</x:v>
      </x:c>
      <x:c r="E1113" s="28" t="str">
        <x:v>garlic | Чеснок | чеснок</x:v>
      </x:c>
      <x:c r="F1113" s="28" t="str">
        <x:v>Луковые овощи</x:v>
      </x:c>
      <x:c r="G1113" s="28" t="str">
        <x:v>цветная капуста</x:v>
      </x:c>
      <x:c r="H1113" s="28" t="str">
        <x:v>boiled cauliflower | Цветная капуста | цветная капуста</x:v>
      </x:c>
      <x:c r="I1113" s="28" t="str">
        <x:v>Крестоцветные</x:v>
      </x:c>
      <x:c r="J1113" s="28" t="str">
        <x:v>резкий сернистый, зелёный и мясной; после запекания — сладкий и ореховый</x:v>
      </x:c>
      <x:c r="K1113" s="28" t="str">
        <x:v>мягко капустный, ореховый, сернистый и сливочный после запекания</x:v>
      </x:c>
      <x:c r="L1113" s="28" t="str">
        <x:v>аллицин, диаллилдисульфид, диаллилтрисульфид, метантиол</x:v>
      </x:c>
      <x:c r="M1113" s="28" t="str">
        <x:v>диметилсульфид, изотиоцианаты, метантиол, пиразины</x:v>
      </x:c>
      <x:c r="N1113" s="28" t="str">
        <x:v>сернистый</x:v>
      </x:c>
      <x:c r="O1113" s="28" t="str">
        <x:v>метантиол</x:v>
      </x:c>
      <x:c r="P1113" s="28" t="str">
        <x:v>общие характерные молекулы; пересечение ароматических семейств; сернистая или горчичная комплементарность</x:v>
      </x:c>
      <x:c r="Q111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3" s="28" t="str">
        <x:v>сильное жжение и раздражение тройничного нерва</x:v>
      </x:c>
      <x:c r="S1113" s="28" t="str">
        <x:v>водная луковичная матрица; реакция начинается после повреждения клеток</x:v>
      </x:c>
      <x:c r="T111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3" s="28" t="str">
        <x:v>Чеснок имеет профиль «резкий сернистый, зелёный и мясной; после запекания — сладкий и ореховый». Партнёр «цветная капуста» относится к группе «Крестоцветные» и даёт мягко капустный, ореховый, сернистый и сливочный после запекания.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3" s="28" t="str">
        <x:v>сырой чеснок быстро доминирует; пережжённый чеснок очень горький; хранить и обрабатывать по пищевым нормам</x:v>
      </x:c>
      <x:c r="W1113" s="28" t="str">
        <x:v>соль, кислота или ароматический жир</x:v>
      </x:c>
      <x:c r="X1113" s="28" t="str">
        <x:v>горячее блюдо, бульон, соус, пюре, ферментация или гарнир с цветная капуста</x:v>
      </x:c>
      <x:c r="Y1113" s="28" t="str">
        <x:v>еда, соусы/маринады</x:v>
      </x:c>
      <x:c r="Z1113" s="28" t="str">
        <x:v>Высокая</x:v>
      </x:c>
      <x:c r="AA1113" s="28" t="str">
        <x:v>The Art &amp; Science of Foodpairing.pdf | Тезариус вкусов (Ники Сегнит)(1).pdf</x:v>
      </x:c>
      <x:c r="AB1113" s="28" t="str">
        <x:v>Тезариус вкусов (Ники Сегнит)(1).pdf: 299, 326; The Art &amp; Science of Foodpairing.pdf: 113</x:v>
      </x:c>
      <x:c r="AC1113" s="28" t="str">
        <x:v>развёрнутая пара/статья, стр. 299; развёрнутая пара/статья, стр. 326; связь из pairing grid, стр. 113</x:v>
      </x:c>
      <x:c r="AD1113" s="28" t="n">
        <x:v>2</x:v>
      </x:c>
      <x:c r="AE1113" s="28" t="n">
        <x:v>3</x:v>
      </x:c>
      <x:c r="AF1113" s="28" t="n">
        <x:f>IF(Z1113="Высокая",3,IF(Z1113="Средняя",2,1))+AD1113*2+MIN(AE1113,3)</x:f>
        <x:v>10</x:v>
      </x:c>
    </x:row>
    <x:row r="1114" ht="64" customHeight="1">
      <x:c r="A1114" s="28" t="str">
        <x:v>VEG-1113</x:v>
      </x:c>
      <x:c r="B1114" s="28" t="str">
        <x:v>чеснок</x:v>
      </x:c>
      <x:c r="C1114" s="28" t="str">
        <x:v>Универсальные</x:v>
      </x:c>
      <x:c r="D1114" s="28" t="str">
        <x:v>чеснок</x:v>
      </x:c>
      <x:c r="E1114" s="28" t="str">
        <x:v>black garlic | garlic</x:v>
      </x:c>
      <x:c r="F1114" s="28" t="str">
        <x:v>Луковые овощи</x:v>
      </x:c>
      <x:c r="G1114" s="28" t="str">
        <x:v>цветок акмеллы</x:v>
      </x:c>
      <x:c r="H1114" s="28" t="str">
        <x:v>Dushi Button flower | Dushi Buttonflower</x:v>
      </x:c>
      <x:c r="I1114" s="28" t="str">
        <x:v>Прочее</x:v>
      </x:c>
      <x:c r="J1114" s="28" t="str">
        <x:v>резкий сернистый, зелёный и мясной; после запекания — сладкий и ореховый</x:v>
      </x:c>
      <x:c r="K1114" s="28" t="str">
        <x:v>профиль зависит от конкретного продукта</x:v>
      </x:c>
      <x:c r="L1114" s="28" t="str">
        <x:v>аллицин, диаллилдисульфид, диаллилтрисульфид, метантиол</x:v>
      </x:c>
      <x:c r="M1114" s="28" t="str">
        <x:v>конкретный молекулярный профиль не указан</x:v>
      </x:c>
      <x:c r="N1114" s="28" t="str">
        <x:v>прямое пересечение семейств не подтверждено</x:v>
      </x:c>
      <x:c r="O1114" s="28" t="str">
        <x:v>надёжная общая ключевая молекула не установлена</x:v>
      </x:c>
      <x:c r="P1114" s="28" t="str">
        <x:v>сернистая или горчичная комплементарность</x:v>
      </x:c>
      <x:c r="Q111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4" s="28" t="str">
        <x:v>сильное жжение и раздражение тройничного нерва</x:v>
      </x:c>
      <x:c r="S1114" s="28" t="str">
        <x:v>водная луковичная матрица; реакция начинается после повреждения клеток</x:v>
      </x:c>
      <x:c r="T111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4" s="28" t="str">
        <x:v>Чеснок имеет профиль «резкий сернистый, зелёный и мясной; после запекания — сладкий и ореховый». Партнёр «цветок акмеллы»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4" s="28" t="str">
        <x:v>сырой чеснок быстро доминирует; пережжённый чеснок очень горький; хранить и обрабатывать по пищевым нормам</x:v>
      </x:c>
      <x:c r="W1114" s="28" t="str">
        <x:v>соль, кислота или ароматический жир</x:v>
      </x:c>
      <x:c r="X1114" s="28" t="str">
        <x:v>горячее блюдо, бульон, соус, пюре, ферментация или гарнир с цветок акмеллы</x:v>
      </x:c>
      <x:c r="Y1114" s="28" t="str">
        <x:v>еда, соусы/маринады</x:v>
      </x:c>
      <x:c r="Z1114" s="28" t="str">
        <x:v>Высокая</x:v>
      </x:c>
      <x:c r="AA1114" s="28" t="str">
        <x:v>The Art &amp; Science of Foodpairing.pdf</x:v>
      </x:c>
      <x:c r="AB1114" s="28" t="str">
        <x:v>The Art &amp; Science of Foodpairing.pdf: 113</x:v>
      </x:c>
      <x:c r="AC1114" s="28" t="str">
        <x:v>прямая Potential pairing, стр. 113; связь из pairing grid, стр. 113</x:v>
      </x:c>
      <x:c r="AD1114" s="28" t="n">
        <x:v>1</x:v>
      </x:c>
      <x:c r="AE1114" s="28" t="n">
        <x:v>2</x:v>
      </x:c>
      <x:c r="AF1114" s="28" t="n">
        <x:f>IF(Z1114="Высокая",3,IF(Z1114="Средняя",2,1))+AD1114*2+MIN(AE1114,3)</x:f>
        <x:v>7</x:v>
      </x:c>
    </x:row>
    <x:row r="1115" ht="64" customHeight="1">
      <x:c r="A1115" s="28" t="str">
        <x:v>VEG-1114</x:v>
      </x:c>
      <x:c r="B1115" s="28" t="str">
        <x:v>чеснок</x:v>
      </x:c>
      <x:c r="C1115" s="28" t="str">
        <x:v>Универсальные</x:v>
      </x:c>
      <x:c r="D1115" s="28" t="str">
        <x:v>чеснок</x:v>
      </x:c>
      <x:c r="E1115" s="28" t="str">
        <x:v>garlic</x:v>
      </x:c>
      <x:c r="F1115" s="28" t="str">
        <x:v>Луковые овощи</x:v>
      </x:c>
      <x:c r="G1115" s="28" t="str">
        <x:v>цесарка</x:v>
      </x:c>
      <x:c r="H1115" s="28" t="str">
        <x:v>pan-fried guinea fowl</x:v>
      </x:c>
      <x:c r="I1115" s="28" t="str">
        <x:v>Прочее</x:v>
      </x:c>
      <x:c r="J1115" s="28" t="str">
        <x:v>резкий сернистый, зелёный и мясной; после запекания — сладкий и ореховый</x:v>
      </x:c>
      <x:c r="K1115" s="28" t="str">
        <x:v>профиль зависит от конкретного продукта</x:v>
      </x:c>
      <x:c r="L1115" s="28" t="str">
        <x:v>аллицин, диаллилдисульфид, диаллилтрисульфид, метантиол</x:v>
      </x:c>
      <x:c r="M1115" s="28" t="str">
        <x:v>конкретный молекулярный профиль не указан</x:v>
      </x:c>
      <x:c r="N1115" s="28" t="str">
        <x:v>прямое пересечение семейств не подтверждено</x:v>
      </x:c>
      <x:c r="O1115" s="28" t="str">
        <x:v>надёжная общая ключевая молекула не установлена</x:v>
      </x:c>
      <x:c r="P1115" s="28" t="str">
        <x:v>сернистая или горчичная комплементарность</x:v>
      </x:c>
      <x:c r="Q111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5" s="28" t="str">
        <x:v>сильное жжение и раздражение тройничного нерва</x:v>
      </x:c>
      <x:c r="S1115" s="28" t="str">
        <x:v>водная луковичная матрица; реакция начинается после повреждения клеток</x:v>
      </x:c>
      <x:c r="T111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5" s="28" t="str">
        <x:v>Чеснок имеет профиль «резкий сернистый, зелёный и мясной; после запекания — сладкий и ореховый». Партнёр «цесарка»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5" s="28" t="str">
        <x:v>сырой чеснок быстро доминирует; пережжённый чеснок очень горький; хранить и обрабатывать по пищевым нормам</x:v>
      </x:c>
      <x:c r="W1115" s="28" t="str">
        <x:v>соль, кислота или ароматический жир</x:v>
      </x:c>
      <x:c r="X1115" s="28" t="str">
        <x:v>горячее блюдо, бульон, соус, пюре, ферментация или гарнир с цесарка</x:v>
      </x:c>
      <x:c r="Y1115" s="28" t="str">
        <x:v>еда, соусы/маринады</x:v>
      </x:c>
      <x:c r="Z1115" s="28" t="str">
        <x:v>Средняя</x:v>
      </x:c>
      <x:c r="AA1115" s="28" t="str">
        <x:v>The Art &amp; Science of Foodpairing.pdf</x:v>
      </x:c>
      <x:c r="AB1115" s="28" t="str">
        <x:v>The Art &amp; Science of Foodpairing.pdf: 114</x:v>
      </x:c>
      <x:c r="AC1115" s="28" t="str">
        <x:v>связь из pairing grid, стр. 114</x:v>
      </x:c>
      <x:c r="AD1115" s="28" t="n">
        <x:v>1</x:v>
      </x:c>
      <x:c r="AE1115" s="28" t="n">
        <x:v>1</x:v>
      </x:c>
      <x:c r="AF1115" s="28" t="n">
        <x:f>IF(Z1115="Высокая",3,IF(Z1115="Средняя",2,1))+AD1115*2+MIN(AE1115,3)</x:f>
        <x:v>5</x:v>
      </x:c>
    </x:row>
    <x:row r="1116" ht="64" customHeight="1">
      <x:c r="A1116" s="28" t="str">
        <x:v>VEG-1115</x:v>
      </x:c>
      <x:c r="B1116" s="28" t="str">
        <x:v>чеснок</x:v>
      </x:c>
      <x:c r="C1116" s="28" t="str">
        <x:v>Универсальные</x:v>
      </x:c>
      <x:c r="D1116" s="28" t="str">
        <x:v>чеснок</x:v>
      </x:c>
      <x:c r="E1116" s="28" t="str">
        <x:v>Чеснок | чеснок</x:v>
      </x:c>
      <x:c r="F1116" s="28" t="str">
        <x:v>Луковые овощи</x:v>
      </x:c>
      <x:c r="G1116" s="28" t="str">
        <x:v>цыпленок</x:v>
      </x:c>
      <x:c r="H1116" s="28" t="str">
        <x:v>Цыпленок | цыпленок</x:v>
      </x:c>
      <x:c r="I1116" s="28" t="str">
        <x:v>Прочее</x:v>
      </x:c>
      <x:c r="J1116" s="28" t="str">
        <x:v>резкий сернистый, зелёный и мясной; после запекания — сладкий и ореховый</x:v>
      </x:c>
      <x:c r="K1116" s="28" t="str">
        <x:v>профиль зависит от конкретного продукта</x:v>
      </x:c>
      <x:c r="L1116" s="28" t="str">
        <x:v>аллицин, диаллилдисульфид, диаллилтрисульфид, метантиол</x:v>
      </x:c>
      <x:c r="M1116" s="28" t="str">
        <x:v>конкретный молекулярный профиль не указан</x:v>
      </x:c>
      <x:c r="N1116" s="28" t="str">
        <x:v>прямое пересечение семейств не подтверждено</x:v>
      </x:c>
      <x:c r="O1116" s="28" t="str">
        <x:v>надёжная общая ключевая молекула не установлена</x:v>
      </x:c>
      <x:c r="P1116" s="28" t="str">
        <x:v>сернистая или горчичная комплементарность</x:v>
      </x:c>
      <x:c r="Q111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6" s="28" t="str">
        <x:v>сильное жжение и раздражение тройничного нерва</x:v>
      </x:c>
      <x:c r="S1116" s="28" t="str">
        <x:v>водная луковичная матрица; реакция начинается после повреждения клеток</x:v>
      </x:c>
      <x:c r="T111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6" s="28" t="str">
        <x:v>Чеснок имеет профиль «резкий сернистый, зелёный и мясной; после запекания — сладкий и ореховый».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6" s="28" t="str">
        <x:v>сырой чеснок быстро доминирует; пережжённый чеснок очень горький; хранить и обрабатывать по пищевым нормам</x:v>
      </x:c>
      <x:c r="W1116" s="28" t="str">
        <x:v>соль, кислота или ароматический жир</x:v>
      </x:c>
      <x:c r="X1116" s="28" t="str">
        <x:v>горячее блюдо, бульон, соус, пюре, ферментация или гарнир с цыпленок</x:v>
      </x:c>
      <x:c r="Y1116" s="28" t="str">
        <x:v>еда, соусы/маринады</x:v>
      </x:c>
      <x:c r="Z1116" s="28" t="str">
        <x:v>Средняя</x:v>
      </x:c>
      <x:c r="AA1116" s="28" t="str">
        <x:v>Тезариус вкусов (Ники Сегнит)(1).pdf</x:v>
      </x:c>
      <x:c r="AB1116" s="28" t="str">
        <x:v>Тезариус вкусов (Ники Сегнит)(1).pdf: 75, 299</x:v>
      </x:c>
      <x:c r="AC1116" s="28" t="str">
        <x:v>развёрнутая пара/статья, стр. 75; развёрнутая пара/статья, стр. 299</x:v>
      </x:c>
      <x:c r="AD1116" s="28" t="n">
        <x:v>1</x:v>
      </x:c>
      <x:c r="AE1116" s="28" t="n">
        <x:v>2</x:v>
      </x:c>
      <x:c r="AF1116" s="28" t="n">
        <x:f>IF(Z1116="Высокая",3,IF(Z1116="Средняя",2,1))+AD1116*2+MIN(AE1116,3)</x:f>
        <x:v>6</x:v>
      </x:c>
    </x:row>
    <x:row r="1117" ht="64" customHeight="1">
      <x:c r="A1117" s="28" t="str">
        <x:v>VEG-1116</x:v>
      </x:c>
      <x:c r="B1117" s="28" t="str">
        <x:v>чеснок</x:v>
      </x:c>
      <x:c r="C1117" s="28" t="str">
        <x:v>Напитки</x:v>
      </x:c>
      <x:c r="D1117" s="28" t="str">
        <x:v>чеснок</x:v>
      </x:c>
      <x:c r="E1117" s="28" t="str">
        <x:v>garlic</x:v>
      </x:c>
      <x:c r="F1117" s="28" t="str">
        <x:v>Луковые овощи</x:v>
      </x:c>
      <x:c r="G1117" s="28" t="str">
        <x:v>чай</x:v>
      </x:c>
      <x:c r="H1117" s="28" t="str">
        <x:v>Darjeeling tea | jasmine tea</x:v>
      </x:c>
      <x:c r="I1117" s="28" t="str">
        <x:v>Чай</x:v>
      </x:c>
      <x:c r="J1117" s="28" t="str">
        <x:v>резкий сернистый, зелёный и мясной; после запекания — сладкий и ореховый</x:v>
      </x:c>
      <x:c r="K1117" s="28" t="str">
        <x:v>цветочный, древесный или зелёный</x:v>
      </x:c>
      <x:c r="L1117" s="28" t="str">
        <x:v>аллицин, диаллилдисульфид, диаллилтрисульфид, метантиол</x:v>
      </x:c>
      <x:c r="M1117" s="28" t="str">
        <x:v>линалоол, полифенолы</x:v>
      </x:c>
      <x:c r="N1117" s="28" t="str">
        <x:v>прямое пересечение семейств не подтверждено</x:v>
      </x:c>
      <x:c r="O1117" s="28" t="str">
        <x:v>надёжная общая ключевая молекула не установлена</x:v>
      </x:c>
      <x:c r="P1117" s="28" t="str">
        <x:v>сернистая или горчичная комплементарность</x:v>
      </x:c>
      <x:c r="Q111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7" s="28" t="str">
        <x:v>сильное жжение и раздражение тройничного нерва</x:v>
      </x:c>
      <x:c r="S1117" s="28" t="str">
        <x:v>водная луковичная матрица; реакция начинается после повреждения клеток</x:v>
      </x:c>
      <x:c r="T111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7" s="28" t="str">
        <x:v>Чеснок имеет профиль «резкий сернистый, зелёный и мясной; после запекания — сладкий и ореховый».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7" s="28" t="str">
        <x:v>сырой чеснок быстро доминирует; пережжённый чеснок очень горький; хранить и обрабатывать по пищевым нормам</x:v>
      </x:c>
      <x:c r="W1117" s="28" t="str">
        <x:v>соль, кислота или ароматический жир</x:v>
      </x:c>
      <x:c r="X1117" s="28" t="str">
        <x:v>горячее блюдо, бульон, соус, пюре, ферментация или гарнир с чай</x:v>
      </x:c>
      <x:c r="Y1117" s="28" t="str">
        <x:v>напитки, еда, соусы/маринады</x:v>
      </x:c>
      <x:c r="Z1117" s="28" t="str">
        <x:v>Средняя</x:v>
      </x:c>
      <x:c r="AA1117" s="28" t="str">
        <x:v>The Art &amp; Science of Foodpairing.pdf</x:v>
      </x:c>
      <x:c r="AB1117" s="28" t="str">
        <x:v>The Art &amp; Science of Foodpairing.pdf: 113</x:v>
      </x:c>
      <x:c r="AC1117" s="28" t="str">
        <x:v>связь из pairing grid, стр. 113; связь из pairing grid, стр. 113</x:v>
      </x:c>
      <x:c r="AD1117" s="28" t="n">
        <x:v>1</x:v>
      </x:c>
      <x:c r="AE1117" s="28" t="n">
        <x:v>2</x:v>
      </x:c>
      <x:c r="AF1117" s="28" t="n">
        <x:f>IF(Z1117="Высокая",3,IF(Z1117="Средняя",2,1))+AD1117*2+MIN(AE1117,3)</x:f>
        <x:v>6</x:v>
      </x:c>
    </x:row>
    <x:row r="1118" ht="64" customHeight="1">
      <x:c r="A1118" s="28" t="str">
        <x:v>VEG-1117</x:v>
      </x:c>
      <x:c r="B1118" s="28" t="str">
        <x:v>чеснок</x:v>
      </x:c>
      <x:c r="C1118" s="28" t="str">
        <x:v>Универсальные</x:v>
      </x:c>
      <x:c r="D1118" s="28" t="str">
        <x:v>чеснок</x:v>
      </x:c>
      <x:c r="E1118" s="28" t="str">
        <x:v>garlic</x:v>
      </x:c>
      <x:c r="F1118" s="28" t="str">
        <x:v>Луковые овощи</x:v>
      </x:c>
      <x:c r="G1118" s="28" t="str">
        <x:v>чиабатта</x:v>
      </x:c>
      <x:c r="H1118" s="28" t="str">
        <x:v>ciabatta</x:v>
      </x:c>
      <x:c r="I1118" s="28" t="str">
        <x:v>Прочее</x:v>
      </x:c>
      <x:c r="J1118" s="28" t="str">
        <x:v>резкий сернистый, зелёный и мясной; после запекания — сладкий и ореховый</x:v>
      </x:c>
      <x:c r="K1118" s="28" t="str">
        <x:v>профиль зависит от конкретного продукта</x:v>
      </x:c>
      <x:c r="L1118" s="28" t="str">
        <x:v>аллицин, диаллилдисульфид, диаллилтрисульфид, метантиол</x:v>
      </x:c>
      <x:c r="M1118" s="28" t="str">
        <x:v>конкретный молекулярный профиль не указан</x:v>
      </x:c>
      <x:c r="N1118" s="28" t="str">
        <x:v>прямое пересечение семейств не подтверждено</x:v>
      </x:c>
      <x:c r="O1118" s="28" t="str">
        <x:v>надёжная общая ключевая молекула не установлена</x:v>
      </x:c>
      <x:c r="P1118" s="28" t="str">
        <x:v>сернистая или горчичная комплементарность</x:v>
      </x:c>
      <x:c r="Q111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8" s="28" t="str">
        <x:v>сильное жжение и раздражение тройничного нерва</x:v>
      </x:c>
      <x:c r="S1118" s="28" t="str">
        <x:v>водная луковичная матрица; реакция начинается после повреждения клеток</x:v>
      </x:c>
      <x:c r="T111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8" s="28" t="str">
        <x:v>Чеснок имеет профиль «резкий сернистый, зелёный и мясной; после запекания — сладкий и ореховый».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8" s="28" t="str">
        <x:v>сырой чеснок быстро доминирует; пережжённый чеснок очень горький; хранить и обрабатывать по пищевым нормам</x:v>
      </x:c>
      <x:c r="W1118" s="28" t="str">
        <x:v>соль, кислота или ароматический жир</x:v>
      </x:c>
      <x:c r="X1118" s="28" t="str">
        <x:v>горячее блюдо, бульон, соус, пюре, ферментация или гарнир с чиабатта</x:v>
      </x:c>
      <x:c r="Y1118" s="28" t="str">
        <x:v>еда, соусы/маринады</x:v>
      </x:c>
      <x:c r="Z1118" s="28" t="str">
        <x:v>Средняя</x:v>
      </x:c>
      <x:c r="AA1118" s="28" t="str">
        <x:v>The Art &amp; Science of Foodpairing.pdf</x:v>
      </x:c>
      <x:c r="AB1118" s="28" t="str">
        <x:v>The Art &amp; Science of Foodpairing.pdf: 114</x:v>
      </x:c>
      <x:c r="AC1118" s="28" t="str">
        <x:v>связь из pairing grid, стр. 114</x:v>
      </x:c>
      <x:c r="AD1118" s="28" t="n">
        <x:v>1</x:v>
      </x:c>
      <x:c r="AE1118" s="28" t="n">
        <x:v>1</x:v>
      </x:c>
      <x:c r="AF1118" s="28" t="n">
        <x:f>IF(Z1118="Высокая",3,IF(Z1118="Средняя",2,1))+AD1118*2+MIN(AE1118,3)</x:f>
        <x:v>5</x:v>
      </x:c>
    </x:row>
    <x:row r="1119" ht="64" customHeight="1">
      <x:c r="A1119" s="28" t="str">
        <x:v>VEG-1118</x:v>
      </x:c>
      <x:c r="B1119" s="28" t="str">
        <x:v>чеснок</x:v>
      </x:c>
      <x:c r="C1119" s="28" t="str">
        <x:v>Универсальные</x:v>
      </x:c>
      <x:c r="D1119" s="28" t="str">
        <x:v>чеснок</x:v>
      </x:c>
      <x:c r="E1119" s="28" t="str">
        <x:v>Чеснок | чеснок</x:v>
      </x:c>
      <x:c r="F1119" s="28" t="str">
        <x:v>Луковые овощи</x:v>
      </x:c>
      <x:c r="G1119" s="28" t="str">
        <x:v>чили</x:v>
      </x:c>
      <x:c r="H1119" s="28" t="str">
        <x:v>Чили | чили</x:v>
      </x:c>
      <x:c r="I1119" s="28" t="str">
        <x:v>Специи</x:v>
      </x:c>
      <x:c r="J1119" s="28" t="str">
        <x:v>резкий сернистый, зелёный и мясной; после запекания — сладкий и ореховый</x:v>
      </x:c>
      <x:c r="K1119" s="28" t="str">
        <x:v>пряный и древесный</x:v>
      </x:c>
      <x:c r="L1119" s="28" t="str">
        <x:v>аллицин, диаллилдисульфид, диаллилтрисульфид, метантиол</x:v>
      </x:c>
      <x:c r="M1119" s="28" t="str">
        <x:v>терпены, фенилпропаноиды</x:v>
      </x:c>
      <x:c r="N1119" s="28" t="str">
        <x:v>прямое пересечение семейств не подтверждено</x:v>
      </x:c>
      <x:c r="O1119" s="28" t="str">
        <x:v>надёжная общая ключевая молекула не установлена</x:v>
      </x:c>
      <x:c r="P1119" s="28" t="str">
        <x:v>сернистая или горчичная комплементарность</x:v>
      </x:c>
      <x:c r="Q111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19" s="28" t="str">
        <x:v>сильное жжение и раздражение тройничного нерва</x:v>
      </x:c>
      <x:c r="S1119" s="28" t="str">
        <x:v>водная луковичная матрица; реакция начинается после повреждения клеток</x:v>
      </x:c>
      <x:c r="T111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19" s="28" t="str">
        <x:v>Чеснок имеет профиль «резкий сернистый, зелёный и мясной; после запекания — сладкий и ореховый».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19" s="28" t="str">
        <x:v>сырой чеснок быстро доминирует; пережжённый чеснок очень горький; хранить и обрабатывать по пищевым нормам</x:v>
      </x:c>
      <x:c r="W1119" s="28" t="str">
        <x:v>цитрус, йогурт или мёд</x:v>
      </x:c>
      <x:c r="X1119" s="28" t="str">
        <x:v>горячее блюдо, бульон, соус, пюре, ферментация или гарнир с чили</x:v>
      </x:c>
      <x:c r="Y1119" s="28" t="str">
        <x:v>еда, соусы/маринады</x:v>
      </x:c>
      <x:c r="Z1119" s="28" t="str">
        <x:v>Средняя</x:v>
      </x:c>
      <x:c r="AA1119" s="28" t="str">
        <x:v>Тезариус вкусов (Ники Сегнит)(1).pdf</x:v>
      </x:c>
      <x:c r="AB1119" s="28" t="str">
        <x:v>Тезариус вкусов (Ники Сегнит)(1).pdf: 300, 560</x:v>
      </x:c>
      <x:c r="AC1119" s="28" t="str">
        <x:v>развёрнутая пара/статья, стр. 300; развёрнутая пара/статья, стр. 560</x:v>
      </x:c>
      <x:c r="AD1119" s="28" t="n">
        <x:v>1</x:v>
      </x:c>
      <x:c r="AE1119" s="28" t="n">
        <x:v>2</x:v>
      </x:c>
      <x:c r="AF1119" s="28" t="n">
        <x:f>IF(Z1119="Высокая",3,IF(Z1119="Средняя",2,1))+AD1119*2+MIN(AE1119,3)</x:f>
        <x:v>6</x:v>
      </x:c>
    </x:row>
    <x:row r="1120" ht="64" customHeight="1">
      <x:c r="A1120" s="28" t="str">
        <x:v>VEG-1119</x:v>
      </x:c>
      <x:c r="B1120" s="28" t="str">
        <x:v>чеснок</x:v>
      </x:c>
      <x:c r="C1120" s="28" t="str">
        <x:v>Универсальные</x:v>
      </x:c>
      <x:c r="D1120" s="28" t="str">
        <x:v>чеснок</x:v>
      </x:c>
      <x:c r="E1120" s="28" t="str">
        <x:v>fried garlic</x:v>
      </x:c>
      <x:c r="F1120" s="28" t="str">
        <x:v>Луковые овощи</x:v>
      </x:c>
      <x:c r="G1120" s="28" t="str">
        <x:v>чоризо</x:v>
      </x:c>
      <x:c r="H1120" s="28" t="str">
        <x:v>chorizo</x:v>
      </x:c>
      <x:c r="I1120" s="28" t="str">
        <x:v>Прочее</x:v>
      </x:c>
      <x:c r="J1120" s="28" t="str">
        <x:v>резкий сернистый, зелёный и мясной; после запекания — сладкий и ореховый</x:v>
      </x:c>
      <x:c r="K1120" s="28" t="str">
        <x:v>профиль зависит от конкретного продукта</x:v>
      </x:c>
      <x:c r="L1120" s="28" t="str">
        <x:v>аллицин, диаллилдисульфид, диаллилтрисульфид, метантиол</x:v>
      </x:c>
      <x:c r="M1120" s="28" t="str">
        <x:v>конкретный молекулярный профиль не указан</x:v>
      </x:c>
      <x:c r="N1120" s="28" t="str">
        <x:v>прямое пересечение семейств не подтверждено</x:v>
      </x:c>
      <x:c r="O1120" s="28" t="str">
        <x:v>надёжная общая ключевая молекула не установлена</x:v>
      </x:c>
      <x:c r="P1120" s="28" t="str">
        <x:v>сернистая или горчичная комплементарность</x:v>
      </x:c>
      <x:c r="Q1120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0" s="28" t="str">
        <x:v>сильное жжение и раздражение тройничного нерва</x:v>
      </x:c>
      <x:c r="S1120" s="28" t="str">
        <x:v>водная луковичная матрица; реакция начинается после повреждения клеток</x:v>
      </x:c>
      <x:c r="T112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0" s="28" t="str">
        <x:v>Чеснок имеет профиль «резкий сернистый, зелёный и мясной; после запекания — сладкий и ореховый».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0" s="28" t="str">
        <x:v>сырой чеснок быстро доминирует; пережжённый чеснок очень горький; хранить и обрабатывать по пищевым нормам</x:v>
      </x:c>
      <x:c r="W1120" s="28" t="str">
        <x:v>соль, кислота или ароматический жир</x:v>
      </x:c>
      <x:c r="X1120" s="28" t="str">
        <x:v>горячее блюдо, бульон, соус, пюре, ферментация или гарнир с чоризо</x:v>
      </x:c>
      <x:c r="Y1120" s="28" t="str">
        <x:v>еда, соусы/маринады</x:v>
      </x:c>
      <x:c r="Z1120" s="28" t="str">
        <x:v>Средняя</x:v>
      </x:c>
      <x:c r="AA1120" s="28" t="str">
        <x:v>The Art &amp; Science of Foodpairing.pdf</x:v>
      </x:c>
      <x:c r="AB1120" s="28" t="str">
        <x:v>The Art &amp; Science of Foodpairing.pdf: 288</x:v>
      </x:c>
      <x:c r="AC1120" s="28" t="str">
        <x:v>связь из pairing grid, стр. 288</x:v>
      </x:c>
      <x:c r="AD1120" s="28" t="n">
        <x:v>1</x:v>
      </x:c>
      <x:c r="AE1120" s="28" t="n">
        <x:v>1</x:v>
      </x:c>
      <x:c r="AF1120" s="28" t="n">
        <x:f>IF(Z1120="Высокая",3,IF(Z1120="Средняя",2,1))+AD1120*2+MIN(AE1120,3)</x:f>
        <x:v>5</x:v>
      </x:c>
    </x:row>
    <x:row r="1121" ht="64" customHeight="1">
      <x:c r="A1121" s="28" t="str">
        <x:v>VEG-1120</x:v>
      </x:c>
      <x:c r="B1121" s="28" t="str">
        <x:v>чеснок</x:v>
      </x:c>
      <x:c r="C1121" s="28" t="str">
        <x:v>Десерты и выпечка</x:v>
      </x:c>
      <x:c r="D1121" s="28" t="str">
        <x:v>чеснок</x:v>
      </x:c>
      <x:c r="E1121" s="28" t="str">
        <x:v>garlic</x:v>
      </x:c>
      <x:c r="F1121" s="28" t="str">
        <x:v>Луковые овощи</x:v>
      </x:c>
      <x:c r="G1121" s="28" t="str">
        <x:v>чёрная смородина</x:v>
      </x:c>
      <x:c r="H1121" s="28" t="str">
        <x:v>blackcurrant</x:v>
      </x:c>
      <x:c r="I1121" s="28" t="str">
        <x:v>Фрукты и ягоды</x:v>
      </x:c>
      <x:c r="J1121" s="28" t="str">
        <x:v>резкий сернистый, зелёный и мясной; после запекания — сладкий и ореховый</x:v>
      </x:c>
      <x:c r="K1121" s="28" t="str">
        <x:v>фруктовый, цветочный и свежий</x:v>
      </x:c>
      <x:c r="L1121" s="28" t="str">
        <x:v>аллицин, диаллилдисульфид, диаллилтрисульфид, метантиол</x:v>
      </x:c>
      <x:c r="M1121" s="28" t="str">
        <x:v>альдегиды, эфиры</x:v>
      </x:c>
      <x:c r="N1121" s="28" t="str">
        <x:v>прямое пересечение семейств не подтверждено</x:v>
      </x:c>
      <x:c r="O1121" s="28" t="str">
        <x:v>надёжная общая ключевая молекула не установлена</x:v>
      </x:c>
      <x:c r="P1121" s="28" t="str">
        <x:v>кислотно-сладкий баланс; сернистая или горчичная комплементарность</x:v>
      </x:c>
      <x:c r="Q1121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1" s="28" t="str">
        <x:v>сильное жжение и раздражение тройничного нерва</x:v>
      </x:c>
      <x:c r="S1121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12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1" s="28" t="str">
        <x:v>Чеснок имеет профиль «резкий сернистый, зелёный и мясной; после запекания — сладкий и ореховый».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1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121" s="28" t="str">
        <x:v>цитрус, мёд или мягкая трава</x:v>
      </x:c>
      <x:c r="X1121" s="28" t="str">
        <x:v>горячее блюдо, бульон, соус, пюре, ферментация или гарнир с чёрная смородина</x:v>
      </x:c>
      <x:c r="Y1121" s="28" t="str">
        <x:v>еда, десерты, соусы/маринады</x:v>
      </x:c>
      <x:c r="Z1121" s="28" t="str">
        <x:v>Средняя</x:v>
      </x:c>
      <x:c r="AA1121" s="28" t="str">
        <x:v>The Art &amp; Science of Foodpairing.pdf</x:v>
      </x:c>
      <x:c r="AB1121" s="28" t="str">
        <x:v>The Art &amp; Science of Foodpairing.pdf: 113</x:v>
      </x:c>
      <x:c r="AC1121" s="28" t="str">
        <x:v>связь из pairing grid, стр. 113</x:v>
      </x:c>
      <x:c r="AD1121" s="28" t="n">
        <x:v>1</x:v>
      </x:c>
      <x:c r="AE1121" s="28" t="n">
        <x:v>1</x:v>
      </x:c>
      <x:c r="AF1121" s="28" t="n">
        <x:f>IF(Z1121="Высокая",3,IF(Z1121="Средняя",2,1))+AD1121*2+MIN(AE1121,3)</x:f>
        <x:v>5</x:v>
      </x:c>
    </x:row>
    <x:row r="1122" ht="64" customHeight="1">
      <x:c r="A1122" s="28" t="str">
        <x:v>VEG-1121</x:v>
      </x:c>
      <x:c r="B1122" s="28" t="str">
        <x:v>чеснок</x:v>
      </x:c>
      <x:c r="C1122" s="28" t="str">
        <x:v>Универсальные</x:v>
      </x:c>
      <x:c r="D1122" s="28" t="str">
        <x:v>чеснок</x:v>
      </x:c>
      <x:c r="E1122" s="28" t="str">
        <x:v>garlic</x:v>
      </x:c>
      <x:c r="F1122" s="28" t="str">
        <x:v>Луковые овощи</x:v>
      </x:c>
      <x:c r="G1122" s="28" t="str">
        <x:v>чёрные оливки</x:v>
      </x:c>
      <x:c r="H1122" s="28" t="str">
        <x:v>black olive</x:v>
      </x:c>
      <x:c r="I1122" s="28" t="str">
        <x:v>Прочее</x:v>
      </x:c>
      <x:c r="J1122" s="28" t="str">
        <x:v>резкий сернистый, зелёный и мясной; после запекания — сладкий и ореховый</x:v>
      </x:c>
      <x:c r="K1122" s="28" t="str">
        <x:v>профиль зависит от конкретного продукта</x:v>
      </x:c>
      <x:c r="L1122" s="28" t="str">
        <x:v>аллицин, диаллилдисульфид, диаллилтрисульфид, метантиол</x:v>
      </x:c>
      <x:c r="M1122" s="28" t="str">
        <x:v>конкретный молекулярный профиль не указан</x:v>
      </x:c>
      <x:c r="N1122" s="28" t="str">
        <x:v>прямое пересечение семейств не подтверждено</x:v>
      </x:c>
      <x:c r="O1122" s="28" t="str">
        <x:v>надёжная общая ключевая молекула не установлена</x:v>
      </x:c>
      <x:c r="P1122" s="28" t="str">
        <x:v>сернистая или горчичная комплементарность</x:v>
      </x:c>
      <x:c r="Q1122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2" s="28" t="str">
        <x:v>сильное жжение и раздражение тройничного нерва</x:v>
      </x:c>
      <x:c r="S1122" s="28" t="str">
        <x:v>водная луковичная матрица; реакция начинается после повреждения клеток</x:v>
      </x:c>
      <x:c r="T112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2" s="28" t="str">
        <x:v>Чеснок имеет профиль «резкий сернистый, зелёный и мясной; после запекания — сладкий и ореховый». Партнёр «чёрные 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2" s="28" t="str">
        <x:v>сырой чеснок быстро доминирует; пережжённый чеснок очень горький; хранить и обрабатывать по пищевым нормам</x:v>
      </x:c>
      <x:c r="W1122" s="28" t="str">
        <x:v>соль, кислота или ароматический жир</x:v>
      </x:c>
      <x:c r="X1122" s="28" t="str">
        <x:v>горячее блюдо, бульон, соус, пюре, ферментация или гарнир с чёрные оливки</x:v>
      </x:c>
      <x:c r="Y1122" s="28" t="str">
        <x:v>еда, соусы/маринады</x:v>
      </x:c>
      <x:c r="Z1122" s="28" t="str">
        <x:v>Средняя</x:v>
      </x:c>
      <x:c r="AA1122" s="28" t="str">
        <x:v>The Art &amp; Science of Foodpairing.pdf</x:v>
      </x:c>
      <x:c r="AB1122" s="28" t="str">
        <x:v>The Art &amp; Science of Foodpairing.pdf: 113</x:v>
      </x:c>
      <x:c r="AC1122" s="28" t="str">
        <x:v>связь из pairing grid, стр. 113</x:v>
      </x:c>
      <x:c r="AD1122" s="28" t="n">
        <x:v>1</x:v>
      </x:c>
      <x:c r="AE1122" s="28" t="n">
        <x:v>1</x:v>
      </x:c>
      <x:c r="AF1122" s="28" t="n">
        <x:f>IF(Z1122="Высокая",3,IF(Z1122="Средняя",2,1))+AD1122*2+MIN(AE1122,3)</x:f>
        <x:v>5</x:v>
      </x:c>
    </x:row>
    <x:row r="1123" ht="64" customHeight="1">
      <x:c r="A1123" s="28" t="str">
        <x:v>VEG-1122</x:v>
      </x:c>
      <x:c r="B1123" s="28" t="str">
        <x:v>чеснок</x:v>
      </x:c>
      <x:c r="C1123" s="28" t="str">
        <x:v>Еда и соусы</x:v>
      </x:c>
      <x:c r="D1123" s="28" t="str">
        <x:v>чеснок</x:v>
      </x:c>
      <x:c r="E1123" s="28" t="str">
        <x:v>garlic</x:v>
      </x:c>
      <x:c r="F1123" s="28" t="str">
        <x:v>Луковые овощи</x:v>
      </x:c>
      <x:c r="G1123" s="28" t="str">
        <x:v>чёрный трюфель</x:v>
      </x:c>
      <x:c r="H1123" s="28" t="str">
        <x:v>black truffle</x:v>
      </x:c>
      <x:c r="I1123" s="28" t="str">
        <x:v>Грибы</x:v>
      </x:c>
      <x:c r="J1123" s="28" t="str">
        <x:v>резкий сернистый, зелёный и мясной; после запекания — сладкий и ореховый</x:v>
      </x:c>
      <x:c r="K1123" s="28" t="str">
        <x:v>землистый, грибной и умами</x:v>
      </x:c>
      <x:c r="L1123" s="28" t="str">
        <x:v>аллицин, диаллилдисульфид, диаллилтрисульфид, метантиол</x:v>
      </x:c>
      <x:c r="M1123" s="28" t="str">
        <x:v>1-октен-3-ол, сернистые соединения</x:v>
      </x:c>
      <x:c r="N1123" s="28" t="str">
        <x:v>жареный, умами</x:v>
      </x:c>
      <x:c r="O1123" s="28" t="str">
        <x:v>надёжная общая ключевая молекула не установлена</x:v>
      </x:c>
      <x:c r="P1123" s="28" t="str">
        <x:v>пересечение ароматических семейств; умами и солёный контраст; сернистая или горчичная комплементарность</x:v>
      </x:c>
      <x:c r="Q1123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3" s="28" t="str">
        <x:v>сильное жжение и раздражение тройничного нерва</x:v>
      </x:c>
      <x:c r="S1123" s="28" t="str">
        <x:v>водная луковичная матрица; реакция начинается после повреждения клеток Белок и жир требуют контроля воды: для жареной ароматики поверхность должна подсохнуть.</x:v>
      </x:c>
      <x:c r="T112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3" s="28" t="str">
        <x:v>Чеснок имеет профиль «резкий сернистый, зелёный и мясной; после запекания — сладкий и ореховый». Партнёр «чёрный трюфель» относится к группе «Грибы» и даёт землистый, грибной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3" s="28" t="str">
        <x:v>сырой чеснок быстро доминирует; пережжённый чеснок очень горький; хранить и обрабатывать по пищевым нормам</x:v>
      </x:c>
      <x:c r="W1123" s="28" t="str">
        <x:v>соль, кислота или ароматический жир</x:v>
      </x:c>
      <x:c r="X1123" s="28" t="str">
        <x:v>горячее блюдо, бульон, соус, пюре, ферментация или гарнир с чёрный трюфель</x:v>
      </x:c>
      <x:c r="Y1123" s="28" t="str">
        <x:v>еда, соусы/маринады</x:v>
      </x:c>
      <x:c r="Z1123" s="28" t="str">
        <x:v>Средняя</x:v>
      </x:c>
      <x:c r="AA1123" s="28" t="str">
        <x:v>The Art &amp; Science of Foodpairing.pdf</x:v>
      </x:c>
      <x:c r="AB1123" s="28" t="str">
        <x:v>The Art &amp; Science of Foodpairing.pdf: 114</x:v>
      </x:c>
      <x:c r="AC1123" s="28" t="str">
        <x:v>связь из pairing grid, стр. 114</x:v>
      </x:c>
      <x:c r="AD1123" s="28" t="n">
        <x:v>1</x:v>
      </x:c>
      <x:c r="AE1123" s="28" t="n">
        <x:v>1</x:v>
      </x:c>
      <x:c r="AF1123" s="28" t="n">
        <x:f>IF(Z1123="Высокая",3,IF(Z1123="Средняя",2,1))+AD1123*2+MIN(AE1123,3)</x:f>
        <x:v>5</x:v>
      </x:c>
    </x:row>
    <x:row r="1124" ht="64" customHeight="1">
      <x:c r="A1124" s="28" t="str">
        <x:v>VEG-1123</x:v>
      </x:c>
      <x:c r="B1124" s="28" t="str">
        <x:v>чеснок</x:v>
      </x:c>
      <x:c r="C1124" s="28" t="str">
        <x:v>Еда и соусы</x:v>
      </x:c>
      <x:c r="D1124" s="28" t="str">
        <x:v>чеснок</x:v>
      </x:c>
      <x:c r="E1124" s="28" t="str">
        <x:v>garlic</x:v>
      </x:c>
      <x:c r="F1124" s="28" t="str">
        <x:v>Луковые овощи</x:v>
      </x:c>
      <x:c r="G1124" s="28" t="str">
        <x:v>чёрный чеснок</x:v>
      </x:c>
      <x:c r="H1124" s="28" t="str">
        <x:v>black garlicpuree</x:v>
      </x:c>
      <x:c r="I1124" s="28" t="str">
        <x:v>Луковые овощи</x:v>
      </x:c>
      <x:c r="J1124" s="28" t="str">
        <x:v>резкий сернистый, зелёный и мясной; после запекания — сладкий и ореховый</x:v>
      </x:c>
      <x:c r="K1124" s="28" t="str">
        <x:v>сернистый, сладкий и жареный</x:v>
      </x:c>
      <x:c r="L1124" s="28" t="str">
        <x:v>аллицин, диаллилдисульфид, диаллилтрисульфид, метантиол</x:v>
      </x:c>
      <x:c r="M1124" s="28" t="str">
        <x:v>сернистые соединения, тиосульфинаты</x:v>
      </x:c>
      <x:c r="N1124" s="28" t="str">
        <x:v>жареный, сернистый</x:v>
      </x:c>
      <x:c r="O1124" s="28" t="str">
        <x:v>надёжная общая ключевая молекула не установлена</x:v>
      </x:c>
      <x:c r="P1124" s="28" t="str">
        <x:v>пересечение ароматических семейств; сернистая или горчичная комплементарность</x:v>
      </x:c>
      <x:c r="Q1124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4" s="28" t="str">
        <x:v>сильное жжение и раздражение тройничного нерва</x:v>
      </x:c>
      <x:c r="S1124" s="28" t="str">
        <x:v>водная луковичная матрица; реакция начинается после повреждения клеток</x:v>
      </x:c>
      <x:c r="T112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4" s="28" t="str">
        <x:v>Чеснок имеет профиль «резкий сернистый, зелёный и мясной; после запекания — сладкий и ореховый». Партнёр «чёрный чеснок» относится к группе «Луковые овощи» и даёт сернистый, сладкий и жареный.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4" s="28" t="str">
        <x:v>сырой чеснок быстро доминирует; пережжённый чеснок очень горький; хранить и обрабатывать по пищевым нормам</x:v>
      </x:c>
      <x:c r="W1124" s="28" t="str">
        <x:v>соль, кислота или ароматический жир</x:v>
      </x:c>
      <x:c r="X1124" s="28" t="str">
        <x:v>горячее блюдо, бульон, соус, пюре, ферментация или гарнир с чёрный чеснок</x:v>
      </x:c>
      <x:c r="Y1124" s="28" t="str">
        <x:v>еда, соусы/маринады</x:v>
      </x:c>
      <x:c r="Z1124" s="28" t="str">
        <x:v>Средняя</x:v>
      </x:c>
      <x:c r="AA1124" s="28" t="str">
        <x:v>The Art &amp; Science of Foodpairing.pdf</x:v>
      </x:c>
      <x:c r="AB1124" s="28" t="str">
        <x:v>The Art &amp; Science of Foodpairing.pdf: 114</x:v>
      </x:c>
      <x:c r="AC1124" s="28" t="str">
        <x:v>связь из pairing grid, стр. 114</x:v>
      </x:c>
      <x:c r="AD1124" s="28" t="n">
        <x:v>1</x:v>
      </x:c>
      <x:c r="AE1124" s="28" t="n">
        <x:v>1</x:v>
      </x:c>
      <x:c r="AF1124" s="28" t="n">
        <x:f>IF(Z1124="Высокая",3,IF(Z1124="Средняя",2,1))+AD1124*2+MIN(AE1124,3)</x:f>
        <x:v>5</x:v>
      </x:c>
    </x:row>
    <x:row r="1125" ht="64" customHeight="1">
      <x:c r="A1125" s="28" t="str">
        <x:v>VEG-1124</x:v>
      </x:c>
      <x:c r="B1125" s="28" t="str">
        <x:v>чеснок</x:v>
      </x:c>
      <x:c r="C1125" s="28" t="str">
        <x:v>Универсальные</x:v>
      </x:c>
      <x:c r="D1125" s="28" t="str">
        <x:v>чеснок</x:v>
      </x:c>
      <x:c r="E1125" s="28" t="str">
        <x:v>garlic</x:v>
      </x:c>
      <x:c r="F1125" s="28" t="str">
        <x:v>Луковые овощи</x:v>
      </x:c>
      <x:c r="G1125" s="28" t="str">
        <x:v>шафран</x:v>
      </x:c>
      <x:c r="H1125" s="28" t="str">
        <x:v>saffron</x:v>
      </x:c>
      <x:c r="I1125" s="28" t="str">
        <x:v>Специи</x:v>
      </x:c>
      <x:c r="J1125" s="28" t="str">
        <x:v>резкий сернистый, зелёный и мясной; после запекания — сладкий и ореховый</x:v>
      </x:c>
      <x:c r="K1125" s="28" t="str">
        <x:v>пряный и древесный</x:v>
      </x:c>
      <x:c r="L1125" s="28" t="str">
        <x:v>аллицин, диаллилдисульфид, диаллилтрисульфид, метантиол</x:v>
      </x:c>
      <x:c r="M1125" s="28" t="str">
        <x:v>терпены, фенилпропаноиды</x:v>
      </x:c>
      <x:c r="N1125" s="28" t="str">
        <x:v>прямое пересечение семейств не подтверждено</x:v>
      </x:c>
      <x:c r="O1125" s="28" t="str">
        <x:v>надёжная общая ключевая молекула не установлена</x:v>
      </x:c>
      <x:c r="P1125" s="28" t="str">
        <x:v>сернистая или горчичная комплементарность</x:v>
      </x:c>
      <x:c r="Q1125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5" s="28" t="str">
        <x:v>сильное жжение и раздражение тройничного нерва</x:v>
      </x:c>
      <x:c r="S1125" s="28" t="str">
        <x:v>водная луковичная матрица; реакция начинается после повреждения клеток</x:v>
      </x:c>
      <x:c r="T112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5" s="28" t="str">
        <x:v>Чеснок имеет профиль «резкий сернистый, зелёный и мясной; после запекания — сладкий и ореховый».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5" s="28" t="str">
        <x:v>сырой чеснок быстро доминирует; пережжённый чеснок очень горький; хранить и обрабатывать по пищевым нормам</x:v>
      </x:c>
      <x:c r="W1125" s="28" t="str">
        <x:v>цитрус, йогурт или мёд</x:v>
      </x:c>
      <x:c r="X1125" s="28" t="str">
        <x:v>горячее блюдо, бульон, соус, пюре, ферментация или гарнир с шафран</x:v>
      </x:c>
      <x:c r="Y1125" s="28" t="str">
        <x:v>еда, соусы/маринады</x:v>
      </x:c>
      <x:c r="Z1125" s="28" t="str">
        <x:v>Средняя</x:v>
      </x:c>
      <x:c r="AA1125" s="28" t="str">
        <x:v>The Art &amp; Science of Foodpairing.pdf</x:v>
      </x:c>
      <x:c r="AB1125" s="28" t="str">
        <x:v>The Art &amp; Science of Foodpairing.pdf: 114</x:v>
      </x:c>
      <x:c r="AC1125" s="28" t="str">
        <x:v>связь из pairing grid, стр. 114</x:v>
      </x:c>
      <x:c r="AD1125" s="28" t="n">
        <x:v>1</x:v>
      </x:c>
      <x:c r="AE1125" s="28" t="n">
        <x:v>1</x:v>
      </x:c>
      <x:c r="AF1125" s="28" t="n">
        <x:f>IF(Z1125="Высокая",3,IF(Z1125="Средняя",2,1))+AD1125*2+MIN(AE1125,3)</x:f>
        <x:v>5</x:v>
      </x:c>
    </x:row>
    <x:row r="1126" ht="64" customHeight="1">
      <x:c r="A1126" s="28" t="str">
        <x:v>VEG-1125</x:v>
      </x:c>
      <x:c r="B1126" s="28" t="str">
        <x:v>чеснок</x:v>
      </x:c>
      <x:c r="C1126" s="28" t="str">
        <x:v>Еда и соусы</x:v>
      </x:c>
      <x:c r="D1126" s="28" t="str">
        <x:v>чеснок</x:v>
      </x:c>
      <x:c r="E1126" s="28" t="str">
        <x:v>garlic</x:v>
      </x:c>
      <x:c r="F1126" s="28" t="str">
        <x:v>Луковые овощи</x:v>
      </x:c>
      <x:c r="G1126" s="28" t="str">
        <x:v>шнитт-лук</x:v>
      </x:c>
      <x:c r="H1126" s="28" t="str">
        <x:v>chives</x:v>
      </x:c>
      <x:c r="I1126" s="28" t="str">
        <x:v>Луковые овощи</x:v>
      </x:c>
      <x:c r="J1126" s="28" t="str">
        <x:v>резкий сернистый, зелёный и мясной; после запекания — сладкий и ореховый</x:v>
      </x:c>
      <x:c r="K1126" s="28" t="str">
        <x:v>сернистый, сладкий и жареный</x:v>
      </x:c>
      <x:c r="L1126" s="28" t="str">
        <x:v>аллицин, диаллилдисульфид, диаллилтрисульфид, метантиол</x:v>
      </x:c>
      <x:c r="M1126" s="28" t="str">
        <x:v>сернистые соединения, тиосульфинаты</x:v>
      </x:c>
      <x:c r="N1126" s="28" t="str">
        <x:v>жареный, сернистый</x:v>
      </x:c>
      <x:c r="O1126" s="28" t="str">
        <x:v>надёжная общая ключевая молекула не установлена</x:v>
      </x:c>
      <x:c r="P1126" s="28" t="str">
        <x:v>пересечение ароматических семейств; сернистая или горчичная комплементарность</x:v>
      </x:c>
      <x:c r="Q1126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6" s="28" t="str">
        <x:v>сильное жжение и раздражение тройничного нерва</x:v>
      </x:c>
      <x:c r="S1126" s="28" t="str">
        <x:v>водная луковичная матрица; реакция начинается после повреждения клеток</x:v>
      </x:c>
      <x:c r="T112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6" s="28" t="str">
        <x:v>Чеснок имеет профиль «резкий сернистый, зелёный и мясной; после запекания — сладкий и ореховый». Партнёр «шнитт-лук» относится к группе «Луковые овощи» и даёт сернистый, сладкий и жареный.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6" s="28" t="str">
        <x:v>сырой чеснок быстро доминирует; пережжённый чеснок очень горький; хранить и обрабатывать по пищевым нормам</x:v>
      </x:c>
      <x:c r="W1126" s="28" t="str">
        <x:v>соль, кислота или ароматический жир</x:v>
      </x:c>
      <x:c r="X1126" s="28" t="str">
        <x:v>горячее блюдо, бульон, соус, пюре, ферментация или гарнир с шнитт-лук</x:v>
      </x:c>
      <x:c r="Y1126" s="28" t="str">
        <x:v>еда, соусы/маринады</x:v>
      </x:c>
      <x:c r="Z1126" s="28" t="str">
        <x:v>Средняя</x:v>
      </x:c>
      <x:c r="AA1126" s="28" t="str">
        <x:v>The Art &amp; Science of Foodpairing.pdf</x:v>
      </x:c>
      <x:c r="AB1126" s="28" t="str">
        <x:v>The Art &amp; Science of Foodpairing.pdf: 114</x:v>
      </x:c>
      <x:c r="AC1126" s="28" t="str">
        <x:v>связь из pairing grid, стр. 114</x:v>
      </x:c>
      <x:c r="AD1126" s="28" t="n">
        <x:v>1</x:v>
      </x:c>
      <x:c r="AE1126" s="28" t="n">
        <x:v>1</x:v>
      </x:c>
      <x:c r="AF1126" s="28" t="n">
        <x:f>IF(Z1126="Высокая",3,IF(Z1126="Средняя",2,1))+AD1126*2+MIN(AE1126,3)</x:f>
        <x:v>5</x:v>
      </x:c>
    </x:row>
    <x:row r="1127" ht="64" customHeight="1">
      <x:c r="A1127" s="28" t="str">
        <x:v>VEG-1126</x:v>
      </x:c>
      <x:c r="B1127" s="28" t="str">
        <x:v>чеснок</x:v>
      </x:c>
      <x:c r="C1127" s="28" t="str">
        <x:v>Десерты и выпечка</x:v>
      </x:c>
      <x:c r="D1127" s="28" t="str">
        <x:v>чеснок</x:v>
      </x:c>
      <x:c r="E1127" s="28" t="str">
        <x:v>black garlic</x:v>
      </x:c>
      <x:c r="F1127" s="28" t="str">
        <x:v>Луковые овощи</x:v>
      </x:c>
      <x:c r="G1127" s="28" t="str">
        <x:v>шоколад</x:v>
      </x:c>
      <x:c r="H1127" s="28" t="str">
        <x:v>chocolate</x:v>
      </x:c>
      <x:c r="I1127" s="28" t="str">
        <x:v>Какао и шоколад</x:v>
      </x:c>
      <x:c r="J1127" s="28" t="str">
        <x:v>резкий сернистый, зелёный и мясной; после запекания — сладкий и ореховый</x:v>
      </x:c>
      <x:c r="K1127" s="28" t="str">
        <x:v>жареный, какаовый, карамельный</x:v>
      </x:c>
      <x:c r="L1127" s="28" t="str">
        <x:v>аллицин, диаллилдисульфид, диаллилтрисульфид, метантиол</x:v>
      </x:c>
      <x:c r="M1127" s="28" t="str">
        <x:v>пиразины, фураны</x:v>
      </x:c>
      <x:c r="N1127" s="28" t="str">
        <x:v>жареный</x:v>
      </x:c>
      <x:c r="O1127" s="28" t="str">
        <x:v>надёжная общая ключевая молекула не установлена</x:v>
      </x:c>
      <x:c r="P1127" s="28" t="str">
        <x:v>пересечение ароматических семейств; сернистая или горчичная комплементарность</x:v>
      </x:c>
      <x:c r="Q1127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7" s="28" t="str">
        <x:v>сильное жжение и раздражение тройничного нерва</x:v>
      </x:c>
      <x:c r="S1127" s="28" t="str">
        <x:v>водная луковичная матрица; реакция начинается после повреждения клеток</x:v>
      </x:c>
      <x:c r="T112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7" s="28" t="str">
        <x:v>Чеснок имеет профиль «резкий сернистый, зелёный и мясной; после запекания — сладкий и ореховый». Партнёр «шоколад» относится к группе «Какао и шоколад» и даёт жареный, какаовый, карамельный.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7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W1127" s="28" t="str">
        <x:v>сливки, орех или карамель</x:v>
      </x:c>
      <x:c r="X1127" s="28" t="str">
        <x:v>горячее блюдо, бульон, соус, пюре, ферментация или гарнир с шоколад</x:v>
      </x:c>
      <x:c r="Y1127" s="28" t="str">
        <x:v>еда, десерты, соусы/маринады</x:v>
      </x:c>
      <x:c r="Z1127" s="28" t="str">
        <x:v>Высокая</x:v>
      </x:c>
      <x:c r="AA1127" s="28" t="str">
        <x:v>The Art &amp; Science of Foodpairing.pdf</x:v>
      </x:c>
      <x:c r="AB1127" s="28" t="str">
        <x:v>The Art &amp; Science of Foodpairing.pdf: 113</x:v>
      </x:c>
      <x:c r="AC1127" s="28" t="str">
        <x:v>прямая Potential pairing, стр. 113</x:v>
      </x:c>
      <x:c r="AD1127" s="28" t="n">
        <x:v>1</x:v>
      </x:c>
      <x:c r="AE1127" s="28" t="n">
        <x:v>1</x:v>
      </x:c>
      <x:c r="AF1127" s="28" t="n">
        <x:f>IF(Z1127="Высокая",3,IF(Z1127="Средняя",2,1))+AD1127*2+MIN(AE1127,3)</x:f>
        <x:v>6</x:v>
      </x:c>
    </x:row>
    <x:row r="1128" ht="64" customHeight="1">
      <x:c r="A1128" s="28" t="str">
        <x:v>VEG-1127</x:v>
      </x:c>
      <x:c r="B1128" s="28" t="str">
        <x:v>чеснок</x:v>
      </x:c>
      <x:c r="C1128" s="28" t="str">
        <x:v>Универсальные</x:v>
      </x:c>
      <x:c r="D1128" s="28" t="str">
        <x:v>чеснок</x:v>
      </x:c>
      <x:c r="E1128" s="28" t="str">
        <x:v>garlic</x:v>
      </x:c>
      <x:c r="F1128" s="28" t="str">
        <x:v>Луковые овощи</x:v>
      </x:c>
      <x:c r="G1128" s="28" t="str">
        <x:v>эмменталь</x:v>
      </x:c>
      <x:c r="H1128" s="28" t="str">
        <x:v>Emmental</x:v>
      </x:c>
      <x:c r="I1128" s="28" t="str">
        <x:v>Прочее</x:v>
      </x:c>
      <x:c r="J1128" s="28" t="str">
        <x:v>резкий сернистый, зелёный и мясной; после запекания — сладкий и ореховый</x:v>
      </x:c>
      <x:c r="K1128" s="28" t="str">
        <x:v>профиль зависит от конкретного продукта</x:v>
      </x:c>
      <x:c r="L1128" s="28" t="str">
        <x:v>аллицин, диаллилдисульфид, диаллилтрисульфид, метантиол</x:v>
      </x:c>
      <x:c r="M1128" s="28" t="str">
        <x:v>конкретный молекулярный профиль не указан</x:v>
      </x:c>
      <x:c r="N1128" s="28" t="str">
        <x:v>прямое пересечение семейств не подтверждено</x:v>
      </x:c>
      <x:c r="O1128" s="28" t="str">
        <x:v>надёжная общая ключевая молекула не установлена</x:v>
      </x:c>
      <x:c r="P1128" s="28" t="str">
        <x:v>сернистая или горчичная комплементарность</x:v>
      </x:c>
      <x:c r="Q1128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8" s="28" t="str">
        <x:v>сильное жжение и раздражение тройничного нерва</x:v>
      </x:c>
      <x:c r="S1128" s="28" t="str">
        <x:v>водная луковичная матрица; реакция начинается после повреждения клеток</x:v>
      </x:c>
      <x:c r="T112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8" s="28" t="str">
        <x:v>Чеснок имеет профиль «резкий сернистый, зелёный и мясной; после запекания — сладкий и ореховый». Партнёр «эмменталь»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8" s="28" t="str">
        <x:v>сырой чеснок быстро доминирует; пережжённый чеснок очень горький; хранить и обрабатывать по пищевым нормам</x:v>
      </x:c>
      <x:c r="W1128" s="28" t="str">
        <x:v>соль, кислота или ароматический жир</x:v>
      </x:c>
      <x:c r="X1128" s="28" t="str">
        <x:v>горячее блюдо, бульон, соус, пюре, ферментация или гарнир с эмменталь</x:v>
      </x:c>
      <x:c r="Y1128" s="28" t="str">
        <x:v>еда, соусы/маринады</x:v>
      </x:c>
      <x:c r="Z1128" s="28" t="str">
        <x:v>Средняя</x:v>
      </x:c>
      <x:c r="AA1128" s="28" t="str">
        <x:v>The Art &amp; Science of Foodpairing.pdf</x:v>
      </x:c>
      <x:c r="AB1128" s="28" t="str">
        <x:v>The Art &amp; Science of Foodpairing.pdf: 113</x:v>
      </x:c>
      <x:c r="AC1128" s="28" t="str">
        <x:v>связь из pairing grid, стр. 113</x:v>
      </x:c>
      <x:c r="AD1128" s="28" t="n">
        <x:v>1</x:v>
      </x:c>
      <x:c r="AE1128" s="28" t="n">
        <x:v>1</x:v>
      </x:c>
      <x:c r="AF1128" s="28" t="n">
        <x:f>IF(Z1128="Высокая",3,IF(Z1128="Средняя",2,1))+AD1128*2+MIN(AE1128,3)</x:f>
        <x:v>5</x:v>
      </x:c>
    </x:row>
    <x:row r="1129" ht="64" customHeight="1">
      <x:c r="A1129" s="28" t="str">
        <x:v>VEG-1128</x:v>
      </x:c>
      <x:c r="B1129" s="28" t="str">
        <x:v>чеснок</x:v>
      </x:c>
      <x:c r="C1129" s="28" t="str">
        <x:v>Десерты и выпечка</x:v>
      </x:c>
      <x:c r="D1129" s="28" t="str">
        <x:v>чеснок</x:v>
      </x:c>
      <x:c r="E1129" s="28" t="str">
        <x:v>garlic</x:v>
      </x:c>
      <x:c r="F1129" s="28" t="str">
        <x:v>Луковые овощи</x:v>
      </x:c>
      <x:c r="G1129" s="28" t="str">
        <x:v>яблоко</x:v>
      </x:c>
      <x:c r="H1129" s="28" t="str">
        <x:v>Gala apple</x:v>
      </x:c>
      <x:c r="I1129" s="28" t="str">
        <x:v>Фрукты и ягоды</x:v>
      </x:c>
      <x:c r="J1129" s="28" t="str">
        <x:v>резкий сернистый, зелёный и мясной; после запекания — сладкий и ореховый</x:v>
      </x:c>
      <x:c r="K1129" s="28" t="str">
        <x:v>зелёный, свежий, фруктовый</x:v>
      </x:c>
      <x:c r="L1129" s="28" t="str">
        <x:v>аллицин, диаллилдисульфид, диаллилтрисульфид, метантиол</x:v>
      </x:c>
      <x:c r="M1129" s="28" t="str">
        <x:v>гексаналь, гексилацетат</x:v>
      </x:c>
      <x:c r="N1129" s="28" t="str">
        <x:v>прямое пересечение семейств не подтверждено</x:v>
      </x:c>
      <x:c r="O1129" s="28" t="str">
        <x:v>надёжная общая ключевая молекула не установлена</x:v>
      </x:c>
      <x:c r="P1129" s="28" t="str">
        <x:v>кислотно-сладкий баланс; сернистая или горчичная комплементарность</x:v>
      </x:c>
      <x:c r="Q1129" s="28" t="str">
        <x:v>Сернистость или горчичная острота смягчаются жиром, сладостью и нагревом; кислота возвращает свежесть, соль усиливает savoury-эффект.</x:v>
      </x:c>
      <x:c r="R1129" s="28" t="str">
        <x:v>сильное жжение и раздражение тройничного нерва</x:v>
      </x:c>
      <x:c r="S1129" s="28" t="str">
        <x:v>водная луковичная матрица; реакция начинается после повреждения клеток Водная кислая фаза усиливает свежесть, но может разжижать пюре и нарушать молочную эмульсию.</x:v>
      </x:c>
      <x:c r="T112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U1129" s="28" t="str">
        <x:v>Чеснок имеет профиль «резкий сернистый, зелёный и мясной; после запекания — сладкий и ореховый».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V1129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W1129" s="28" t="str">
        <x:v>цитрус, мёд или мягкая трава</x:v>
      </x:c>
      <x:c r="X1129" s="28" t="str">
        <x:v>горячее блюдо, бульон, соус, пюре, ферментация или гарнир с яблоко</x:v>
      </x:c>
      <x:c r="Y1129" s="28" t="str">
        <x:v>еда, десерты, соусы/маринады</x:v>
      </x:c>
      <x:c r="Z1129" s="28" t="str">
        <x:v>Средняя</x:v>
      </x:c>
      <x:c r="AA1129" s="28" t="str">
        <x:v>The Art &amp; Science of Foodpairing.pdf</x:v>
      </x:c>
      <x:c r="AB1129" s="28" t="str">
        <x:v>The Art &amp; Science of Foodpairing.pdf: 114</x:v>
      </x:c>
      <x:c r="AC1129" s="28" t="str">
        <x:v>связь из pairing grid, стр. 114</x:v>
      </x:c>
      <x:c r="AD1129" s="28" t="n">
        <x:v>1</x:v>
      </x:c>
      <x:c r="AE1129" s="28" t="n">
        <x:v>1</x:v>
      </x:c>
      <x:c r="AF1129" s="28" t="n">
        <x:f>IF(Z1129="Высокая",3,IF(Z1129="Средняя",2,1))+AD1129*2+MIN(AE1129,3)</x:f>
        <x:v>5</x:v>
      </x:c>
    </x:row>
  </x:sheetData>
  <x:conditionalFormatting sqref="Z2:Z1129">
    <x:cfRule type="expression" dxfId="0" priority="1">
      <x:formula>Z2="Высокая"</x:formula>
    </x:cfRule>
    <x:cfRule type="expression" dxfId="1" priority="2">
      <x:formula>Z2="Средняя"</x:formula>
    </x:cfRule>
    <x:cfRule type="expression" dxfId="2" priority="3">
      <x:formula>Z2="Гипотеза / практическая"</x:formula>
    </x:cfRule>
  </x:conditionalFormatting>
  <x:conditionalFormatting sqref="AF2:AF1129">
    <x:cfRule type="dataBar" priority="4">
      <x:dataBar>
        <x:cfvo type="min"/>
        <x:cfvo type="max"/>
        <x:color rgb="FF6D9C77"/>
      </x:dataBar>
      <x:extLst>
        <x:ext xmlns:x14="http://schemas.microsoft.com/office/spreadsheetml/2009/9/main" uri="{B025F937-C7B1-47D3-B67F-A62EFF666E3E}">
          <x14:id>{DF4A911C-9963-1714-BF78-39A37F873AD1}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ba017ad0cb94fe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F4A911C-9963-1714-BF78-39A37F873AD1}">
            <x14:dataBar gradient="1">
              <x14:cfvo type="min"/>
              <x14:cfvo type="max"/>
              <x14:fillColor rgb="FF6D9C77"/>
            </x14:dataBar>
          </x14:cfRule>
          <xm:sqref>AF2:AF1129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VEG-0050</x:v>
      </x:c>
      <x:c r="B2" s="28" t="str">
        <x:v>батат</x:v>
      </x:c>
      <x:c r="C2" s="28" t="str">
        <x:v>арахис</x:v>
      </x:c>
      <x:c r="D2" s="28" t="str">
        <x:v>Орехи и семена</x:v>
      </x:c>
      <x:c r="E2" s="28" t="str">
        <x:v>общие характерные молекулы; пересечение ароматических семейств</x:v>
      </x:c>
      <x:c r="F2" s="28" t="str">
        <x:v>Батат имеет профиль «сладкий, крахмалистый, цветочный, карамельный и ореховый после запекания». Партнёр «арахис»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" s="28" t="str">
        <x:v>водянистое пюре размывает аромат; сильная сладость требует кислоты, соли или горечи</x:v>
      </x:c>
      <x:c r="I2" s="28" t="str">
        <x:v>пюре, суп, запекание, крем, гарнир, соус или десертная разработка с арахис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119</x:v>
      </x:c>
    </x:row>
    <x:row r="3" ht="66" customHeight="1">
      <x:c r="A3" s="28" t="str">
        <x:v>VEG-0051</x:v>
      </x:c>
      <x:c r="B3" s="28" t="str">
        <x:v>батат</x:v>
      </x:c>
      <x:c r="C3" s="28" t="str">
        <x:v>базилик</x:v>
      </x:c>
      <x:c r="D3" s="28" t="str">
        <x:v>Травы, цветы и листья</x:v>
      </x:c>
      <x:c r="E3" s="28" t="str">
        <x:v>сенсорная комплементарность</x:v>
      </x:c>
      <x:c r="F3" s="28" t="str">
        <x:v>Батат имеет профиль «сладкий, крахмалистый, цветочный, карамельный и ореховый после запекания».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3" s="28" t="str">
        <x:v>пюре, суп, запекание, крем, гарнир, соус или десертная разработка с базилик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119</x:v>
      </x:c>
    </x:row>
    <x:row r="4" ht="66" customHeight="1">
      <x:c r="A4" s="28" t="str">
        <x:v>VEG-0052</x:v>
      </x:c>
      <x:c r="B4" s="28" t="str">
        <x:v>батат</x:v>
      </x:c>
      <x:c r="C4" s="28" t="str">
        <x:v>бальзамический уксус</x:v>
      </x:c>
      <x:c r="D4" s="28" t="str">
        <x:v>Ферментированные продукты и соусы</x:v>
      </x:c>
      <x:c r="E4" s="28" t="str">
        <x:v>общие характерные молекулы; пересечение ароматических семейств; умами и солёный контраст</x:v>
      </x:c>
      <x:c r="F4" s="28" t="str">
        <x:v>Батат имеет профиль «сладкий, крахмалистый, цветочный, карамельный и ореховый после запекания». Партнёр «бальзамический уксус» относится к группе «Ферментированные продукты и соусы» и даёт ферментированный, умами и сложный. Вероятный молекулярный мост: пиразины, фураны.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" s="28" t="str">
        <x:v>водянистое пюре размывает аромат; сильная сладость требует кислоты, соли или горечи</x:v>
      </x:c>
      <x:c r="I4" s="28" t="str">
        <x:v>пюре, суп, запекание, крем, гарнир, соус или десертная разработка с бальзамический уксус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316</x:v>
      </x:c>
    </x:row>
    <x:row r="5" ht="66" customHeight="1">
      <x:c r="A5" s="28" t="str">
        <x:v>VEG-0053</x:v>
      </x:c>
      <x:c r="B5" s="28" t="str">
        <x:v>батат</x:v>
      </x:c>
      <x:c r="C5" s="28" t="str">
        <x:v>барбарис</x:v>
      </x:c>
      <x:c r="D5" s="28" t="str">
        <x:v>Выпечка, крупы, сахара и десерты</x:v>
      </x:c>
      <x:c r="E5" s="28" t="str">
        <x:v>общие характерные молекулы; пересечение ароматических семейств</x:v>
      </x:c>
      <x:c r="F5" s="28" t="str">
        <x:v>Батат имеет профиль «сладкий, крахмалистый, цветочный, карамельный и ореховый после запекания». Партнёр «барбарис»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" s="28" t="str">
        <x:v>водянистое пюре размывает аромат; сильная сладость требует кислоты, соли или горечи</x:v>
      </x:c>
      <x:c r="I5" s="28" t="str">
        <x:v>пюре, суп, запекание, крем, гарнир, соус или десертная разработка с барбарис</x:v>
      </x:c>
      <x:c r="J5" s="28" t="str">
        <x:v>Высокая</x:v>
      </x:c>
      <x:c r="K5" s="28" t="str">
        <x:v>The Art &amp; Science of Foodpairing.pdf</x:v>
      </x:c>
      <x:c r="L5" s="28" t="str">
        <x:v>The Art &amp; Science of Foodpairing.pdf: 118</x:v>
      </x:c>
    </x:row>
    <x:row r="6" ht="66" customHeight="1">
      <x:c r="A6" s="28" t="str">
        <x:v>VEG-0054</x:v>
      </x:c>
      <x:c r="B6" s="28" t="str">
        <x:v>батат</x:v>
      </x:c>
      <x:c r="C6" s="28" t="str">
        <x:v>бекон</x:v>
      </x:c>
      <x:c r="D6" s="28" t="str">
        <x:v>Мясо и птица</x:v>
      </x:c>
      <x:c r="E6" s="28" t="str">
        <x:v>общие характерные молекулы; пересечение ароматических семейств; умами и солёный контраст</x:v>
      </x:c>
      <x:c r="F6" s="28" t="str">
        <x:v>Батат имеет профиль «сладкий, крахмалистый, цветочный, карамельный и ореховый после запекания».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" s="28" t="str">
        <x:v>водянистое пюре размывает аромат; сильная сладость требует кислоты, соли или горечи</x:v>
      </x:c>
      <x:c r="I6" s="28" t="str">
        <x:v>пюре, суп, запекание, крем, гарнир, соус или десертная разработка с бекон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119</x:v>
      </x:c>
    </x:row>
    <x:row r="7" ht="66" customHeight="1">
      <x:c r="A7" s="28" t="str">
        <x:v>VEG-0055</x:v>
      </x:c>
      <x:c r="B7" s="28" t="str">
        <x:v>батат</x:v>
      </x:c>
      <x:c r="C7" s="28" t="str">
        <x:v>бергамот</x:v>
      </x:c>
      <x:c r="D7" s="28" t="str">
        <x:v>Прочее</x:v>
      </x:c>
      <x:c r="E7" s="28" t="str">
        <x:v>сенсорная комплементарность</x:v>
      </x:c>
      <x:c r="F7" s="28" t="str">
        <x:v>Батат имеет профиль «сладкий, крахмалистый, цветочный, карамельный и ореховый после запекания». Партнёр «бергамот»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" s="28" t="str">
        <x:v>водянистое пюре размывает аромат; сильная сладость требует кислоты, соли или горечи</x:v>
      </x:c>
      <x:c r="I7" s="28" t="str">
        <x:v>пюре, суп, запекание, крем, гарнир, соус или десертная разработка с бергамот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119</x:v>
      </x:c>
    </x:row>
    <x:row r="8" ht="66" customHeight="1">
      <x:c r="A8" s="28" t="str">
        <x:v>VEG-0056</x:v>
      </x:c>
      <x:c r="B8" s="28" t="str">
        <x:v>батат</x:v>
      </x:c>
      <x:c r="C8" s="28" t="str">
        <x:v>гамбургер</x:v>
      </x:c>
      <x:c r="D8" s="28" t="str">
        <x:v>Прочее</x:v>
      </x:c>
      <x:c r="E8" s="28" t="str">
        <x:v>сенсорная комплементарность</x:v>
      </x:c>
      <x:c r="F8" s="28" t="str">
        <x:v>Батат имеет профиль «сладкий, крахмалистый, цветочный, карамельный и ореховый после запекания». Партнёр «гамбургер»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" s="28" t="str">
        <x:v>водянистое пюре размывает аромат; сильная сладость требует кислоты, соли или горечи</x:v>
      </x:c>
      <x:c r="I8" s="28" t="str">
        <x:v>пюре, суп, запекание, крем, гарнир, соус или десертная разработка с гамбургер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119</x:v>
      </x:c>
    </x:row>
    <x:row r="9" ht="66" customHeight="1">
      <x:c r="A9" s="28" t="str">
        <x:v>VEG-0057</x:v>
      </x:c>
      <x:c r="B9" s="28" t="str">
        <x:v>батат</x:v>
      </x:c>
      <x:c r="C9" s="28" t="str">
        <x:v>грецкий орех</x:v>
      </x:c>
      <x:c r="D9" s="28" t="str">
        <x:v>Орехи и семена</x:v>
      </x:c>
      <x:c r="E9" s="28" t="str">
        <x:v>общие характерные молекулы</x:v>
      </x:c>
      <x:c r="F9" s="28" t="str">
        <x:v>Батат имеет профиль «сладкий, крахмалистый, цветочный, карамельный и ореховый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9" s="28" t="str">
        <x:v>водянистое пюре размывает аромат; сильная сладость требует кислоты, соли или горечи</x:v>
      </x:c>
      <x:c r="I9" s="28" t="str">
        <x:v>пюре, суп, запекание, крем, гарнир, соус или десертная разработка с грецкий орех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119</x:v>
      </x:c>
    </x:row>
    <x:row r="10" ht="66" customHeight="1">
      <x:c r="A10" s="28" t="str">
        <x:v>VEG-0058</x:v>
      </x:c>
      <x:c r="B10" s="28" t="str">
        <x:v>батат</x:v>
      </x:c>
      <x:c r="C10" s="28" t="str">
        <x:v>грюйер</x:v>
      </x:c>
      <x:c r="D10" s="28" t="str">
        <x:v>Прочее</x:v>
      </x:c>
      <x:c r="E10" s="28" t="str">
        <x:v>сенсорная комплементарность</x:v>
      </x:c>
      <x:c r="F10" s="28" t="str">
        <x:v>Батат имеет профиль «сладкий, крахмалистый, цветочный, карамельный и ореховый после запекания».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0" s="28" t="str">
        <x:v>водянистое пюре размывает аромат; сильная сладость требует кислоты, соли или горечи</x:v>
      </x:c>
      <x:c r="I10" s="28" t="str">
        <x:v>пюре, суп, запекание, крем, гарнир, соус или десертная разработка с грюйер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119</x:v>
      </x:c>
    </x:row>
    <x:row r="11" ht="66" customHeight="1">
      <x:c r="A11" s="28" t="str">
        <x:v>VEG-0059</x:v>
      </x:c>
      <x:c r="B11" s="28" t="str">
        <x:v>батат</x:v>
      </x:c>
      <x:c r="C11" s="28" t="str">
        <x:v>дыня</x:v>
      </x:c>
      <x:c r="D11" s="28" t="str">
        <x:v>Фрукты и ягоды</x:v>
      </x:c>
      <x:c r="E11" s="28" t="str">
        <x:v>кислотно-сладкий баланс</x:v>
      </x:c>
      <x:c r="F11" s="28" t="str">
        <x:v>Батат имеет профиль «сладкий, крахмалистый, цветочный, карамельный и ореховый после запекания».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1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11" s="28" t="str">
        <x:v>пюре, суп, запекание, крем, гарнир, соус или десертная разработка с дыня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119</x:v>
      </x:c>
    </x:row>
    <x:row r="12" ht="66" customHeight="1">
      <x:c r="A12" s="28" t="str">
        <x:v>VEG-0060</x:v>
      </x:c>
      <x:c r="B12" s="28" t="str">
        <x:v>батат</x:v>
      </x:c>
      <x:c r="C12" s="28" t="str">
        <x:v>жареная индейка</x:v>
      </x:c>
      <x:c r="D12" s="28" t="str">
        <x:v>Мясо и птица</x:v>
      </x:c>
      <x:c r="E12" s="28" t="str">
        <x:v>общие характерные молекулы; пересечение ароматических семейств; умами и солёный контраст</x:v>
      </x:c>
      <x:c r="F12" s="28" t="str">
        <x:v>Батат имеет профиль «сладкий, крахмалистый, цветочный, карамельный и ореховый после запекания». Партнёр «жареная индейка»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1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2" s="28" t="str">
        <x:v>водянистое пюре размывает аромат; сильная сладость требует кислоты, соли или горечи</x:v>
      </x:c>
      <x:c r="I12" s="28" t="str">
        <x:v>пюре, суп, запекание, крем, гарнир, соус или десертная разработка с жареная индейка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119</x:v>
      </x:c>
    </x:row>
    <x:row r="13" ht="66" customHeight="1">
      <x:c r="A13" s="28" t="str">
        <x:v>VEG-0061</x:v>
      </x:c>
      <x:c r="B13" s="28" t="str">
        <x:v>батат</x:v>
      </x:c>
      <x:c r="C13" s="28" t="str">
        <x:v>жареная курица</x:v>
      </x:c>
      <x:c r="D13" s="28" t="str">
        <x:v>Мясо и птица</x:v>
      </x:c>
      <x:c r="E13" s="28" t="str">
        <x:v>общие характерные молекулы; пересечение ароматических семейств; умами и солёный контраст</x:v>
      </x:c>
      <x:c r="F13" s="28" t="str">
        <x:v>Батат имеет профиль «сладкий, крахмалистый, цветочный, карамельный и ореховый после запекания». Партнёр «жареная курица»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1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3" s="28" t="str">
        <x:v>водянистое пюре размывает аромат; сильная сладость требует кислоты, соли или горечи</x:v>
      </x:c>
      <x:c r="I13" s="28" t="str">
        <x:v>пюре, суп, запекание, крем, гарнир, соус или десертная разработка с жареная курица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119</x:v>
      </x:c>
    </x:row>
    <x:row r="14" ht="66" customHeight="1">
      <x:c r="A14" s="28" t="str">
        <x:v>VEG-0062</x:v>
      </x:c>
      <x:c r="B14" s="28" t="str">
        <x:v>батат</x:v>
      </x:c>
      <x:c r="C14" s="28" t="str">
        <x:v>индейка</x:v>
      </x:c>
      <x:c r="D14" s="28" t="str">
        <x:v>Мясо и птица</x:v>
      </x:c>
      <x:c r="E14" s="28" t="str">
        <x:v>общие характерные молекулы; пересечение ароматических семейств; умами и солёный контраст</x:v>
      </x:c>
      <x:c r="F14" s="28" t="str">
        <x:v>Батат имеет профиль «сладкий, крахмалистый, цветочный, карамельный и ореховый после запекания». Партнёр «индейка»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1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4" s="28" t="str">
        <x:v>водянистое пюре размывает аромат; сильная сладость требует кислоты, соли или горечи</x:v>
      </x:c>
      <x:c r="I14" s="28" t="str">
        <x:v>пюре, суп, запекание, крем, гарнир, соус или десертная разработка с индейка</x:v>
      </x:c>
      <x:c r="J14" s="28" t="str">
        <x:v>Высокая</x:v>
      </x:c>
      <x:c r="K14" s="28" t="str">
        <x:v>The Art &amp; Science of Foodpairing.pdf</x:v>
      </x:c>
      <x:c r="L14" s="28" t="str">
        <x:v>The Art &amp; Science of Foodpairing.pdf: 119</x:v>
      </x:c>
    </x:row>
    <x:row r="15" ht="66" customHeight="1">
      <x:c r="A15" s="28" t="str">
        <x:v>VEG-0063</x:v>
      </x:c>
      <x:c r="B15" s="28" t="str">
        <x:v>батат</x:v>
      </x:c>
      <x:c r="C15" s="28" t="str">
        <x:v>инжир</x:v>
      </x:c>
      <x:c r="D15" s="28" t="str">
        <x:v>Фрукты и ягоды</x:v>
      </x:c>
      <x:c r="E15" s="28" t="str">
        <x:v>кислотно-сладкий баланс</x:v>
      </x:c>
      <x:c r="F15" s="28" t="str">
        <x:v>Батат имеет профиль «сладкий, крахмалистый, цветочный, карамельный и ореховый после запекания». Партнёр «инжир»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5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15" s="28" t="str">
        <x:v>пюре, суп, запекание, крем, гарнир, соус или десертная разработка с инжир</x:v>
      </x:c>
      <x:c r="J15" s="28" t="str">
        <x:v>Средняя</x:v>
      </x:c>
      <x:c r="K15" s="28" t="str">
        <x:v>The Art &amp; Science of Foodpairing.pdf</x:v>
      </x:c>
      <x:c r="L15" s="28" t="str">
        <x:v>The Art &amp; Science of Foodpairing.pdf: 119</x:v>
      </x:c>
    </x:row>
    <x:row r="16" ht="66" customHeight="1">
      <x:c r="A16" s="28" t="str">
        <x:v>VEG-0064</x:v>
      </x:c>
      <x:c r="B16" s="28" t="str">
        <x:v>батат</x:v>
      </x:c>
      <x:c r="C16" s="28" t="str">
        <x:v>какао-порошок</x:v>
      </x:c>
      <x:c r="D16" s="28" t="str">
        <x:v>Какао и шоколад</x:v>
      </x:c>
      <x:c r="E16" s="28" t="str">
        <x:v>общие характерные молекулы; пересечение ароматических семейств</x:v>
      </x:c>
      <x:c r="F16" s="28" t="str">
        <x:v>Батат имеет профиль «сладкий, крахмалистый, цветочный, карамельный и ореховый после запекания». Партнёр «какао-порошок» относится к группе «Какао и шоколад» и даёт какаовый, жареный и горько-сладкий.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6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16" s="28" t="str">
        <x:v>пюре, суп, запекание, крем, гарнир, соус или десертная разработка с какао-порошок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119</x:v>
      </x:c>
    </x:row>
    <x:row r="17" ht="66" customHeight="1">
      <x:c r="A17" s="28" t="str">
        <x:v>VEG-0065</x:v>
      </x:c>
      <x:c r="B17" s="28" t="str">
        <x:v>батат</x:v>
      </x:c>
      <x:c r="C17" s="28" t="str">
        <x:v>кефаль</x:v>
      </x:c>
      <x:c r="D17" s="28" t="str">
        <x:v>Рыба и морепродукты</x:v>
      </x:c>
      <x:c r="E17" s="28" t="str">
        <x:v>умами и солёный контраст</x:v>
      </x:c>
      <x:c r="F17" s="28" t="str">
        <x:v>Батат имеет профиль «сладкий, крахмалистый, цветочный, карамельный и ореховый после запекания». Партнёр «кефаль»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1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7" s="28" t="str">
        <x:v>водянистое пюре размывает аромат; сильная сладость требует кислоты, соли или горечи</x:v>
      </x:c>
      <x:c r="I17" s="28" t="str">
        <x:v>пюре, суп, запекание, крем, гарнир, соус или десертная разработка с кефаль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119</x:v>
      </x:c>
    </x:row>
    <x:row r="18" ht="66" customHeight="1">
      <x:c r="A18" s="28" t="str">
        <x:v>VEG-0066</x:v>
      </x:c>
      <x:c r="B18" s="28" t="str">
        <x:v>батат</x:v>
      </x:c>
      <x:c r="C18" s="28" t="str">
        <x:v>клюквенный сок</x:v>
      </x:c>
      <x:c r="D18" s="28" t="str">
        <x:v>Прочее</x:v>
      </x:c>
      <x:c r="E18" s="28" t="str">
        <x:v>сенсорная комплементарность</x:v>
      </x:c>
      <x:c r="F18" s="28" t="str">
        <x:v>Батат имеет профиль «сладкий, крахмалистый, цветочный, карамельный и ореховый после запекания». Партнёр «клюквенный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8" s="28" t="str">
        <x:v>водянистое пюре размывает аромат; сильная сладость требует кислоты, соли или горечи</x:v>
      </x:c>
      <x:c r="I18" s="28" t="str">
        <x:v>пюре, суп, запекание, крем, гарнир, соус или десертная разработка с клюквенный сок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119</x:v>
      </x:c>
    </x:row>
    <x:row r="19" ht="66" customHeight="1">
      <x:c r="A19" s="28" t="str">
        <x:v>VEG-0067</x:v>
      </x:c>
      <x:c r="B19" s="28" t="str">
        <x:v>батат</x:v>
      </x:c>
      <x:c r="C19" s="28" t="str">
        <x:v>коньяк</x:v>
      </x:c>
      <x:c r="D19" s="28" t="str">
        <x:v>Алкогольные напитки</x:v>
      </x:c>
      <x:c r="E19" s="28" t="str">
        <x:v>сенсорная комплементарность</x:v>
      </x:c>
      <x:c r="F19" s="28" t="str">
        <x:v>Батат имеет профиль «сладкий, крахмалистый, цветочный, карамельный и ореховый после запекания».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9" s="28" t="str">
        <x:v>водянистое пюре размывает аромат; сильная сладость требует кислоты, соли или горечи</x:v>
      </x:c>
      <x:c r="I19" s="28" t="str">
        <x:v>пюре, суп, запекание, крем, гарнир, соус или десертная разработка с коньяк</x:v>
      </x:c>
      <x:c r="J19" s="28" t="str">
        <x:v>Высокая</x:v>
      </x:c>
      <x:c r="K19" s="28" t="str">
        <x:v>The Art &amp; Science of Foodpairing.pdf</x:v>
      </x:c>
      <x:c r="L19" s="28" t="str">
        <x:v>The Art &amp; Science of Foodpairing.pdf: 119</x:v>
      </x:c>
    </x:row>
    <x:row r="20" ht="66" customHeight="1">
      <x:c r="A20" s="28" t="str">
        <x:v>VEG-0068</x:v>
      </x:c>
      <x:c r="B20" s="28" t="str">
        <x:v>батат</x:v>
      </x:c>
      <x:c r="C20" s="28" t="str">
        <x:v>корица</x:v>
      </x:c>
      <x:c r="D20" s="28" t="str">
        <x:v>Специи</x:v>
      </x:c>
      <x:c r="E20" s="28" t="str">
        <x:v>пересечение ароматических семейств</x:v>
      </x:c>
      <x:c r="F20" s="28" t="str">
        <x:v>Батат имеет профиль «сладкий, крахмалистый, цветочный, карамельный и ореховый после запекания».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0" s="28" t="str">
        <x:v>водянистое пюре размывает аромат; сильная сладость требует кислоты, соли или горечи</x:v>
      </x:c>
      <x:c r="I20" s="28" t="str">
        <x:v>пюре, суп, запекание, крем, гарнир, соус или десертная разработка с корица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119</x:v>
      </x:c>
    </x:row>
    <x:row r="21" ht="66" customHeight="1">
      <x:c r="A21" s="28" t="str">
        <x:v>VEG-0069</x:v>
      </x:c>
      <x:c r="B21" s="28" t="str">
        <x:v>батат</x:v>
      </x:c>
      <x:c r="C21" s="28" t="str">
        <x:v>кофе</x:v>
      </x:c>
      <x:c r="D21" s="28" t="str">
        <x:v>Кофе</x:v>
      </x:c>
      <x:c r="E21" s="28" t="str">
        <x:v>общие характерные молекулы; пересечение ароматических семейств</x:v>
      </x:c>
      <x:c r="F21" s="28" t="str">
        <x:v>Батат имеет профиль «сладкий, крахмалистый, цветочный, карамельный и ореховый после запекания». Партнёр «кофе» относится к группе «Кофе» и даёт жареный, карамельный, ореховый.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1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21" s="28" t="str">
        <x:v>пюре, суп, запекание, крем, гарнир, соус или десертная разработка с кофе</x:v>
      </x:c>
      <x:c r="J21" s="28" t="str">
        <x:v>Средняя</x:v>
      </x:c>
      <x:c r="K21" s="28" t="str">
        <x:v>The Art &amp; Science of Foodpairing.pdf</x:v>
      </x:c>
      <x:c r="L21" s="28" t="str">
        <x:v>The Art &amp; Science of Foodpairing.pdf: 119</x:v>
      </x:c>
    </x:row>
    <x:row r="22" ht="66" customHeight="1">
      <x:c r="A22" s="28" t="str">
        <x:v>VEG-0070</x:v>
      </x:c>
      <x:c r="B22" s="28" t="str">
        <x:v>батат</x:v>
      </x:c>
      <x:c r="C22" s="28" t="str">
        <x:v>красный виноград</x:v>
      </x:c>
      <x:c r="D22" s="28" t="str">
        <x:v>Фрукты и ягоды</x:v>
      </x:c>
      <x:c r="E22" s="28" t="str">
        <x:v>кислотно-сладкий баланс</x:v>
      </x:c>
      <x:c r="F22" s="28" t="str">
        <x:v>Батат имеет профиль «сладкий, крахмалистый, цветочный, карамельный и ореховый после запекания». Партнёр «красный 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2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2" s="28" t="str">
        <x:v>пюре, суп, запекание, крем, гарнир, соус или десертная разработка с красный виноград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119</x:v>
      </x:c>
    </x:row>
    <x:row r="23" ht="66" customHeight="1">
      <x:c r="A23" s="28" t="str">
        <x:v>VEG-0071</x:v>
      </x:c>
      <x:c r="B23" s="28" t="str">
        <x:v>батат</x:v>
      </x:c>
      <x:c r="C23" s="28" t="str">
        <x:v>куркума</x:v>
      </x:c>
      <x:c r="D23" s="28" t="str">
        <x:v>Прочее</x:v>
      </x:c>
      <x:c r="E23" s="28" t="str">
        <x:v>сенсорная комплементарность</x:v>
      </x:c>
      <x:c r="F23" s="28" t="str">
        <x:v>Батат имеет профиль «сладкий, крахмалистый, цветочный, карамельный и ореховый после запекания».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3" s="28" t="str">
        <x:v>водянистое пюре размывает аромат; сильная сладость требует кислоты, соли или горечи</x:v>
      </x:c>
      <x:c r="I23" s="28" t="str">
        <x:v>пюре, суп, запекание, крем, гарнир, соус или десертная разработка с куркума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119</x:v>
      </x:c>
    </x:row>
    <x:row r="24" ht="66" customHeight="1">
      <x:c r="A24" s="28" t="str">
        <x:v>VEG-0072</x:v>
      </x:c>
      <x:c r="B24" s="28" t="str">
        <x:v>батат</x:v>
      </x:c>
      <x:c r="C24" s="28" t="str">
        <x:v>лапша соба</x:v>
      </x:c>
      <x:c r="D24" s="28" t="str">
        <x:v>Прочее</x:v>
      </x:c>
      <x:c r="E24" s="28" t="str">
        <x:v>сенсорная комплементарность</x:v>
      </x:c>
      <x:c r="F24" s="28" t="str">
        <x:v>Батат имеет профиль «сладкий, крахмалистый, цветочный, карамельный и ореховый после запекания». Партнёр «лапша соба»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4" s="28" t="str">
        <x:v>водянистое пюре размывает аромат; сильная сладость требует кислоты, соли или горечи</x:v>
      </x:c>
      <x:c r="I24" s="28" t="str">
        <x:v>пюре, суп, запекание, крем, гарнир, соус или десертная разработка с лапша соба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119</x:v>
      </x:c>
    </x:row>
    <x:row r="25" ht="66" customHeight="1">
      <x:c r="A25" s="28" t="str">
        <x:v>VEG-0073</x:v>
      </x:c>
      <x:c r="B25" s="28" t="str">
        <x:v>батат</x:v>
      </x:c>
      <x:c r="C25" s="28" t="str">
        <x:v>логанова ягода</x:v>
      </x:c>
      <x:c r="D25" s="28" t="str">
        <x:v>Фрукты и ягоды</x:v>
      </x:c>
      <x:c r="E25" s="28" t="str">
        <x:v>кислотно-сладкий баланс</x:v>
      </x:c>
      <x:c r="F25" s="28" t="str">
        <x:v>Батат имеет профиль «сладкий, крахмалистый, цветочный, карамельный и ореховый после запекания». Партнёр «логанова ягода»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5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5" s="28" t="str">
        <x:v>пюре, суп, запекание, крем, гарнир, соус или десертная разработка с логанова ягода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119</x:v>
      </x:c>
    </x:row>
    <x:row r="26" ht="66" customHeight="1">
      <x:c r="A26" s="28" t="str">
        <x:v>VEG-0074</x:v>
      </x:c>
      <x:c r="B26" s="28" t="str">
        <x:v>батат</x:v>
      </x:c>
      <x:c r="C26" s="28" t="str">
        <x:v>лосось</x:v>
      </x:c>
      <x:c r="D26" s="28" t="str">
        <x:v>Рыба и морепродукты</x:v>
      </x:c>
      <x:c r="E26" s="28" t="str">
        <x:v>умами и солёный контраст</x:v>
      </x:c>
      <x:c r="F26" s="28" t="str">
        <x:v>Батат имеет профиль «сладкий, крахмалистый, цветочный, карамельный и ореховый после запекания».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6" s="28" t="str">
        <x:v>водянистое пюре размывает аромат; сильная сладость требует кислоты, соли или горечи</x:v>
      </x:c>
      <x:c r="I26" s="28" t="str">
        <x:v>пюре, суп, запекание, крем, гарнир, соус или десертная разработка с лосось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119</x:v>
      </x:c>
    </x:row>
    <x:row r="27" ht="66" customHeight="1">
      <x:c r="A27" s="28" t="str">
        <x:v>VEG-0075</x:v>
      </x:c>
      <x:c r="B27" s="28" t="str">
        <x:v>батат</x:v>
      </x:c>
      <x:c r="C27" s="28" t="str">
        <x:v>мадера мальвазия</x:v>
      </x:c>
      <x:c r="D27" s="28" t="str">
        <x:v>Прочее</x:v>
      </x:c>
      <x:c r="E27" s="28" t="str">
        <x:v>сенсорная комплементарность</x:v>
      </x:c>
      <x:c r="F27" s="28" t="str">
        <x:v>Батат имеет профиль «сладкий, крахмалистый, цветочный, карамельный и ореховый после запекания». Партнёр «мадера мальвазия»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7" s="28" t="str">
        <x:v>водянистое пюре размывает аромат; сильная сладость требует кислоты, соли или горечи</x:v>
      </x:c>
      <x:c r="I27" s="28" t="str">
        <x:v>пюре, суп, запекание, крем, гарнир, соус или десертная разработка с мадера мальвазия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119</x:v>
      </x:c>
    </x:row>
    <x:row r="28" ht="66" customHeight="1">
      <x:c r="A28" s="28" t="str">
        <x:v>VEG-0076</x:v>
      </x:c>
      <x:c r="B28" s="28" t="str">
        <x:v>батат</x:v>
      </x:c>
      <x:c r="C28" s="28" t="str">
        <x:v>манго</x:v>
      </x:c>
      <x:c r="D28" s="28" t="str">
        <x:v>Фрукты и ягоды</x:v>
      </x:c>
      <x:c r="E28" s="28" t="str">
        <x:v>кислотно-сладкий баланс</x:v>
      </x:c>
      <x:c r="F28" s="28" t="str">
        <x:v>Батат имеет профиль «сладкий, крахмалистый, цветочный, карамельный и ореховый после запекания».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8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8" s="28" t="str">
        <x:v>пюре, суп, запекание, крем, гарнир, соус или десертная разработка с манго</x:v>
      </x:c>
      <x:c r="J28" s="28" t="str">
        <x:v>Высокая</x:v>
      </x:c>
      <x:c r="K28" s="28" t="str">
        <x:v>The Art &amp; Science of Foodpairing.pdf</x:v>
      </x:c>
      <x:c r="L28" s="28" t="str">
        <x:v>The Art &amp; Science of Foodpairing.pdf: 118, 119</x:v>
      </x:c>
    </x:row>
    <x:row r="29" ht="66" customHeight="1">
      <x:c r="A29" s="28" t="str">
        <x:v>VEG-0077</x:v>
      </x:c>
      <x:c r="B29" s="28" t="str">
        <x:v>батат</x:v>
      </x:c>
      <x:c r="C29" s="28" t="str">
        <x:v>мангольд</x:v>
      </x:c>
      <x:c r="D29" s="28" t="str">
        <x:v>Фрукты и ягоды</x:v>
      </x:c>
      <x:c r="E29" s="28" t="str">
        <x:v>кислотно-сладкий баланс</x:v>
      </x:c>
      <x:c r="F29" s="28" t="str">
        <x:v>Батат имеет профиль «сладкий, крахмалистый, цветочный, карамельный и ореховый после запекания». Партнёр «мангольд»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9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9" s="28" t="str">
        <x:v>пюре, суп, запекание, крем, гарнир, соус или десертная разработка с мангольд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119</x:v>
      </x:c>
    </x:row>
    <x:row r="30" ht="66" customHeight="1">
      <x:c r="A30" s="28" t="str">
        <x:v>VEG-0078</x:v>
      </x:c>
      <x:c r="B30" s="28" t="str">
        <x:v>батат</x:v>
      </x:c>
      <x:c r="C30" s="28" t="str">
        <x:v>маниок</x:v>
      </x:c>
      <x:c r="D30" s="28" t="str">
        <x:v>Прочее</x:v>
      </x:c>
      <x:c r="E30" s="28" t="str">
        <x:v>сенсорная комплементарность</x:v>
      </x:c>
      <x:c r="F30" s="28" t="str">
        <x:v>Батат имеет профиль «сладкий, крахмалистый, цветочный, карамельный и ореховый после запекания».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0" s="28" t="str">
        <x:v>водянистое пюре размывает аромат; сильная сладость требует кислоты, соли или горечи</x:v>
      </x:c>
      <x:c r="I30" s="28" t="str">
        <x:v>пюре, суп, запекание, крем, гарнир, соус или десертная разработка с маниок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251</x:v>
      </x:c>
    </x:row>
    <x:row r="31" ht="66" customHeight="1">
      <x:c r="A31" s="28" t="str">
        <x:v>VEG-0079</x:v>
      </x:c>
      <x:c r="B31" s="28" t="str">
        <x:v>батат</x:v>
      </x:c>
      <x:c r="C31" s="28" t="str">
        <x:v>маракуйя</x:v>
      </x:c>
      <x:c r="D31" s="28" t="str">
        <x:v>Прочее</x:v>
      </x:c>
      <x:c r="E31" s="28" t="str">
        <x:v>сенсорная комплементарность</x:v>
      </x:c>
      <x:c r="F31" s="28" t="str">
        <x:v>Батат имеет профиль «сладкий, крахмалистый, цветочный, карамельный и ореховый после запекания».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1" s="28" t="str">
        <x:v>водянистое пюре размывает аромат; сильная сладость требует кислоты, соли или горечи</x:v>
      </x:c>
      <x:c r="I31" s="28" t="str">
        <x:v>пюре, суп, запекание, крем, гарнир, соус или десертная разработка с маракуйя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119</x:v>
      </x:c>
    </x:row>
    <x:row r="32" ht="66" customHeight="1">
      <x:c r="A32" s="28" t="str">
        <x:v>VEG-0080</x:v>
      </x:c>
      <x:c r="B32" s="28" t="str">
        <x:v>батат</x:v>
      </x:c>
      <x:c r="C32" s="28" t="str">
        <x:v>морской ёж</x:v>
      </x:c>
      <x:c r="D32" s="28" t="str">
        <x:v>Прочее</x:v>
      </x:c>
      <x:c r="E32" s="28" t="str">
        <x:v>сенсорная комплементарность</x:v>
      </x:c>
      <x:c r="F32" s="28" t="str">
        <x:v>Батат имеет профиль «сладкий, крахмалистый, цветочный, карамельный и ореховый после запекания». Партнёр «морской ёж»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2" s="28" t="str">
        <x:v>водянистое пюре размывает аромат; сильная сладость требует кислоты, соли или горечи</x:v>
      </x:c>
      <x:c r="I32" s="28" t="str">
        <x:v>пюре, суп, запекание, крем, гарнир, соус или десертная разработка с морской ёж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119</x:v>
      </x:c>
    </x:row>
    <x:row r="33" ht="66" customHeight="1">
      <x:c r="A33" s="28" t="str">
        <x:v>VEG-0081</x:v>
      </x:c>
      <x:c r="B33" s="28" t="str">
        <x:v>батат</x:v>
      </x:c>
      <x:c r="C33" s="28" t="str">
        <x:v>мята колосистая</x:v>
      </x:c>
      <x:c r="D33" s="28" t="str">
        <x:v>Травы, цветы и листья</x:v>
      </x:c>
      <x:c r="E33" s="28" t="str">
        <x:v>сенсорная комплементарность</x:v>
      </x:c>
      <x:c r="F33" s="28" t="str">
        <x:v>Батат имеет профиль «сладкий, крахмалистый, цветочный, карамельный и ореховый после запекания». Партнёр «мята колосистая»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3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3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33" s="28" t="str">
        <x:v>пюре, суп, запекание, крем, гарнир, соус или десертная разработка с мята колосистая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119</x:v>
      </x:c>
    </x:row>
    <x:row r="34" ht="66" customHeight="1">
      <x:c r="A34" s="28" t="str">
        <x:v>VEG-0082</x:v>
      </x:c>
      <x:c r="B34" s="28" t="str">
        <x:v>батат</x:v>
      </x:c>
      <x:c r="C34" s="28" t="str">
        <x:v>нут</x:v>
      </x:c>
      <x:c r="D34" s="28" t="str">
        <x:v>Бобовые</x:v>
      </x:c>
      <x:c r="E34" s="28" t="str">
        <x:v>пересечение ароматических семейств</x:v>
      </x:c>
      <x:c r="F34" s="28" t="str">
        <x:v>Батат имеет профиль «сладкий, крахмалистый, цветочный, карамельный и ореховый после запекания». Партнёр «нут» относится к группе «Бобовые» и даёт зелёный, бобовый и крахмалистый. Профили пересекаются в семействах: крахмалистый.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4" s="28" t="str">
        <x:v>водянистое пюре размывает аромат; сильная сладость требует кислоты, соли или горечи</x:v>
      </x:c>
      <x:c r="I34" s="28" t="str">
        <x:v>пюре, суп, запекание, крем, гарнир, соус или десертная разработка с нут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119</x:v>
      </x:c>
    </x:row>
    <x:row r="35" ht="66" customHeight="1">
      <x:c r="A35" s="28" t="str">
        <x:v>VEG-0083</x:v>
      </x:c>
      <x:c r="B35" s="28" t="str">
        <x:v>батат</x:v>
      </x:c>
      <x:c r="C35" s="28" t="str">
        <x:v>огурец</x:v>
      </x:c>
      <x:c r="D35" s="28" t="str">
        <x:v>Тыквенные</x:v>
      </x:c>
      <x:c r="E35" s="28" t="str">
        <x:v>сенсорная комплементарность</x:v>
      </x:c>
      <x:c r="F35" s="28" t="str">
        <x:v>Батат имеет профиль «сладкий, крахмалистый, цветочный, карамельный и ореховый после запекания».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5" s="28" t="str">
        <x:v>водянистое пюре размывает аромат; сильная сладость требует кислоты, соли или горечи</x:v>
      </x:c>
      <x:c r="I35" s="28" t="str">
        <x:v>пюре, суп, запекание, крем, гарнир, соус или десертная разработка с огурец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119</x:v>
      </x:c>
    </x:row>
    <x:row r="36" ht="66" customHeight="1">
      <x:c r="A36" s="28" t="str">
        <x:v>VEG-0084</x:v>
      </x:c>
      <x:c r="B36" s="28" t="str">
        <x:v>батат</x:v>
      </x:c>
      <x:c r="C36" s="28" t="str">
        <x:v>пак-чой</x:v>
      </x:c>
      <x:c r="D36" s="28" t="str">
        <x:v>Прочее</x:v>
      </x:c>
      <x:c r="E36" s="28" t="str">
        <x:v>сенсорная комплементарность</x:v>
      </x:c>
      <x:c r="F36" s="28" t="str">
        <x:v>Батат имеет профиль «сладкий, крахмалистый, цветочный, карамельный и ореховый после запекания». Партнёр «пак-чой»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6" s="28" t="str">
        <x:v>водянистое пюре размывает аромат; сильная сладость требует кислоты, соли или горечи</x:v>
      </x:c>
      <x:c r="I36" s="28" t="str">
        <x:v>пюре, суп, запекание, крем, гарнир, соус или десертная разработка с пак-чой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119</x:v>
      </x:c>
    </x:row>
    <x:row r="37" ht="66" customHeight="1">
      <x:c r="A37" s="28" t="str">
        <x:v>VEG-0085</x:v>
      </x:c>
      <x:c r="B37" s="28" t="str">
        <x:v>батат</x:v>
      </x:c>
      <x:c r="C37" s="28" t="str">
        <x:v>паста карри мадрас</x:v>
      </x:c>
      <x:c r="D37" s="28" t="str">
        <x:v>Выпечка, крупы, сахара и десерты</x:v>
      </x:c>
      <x:c r="E37" s="28" t="str">
        <x:v>общие характерные молекулы; пересечение ароматических семейств</x:v>
      </x:c>
      <x:c r="F37" s="28" t="str">
        <x:v>Батат имеет профиль «сладкий, крахмалистый, цветочный, карамельный и ореховый после запекания». Партнёр «паста карри мадрас»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7" s="28" t="str">
        <x:v>водянистое пюре размывает аромат; сильная сладость требует кислоты, соли или горечи</x:v>
      </x:c>
      <x:c r="I37" s="28" t="str">
        <x:v>пюре, суп, запекание, крем, гарнир, соус или десертная разработка с паста карри мадрас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119</x:v>
      </x:c>
    </x:row>
    <x:row r="38" ht="66" customHeight="1">
      <x:c r="A38" s="28" t="str">
        <x:v>VEG-0086</x:v>
      </x:c>
      <x:c r="B38" s="28" t="str">
        <x:v>батат</x:v>
      </x:c>
      <x:c r="C38" s="28" t="str">
        <x:v>паста тикка масала</x:v>
      </x:c>
      <x:c r="D38" s="28" t="str">
        <x:v>Выпечка, крупы, сахара и десерты</x:v>
      </x:c>
      <x:c r="E38" s="28" t="str">
        <x:v>общие характерные молекулы; пересечение ароматических семейств</x:v>
      </x:c>
      <x:c r="F38" s="28" t="str">
        <x:v>Батат имеет профиль «сладкий, крахмалистый, цветочный, карамельный и ореховый после запекания». Партнёр «паста тикка масала»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8" s="28" t="str">
        <x:v>водянистое пюре размывает аромат; сильная сладость требует кислоты, соли или горечи</x:v>
      </x:c>
      <x:c r="I38" s="28" t="str">
        <x:v>пюре, суп, запекание, крем, гарнир, соус или десертная разработка с паста тикка масала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119</x:v>
      </x:c>
    </x:row>
    <x:row r="39" ht="66" customHeight="1">
      <x:c r="A39" s="28" t="str">
        <x:v>VEG-0087</x:v>
      </x:c>
      <x:c r="B39" s="28" t="str">
        <x:v>батат</x:v>
      </x:c>
      <x:c r="C39" s="28" t="str">
        <x:v>петрушка</x:v>
      </x:c>
      <x:c r="D39" s="28" t="str">
        <x:v>Травы, цветы и листья</x:v>
      </x:c>
      <x:c r="E39" s="28" t="str">
        <x:v>сенсорная комплементарность</x:v>
      </x:c>
      <x:c r="F39" s="28" t="str">
        <x:v>Батат имеет профиль «сладкий, крахмалистый, цветочный, карамельный и ореховый после запекания».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3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9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39" s="28" t="str">
        <x:v>пюре, суп, запекание, крем, гарнир, соус или десертная разработка с петрушка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119</x:v>
      </x:c>
    </x:row>
    <x:row r="40" ht="66" customHeight="1">
      <x:c r="A40" s="28" t="str">
        <x:v>VEG-0088</x:v>
      </x:c>
      <x:c r="B40" s="28" t="str">
        <x:v>батат</x:v>
      </x:c>
      <x:c r="C40" s="28" t="str">
        <x:v>пурпурный шалфей</x:v>
      </x:c>
      <x:c r="D40" s="28" t="str">
        <x:v>Травы, цветы и листья</x:v>
      </x:c>
      <x:c r="E40" s="28" t="str">
        <x:v>сенсорная комплементарность</x:v>
      </x:c>
      <x:c r="F40" s="28" t="str">
        <x:v>Батат имеет профиль «сладкий, крахмалистый, цветочный, карамельный и ореховый после запекания». Партнёр «пурпурный 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4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0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40" s="28" t="str">
        <x:v>пюре, суп, запекание, крем, гарнир, соус или десертная разработка с пурпурный шалфей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119</x:v>
      </x:c>
    </x:row>
    <x:row r="41" ht="66" customHeight="1">
      <x:c r="A41" s="28" t="str">
        <x:v>VEG-0089</x:v>
      </x:c>
      <x:c r="B41" s="28" t="str">
        <x:v>батат</x:v>
      </x:c>
      <x:c r="C41" s="28" t="str">
        <x:v>пюре маракуйи</x:v>
      </x:c>
      <x:c r="D41" s="28" t="str">
        <x:v>Прочее</x:v>
      </x:c>
      <x:c r="E41" s="28" t="str">
        <x:v>сенсорная комплементарность</x:v>
      </x:c>
      <x:c r="F41" s="28" t="str">
        <x:v>Батат имеет профиль «сладкий, крахмалистый, цветочный, карамельный и ореховый после запекания». Партнёр «пюре маракуйи»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1" s="28" t="str">
        <x:v>водянистое пюре размывает аромат; сильная сладость требует кислоты, соли или горечи</x:v>
      </x:c>
      <x:c r="I41" s="28" t="str">
        <x:v>пюре, суп, запекание, крем, гарнир, соус или десертная разработка с пюре маракуйи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119</x:v>
      </x:c>
    </x:row>
    <x:row r="42" ht="66" customHeight="1">
      <x:c r="A42" s="28" t="str">
        <x:v>VEG-0090</x:v>
      </x:c>
      <x:c r="B42" s="28" t="str">
        <x:v>батат</x:v>
      </x:c>
      <x:c r="C42" s="28" t="str">
        <x:v>рис басмати</x:v>
      </x:c>
      <x:c r="D42" s="28" t="str">
        <x:v>Выпечка, крупы, сахара и десерты</x:v>
      </x:c>
      <x:c r="E42" s="28" t="str">
        <x:v>общие характерные молекулы; пересечение ароматических семейств</x:v>
      </x:c>
      <x:c r="F42" s="28" t="str">
        <x:v>Батат имеет профиль «сладкий, крахмалистый, цветочный, карамельный и ореховый после запекания». Партнёр «рис басмати»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4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2" s="28" t="str">
        <x:v>водянистое пюре размывает аромат; сильная сладость требует кислоты, соли или горечи</x:v>
      </x:c>
      <x:c r="I42" s="28" t="str">
        <x:v>пюре, суп, запекание, крем, гарнир, соус или десертная разработка с рис басмати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119</x:v>
      </x:c>
    </x:row>
    <x:row r="43" ht="66" customHeight="1">
      <x:c r="A43" s="28" t="str">
        <x:v>VEG-0091</x:v>
      </x:c>
      <x:c r="B43" s="28" t="str">
        <x:v>батат</x:v>
      </x:c>
      <x:c r="C43" s="28" t="str">
        <x:v>салями милано</x:v>
      </x:c>
      <x:c r="D43" s="28" t="str">
        <x:v>Прочее</x:v>
      </x:c>
      <x:c r="E43" s="28" t="str">
        <x:v>сенсорная комплементарность</x:v>
      </x:c>
      <x:c r="F43" s="28" t="str">
        <x:v>Батат имеет профиль «сладкий, крахмалистый, цветочный, карамельный и ореховый после запекания». Партнёр «салями милано»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3" s="28" t="str">
        <x:v>водянистое пюре размывает аромат; сильная сладость требует кислоты, соли или горечи</x:v>
      </x:c>
      <x:c r="I43" s="28" t="str">
        <x:v>пюре, суп, запекание, крем, гарнир, соус или десертная разработка с салями милано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119</x:v>
      </x:c>
    </x:row>
    <x:row r="44" ht="66" customHeight="1">
      <x:c r="A44" s="28" t="str">
        <x:v>VEG-0092</x:v>
      </x:c>
      <x:c r="B44" s="28" t="str">
        <x:v>батат</x:v>
      </x:c>
      <x:c r="C44" s="28" t="str">
        <x:v>сельдерей корневой</x:v>
      </x:c>
      <x:c r="D44" s="28" t="str">
        <x:v>Корнеплоды</x:v>
      </x:c>
      <x:c r="E44" s="28" t="str">
        <x:v>сенсорная комплементарность</x:v>
      </x:c>
      <x:c r="F44" s="28" t="str">
        <x:v>Батат имеет профиль «сладкий, крахмалистый, цветочный, карамельный и ореховый после запекания». Партнёр «сельдерей корневой» относится к группе «Корнеплоды» и даёт землистый, ореховый, сельдерейно-пряный и слегка грибной.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4" s="28" t="str">
        <x:v>водянистое пюре размывает аромат; сильная сладость требует кислоты, соли или горечи</x:v>
      </x:c>
      <x:c r="I44" s="28" t="str">
        <x:v>пюре, суп, запекание, крем, гарнир, соус или десертная разработка с сельдерей корневой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52, 119</x:v>
      </x:c>
    </x:row>
    <x:row r="45" ht="66" customHeight="1">
      <x:c r="A45" s="28" t="str">
        <x:v>VEG-0093</x:v>
      </x:c>
      <x:c r="B45" s="28" t="str">
        <x:v>батат</x:v>
      </x:c>
      <x:c r="C45" s="28" t="str">
        <x:v>семена нигеллы</x:v>
      </x:c>
      <x:c r="D45" s="28" t="str">
        <x:v>Орехи и семена</x:v>
      </x:c>
      <x:c r="E45" s="28" t="str">
        <x:v>общие характерные молекулы; пересечение ароматических семейств</x:v>
      </x:c>
      <x:c r="F45" s="28" t="str">
        <x:v>Батат имеет профиль «сладкий, крахмалистый, цветочный, карамельный и ореховый после запекания». Партнёр «семена нигеллы»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4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5" s="28" t="str">
        <x:v>водянистое пюре размывает аромат; сильная сладость требует кислоты, соли или горечи</x:v>
      </x:c>
      <x:c r="I45" s="28" t="str">
        <x:v>пюре, суп, запекание, крем, гарнир, соус или десертная разработка с семена нигеллы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119</x:v>
      </x:c>
    </x:row>
    <x:row r="46" ht="66" customHeight="1">
      <x:c r="A46" s="28" t="str">
        <x:v>VEG-0094</x:v>
      </x:c>
      <x:c r="B46" s="28" t="str">
        <x:v>батат</x:v>
      </x:c>
      <x:c r="C46" s="28" t="str">
        <x:v>соевая паста</x:v>
      </x:c>
      <x:c r="D46" s="28" t="str">
        <x:v>Выпечка, крупы, сахара и десерты</x:v>
      </x:c>
      <x:c r="E46" s="28" t="str">
        <x:v>общие характерные молекулы; пересечение ароматических семейств</x:v>
      </x:c>
      <x:c r="F46" s="28" t="str">
        <x:v>Батат имеет профиль «сладкий, крахмалистый, цветочный, карамельный и ореховый после запекания». Партнёр «соевая паста»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4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6" s="28" t="str">
        <x:v>водянистое пюре размывает аромат; сильная сладость требует кислоты, соли или горечи</x:v>
      </x:c>
      <x:c r="I46" s="28" t="str">
        <x:v>пюре, суп, запекание, крем, гарнир, соус или десертная разработка с соевая паста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119</x:v>
      </x:c>
    </x:row>
    <x:row r="47" ht="66" customHeight="1">
      <x:c r="A47" s="28" t="str">
        <x:v>VEG-0095</x:v>
      </x:c>
      <x:c r="B47" s="28" t="str">
        <x:v>батат</x:v>
      </x:c>
      <x:c r="C47" s="28" t="str">
        <x:v>сушёный барбарис</x:v>
      </x:c>
      <x:c r="D47" s="28" t="str">
        <x:v>Выпечка, крупы, сахара и десерты</x:v>
      </x:c>
      <x:c r="E47" s="28" t="str">
        <x:v>общие характерные молекулы; пересечение ароматических семейств</x:v>
      </x:c>
      <x:c r="F47" s="28" t="str">
        <x:v>Батат имеет профиль «сладкий, крахмалистый, цветочный, карамельный и ореховый после запекания». Партнёр «сушёный 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4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7" s="28" t="str">
        <x:v>водянистое пюре размывает аромат; сильная сладость требует кислоты, соли или горечи</x:v>
      </x:c>
      <x:c r="I47" s="28" t="str">
        <x:v>пюре, суп, запекание, крем, гарнир, соус или десертная разработка с сушёный барбарис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119</x:v>
      </x:c>
    </x:row>
    <x:row r="48" ht="66" customHeight="1">
      <x:c r="A48" s="28" t="str">
        <x:v>VEG-0096</x:v>
      </x:c>
      <x:c r="B48" s="28" t="str">
        <x:v>батат</x:v>
      </x:c>
      <x:c r="C48" s="28" t="str">
        <x:v>сушёный корень дягиля</x:v>
      </x:c>
      <x:c r="D48" s="28" t="str">
        <x:v>Прочее</x:v>
      </x:c>
      <x:c r="E48" s="28" t="str">
        <x:v>сенсорная комплементарность</x:v>
      </x:c>
      <x:c r="F48" s="28" t="str">
        <x:v>Батат имеет профиль «сладкий, крахмалистый, цветочный, карамельный и ореховый после запекания». Партнёр «сушёный корень дягиля»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8" s="28" t="str">
        <x:v>водянистое пюре размывает аромат; сильная сладость требует кислоты, соли или горечи</x:v>
      </x:c>
      <x:c r="I48" s="28" t="str">
        <x:v>пюре, суп, запекание, крем, гарнир, соус или десертная разработка с сушёный корень дягиля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119</x:v>
      </x:c>
    </x:row>
    <x:row r="49" ht="66" customHeight="1">
      <x:c r="A49" s="28" t="str">
        <x:v>VEG-0097</x:v>
      </x:c>
      <x:c r="B49" s="28" t="str">
        <x:v>батат</x:v>
      </x:c>
      <x:c r="C49" s="28" t="str">
        <x:v>сыр ронкаль</x:v>
      </x:c>
      <x:c r="D49" s="28" t="str">
        <x:v>Молочные продукты и сыры</x:v>
      </x:c>
      <x:c r="E49" s="28" t="str">
        <x:v>жировая матрица</x:v>
      </x:c>
      <x:c r="F49" s="28" t="str">
        <x:v>Батат имеет профиль «сладкий, крахмалистый, цветочный, карамельный и ореховый после запекания». Партнёр «сыр ронкаль»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4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9" s="28" t="str">
        <x:v>водянистое пюре размывает аромат; сильная сладость требует кислоты, соли или горечи; жир способен приглушить свежую зелёную ароматику</x:v>
      </x:c>
      <x:c r="I49" s="28" t="str">
        <x:v>пюре, суп, запекание, крем, гарнир, соус или десертная разработка с сыр ронкаль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119</x:v>
      </x:c>
    </x:row>
    <x:row r="50" ht="66" customHeight="1">
      <x:c r="A50" s="28" t="str">
        <x:v>VEG-0098</x:v>
      </x:c>
      <x:c r="B50" s="28" t="str">
        <x:v>батат</x:v>
      </x:c>
      <x:c r="C50" s="28" t="str">
        <x:v>тимьян</x:v>
      </x:c>
      <x:c r="D50" s="28" t="str">
        <x:v>Травы, цветы и листья</x:v>
      </x:c>
      <x:c r="E50" s="28" t="str">
        <x:v>сенсорная комплементарность</x:v>
      </x:c>
      <x:c r="F50" s="28" t="str">
        <x:v>Батат имеет профиль «сладкий, крахмалистый, цветочный, карамельный и ореховый после запекания».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5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0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50" s="28" t="str">
        <x:v>пюре, суп, запекание, крем, гарнир, соус или десертная разработка с тимьян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119</x:v>
      </x:c>
    </x:row>
    <x:row r="51" ht="66" customHeight="1">
      <x:c r="A51" s="28" t="str">
        <x:v>VEG-0099</x:v>
      </x:c>
      <x:c r="B51" s="28" t="str">
        <x:v>батат</x:v>
      </x:c>
      <x:c r="C51" s="28" t="str">
        <x:v>томат</x:v>
      </x:c>
      <x:c r="D51" s="28" t="str">
        <x:v>Плодовые овощи</x:v>
      </x:c>
      <x:c r="E51" s="28" t="str">
        <x:v>сенсорная комплементарность</x:v>
      </x:c>
      <x:c r="F51" s="28" t="str">
        <x:v>Батат имеет профиль «сладкий, крахмалистый, цветочный, карамельный и ореховый после запекания». Партнёр «томат» относится к группе «Плодовые овощи» и даёт зелёный, фруктовый, листовой,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1" s="28" t="str">
        <x:v>водянистое пюре размывает аромат; сильная сладость требует кислоты, соли или горечи</x:v>
      </x:c>
      <x:c r="I51" s="28" t="str">
        <x:v>пюре, суп, запекание, крем, гарнир, соус или десертная разработка с томат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161</x:v>
      </x:c>
    </x:row>
    <x:row r="52" ht="66" customHeight="1">
      <x:c r="A52" s="28" t="str">
        <x:v>VEG-0100</x:v>
      </x:c>
      <x:c r="B52" s="28" t="str">
        <x:v>батат</x:v>
      </x:c>
      <x:c r="C52" s="28" t="str">
        <x:v>треска</x:v>
      </x:c>
      <x:c r="D52" s="28" t="str">
        <x:v>Рыба и морепродукты</x:v>
      </x:c>
      <x:c r="E52" s="28" t="str">
        <x:v>умами и солёный контраст</x:v>
      </x:c>
      <x:c r="F52" s="28" t="str">
        <x:v>Батат имеет профиль «сладкий, крахмалистый, цветочный, карамельный и ореховый после запекания».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5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2" s="28" t="str">
        <x:v>водянистое пюре размывает аромат; сильная сладость требует кислоты, соли или горечи</x:v>
      </x:c>
      <x:c r="I52" s="28" t="str">
        <x:v>пюре, суп, запекание, крем, гарнир, соус или десертная разработка с треска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119</x:v>
      </x:c>
    </x:row>
    <x:row r="53" ht="66" customHeight="1">
      <x:c r="A53" s="28" t="str">
        <x:v>VEG-0101</x:v>
      </x:c>
      <x:c r="B53" s="28" t="str">
        <x:v>батат</x:v>
      </x:c>
      <x:c r="C53" s="28" t="str">
        <x:v>фундук</x:v>
      </x:c>
      <x:c r="D53" s="28" t="str">
        <x:v>Орехи и семена</x:v>
      </x:c>
      <x:c r="E53" s="28" t="str">
        <x:v>общие характерные молекулы; пересечение ароматических семейств</x:v>
      </x:c>
      <x:c r="F53" s="28" t="str">
        <x:v>Батат имеет профиль «сладкий, крахмалистый, цветочный, карамельный и ореховый после запекания».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5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3" s="28" t="str">
        <x:v>водянистое пюре размывает аромат; сильная сладость требует кислоты, соли или горечи</x:v>
      </x:c>
      <x:c r="I53" s="28" t="str">
        <x:v>пюре, суп, запекание, крем, гарнир, соус или десертная разработка с фундук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119, 332</x:v>
      </x:c>
    </x:row>
    <x:row r="54" ht="66" customHeight="1">
      <x:c r="A54" s="28" t="str">
        <x:v>VEG-0102</x:v>
      </x:c>
      <x:c r="B54" s="28" t="str">
        <x:v>батат</x:v>
      </x:c>
      <x:c r="C54" s="28" t="str">
        <x:v>цукаты из апельсиновой корки</x:v>
      </x:c>
      <x:c r="D54" s="28" t="str">
        <x:v>Фрукты и ягоды</x:v>
      </x:c>
      <x:c r="E54" s="28" t="str">
        <x:v>пересечение ароматических семейств; кислотно-сладкий баланс</x:v>
      </x:c>
      <x:c r="F54" s="28" t="str">
        <x:v>Батат имеет профиль «сладкий, крахмалистый, цветочный, карамельный и ореховый после запекания». Партнёр «цукаты из апельсиновой корки»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5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4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54" s="28" t="str">
        <x:v>пюре, суп, запекание, крем, гарнир, соус или десертная разработка с цукаты из апельсиновой корки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119</x:v>
      </x:c>
    </x:row>
    <x:row r="55" ht="66" customHeight="1">
      <x:c r="A55" s="28" t="str">
        <x:v>VEG-0103</x:v>
      </x:c>
      <x:c r="B55" s="28" t="str">
        <x:v>батат</x:v>
      </x:c>
      <x:c r="C55" s="28" t="str">
        <x:v>чабер</x:v>
      </x:c>
      <x:c r="D55" s="28" t="str">
        <x:v>Прочее</x:v>
      </x:c>
      <x:c r="E55" s="28" t="str">
        <x:v>сенсорная комплементарность</x:v>
      </x:c>
      <x:c r="F55" s="28" t="str">
        <x:v>Батат имеет профиль «сладкий, крахмалистый, цветочный, карамельный и ореховый после запекания». Партнёр «чабер»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5" s="28" t="str">
        <x:v>водянистое пюре размывает аромат; сильная сладость требует кислоты, соли или горечи</x:v>
      </x:c>
      <x:c r="I55" s="28" t="str">
        <x:v>пюре, суп, запекание, крем, гарнир, соус или десертная разработка с чабер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119</x:v>
      </x:c>
    </x:row>
    <x:row r="56" ht="66" customHeight="1">
      <x:c r="A56" s="28" t="str">
        <x:v>VEG-0104</x:v>
      </x:c>
      <x:c r="B56" s="28" t="str">
        <x:v>батат</x:v>
      </x:c>
      <x:c r="C56" s="28" t="str">
        <x:v>черешня</x:v>
      </x:c>
      <x:c r="D56" s="28" t="str">
        <x:v>Прочее</x:v>
      </x:c>
      <x:c r="E56" s="28" t="str">
        <x:v>сенсорная комплементарность</x:v>
      </x:c>
      <x:c r="F56" s="28" t="str">
        <x:v>Батат имеет профиль «сладкий, крахмалистый, цветочный, карамельный и ореховый после запекания». Партнёр «черешня»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6" s="28" t="str">
        <x:v>водянистое пюре размывает аромат; сильная сладость требует кислоты, соли или горечи</x:v>
      </x:c>
      <x:c r="I56" s="28" t="str">
        <x:v>пюре, суп, запекание, крем, гарнир, соус или десертная разработка с черешня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119</x:v>
      </x:c>
    </x:row>
    <x:row r="57" ht="66" customHeight="1">
      <x:c r="A57" s="28" t="str">
        <x:v>VEG-0105</x:v>
      </x:c>
      <x:c r="B57" s="28" t="str">
        <x:v>батат</x:v>
      </x:c>
      <x:c r="C57" s="28" t="str">
        <x:v>чеснок</x:v>
      </x:c>
      <x:c r="D57" s="28" t="str">
        <x:v>Луковые овощи</x:v>
      </x:c>
      <x:c r="E57" s="28" t="str">
        <x:v>пересечение ароматических семейств</x:v>
      </x:c>
      <x:c r="F57" s="28" t="str">
        <x:v>Батат имеет профиль «сладкий, крахмалистый, цветочный, карамельный и ореховый после запекания».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7" s="28" t="str">
        <x:v>водянистое пюре размывает аромат; сильная сладость требует кислоты, соли или горечи</x:v>
      </x:c>
      <x:c r="I57" s="28" t="str">
        <x:v>пюре, суп, запекание, крем, гарнир, соус или десертная разработка с чеснок</x:v>
      </x:c>
      <x:c r="J57" s="28" t="str">
        <x:v>Высокая</x:v>
      </x:c>
      <x:c r="K57" s="28" t="str">
        <x:v>The Art &amp; Science of Foodpairing.pdf</x:v>
      </x:c>
      <x:c r="L57" s="28" t="str">
        <x:v>The Art &amp; Science of Foodpairing.pdf: 115</x:v>
      </x:c>
    </x:row>
    <x:row r="58" ht="66" customHeight="1">
      <x:c r="A58" s="28" t="str">
        <x:v>VEG-0106</x:v>
      </x:c>
      <x:c r="B58" s="28" t="str">
        <x:v>батат</x:v>
      </x:c>
      <x:c r="C58" s="28" t="str">
        <x:v>чили ахи панка</x:v>
      </x:c>
      <x:c r="D58" s="28" t="str">
        <x:v>Специи</x:v>
      </x:c>
      <x:c r="E58" s="28" t="str">
        <x:v>сенсорная комплементарность</x:v>
      </x:c>
      <x:c r="F58" s="28" t="str">
        <x:v>Батат имеет профиль «сладкий, крахмалистый, цветочный, карамельный и ореховый после запекания». Партнёр «чили ахи панка»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5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8" s="28" t="str">
        <x:v>водянистое пюре размывает аромат; сильная сладость требует кислоты, соли или горечи</x:v>
      </x:c>
      <x:c r="I58" s="28" t="str">
        <x:v>пюре, суп, запекание, крем, гарнир, соус или десертная разработка с чили ахи панка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119</x:v>
      </x:c>
    </x:row>
    <x:row r="59" ht="66" customHeight="1">
      <x:c r="A59" s="28" t="str">
        <x:v>VEG-0107</x:v>
      </x:c>
      <x:c r="B59" s="28" t="str">
        <x:v>батат</x:v>
      </x:c>
      <x:c r="C59" s="28" t="str">
        <x:v>чёрный кардамон</x:v>
      </x:c>
      <x:c r="D59" s="28" t="str">
        <x:v>Специи</x:v>
      </x:c>
      <x:c r="E59" s="28" t="str">
        <x:v>сенсорная комплементарность</x:v>
      </x:c>
      <x:c r="F59" s="28" t="str">
        <x:v>Батат имеет профиль «сладкий, крахмалистый, цветочный, карамельный и ореховый после запекания». Партнёр «чёрный 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5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9" s="28" t="str">
        <x:v>водянистое пюре размывает аромат; сильная сладость требует кислоты, соли или горечи</x:v>
      </x:c>
      <x:c r="I59" s="28" t="str">
        <x:v>пюре, суп, запекание, крем, гарнир, соус или десертная разработка с чёрный кардамон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119</x:v>
      </x:c>
    </x:row>
    <x:row r="60" ht="66" customHeight="1">
      <x:c r="A60" s="28" t="str">
        <x:v>VEG-0108</x:v>
      </x:c>
      <x:c r="B60" s="28" t="str">
        <x:v>батат</x:v>
      </x:c>
      <x:c r="C60" s="28" t="str">
        <x:v>чёрный перец</x:v>
      </x:c>
      <x:c r="D60" s="28" t="str">
        <x:v>Специи</x:v>
      </x:c>
      <x:c r="E60" s="28" t="str">
        <x:v>сенсорная комплементарность</x:v>
      </x:c>
      <x:c r="F60" s="28" t="str">
        <x:v>Батат имеет профиль «сладкий, крахмалистый, цветочный, карамельный и ореховый после запекания».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6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0" s="28" t="str">
        <x:v>водянистое пюре размывает аромат; сильная сладость требует кислоты, соли или горечи</x:v>
      </x:c>
      <x:c r="I60" s="28" t="str">
        <x:v>пюре, суп, запекание, крем, гарнир, соус или десертная разработка с чёрный перец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274</x:v>
      </x:c>
    </x:row>
    <x:row r="61" ht="66" customHeight="1">
      <x:c r="A61" s="28" t="str">
        <x:v>VEG-0109</x:v>
      </x:c>
      <x:c r="B61" s="28" t="str">
        <x:v>батат</x:v>
      </x:c>
      <x:c r="C61" s="28" t="str">
        <x:v>шисо</x:v>
      </x:c>
      <x:c r="D61" s="28" t="str">
        <x:v>Прочее</x:v>
      </x:c>
      <x:c r="E61" s="28" t="str">
        <x:v>сенсорная комплементарность</x:v>
      </x:c>
      <x:c r="F61" s="28" t="str">
        <x:v>Батат имеет профиль «сладкий, крахмалистый, цветочный, карамельный и ореховый после запекания». Партнёр «шисо»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1" s="28" t="str">
        <x:v>водянистое пюре размывает аромат; сильная сладость требует кислоты, соли или горечи</x:v>
      </x:c>
      <x:c r="I61" s="28" t="str">
        <x:v>пюре, суп, запекание, крем, гарнир, соус или десертная разработка с шисо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119</x:v>
      </x:c>
    </x:row>
    <x:row r="62" ht="66" customHeight="1">
      <x:c r="A62" s="28" t="str">
        <x:v>VEG-0110</x:v>
      </x:c>
      <x:c r="B62" s="28" t="str">
        <x:v>батат</x:v>
      </x:c>
      <x:c r="C62" s="28" t="str">
        <x:v>шоколадная паста</x:v>
      </x:c>
      <x:c r="D62" s="28" t="str">
        <x:v>Какао и шоколад</x:v>
      </x:c>
      <x:c r="E62" s="28" t="str">
        <x:v>общие характерные молекулы; пересечение ароматических семейств</x:v>
      </x:c>
      <x:c r="F62" s="28" t="str">
        <x:v>Батат имеет профиль «сладкий, крахмалистый, цветочный, карамельный и ореховый после запекания». Партнёр «шоколадная паста» относится к группе «Какао и шоколад» и даёт жареный, какаовый, карамельный.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2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62" s="28" t="str">
        <x:v>пюре, суп, запекание, крем, гарнир, соус или десертная разработка с шоколадная паста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119</x:v>
      </x:c>
    </x:row>
    <x:row r="63" ht="66" customHeight="1">
      <x:c r="A63" s="28" t="str">
        <x:v>VEG-0111</x:v>
      </x:c>
      <x:c r="B63" s="28" t="str">
        <x:v>батат</x:v>
      </x:c>
      <x:c r="C63" s="28" t="str">
        <x:v>эвкалиптовый мёд</x:v>
      </x:c>
      <x:c r="D63" s="28" t="str">
        <x:v>Выпечка, крупы, сахара и десерты</x:v>
      </x:c>
      <x:c r="E63" s="28" t="str">
        <x:v>общие характерные молекулы; пересечение ароматических семейств</x:v>
      </x:c>
      <x:c r="F63" s="28" t="str">
        <x:v>Батат имеет профиль «сладкий, крахмалистый, цветочный, карамельный и ореховый после запекания». Партнёр «эвкалиптовый мёд» относится к группе «Выпечка, крупы, сахара и десерты» и даёт медовый, сладкий, цветочный. Вероятный молекулярный мост: норизопреноиды.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3" s="28" t="str">
        <x:v>водянистое пюре размывает аромат; сильная сладость требует кислоты, соли или горечи</x:v>
      </x:c>
      <x:c r="I63" s="28" t="str">
        <x:v>пюре, суп, запекание, крем, гарнир, соус или десертная разработка с эвкалиптовый мёд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119</x:v>
      </x:c>
    </x:row>
    <x:row r="64" ht="66" customHeight="1">
      <x:c r="A64" s="28" t="str">
        <x:v>VEG-0112</x:v>
      </x:c>
      <x:c r="B64" s="28" t="str">
        <x:v>батат</x:v>
      </x:c>
      <x:c r="C64" s="28" t="str">
        <x:v>эпазот</x:v>
      </x:c>
      <x:c r="D64" s="28" t="str">
        <x:v>Прочее</x:v>
      </x:c>
      <x:c r="E64" s="28" t="str">
        <x:v>сенсорная комплементарность</x:v>
      </x:c>
      <x:c r="F64" s="28" t="str">
        <x:v>Батат имеет профиль «сладкий, крахмалистый, цветочный, карамельный и ореховый после запекания». Партнёр «эпазот»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4" s="28" t="str">
        <x:v>водянистое пюре размывает аромат; сильная сладость требует кислоты, соли или горечи</x:v>
      </x:c>
      <x:c r="I64" s="28" t="str">
        <x:v>пюре, суп, запекание, крем, гарнир, соус или десертная разработка с эпазот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119</x:v>
      </x:c>
    </x:row>
    <x:row r="65" ht="66" customHeight="1">
      <x:c r="A65" s="28" t="str">
        <x:v>VEG-0113</x:v>
      </x:c>
      <x:c r="B65" s="28" t="str">
        <x:v>батат</x:v>
      </x:c>
      <x:c r="C65" s="28" t="str">
        <x:v>яблоко</x:v>
      </x:c>
      <x:c r="D65" s="28" t="str">
        <x:v>Фрукты и ягоды</x:v>
      </x:c>
      <x:c r="E65" s="28" t="str">
        <x:v>кислотно-сладкий баланс</x:v>
      </x:c>
      <x:c r="F65" s="28" t="str">
        <x:v>Батат имеет профиль «сладкий, крахмалистый, цветочный, карамельный и ореховый после запекания».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6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5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65" s="28" t="str">
        <x:v>пюре, суп, запекание, крем, гарнир, соус или десертная разработка с яблоко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119</x:v>
      </x:c>
    </x:row>
    <x:row r="66" ht="66" customHeight="1">
      <x:c r="A66" s="28" t="str">
        <x:v>VEG-0186</x:v>
      </x:c>
      <x:c r="B66" s="28" t="str">
        <x:v>брюква</x:v>
      </x:c>
      <x:c r="C66" s="28" t="str">
        <x:v>анис</x:v>
      </x:c>
      <x:c r="D66" s="28" t="str">
        <x:v>Прочее</x:v>
      </x:c>
      <x:c r="E66" s="28" t="str">
        <x:v>сернистая или горчичная комплементарность</x:v>
      </x:c>
      <x:c r="F66" s="28" t="str">
        <x:v>Брюква имеет профиль «землистый, капустный, сладкий и слегка горчичный».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6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66" s="28" t="str">
        <x:v>переваривание усиливает сернистость; крупные старые корнеплоды могут быть волокнистыми</x:v>
      </x:c>
      <x:c r="I66" s="28" t="str">
        <x:v>салат, гарнир, суп, соус, маринад, ферментация или напиток с анис</x:v>
      </x:c>
      <x:c r="J66" s="28" t="str">
        <x:v>Средняя</x:v>
      </x:c>
      <x:c r="K66" s="28" t="str">
        <x:v>Тезариус вкусов (Ники Сегнит)(1).pdf</x:v>
      </x:c>
      <x:c r="L66" s="28" t="str">
        <x:v>Тезариус вкусов (Ники Сегнит)(1).pdf: 318, 481</x:v>
      </x:c>
    </x:row>
    <x:row r="67" ht="66" customHeight="1">
      <x:c r="A67" s="28" t="str">
        <x:v>VEG-0187</x:v>
      </x:c>
      <x:c r="B67" s="28" t="str">
        <x:v>брюква</x:v>
      </x:c>
      <x:c r="C67" s="28" t="str">
        <x:v>баранина</x:v>
      </x:c>
      <x:c r="D67" s="28" t="str">
        <x:v>Мясо и птица</x:v>
      </x:c>
      <x:c r="E67" s="28" t="str">
        <x:v>умами и солёный контраст; сернистая или горчичная комплементарность</x:v>
      </x:c>
      <x:c r="F67" s="28" t="str">
        <x:v>Брюква имеет профиль «землистый, капустный, сладкий и слегка горчичный».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7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67" s="28" t="str">
        <x:v>переваривание усиливает сернистость; крупные старые корнеплоды могут быть волокнистыми</x:v>
      </x:c>
      <x:c r="I67" s="28" t="str">
        <x:v>салат, гарнир, суп, соус, маринад, ферментация или напиток с баранина</x:v>
      </x:c>
      <x:c r="J67" s="28" t="str">
        <x:v>Средняя</x:v>
      </x:c>
      <x:c r="K67" s="28" t="str">
        <x:v>Тезариус вкусов (Ники Сегнит)(1).pdf</x:v>
      </x:c>
      <x:c r="L67" s="28" t="str">
        <x:v>Тезариус вкусов (Ники Сегнит)(1).pdf: 126, 318</x:v>
      </x:c>
    </x:row>
    <x:row r="68" ht="66" customHeight="1">
      <x:c r="A68" s="28" t="str">
        <x:v>VEG-0188</x:v>
      </x:c>
      <x:c r="B68" s="28" t="str">
        <x:v>брюква</x:v>
      </x:c>
      <x:c r="C68" s="28" t="str">
        <x:v>болгарский перец</x:v>
      </x:c>
      <x:c r="D68" s="28" t="str">
        <x:v>Плодовые овощи</x:v>
      </x:c>
      <x:c r="E68" s="28" t="str">
        <x:v>пересечение ароматических семейств; сернистая или горчичная комплементарность</x:v>
      </x:c>
      <x:c r="F68" s="28" t="str">
        <x:v>Брюква имеет профиль «землистый, капустный, сладкий и слегка горчичный».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8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68" s="28" t="str">
        <x:v>переваривание усиливает сернистость; крупные старые корнеплоды могут быть волокнистыми</x:v>
      </x:c>
      <x:c r="I68" s="28" t="str">
        <x:v>салат, гарнир, суп, соус, маринад, ферментация или напиток с болгарский перец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108</x:v>
      </x:c>
    </x:row>
    <x:row r="69" ht="66" customHeight="1">
      <x:c r="A69" s="28" t="str">
        <x:v>VEG-0189</x:v>
      </x:c>
      <x:c r="B69" s="28" t="str">
        <x:v>брюква</x:v>
      </x:c>
      <x:c r="C69" s="28" t="str">
        <x:v>говядина</x:v>
      </x:c>
      <x:c r="D69" s="28" t="str">
        <x:v>Мясо и птица</x:v>
      </x:c>
      <x:c r="E69" s="28" t="str">
        <x:v>умами и солёный контраст; сернистая или горчичная комплементарность</x:v>
      </x:c>
      <x:c r="F69" s="28" t="str">
        <x:v>Брюква имеет профиль «землистый, капустный, сладкий и слегка горчичный».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9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69" s="28" t="str">
        <x:v>переваривание усиливает сернистость; крупные старые корнеплоды могут быть волокнистыми</x:v>
      </x:c>
      <x:c r="I69" s="28" t="str">
        <x:v>салат, гарнир, суп, соус, маринад, ферментация или напиток с говядина</x:v>
      </x:c>
      <x:c r="J69" s="28" t="str">
        <x:v>Средняя</x:v>
      </x:c>
      <x:c r="K69" s="28" t="str">
        <x:v>Тезариус вкусов (Ники Сегнит)(1).pdf</x:v>
      </x:c>
      <x:c r="L69" s="28" t="str">
        <x:v>Тезариус вкусов (Ники Сегнит)(1).pdf: 106, 318</x:v>
      </x:c>
    </x:row>
    <x:row r="70" ht="66" customHeight="1">
      <x:c r="A70" s="28" t="str">
        <x:v>VEG-0190</x:v>
      </x:c>
      <x:c r="B70" s="28" t="str">
        <x:v>брюква</x:v>
      </x:c>
      <x:c r="C70" s="28" t="str">
        <x:v>морковь</x:v>
      </x:c>
      <x:c r="D70" s="28" t="str">
        <x:v>Корнеплоды</x:v>
      </x:c>
      <x:c r="E70" s="28" t="str">
        <x:v>пересечение ароматических семейств; сернистая или горчичная комплементарность</x:v>
      </x:c>
      <x:c r="F70" s="28" t="str">
        <x:v>Брюква имеет профиль «землистый, капустный, сладкий и слегка горчичный».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землистый,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0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70" s="28" t="str">
        <x:v>переваривание усиливает сернистость; крупные старые корнеплоды могут быть волокнистыми</x:v>
      </x:c>
      <x:c r="I70" s="28" t="str">
        <x:v>салат, гарнир, суп, соус, маринад, ферментация или напиток с морковь</x:v>
      </x:c>
      <x:c r="J70" s="28" t="str">
        <x:v>Средняя</x:v>
      </x:c>
      <x:c r="K70" s="28" t="str">
        <x:v>Тезариус вкусов (Ники Сегнит)(1).pdf</x:v>
      </x:c>
      <x:c r="L70" s="28" t="str">
        <x:v>Тезариус вкусов (Ники Сегнит)(1).pdf: 318, 602</x:v>
      </x:c>
    </x:row>
    <x:row r="71" ht="66" customHeight="1">
      <x:c r="A71" s="28" t="str">
        <x:v>VEG-0191</x:v>
      </x:c>
      <x:c r="B71" s="28" t="str">
        <x:v>брюква</x:v>
      </x:c>
      <x:c r="C71" s="28" t="str">
        <x:v>мускатный орех</x:v>
      </x:c>
      <x:c r="D71" s="28" t="str">
        <x:v>Рыба и морепродукты</x:v>
      </x:c>
      <x:c r="E71" s="28" t="str">
        <x:v>умами и солёный контраст; сернистая или горчичная комплементарность</x:v>
      </x:c>
      <x:c r="F71" s="28" t="str">
        <x:v>Брюква имеет профиль «землистый, капустный, сладкий и слегка горчичный».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1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71" s="28" t="str">
        <x:v>переваривание усиливает сернистость; крупные старые корнеплоды могут быть волокнистыми</x:v>
      </x:c>
      <x:c r="I71" s="28" t="str">
        <x:v>салат, гарнир, суп, соус, маринад, ферментация или напиток с мускатный орех</x:v>
      </x:c>
      <x:c r="J71" s="28" t="str">
        <x:v>Средняя</x:v>
      </x:c>
      <x:c r="K71" s="28" t="str">
        <x:v>Тезариус вкусов (Ники Сегнит)(1).pdf</x:v>
      </x:c>
      <x:c r="L71" s="28" t="str">
        <x:v>Тезариус вкусов (Ники Сегнит)(1).pdf: 319, 588</x:v>
      </x:c>
    </x:row>
    <x:row r="72" ht="66" customHeight="1">
      <x:c r="A72" s="28" t="str">
        <x:v>VEG-0192</x:v>
      </x:c>
      <x:c r="B72" s="28" t="str">
        <x:v>брюква</x:v>
      </x:c>
      <x:c r="C72" s="28" t="str">
        <x:v>мясо</x:v>
      </x:c>
      <x:c r="D72" s="28" t="str">
        <x:v>Мясо и птица</x:v>
      </x:c>
      <x:c r="E72" s="28" t="str">
        <x:v>умами и солёный контраст; сернистая или горчичная комплементарность</x:v>
      </x:c>
      <x:c r="F72" s="28" t="str">
        <x:v>Брюква имеет профиль «землистый, капустный, сладкий и слегка горчичный». Партнёр «мясо» относится к группе «Мясо и птица» и даёт жареный, жирный,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2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72" s="28" t="str">
        <x:v>переваривание усиливает сернистость; крупные старые корнеплоды могут быть волокнистыми</x:v>
      </x:c>
      <x:c r="I72" s="28" t="str">
        <x:v>салат, гарнир, суп, соус, маринад, ферментация или напиток с мясо</x:v>
      </x:c>
      <x:c r="J72" s="28" t="str">
        <x:v>Средняя</x:v>
      </x:c>
      <x:c r="K72" s="28" t="str">
        <x:v>The Art &amp; Science of Foodpairing.pdf</x:v>
      </x:c>
      <x:c r="L72" s="28" t="str">
        <x:v>The Art &amp; Science of Foodpairing.pdf: 186</x:v>
      </x:c>
    </x:row>
    <x:row r="73" ht="66" customHeight="1">
      <x:c r="A73" s="28" t="str">
        <x:v>VEG-0193</x:v>
      </x:c>
      <x:c r="B73" s="28" t="str">
        <x:v>брюква</x:v>
      </x:c>
      <x:c r="C73" s="28" t="str">
        <x:v>свинина</x:v>
      </x:c>
      <x:c r="D73" s="28" t="str">
        <x:v>Мясо и птица</x:v>
      </x:c>
      <x:c r="E73" s="28" t="str">
        <x:v>умами и солёный контраст; сернистая или горчичная комплементарность</x:v>
      </x:c>
      <x:c r="F73" s="28" t="str">
        <x:v>Брюква имеет профиль «землистый, капустный, сладкий и слегка горчичный».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3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73" s="28" t="str">
        <x:v>переваривание усиливает сернистость; крупные старые корнеплоды могут быть волокнистыми</x:v>
      </x:c>
      <x:c r="I73" s="28" t="str">
        <x:v>салат, гарнир, суп, соус, маринад, ферментация или напиток с свинина</x:v>
      </x:c>
      <x:c r="J73" s="28" t="str">
        <x:v>Средняя</x:v>
      </x:c>
      <x:c r="K73" s="28" t="str">
        <x:v>Тезариус вкусов (Ники Сегнит)(1).pdf</x:v>
      </x:c>
      <x:c r="L73" s="28" t="str">
        <x:v>Тезариус вкусов (Ники Сегнит)(1).pdf: 81, 320</x:v>
      </x:c>
    </x:row>
    <x:row r="74" ht="66" customHeight="1">
      <x:c r="A74" s="28" t="str">
        <x:v>VEG-0310</x:v>
      </x:c>
      <x:c r="B74" s="28" t="str">
        <x:v>картофель</x:v>
      </x:c>
      <x:c r="C74" s="28" t="str">
        <x:v>«черный пудинг»</x:v>
      </x:c>
      <x:c r="D74" s="28" t="str">
        <x:v>Прочее</x:v>
      </x:c>
      <x:c r="E74" s="28" t="str">
        <x:v>сенсорная комплементарность</x:v>
      </x:c>
      <x:c r="F74" s="28" t="str">
        <x:v>Картофель имеет профиль «крахмалистый, землистый, ореховый и жареный после нагрева». Партнёр ««черный пудинг»»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4" s="28" t="str">
        <x:v>зелёные или проросшие клубни не использовать; пережаривание даёт горечь и чрезмерно тёмную корку</x:v>
      </x:c>
      <x:c r="I74" s="28" t="str">
        <x:v>пюре, суп, запекание, крем, гарнир, соус или десертная разработка с «черный пудинг»</x:v>
      </x:c>
      <x:c r="J74" s="28" t="str">
        <x:v>Средняя</x:v>
      </x:c>
      <x:c r="K74" s="28" t="str">
        <x:v>Тезариус вкусов (Ники Сегнит)(1).pdf</x:v>
      </x:c>
      <x:c r="L74" s="28" t="str">
        <x:v>Тезариус вкусов (Ники Сегнит)(1).pdf: 93, 245</x:v>
      </x:c>
    </x:row>
    <x:row r="75" ht="66" customHeight="1">
      <x:c r="A75" s="28" t="str">
        <x:v>VEG-0311</x:v>
      </x:c>
      <x:c r="B75" s="28" t="str">
        <x:v>картофель</x:v>
      </x:c>
      <x:c r="C75" s="28" t="str">
        <x:v>абрикос</x:v>
      </x:c>
      <x:c r="D75" s="28" t="str">
        <x:v>Фрукты и ягоды</x:v>
      </x:c>
      <x:c r="E75" s="28" t="str">
        <x:v>общие характерные молекулы; кислотно-сладкий баланс</x:v>
      </x:c>
      <x:c r="F75" s="28" t="str">
        <x:v>Картофель имеет профиль «крахмалистый, землистый, ореховый и жареный после нагрева». Партнёр «абрикос»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7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75" s="28" t="str">
        <x:v>пюре, суп, запекание, крем, гарнир, соус или десертная разработка с абрикос</x:v>
      </x:c>
      <x:c r="J75" s="28" t="str">
        <x:v>Средняя</x:v>
      </x:c>
      <x:c r="K75" s="28" t="str">
        <x:v>The Art &amp; Science of Foodpairing.pdf</x:v>
      </x:c>
      <x:c r="L75" s="28" t="str">
        <x:v>The Art &amp; Science of Foodpairing.pdf: 196, 206</x:v>
      </x:c>
    </x:row>
    <x:row r="76" ht="66" customHeight="1">
      <x:c r="A76" s="28" t="str">
        <x:v>VEG-0312</x:v>
      </x:c>
      <x:c r="B76" s="28" t="str">
        <x:v>картофель</x:v>
      </x:c>
      <x:c r="C76" s="28" t="str">
        <x:v>авокадо</x:v>
      </x:c>
      <x:c r="D76" s="28" t="str">
        <x:v>Прочее</x:v>
      </x:c>
      <x:c r="E76" s="28" t="str">
        <x:v>сенсорная комплементарность</x:v>
      </x:c>
      <x:c r="F76" s="28" t="str">
        <x:v>Картофель имеет профиль «крахмалистый, землистый, ореховый и жареный после нагрева». Партнёр «авокадо»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6" s="28" t="str">
        <x:v>зелёные или проросшие клубни не использовать; пережаривание даёт горечь и чрезмерно тёмную корку</x:v>
      </x:c>
      <x:c r="I76" s="28" t="str">
        <x:v>пюре, суп, запекание, крем, гарнир, соус или десертная разработка с авокадо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196</x:v>
      </x:c>
    </x:row>
    <x:row r="77" ht="66" customHeight="1">
      <x:c r="A77" s="28" t="str">
        <x:v>VEG-0313</x:v>
      </x:c>
      <x:c r="B77" s="28" t="str">
        <x:v>картофель</x:v>
      </x:c>
      <x:c r="C77" s="28" t="str">
        <x:v>анчоусы</x:v>
      </x:c>
      <x:c r="D77" s="28" t="str">
        <x:v>Рыба и морепродукты</x:v>
      </x:c>
      <x:c r="E77" s="28" t="str">
        <x:v>общие характерные молекулы; умами и солёный контраст</x:v>
      </x:c>
      <x:c r="F77" s="28" t="str">
        <x:v>Картофель имеет профиль «крахмалистый, землистый, ореховый и жареный после нагрева». Партнёр «анчоусы»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7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7" s="28" t="str">
        <x:v>зелёные или проросшие клубни не использовать; пережаривание даёт горечь и чрезмерно тёмную корку</x:v>
      </x:c>
      <x:c r="I77" s="28" t="str">
        <x:v>пюре, суп, запекание, крем, гарнир, соус или десертная разработка с анчоусы</x:v>
      </x:c>
      <x:c r="J77" s="28" t="str">
        <x:v>Средняя</x:v>
      </x:c>
      <x:c r="K77" s="28" t="str">
        <x:v>Тезариус вкусов (Ники Сегнит)(1).pdf</x:v>
      </x:c>
      <x:c r="L77" s="28" t="str">
        <x:v>Тезариус вкусов (Ники Сегнит)(1).pdf: 230, 427</x:v>
      </x:c>
    </x:row>
    <x:row r="78" ht="66" customHeight="1">
      <x:c r="A78" s="28" t="str">
        <x:v>VEG-0314</x:v>
      </x:c>
      <x:c r="B78" s="28" t="str">
        <x:v>картофель</x:v>
      </x:c>
      <x:c r="C78" s="28" t="str">
        <x:v>арахис</x:v>
      </x:c>
      <x:c r="D78" s="28" t="str">
        <x:v>Орехи и семена</x:v>
      </x:c>
      <x:c r="E78" s="28" t="str">
        <x:v>общие характерные молекулы; пересечение ароматических семейств</x:v>
      </x:c>
      <x:c r="F78" s="28" t="str">
        <x:v>Картофель имеет профиль «крахмалистый, землистый, ореховый и жареный после нагрева». Партнёр «арахис»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7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8" s="28" t="str">
        <x:v>зелёные или проросшие клубни не использовать; пережаривание даёт горечь и чрезмерно тёмную корку</x:v>
      </x:c>
      <x:c r="I78" s="28" t="str">
        <x:v>пюре, суп, запекание, крем, гарнир, соус или десертная разработка с арахис</x:v>
      </x:c>
      <x:c r="J78" s="28" t="str">
        <x:v>Средняя</x:v>
      </x:c>
      <x:c r="K78" s="28" t="str">
        <x:v>Тезариус вкусов (Ники Сегнит)(1).pdf</x:v>
      </x:c>
      <x:c r="L78" s="28" t="str">
        <x:v>Тезариус вкусов (Ники Сегнит)(1).pdf: 53, 230</x:v>
      </x:c>
    </x:row>
    <x:row r="79" ht="66" customHeight="1">
      <x:c r="A79" s="28" t="str">
        <x:v>VEG-0315</x:v>
      </x:c>
      <x:c r="B79" s="28" t="str">
        <x:v>картофель</x:v>
      </x:c>
      <x:c r="C79" s="28" t="str">
        <x:v>арбуз</x:v>
      </x:c>
      <x:c r="D79" s="28" t="str">
        <x:v>Прочее</x:v>
      </x:c>
      <x:c r="E79" s="28" t="str">
        <x:v>сенсорная комплементарность</x:v>
      </x:c>
      <x:c r="F79" s="28" t="str">
        <x:v>Картофель имеет профиль «крахмалистый, землистый, ореховый и жареный после нагрева».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9" s="28" t="str">
        <x:v>зелёные или проросшие клубни не использовать; пережаривание даёт горечь и чрезмерно тёмную корку</x:v>
      </x:c>
      <x:c r="I79" s="28" t="str">
        <x:v>пюре, суп, запекание, крем, гарнир, соус или десертная разработка с арбуз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78</x:v>
      </x:c>
    </x:row>
    <x:row r="80" ht="66" customHeight="1">
      <x:c r="A80" s="28" t="str">
        <x:v>VEG-0316</x:v>
      </x:c>
      <x:c r="B80" s="28" t="str">
        <x:v>картофель</x:v>
      </x:c>
      <x:c r="C80" s="28" t="str">
        <x:v>артишок</x:v>
      </x:c>
      <x:c r="D80" s="28" t="str">
        <x:v>Соцветия и стеблевые овощи</x:v>
      </x:c>
      <x:c r="E80" s="28" t="str">
        <x:v>сенсорная комплементарность</x:v>
      </x:c>
      <x:c r="F80" s="28" t="str">
        <x:v>Картофель имеет профиль «крахмалистый, землистый, ореховый и жареный после нагрева». Партнёр «артишок» относится к группе «Соцветия и стеблевые овощи» и даёт зелёный, ореховый, травянистый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0" s="28" t="str">
        <x:v>зелёные или проросшие клубни не использовать; пережаривание даёт горечь и чрезмерно тёмную корку</x:v>
      </x:c>
      <x:c r="I80" s="28" t="str">
        <x:v>пюре, суп, запекание, крем, гарнир, соус или десертная разработка с артишок</x:v>
      </x:c>
      <x:c r="J80" s="28" t="str">
        <x:v>Средняя</x:v>
      </x:c>
      <x:c r="K80" s="28" t="str">
        <x:v>Тезариус вкусов (Ники Сегнит)(1).pdf</x:v>
      </x:c>
      <x:c r="L80" s="28" t="str">
        <x:v>Тезариус вкусов (Ники Сегнит)(1).pdf: 231, 338</x:v>
      </x:c>
    </x:row>
    <x:row r="81" ht="66" customHeight="1">
      <x:c r="A81" s="28" t="str">
        <x:v>VEG-0317</x:v>
      </x:c>
      <x:c r="B81" s="28" t="str">
        <x:v>картофель</x:v>
      </x:c>
      <x:c r="C81" s="28" t="str">
        <x:v>базилик</x:v>
      </x:c>
      <x:c r="D81" s="28" t="str">
        <x:v>Травы, цветы и листья</x:v>
      </x:c>
      <x:c r="E81" s="28" t="str">
        <x:v>сенсорная комплементарность</x:v>
      </x:c>
      <x:c r="F81" s="28" t="str">
        <x:v>Картофель имеет профиль «крахмалистый, землистый, ореховый и жареный после нагрева».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8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1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81" s="28" t="str">
        <x:v>пюре, суп, запекание, крем, гарнир, соус или десертная разработка с базилик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74</x:v>
      </x:c>
    </x:row>
    <x:row r="82" ht="66" customHeight="1">
      <x:c r="A82" s="28" t="str">
        <x:v>VEG-0318</x:v>
      </x:c>
      <x:c r="B82" s="28" t="str">
        <x:v>картофель</x:v>
      </x:c>
      <x:c r="C82" s="28" t="str">
        <x:v>баранина</x:v>
      </x:c>
      <x:c r="D82" s="28" t="str">
        <x:v>Мясо и птица</x:v>
      </x:c>
      <x:c r="E82" s="28" t="str">
        <x:v>общие характерные молекулы; пересечение ароматических семейств; умами и солёный контраст</x:v>
      </x:c>
      <x:c r="F82" s="28" t="str">
        <x:v>Картофель имеет профиль «крахмалистый, землистый, ореховый и жареный после нагрева». Партнёр «баранина»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8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2" s="28" t="str">
        <x:v>зелёные или проросшие клубни не использовать; пережаривание даёт горечь и чрезмерно тёмную корку</x:v>
      </x:c>
      <x:c r="I82" s="28" t="str">
        <x:v>пюре, суп, запекание, крем, гарнир, соус или десертная разработка с баранина</x:v>
      </x:c>
      <x:c r="J82" s="28" t="str">
        <x:v>Высокая</x:v>
      </x:c>
      <x:c r="K82" s="28" t="str">
        <x:v>The Art &amp; Science of Foodpairing.pdf | Тезариус вкусов (Ники Сегнит)(1).pdf</x:v>
      </x:c>
      <x:c r="L82" s="28" t="str">
        <x:v>Тезариус вкусов (Ники Сегнит)(1).pdf: 129, 231; The Art &amp; Science of Foodpairing.pdf: 196</x:v>
      </x:c>
    </x:row>
    <x:row r="83" ht="66" customHeight="1">
      <x:c r="A83" s="28" t="str">
        <x:v>VEG-0319</x:v>
      </x:c>
      <x:c r="B83" s="28" t="str">
        <x:v>картофель</x:v>
      </x:c>
      <x:c r="C83" s="28" t="str">
        <x:v>батат</x:v>
      </x:c>
      <x:c r="D83" s="28" t="str">
        <x:v>Корнеплоды и клубни</x:v>
      </x:c>
      <x:c r="E83" s="28" t="str">
        <x:v>общие характерные молекулы; пересечение ароматических семейств</x:v>
      </x:c>
      <x:c r="F83" s="28" t="str">
        <x:v>Картофель имеет профиль «крахмалистый, землистый, ореховый и жареный после нагрева».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8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3" s="28" t="str">
        <x:v>зелёные или проросшие клубни не использовать; пережаривание даёт горечь и чрезмерно тёмную корку</x:v>
      </x:c>
      <x:c r="I83" s="28" t="str">
        <x:v>пюре, суп, запекание, крем, гарнир, соус или десертная разработка с батат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119</x:v>
      </x:c>
    </x:row>
    <x:row r="84" ht="66" customHeight="1">
      <x:c r="A84" s="28" t="str">
        <x:v>VEG-0320</x:v>
      </x:c>
      <x:c r="B84" s="28" t="str">
        <x:v>картофель</x:v>
      </x:c>
      <x:c r="C84" s="28" t="str">
        <x:v>бекон</x:v>
      </x:c>
      <x:c r="D84" s="28" t="str">
        <x:v>Мясо и птица</x:v>
      </x:c>
      <x:c r="E84" s="28" t="str">
        <x:v>общие характерные молекулы; пересечение ароматических семейств; умами и солёный контраст</x:v>
      </x:c>
      <x:c r="F84" s="28" t="str">
        <x:v>Картофель имеет профиль «крахмалистый, землистый, ореховый и жареный после нагрева».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8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4" s="28" t="str">
        <x:v>зелёные или проросшие клубни не использовать; пережаривание даёт горечь и чрезмерно тёмную корку</x:v>
      </x:c>
      <x:c r="I84" s="28" t="str">
        <x:v>пюре, суп, запекание, крем, гарнир, соус или десертная разработка с бекон</x:v>
      </x:c>
      <x:c r="J84" s="28" t="str">
        <x:v>Средняя</x:v>
      </x:c>
      <x:c r="K84" s="28" t="str">
        <x:v>Тезариус вкусов (Ники Сегнит)(1).pdf</x:v>
      </x:c>
      <x:c r="L84" s="28" t="str">
        <x:v>Тезариус вкусов (Ники Сегнит)(1).pdf: 232, 445</x:v>
      </x:c>
    </x:row>
    <x:row r="85" ht="66" customHeight="1">
      <x:c r="A85" s="28" t="str">
        <x:v>VEG-0321</x:v>
      </x:c>
      <x:c r="B85" s="28" t="str">
        <x:v>картофель</x:v>
      </x:c>
      <x:c r="C85" s="28" t="str">
        <x:v>белая рыба</x:v>
      </x:c>
      <x:c r="D85" s="28" t="str">
        <x:v>Рыба и морепродукты</x:v>
      </x:c>
      <x:c r="E85" s="28" t="str">
        <x:v>общие характерные молекулы; умами и солёный контраст</x:v>
      </x:c>
      <x:c r="F85" s="28" t="str">
        <x:v>Картофель имеет профиль «крахмалистый, землистый, ореховый и жареный после нагрева». Партнёр «белая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8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5" s="28" t="str">
        <x:v>зелёные или проросшие клубни не использовать; пережаривание даёт горечь и чрезмерно тёмную корку</x:v>
      </x:c>
      <x:c r="I85" s="28" t="str">
        <x:v>пюре, суп, запекание, крем, гарнир, соус или десертная разработка с белая рыба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232, 385</x:v>
      </x:c>
    </x:row>
    <x:row r="86" ht="66" customHeight="1">
      <x:c r="A86" s="28" t="str">
        <x:v>VEG-0322</x:v>
      </x:c>
      <x:c r="B86" s="28" t="str">
        <x:v>картофель</x:v>
      </x:c>
      <x:c r="C86" s="28" t="str">
        <x:v>бразильский орех</x:v>
      </x:c>
      <x:c r="D86" s="28" t="str">
        <x:v>Орехи и семена</x:v>
      </x:c>
      <x:c r="E86" s="28" t="str">
        <x:v>общие характерные молекулы; пересечение ароматических семейств</x:v>
      </x:c>
      <x:c r="F86" s="28" t="str">
        <x:v>Картофель имеет профиль «крахмалистый, землистый, ореховый и жареный после нагрева». Партнёр «бразильский орех»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8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6" s="28" t="str">
        <x:v>зелёные или проросшие клубни не использовать; пережаривание даёт горечь и чрезмерно тёмную корку</x:v>
      </x:c>
      <x:c r="I86" s="28" t="str">
        <x:v>пюре, суп, запекание, крем, гарнир, соус или десертная разработка с бразильский орех</x:v>
      </x:c>
      <x:c r="J86" s="28" t="str">
        <x:v>Средняя</x:v>
      </x:c>
      <x:c r="K86" s="28" t="str">
        <x:v>The Art &amp; Science of Foodpairing.pdf</x:v>
      </x:c>
      <x:c r="L86" s="28" t="str">
        <x:v>The Art &amp; Science of Foodpairing.pdf: 196</x:v>
      </x:c>
    </x:row>
    <x:row r="87" ht="66" customHeight="1">
      <x:c r="A87" s="28" t="str">
        <x:v>VEG-0323</x:v>
      </x:c>
      <x:c r="B87" s="28" t="str">
        <x:v>картофель</x:v>
      </x:c>
      <x:c r="C87" s="28" t="str">
        <x:v>бри</x:v>
      </x:c>
      <x:c r="D87" s="28" t="str">
        <x:v>Прочее</x:v>
      </x:c>
      <x:c r="E87" s="28" t="str">
        <x:v>сенсорная комплементарность</x:v>
      </x:c>
      <x:c r="F87" s="28" t="str">
        <x:v>Картофель имеет профиль «крахмалистый, землистый, ореховый и жареный после нагрева». Партнёр «бри»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7" s="28" t="str">
        <x:v>зелёные или проросшие клубни не использовать; пережаривание даёт горечь и чрезмерно тёмную корку</x:v>
      </x:c>
      <x:c r="I87" s="28" t="str">
        <x:v>пюре, суп, запекание, крем, гарнир, соус или десертная разработка с бри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196</x:v>
      </x:c>
    </x:row>
    <x:row r="88" ht="66" customHeight="1">
      <x:c r="A88" s="28" t="str">
        <x:v>VEG-0324</x:v>
      </x:c>
      <x:c r="B88" s="28" t="str">
        <x:v>картофель</x:v>
      </x:c>
      <x:c r="C88" s="28" t="str">
        <x:v>брюква</x:v>
      </x:c>
      <x:c r="D88" s="28" t="str">
        <x:v>Корнеплоды и крестоцветные</x:v>
      </x:c>
      <x:c r="E88" s="28" t="str">
        <x:v>пересечение ароматических семейств</x:v>
      </x:c>
      <x:c r="F88" s="28" t="str">
        <x:v>Картофель имеет профиль «крахмалистый, землистый, ореховый и жареный после нагрева». Партнёр «брюква» относится к группе «Корнеплоды и крестоцветные» и даёт землистый, капустный, сладкий и слегка горчичный.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8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8" s="28" t="str">
        <x:v>зелёные или проросшие клубни не использовать; пережаривание даёт горечь и чрезмерно тёмную корку</x:v>
      </x:c>
      <x:c r="I88" s="28" t="str">
        <x:v>пюре, суп, запекание, крем, гарнир, соус или десертная разработка с брюква</x:v>
      </x:c>
      <x:c r="J88" s="28" t="str">
        <x:v>Средняя</x:v>
      </x:c>
      <x:c r="K88" s="28" t="str">
        <x:v>Тезариус вкусов (Ники Сегнит)(1).pdf</x:v>
      </x:c>
      <x:c r="L88" s="28" t="str">
        <x:v>Тезариус вкусов (Ники Сегнит)(1).pdf: 232, 318</x:v>
      </x:c>
    </x:row>
    <x:row r="89" ht="66" customHeight="1">
      <x:c r="A89" s="28" t="str">
        <x:v>VEG-0325</x:v>
      </x:c>
      <x:c r="B89" s="28" t="str">
        <x:v>картофель</x:v>
      </x:c>
      <x:c r="C89" s="28" t="str">
        <x:v>ветчина</x:v>
      </x:c>
      <x:c r="D89" s="28" t="str">
        <x:v>Мясо и птица</x:v>
      </x:c>
      <x:c r="E89" s="28" t="str">
        <x:v>общие характерные молекулы; пересечение ароматических семейств; умами и солёный контраст</x:v>
      </x:c>
      <x:c r="F89" s="28" t="str">
        <x:v>Картофель имеет профиль «крахмалистый, землистый, ореховый и жареный после нагрева». Партнёр «ветчина»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8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9" s="28" t="str">
        <x:v>зелёные или проросшие клубни не использовать; пережаривание даёт горечь и чрезмерно тёмную корку</x:v>
      </x:c>
      <x:c r="I89" s="28" t="str">
        <x:v>пюре, суп, запекание, крем, гарнир, соус или десертная разработка с ветчина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196</x:v>
      </x:c>
    </x:row>
    <x:row r="90" ht="66" customHeight="1">
      <x:c r="A90" s="28" t="str">
        <x:v>VEG-0326</x:v>
      </x:c>
      <x:c r="B90" s="28" t="str">
        <x:v>картофель</x:v>
      </x:c>
      <x:c r="C90" s="28" t="str">
        <x:v>вишня</x:v>
      </x:c>
      <x:c r="D90" s="28" t="str">
        <x:v>Фрукты и ягоды</x:v>
      </x:c>
      <x:c r="E90" s="28" t="str">
        <x:v>кислотно-сладкий баланс</x:v>
      </x:c>
      <x:c r="F90" s="28" t="str">
        <x:v>Картофель имеет профиль «крахмалистый, землистый, ореховый и жареный после нагрева». Партнёр «вишня» относится к группе «Фрукты и ягоды» и даёт миндальный,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9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90" s="28" t="str">
        <x:v>пюре, суп, запекание, крем, гарнир, соус или десертная разработка с вишня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196</x:v>
      </x:c>
    </x:row>
    <x:row r="91" ht="66" customHeight="1">
      <x:c r="A91" s="28" t="str">
        <x:v>VEG-0327</x:v>
      </x:c>
      <x:c r="B91" s="28" t="str">
        <x:v>картофель</x:v>
      </x:c>
      <x:c r="C91" s="28" t="str">
        <x:v>водоросли</x:v>
      </x:c>
      <x:c r="D91" s="28" t="str">
        <x:v>Прочее</x:v>
      </x:c>
      <x:c r="E91" s="28" t="str">
        <x:v>сенсорная комплементарность</x:v>
      </x:c>
      <x:c r="F91" s="28" t="str">
        <x:v>Картофель имеет профиль «крахмалистый, землистый, ореховый и жареный после нагрева».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1" s="28" t="str">
        <x:v>зелёные или проросшие клубни не использовать; пережаривание даёт горечь и чрезмерно тёмную корку</x:v>
      </x:c>
      <x:c r="I91" s="28" t="str">
        <x:v>пюре, суп, запекание, крем, гарнир, соус или десертная разработка с водоросли</x:v>
      </x:c>
      <x:c r="J91" s="28" t="str">
        <x:v>Высокая</x:v>
      </x:c>
      <x:c r="K91" s="28" t="str">
        <x:v>The Art &amp; Science of Foodpairing.pdf</x:v>
      </x:c>
      <x:c r="L91" s="28" t="str">
        <x:v>The Art &amp; Science of Foodpairing.pdf: 266</x:v>
      </x:c>
    </x:row>
    <x:row r="92" ht="66" customHeight="1">
      <x:c r="A92" s="28" t="str">
        <x:v>VEG-0328</x:v>
      </x:c>
      <x:c r="B92" s="28" t="str">
        <x:v>картофель</x:v>
      </x:c>
      <x:c r="C92" s="28" t="str">
        <x:v>водяной кресс</x:v>
      </x:c>
      <x:c r="D92" s="28" t="str">
        <x:v>Прочее</x:v>
      </x:c>
      <x:c r="E92" s="28" t="str">
        <x:v>сенсорная комплементарность</x:v>
      </x:c>
      <x:c r="F92" s="28" t="str">
        <x:v>Картофель имеет профиль «крахмалистый, землистый, ореховый и жареный после нагрева». Партнёр «водяной кресс»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2" s="28" t="str">
        <x:v>зелёные или проросшие клубни не использовать; пережаривание даёт горечь и чрезмерно тёмную корку</x:v>
      </x:c>
      <x:c r="I92" s="28" t="str">
        <x:v>пюре, суп, запекание, крем, гарнир, соус или десертная разработка с водяной кресс</x:v>
      </x:c>
      <x:c r="J92" s="28" t="str">
        <x:v>Средняя</x:v>
      </x:c>
      <x:c r="K92" s="28" t="str">
        <x:v>Тезариус вкусов (Ники Сегнит)(1).pdf</x:v>
      </x:c>
      <x:c r="L92" s="28" t="str">
        <x:v>Тезариус вкусов (Ники Сегнит)(1).pdf: 233, 260</x:v>
      </x:c>
    </x:row>
    <x:row r="93" ht="66" customHeight="1">
      <x:c r="A93" s="28" t="str">
        <x:v>VEG-0329</x:v>
      </x:c>
      <x:c r="B93" s="28" t="str">
        <x:v>картофель</x:v>
      </x:c>
      <x:c r="C93" s="28" t="str">
        <x:v>говядина</x:v>
      </x:c>
      <x:c r="D93" s="28" t="str">
        <x:v>Мясо и птица</x:v>
      </x:c>
      <x:c r="E93" s="28" t="str">
        <x:v>общие характерные молекулы; пересечение ароматических семейств; умами и солёный контраст</x:v>
      </x:c>
      <x:c r="F93" s="28" t="str">
        <x:v>Картофель имеет профиль «крахмалистый, землистый, ореховый и жареный после нагрева».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9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3" s="28" t="str">
        <x:v>зелёные или проросшие клубни не использовать; пережаривание даёт горечь и чрезмерно тёмную корку</x:v>
      </x:c>
      <x:c r="I93" s="28" t="str">
        <x:v>пюре, суп, запекание, крем, гарнир, соус или десертная разработка с говядина</x:v>
      </x:c>
      <x:c r="J93" s="28" t="str">
        <x:v>Средняя</x:v>
      </x:c>
      <x:c r="K93" s="28" t="str">
        <x:v>Тезариус вкусов (Ники Сегнит)(1).pdf</x:v>
      </x:c>
      <x:c r="L93" s="28" t="str">
        <x:v>Тезариус вкусов (Ники Сегнит)(1).pdf: 111, 233</x:v>
      </x:c>
    </x:row>
    <x:row r="94" ht="66" customHeight="1">
      <x:c r="A94" s="28" t="str">
        <x:v>VEG-0330</x:v>
      </x:c>
      <x:c r="B94" s="28" t="str">
        <x:v>картофель</x:v>
      </x:c>
      <x:c r="C94" s="28" t="str">
        <x:v>говядина сухой выдержки</x:v>
      </x:c>
      <x:c r="D94" s="28" t="str">
        <x:v>Мясо и птица</x:v>
      </x:c>
      <x:c r="E94" s="28" t="str">
        <x:v>общие характерные молекулы; пересечение ароматических семейств; умами и солёный контраст</x:v>
      </x:c>
      <x:c r="F94" s="28" t="str">
        <x:v>Картофель имеет профиль «крахмалистый, землистый, ореховый и жареный после нагрева». Партнёр «говядина сухой выдержки»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9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4" s="28" t="str">
        <x:v>зелёные или проросшие клубни не использовать; пережаривание даёт горечь и чрезмерно тёмную корку</x:v>
      </x:c>
      <x:c r="I94" s="28" t="str">
        <x:v>пюре, суп, запекание, крем, гарнир, соус или десертная разработка с говядина сухой выдержки</x:v>
      </x:c>
      <x:c r="J94" s="28" t="str">
        <x:v>Средняя</x:v>
      </x:c>
      <x:c r="K94" s="28" t="str">
        <x:v>The Art &amp; Science of Foodpairing.pdf</x:v>
      </x:c>
      <x:c r="L94" s="28" t="str">
        <x:v>The Art &amp; Science of Foodpairing.pdf: 196</x:v>
      </x:c>
    </x:row>
    <x:row r="95" ht="66" customHeight="1">
      <x:c r="A95" s="28" t="str">
        <x:v>VEG-0331</x:v>
      </x:c>
      <x:c r="B95" s="28" t="str">
        <x:v>картофель</x:v>
      </x:c>
      <x:c r="C95" s="28" t="str">
        <x:v>горох</x:v>
      </x:c>
      <x:c r="D95" s="28" t="str">
        <x:v>Бобовые</x:v>
      </x:c>
      <x:c r="E95" s="28" t="str">
        <x:v>сенсорная комплементарность</x:v>
      </x:c>
      <x:c r="F95" s="28" t="str">
        <x:v>Картофель имеет профиль «крахмалистый, землистый, ореховый и жареный после нагрева». Партнёр «горох» относится к группе «Бобовые» и даёт зелёный, сладкий, бобовый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5" s="28" t="str">
        <x:v>зелёные или проросшие клубни не использовать; пережаривание даёт горечь и чрезмерно тёмную корку</x:v>
      </x:c>
      <x:c r="I95" s="28" t="str">
        <x:v>пюре, суп, запекание, крем, гарнир, соус или десертная разработка с горох</x:v>
      </x:c>
      <x:c r="J95" s="28" t="str">
        <x:v>Средняя</x:v>
      </x:c>
      <x:c r="K95" s="28" t="str">
        <x:v>Тезариус вкусов (Ники Сегнит)(1).pdf</x:v>
      </x:c>
      <x:c r="L95" s="28" t="str">
        <x:v>Тезариус вкусов (Ники Сегнит)(1).pdf: 233, 538</x:v>
      </x:c>
    </x:row>
    <x:row r="96" ht="66" customHeight="1">
      <x:c r="A96" s="28" t="str">
        <x:v>VEG-0332</x:v>
      </x:c>
      <x:c r="B96" s="28" t="str">
        <x:v>картофель</x:v>
      </x:c>
      <x:c r="C96" s="28" t="str">
        <x:v>грюйер</x:v>
      </x:c>
      <x:c r="D96" s="28" t="str">
        <x:v>Прочее</x:v>
      </x:c>
      <x:c r="E96" s="28" t="str">
        <x:v>сенсорная комплементарность</x:v>
      </x:c>
      <x:c r="F96" s="28" t="str">
        <x:v>Картофель имеет профиль «крахмалистый, землистый, ореховый и жареный после нагрева».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6" s="28" t="str">
        <x:v>зелёные или проросшие клубни не использовать; пережаривание даёт горечь и чрезмерно тёмную корку</x:v>
      </x:c>
      <x:c r="I96" s="28" t="str">
        <x:v>пюре, суп, запекание, крем, гарнир, соус или десертная разработка с грюйер</x:v>
      </x:c>
      <x:c r="J96" s="28" t="str">
        <x:v>Средняя</x:v>
      </x:c>
      <x:c r="K96" s="28" t="str">
        <x:v>The Art &amp; Science of Foodpairing.pdf</x:v>
      </x:c>
      <x:c r="L96" s="28" t="str">
        <x:v>The Art &amp; Science of Foodpairing.pdf: 196</x:v>
      </x:c>
    </x:row>
    <x:row r="97" ht="66" customHeight="1">
      <x:c r="A97" s="28" t="str">
        <x:v>VEG-0333</x:v>
      </x:c>
      <x:c r="B97" s="28" t="str">
        <x:v>картофель</x:v>
      </x:c>
      <x:c r="C97" s="28" t="str">
        <x:v>гуава</x:v>
      </x:c>
      <x:c r="D97" s="28" t="str">
        <x:v>Фрукты и ягоды</x:v>
      </x:c>
      <x:c r="E97" s="28" t="str">
        <x:v>общие характерные молекулы; кислотно-сладкий баланс</x:v>
      </x:c>
      <x:c r="F97" s="28" t="str">
        <x:v>Картофель имеет профиль «крахмалистый, землистый, ореховый и жареный после нагрева». Партнёр «гуава»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9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7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97" s="28" t="str">
        <x:v>пюре, суп, запекание, крем, гарнир, соус или десертная разработка с гуава</x:v>
      </x:c>
      <x:c r="J97" s="28" t="str">
        <x:v>Средняя</x:v>
      </x:c>
      <x:c r="K97" s="28" t="str">
        <x:v>The Art &amp; Science of Foodpairing.pdf</x:v>
      </x:c>
      <x:c r="L97" s="28" t="str">
        <x:v>The Art &amp; Science of Foodpairing.pdf: 196</x:v>
      </x:c>
    </x:row>
    <x:row r="98" ht="66" customHeight="1">
      <x:c r="A98" s="28" t="str">
        <x:v>VEG-0334</x:v>
      </x:c>
      <x:c r="B98" s="28" t="str">
        <x:v>картофель</x:v>
      </x:c>
      <x:c r="C98" s="28" t="str">
        <x:v>дикая утка</x:v>
      </x:c>
      <x:c r="D98" s="28" t="str">
        <x:v>Мясо и птица</x:v>
      </x:c>
      <x:c r="E98" s="28" t="str">
        <x:v>общие характерные молекулы; пересечение ароматических семейств; умами и солёный контраст</x:v>
      </x:c>
      <x:c r="F98" s="28" t="str">
        <x:v>Картофель имеет профиль «крахмалистый, землистый, ореховый и жареный после нагрева». Партнёр «дикая утка»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9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8" s="28" t="str">
        <x:v>зелёные или проросшие клубни не использовать; пережаривание даёт горечь и чрезмерно тёмную корку</x:v>
      </x:c>
      <x:c r="I98" s="28" t="str">
        <x:v>пюре, суп, запекание, крем, гарнир, соус или десертная разработка с дикая утка</x:v>
      </x:c>
      <x:c r="J98" s="28" t="str">
        <x:v>Средняя</x:v>
      </x:c>
      <x:c r="K98" s="28" t="str">
        <x:v>The Art &amp; Science of Foodpairing.pdf</x:v>
      </x:c>
      <x:c r="L98" s="28" t="str">
        <x:v>The Art &amp; Science of Foodpairing.pdf: 196</x:v>
      </x:c>
    </x:row>
    <x:row r="99" ht="66" customHeight="1">
      <x:c r="A99" s="28" t="str">
        <x:v>VEG-0335</x:v>
      </x:c>
      <x:c r="B99" s="28" t="str">
        <x:v>картофель</x:v>
      </x:c>
      <x:c r="C99" s="28" t="str">
        <x:v>дыня</x:v>
      </x:c>
      <x:c r="D99" s="28" t="str">
        <x:v>Фрукты и ягоды</x:v>
      </x:c>
      <x:c r="E99" s="28" t="str">
        <x:v>общие характерные молекулы; кислотно-сладкий баланс</x:v>
      </x:c>
      <x:c r="F99" s="28" t="str">
        <x:v>Картофель имеет профиль «крахмалистый, землистый, ореховый и жареный после нагрева». Партнёр «дыня»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9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9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99" s="28" t="str">
        <x:v>пюре, суп, запекание, крем, гарнир, соус или десертная разработка с дыня</x:v>
      </x:c>
      <x:c r="J99" s="28" t="str">
        <x:v>Средняя</x:v>
      </x:c>
      <x:c r="K99" s="28" t="str">
        <x:v>The Art &amp; Science of Foodpairing.pdf</x:v>
      </x:c>
      <x:c r="L99" s="28" t="str">
        <x:v>The Art &amp; Science of Foodpairing.pdf: 196</x:v>
      </x:c>
    </x:row>
    <x:row r="100" ht="66" customHeight="1">
      <x:c r="A100" s="28" t="str">
        <x:v>VEG-0336</x:v>
      </x:c>
      <x:c r="B100" s="28" t="str">
        <x:v>картофель</x:v>
      </x:c>
      <x:c r="C100" s="28" t="str">
        <x:v>жареная курица</x:v>
      </x:c>
      <x:c r="D100" s="28" t="str">
        <x:v>Мясо и птица</x:v>
      </x:c>
      <x:c r="E100" s="28" t="str">
        <x:v>общие характерные молекулы; пересечение ароматических семейств; умами и солёный контраст</x:v>
      </x:c>
      <x:c r="F100" s="28" t="str">
        <x:v>Картофель имеет профиль «крахмалистый, землистый, ореховый и жареный после нагрева». Партнёр «жареная курица»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0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0" s="28" t="str">
        <x:v>зелёные или проросшие клубни не использовать; пережаривание даёт горечь и чрезмерно тёмную корку</x:v>
      </x:c>
      <x:c r="I100" s="28" t="str">
        <x:v>пюре, суп, запекание, крем, гарнир, соус или десертная разработка с жареная курица</x:v>
      </x:c>
      <x:c r="J100" s="28" t="str">
        <x:v>Средняя</x:v>
      </x:c>
      <x:c r="K100" s="28" t="str">
        <x:v>The Art &amp; Science of Foodpairing.pdf</x:v>
      </x:c>
      <x:c r="L100" s="28" t="str">
        <x:v>The Art &amp; Science of Foodpairing.pdf: 196</x:v>
      </x:c>
    </x:row>
    <x:row r="101" ht="66" customHeight="1">
      <x:c r="A101" s="28" t="str">
        <x:v>VEG-0337</x:v>
      </x:c>
      <x:c r="B101" s="28" t="str">
        <x:v>картофель</x:v>
      </x:c>
      <x:c r="C101" s="28" t="str">
        <x:v>жасмин</x:v>
      </x:c>
      <x:c r="D101" s="28" t="str">
        <x:v>Травы, цветы и листья</x:v>
      </x:c>
      <x:c r="E101" s="28" t="str">
        <x:v>сенсорная комплементарность</x:v>
      </x:c>
      <x:c r="F101" s="28" t="str">
        <x:v>Картофель имеет профиль «крахмалистый, землистый, ореховый и жареный после нагрева».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0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1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101" s="28" t="str">
        <x:v>пюре, суп, запекание, крем, гарнир, соус или десертная разработка с жасмин</x:v>
      </x:c>
      <x:c r="J101" s="28" t="str">
        <x:v>Средняя</x:v>
      </x:c>
      <x:c r="K101" s="28" t="str">
        <x:v>The Art &amp; Science of Foodpairing.pdf</x:v>
      </x:c>
      <x:c r="L101" s="28" t="str">
        <x:v>The Art &amp; Science of Foodpairing.pdf: 210</x:v>
      </x:c>
    </x:row>
    <x:row r="102" ht="66" customHeight="1">
      <x:c r="A102" s="28" t="str">
        <x:v>VEG-0338</x:v>
      </x:c>
      <x:c r="B102" s="28" t="str">
        <x:v>картофель</x:v>
      </x:c>
      <x:c r="C102" s="28" t="str">
        <x:v>жирная рыба</x:v>
      </x:c>
      <x:c r="D102" s="28" t="str">
        <x:v>Рыба и морепродукты</x:v>
      </x:c>
      <x:c r="E102" s="28" t="str">
        <x:v>общие характерные молекулы; умами и солёный контраст</x:v>
      </x:c>
      <x:c r="F102" s="28" t="str">
        <x:v>Картофель имеет профиль «крахмалистый, землистый, ореховый и жареный после нагрева». Партнёр «жирная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0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2" s="28" t="str">
        <x:v>зелёные или проросшие клубни не использовать; пережаривание даёт горечь и чрезмерно тёмную корку</x:v>
      </x:c>
      <x:c r="I102" s="28" t="str">
        <x:v>пюре, суп, запекание, крем, гарнир, соус или десертная разработка с жирная рыба</x:v>
      </x:c>
      <x:c r="J102" s="28" t="str">
        <x:v>Средняя</x:v>
      </x:c>
      <x:c r="K102" s="28" t="str">
        <x:v>Тезариус вкусов (Ники Сегнит)(1).pdf</x:v>
      </x:c>
      <x:c r="L102" s="28" t="str">
        <x:v>Тезариус вкусов (Ники Сегнит)(1).pdf: 235, 412</x:v>
      </x:c>
    </x:row>
    <x:row r="103" ht="66" customHeight="1">
      <x:c r="A103" s="28" t="str">
        <x:v>VEG-0339</x:v>
      </x:c>
      <x:c r="B103" s="28" t="str">
        <x:v>картофель</x:v>
      </x:c>
      <x:c r="C103" s="28" t="str">
        <x:v>зира</x:v>
      </x:c>
      <x:c r="D103" s="28" t="str">
        <x:v>Специи</x:v>
      </x:c>
      <x:c r="E103" s="28" t="str">
        <x:v>пересечение ароматических семейств</x:v>
      </x:c>
      <x:c r="F103" s="28" t="str">
        <x:v>Картофель имеет профиль «крахмалистый, землистый, ореховый и жареный после нагрева». Партнёр «зира» относится к группе «Специи» и даёт жареный, землистый, пряный. Профили пересекаются в семействах: жареный, землистый.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0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3" s="28" t="str">
        <x:v>зелёные или проросшие клубни не использовать; пережаривание даёт горечь и чрезмерно тёмную корку</x:v>
      </x:c>
      <x:c r="I103" s="28" t="str">
        <x:v>пюре, суп, запекание, крем, гарнир, соус или десертная разработка с зира</x:v>
      </x:c>
      <x:c r="J103" s="28" t="str">
        <x:v>Средняя</x:v>
      </x:c>
      <x:c r="K103" s="28" t="str">
        <x:v>Тезариус вкусов (Ники Сегнит)(1).pdf</x:v>
      </x:c>
      <x:c r="L103" s="28" t="str">
        <x:v>Тезариус вкусов (Ники Сегнит)(1).pdf: 216, 235</x:v>
      </x:c>
    </x:row>
    <x:row r="104" ht="66" customHeight="1">
      <x:c r="A104" s="28" t="str">
        <x:v>VEG-0340</x:v>
      </x:c>
      <x:c r="B104" s="28" t="str">
        <x:v>картофель</x:v>
      </x:c>
      <x:c r="C104" s="28" t="str">
        <x:v>имбирь</x:v>
      </x:c>
      <x:c r="D104" s="28" t="str">
        <x:v>Специи</x:v>
      </x:c>
      <x:c r="E104" s="28" t="str">
        <x:v>сенсорная комплементарность</x:v>
      </x:c>
      <x:c r="F104" s="28" t="str">
        <x:v>Картофель имеет профиль «крахмалистый, землистый, ореховый и жареный после нагрева».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0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4" s="28" t="str">
        <x:v>зелёные или проросшие клубни не использовать; пережаривание даёт горечь и чрезмерно тёмную корку</x:v>
      </x:c>
      <x:c r="I104" s="28" t="str">
        <x:v>пюре, суп, запекание, крем, гарнир, соус или десертная разработка с имбирь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142</x:v>
      </x:c>
    </x:row>
    <x:row r="105" ht="66" customHeight="1">
      <x:c r="A105" s="28" t="str">
        <x:v>VEG-0341</x:v>
      </x:c>
      <x:c r="B105" s="28" t="str">
        <x:v>картофель</x:v>
      </x:c>
      <x:c r="C105" s="28" t="str">
        <x:v>испанский чоризо</x:v>
      </x:c>
      <x:c r="D105" s="28" t="str">
        <x:v>Прочее</x:v>
      </x:c>
      <x:c r="E105" s="28" t="str">
        <x:v>сенсорная комплементарность</x:v>
      </x:c>
      <x:c r="F105" s="28" t="str">
        <x:v>Картофель имеет профиль «крахмалистый, землистый, ореховый и жареный после нагрева».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5" s="28" t="str">
        <x:v>зелёные или проросшие клубни не использовать; пережаривание даёт горечь и чрезмерно тёмную корку</x:v>
      </x:c>
      <x:c r="I105" s="28" t="str">
        <x:v>пюре, суп, запекание, крем, гарнир, соус или десертная разработка с испанский чоризо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196</x:v>
      </x:c>
    </x:row>
    <x:row r="106" ht="66" customHeight="1">
      <x:c r="A106" s="28" t="str">
        <x:v>VEG-0342</x:v>
      </x:c>
      <x:c r="B106" s="28" t="str">
        <x:v>картофель</x:v>
      </x:c>
      <x:c r="C106" s="28" t="str">
        <x:v>каперсы</x:v>
      </x:c>
      <x:c r="D106" s="28" t="str">
        <x:v>Прочее</x:v>
      </x:c>
      <x:c r="E106" s="28" t="str">
        <x:v>сенсорная комплементарность</x:v>
      </x:c>
      <x:c r="F106" s="28" t="str">
        <x:v>Картофель имеет профиль «крахмалистый, землистый, ореховый и жареный после нагрева».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6" s="28" t="str">
        <x:v>зелёные или проросшие клубни не использовать; пережаривание даёт горечь и чрезмерно тёмную корку</x:v>
      </x:c>
      <x:c r="I106" s="28" t="str">
        <x:v>пюре, суп, запекание, крем, гарнир, соус или десертная разработка с каперсы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235, 268</x:v>
      </x:c>
    </x:row>
    <x:row r="107" ht="66" customHeight="1">
      <x:c r="A107" s="28" t="str">
        <x:v>VEG-0343</x:v>
      </x:c>
      <x:c r="B107" s="28" t="str">
        <x:v>картофель</x:v>
      </x:c>
      <x:c r="C107" s="28" t="str">
        <x:v>капуста</x:v>
      </x:c>
      <x:c r="D107" s="28" t="str">
        <x:v>Крестоцветные</x:v>
      </x:c>
      <x:c r="E107" s="28" t="str">
        <x:v>пересечение ароматических семейств</x:v>
      </x:c>
      <x:c r="F107" s="28" t="str">
        <x:v>Картофель имеет профиль «крахмалистый, землистый, ореховый и жареный после нагрева».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формируется за счёт баланса сладости, кислотности, горечи, умами и текстуры.</x:v>
      </x:c>
      <x:c r="G10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7" s="28" t="str">
        <x:v>зелёные или проросшие клубни не использовать; пережаривание даёт горечь и чрезмерно тёмную корку</x:v>
      </x:c>
      <x:c r="I107" s="28" t="str">
        <x:v>пюре, суп, запекание, крем, гарнир, соус или десертная разработка с капуста</x:v>
      </x:c>
      <x:c r="J107" s="28" t="str">
        <x:v>Средняя</x:v>
      </x:c>
      <x:c r="K107" s="28" t="str">
        <x:v>Тезариус вкусов (Ники Сегнит)(1).pdf</x:v>
      </x:c>
      <x:c r="L107" s="28" t="str">
        <x:v>Тезариус вкусов (Ники Сегнит)(1).pdf: 235, 311</x:v>
      </x:c>
    </x:row>
    <x:row r="108" ht="66" customHeight="1">
      <x:c r="A108" s="28" t="str">
        <x:v>VEG-0344</x:v>
      </x:c>
      <x:c r="B108" s="28" t="str">
        <x:v>картофель</x:v>
      </x:c>
      <x:c r="C108" s="28" t="str">
        <x:v>каракатица</x:v>
      </x:c>
      <x:c r="D108" s="28" t="str">
        <x:v>Рыба и морепродукты</x:v>
      </x:c>
      <x:c r="E108" s="28" t="str">
        <x:v>общие характерные молекулы; умами и солёный контраст</x:v>
      </x:c>
      <x:c r="F108" s="28" t="str">
        <x:v>Картофель имеет профиль «крахмалистый, землистый, ореховый и жареный после нагрева». Партнёр «каракатица»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0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8" s="28" t="str">
        <x:v>зелёные или проросшие клубни не использовать; пережаривание даёт горечь и чрезмерно тёмную корку</x:v>
      </x:c>
      <x:c r="I108" s="28" t="str">
        <x:v>пюре, суп, запекание, крем, гарнир, соус или десертная разработка с каракатица</x:v>
      </x:c>
      <x:c r="J108" s="28" t="str">
        <x:v>Средняя</x:v>
      </x:c>
      <x:c r="K108" s="28" t="str">
        <x:v>The Art &amp; Science of Foodpairing.pdf</x:v>
      </x:c>
      <x:c r="L108" s="28" t="str">
        <x:v>The Art &amp; Science of Foodpairing.pdf: 196</x:v>
      </x:c>
    </x:row>
    <x:row r="109" ht="66" customHeight="1">
      <x:c r="A109" s="28" t="str">
        <x:v>VEG-0345</x:v>
      </x:c>
      <x:c r="B109" s="28" t="str">
        <x:v>картофель</x:v>
      </x:c>
      <x:c r="C109" s="28" t="str">
        <x:v>кардамон</x:v>
      </x:c>
      <x:c r="D109" s="28" t="str">
        <x:v>Специи</x:v>
      </x:c>
      <x:c r="E109" s="28" t="str">
        <x:v>сенсорная комплементарность</x:v>
      </x:c>
      <x:c r="F109" s="28" t="str">
        <x:v>Картофель имеет профиль «крахмалистый, землистый, ореховый и жареный после нагрева».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0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09" s="28" t="str">
        <x:v>зелёные или проросшие клубни не использовать; пережаривание даёт горечь и чрезмерно тёмную корку</x:v>
      </x:c>
      <x:c r="I109" s="28" t="str">
        <x:v>пюре, суп, запекание, крем, гарнир, соус или десертная разработка с кардамон</x:v>
      </x:c>
      <x:c r="J109" s="28" t="str">
        <x:v>Средняя</x:v>
      </x:c>
      <x:c r="K109" s="28" t="str">
        <x:v>The Art &amp; Science of Foodpairing.pdf</x:v>
      </x:c>
      <x:c r="L109" s="28" t="str">
        <x:v>The Art &amp; Science of Foodpairing.pdf: 196</x:v>
      </x:c>
    </x:row>
    <x:row r="110" ht="66" customHeight="1">
      <x:c r="A110" s="28" t="str">
        <x:v>VEG-0346</x:v>
      </x:c>
      <x:c r="B110" s="28" t="str">
        <x:v>картофель</x:v>
      </x:c>
      <x:c r="C110" s="28" t="str">
        <x:v>картофель фри</x:v>
      </x:c>
      <x:c r="D110" s="28" t="str">
        <x:v>Корнеплоды и клубни</x:v>
      </x:c>
      <x:c r="E110" s="28" t="str">
        <x:v>общие характерные молекулы; пересечение ароматических семейств</x:v>
      </x:c>
      <x:c r="F110" s="28" t="str">
        <x:v>Картофель имеет профиль «крахмалистый, землистый, ореховый и жареный после нагрева». Партнёр «картофель фри» относится к группе «Корнеплоды и клубни» и даёт землистый, сладкий или крахмалистый.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11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0" s="28" t="str">
        <x:v>зелёные или проросшие клубни не использовать; пережаривание даёт горечь и чрезмерно тёмную корку</x:v>
      </x:c>
      <x:c r="I110" s="28" t="str">
        <x:v>пюре, суп, запекание, крем, гарнир, соус или десертная разработка с картофель фри</x:v>
      </x:c>
      <x:c r="J110" s="28" t="str">
        <x:v>Средняя</x:v>
      </x:c>
      <x:c r="K110" s="28" t="str">
        <x:v>The Art &amp; Science of Foodpairing.pdf</x:v>
      </x:c>
      <x:c r="L110" s="28" t="str">
        <x:v>The Art &amp; Science of Foodpairing.pdf: 196</x:v>
      </x:c>
    </x:row>
    <x:row r="111" ht="66" customHeight="1">
      <x:c r="A111" s="28" t="str">
        <x:v>VEG-0347</x:v>
      </x:c>
      <x:c r="B111" s="28" t="str">
        <x:v>картофель</x:v>
      </x:c>
      <x:c r="C111" s="28" t="str">
        <x:v>кетчуп</x:v>
      </x:c>
      <x:c r="D111" s="28" t="str">
        <x:v>Прочее</x:v>
      </x:c>
      <x:c r="E111" s="28" t="str">
        <x:v>сенсорная комплементарность</x:v>
      </x:c>
      <x:c r="F111" s="28" t="str">
        <x:v>Картофель имеет профиль «крахмалистый, землистый, ореховый и жареный после нагрева». Партнёр «кетчуп»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1" s="28" t="str">
        <x:v>зелёные или проросшие клубни не использовать; пережаривание даёт горечь и чрезмерно тёмную корку</x:v>
      </x:c>
      <x:c r="I111" s="28" t="str">
        <x:v>пюре, суп, запекание, крем, гарнир, соус или десертная разработка с кетчуп</x:v>
      </x:c>
      <x:c r="J111" s="28" t="str">
        <x:v>Высокая</x:v>
      </x:c>
      <x:c r="K111" s="28" t="str">
        <x:v>The Art &amp; Science of Foodpairing.pdf</x:v>
      </x:c>
      <x:c r="L111" s="28" t="str">
        <x:v>The Art &amp; Science of Foodpairing.pdf: 197</x:v>
      </x:c>
    </x:row>
    <x:row r="112" ht="66" customHeight="1">
      <x:c r="A112" s="28" t="str">
        <x:v>VEG-0348</x:v>
      </x:c>
      <x:c r="B112" s="28" t="str">
        <x:v>картофель</x:v>
      </x:c>
      <x:c r="C112" s="28" t="str">
        <x:v>киноа</x:v>
      </x:c>
      <x:c r="D112" s="28" t="str">
        <x:v>Прочее</x:v>
      </x:c>
      <x:c r="E112" s="28" t="str">
        <x:v>сенсорная комплементарность</x:v>
      </x:c>
      <x:c r="F112" s="28" t="str">
        <x:v>Картофель имеет профиль «крахмалистый, землистый, ореховый и жареный после нагрева». Партнёр «киноа»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2" s="28" t="str">
        <x:v>зелёные или проросшие клубни не использовать; пережаривание даёт горечь и чрезмерно тёмную корку</x:v>
      </x:c>
      <x:c r="I112" s="28" t="str">
        <x:v>пюре, суп, запекание, крем, гарнир, соус или десертная разработка с киноа</x:v>
      </x:c>
      <x:c r="J112" s="28" t="str">
        <x:v>Средняя</x:v>
      </x:c>
      <x:c r="K112" s="28" t="str">
        <x:v>The Art &amp; Science of Foodpairing.pdf</x:v>
      </x:c>
      <x:c r="L112" s="28" t="str">
        <x:v>The Art &amp; Science of Foodpairing.pdf: 196</x:v>
      </x:c>
    </x:row>
    <x:row r="113" ht="66" customHeight="1">
      <x:c r="A113" s="28" t="str">
        <x:v>VEG-0349</x:v>
      </x:c>
      <x:c r="B113" s="28" t="str">
        <x:v>картофель</x:v>
      </x:c>
      <x:c r="C113" s="28" t="str">
        <x:v>клубника</x:v>
      </x:c>
      <x:c r="D113" s="28" t="str">
        <x:v>Фрукты и ягоды</x:v>
      </x:c>
      <x:c r="E113" s="28" t="str">
        <x:v>кислотно-сладкий баланс</x:v>
      </x:c>
      <x:c r="F113" s="28" t="str">
        <x:v>Картофель имеет профиль «крахмалистый, землистый, ореховый и жареный после нагрева».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1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3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113" s="28" t="str">
        <x:v>пюре, суп, запекание, крем, гарнир, соус или десертная разработка с клубника</x:v>
      </x:c>
      <x:c r="J113" s="28" t="str">
        <x:v>Средняя</x:v>
      </x:c>
      <x:c r="K113" s="28" t="str">
        <x:v>The Art &amp; Science of Foodpairing.pdf</x:v>
      </x:c>
      <x:c r="L113" s="28" t="str">
        <x:v>The Art &amp; Science of Foodpairing.pdf: 196</x:v>
      </x:c>
    </x:row>
    <x:row r="114" ht="66" customHeight="1">
      <x:c r="A114" s="28" t="str">
        <x:v>VEG-0350</x:v>
      </x:c>
      <x:c r="B114" s="28" t="str">
        <x:v>картофель</x:v>
      </x:c>
      <x:c r="C114" s="28" t="str">
        <x:v>кокос</x:v>
      </x:c>
      <x:c r="D114" s="28" t="str">
        <x:v>Прочее</x:v>
      </x:c>
      <x:c r="E114" s="28" t="str">
        <x:v>сенсорная комплементарность</x:v>
      </x:c>
      <x:c r="F114" s="28" t="str">
        <x:v>Картофель имеет профиль «крахмалистый, землистый, ореховый и жареный после нагрева».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4" s="28" t="str">
        <x:v>зелёные или проросшие клубни не использовать; пережаривание даёт горечь и чрезмерно тёмную корку</x:v>
      </x:c>
      <x:c r="I114" s="28" t="str">
        <x:v>пюре, суп, запекание, крем, гарнир, соус или десертная разработка с кокос</x:v>
      </x:c>
      <x:c r="J114" s="28" t="str">
        <x:v>Средняя</x:v>
      </x:c>
      <x:c r="K114" s="28" t="str">
        <x:v>The Art &amp; Science of Foodpairing.pdf</x:v>
      </x:c>
      <x:c r="L114" s="28" t="str">
        <x:v>The Art &amp; Science of Foodpairing.pdf: 135</x:v>
      </x:c>
    </x:row>
    <x:row r="115" ht="66" customHeight="1">
      <x:c r="A115" s="28" t="str">
        <x:v>VEG-0351</x:v>
      </x:c>
      <x:c r="B115" s="28" t="str">
        <x:v>картофель</x:v>
      </x:c>
      <x:c r="C115" s="28" t="str">
        <x:v>копченая рыба</x:v>
      </x:c>
      <x:c r="D115" s="28" t="str">
        <x:v>Рыба и морепродукты</x:v>
      </x:c>
      <x:c r="E115" s="28" t="str">
        <x:v>общие характерные молекулы; умами и солёный контраст</x:v>
      </x:c>
      <x:c r="F115" s="28" t="str">
        <x:v>Картофель имеет профиль «крахмалистый, землистый, ореховый и жареный после нагрева». Партнёр «копченая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1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5" s="28" t="str">
        <x:v>зелёные или проросшие клубни не использовать; пережаривание даёт горечь и чрезмерно тёмную корку</x:v>
      </x:c>
      <x:c r="I115" s="28" t="str">
        <x:v>пюре, суп, запекание, крем, гарнир, соус или десертная разработка с копченая рыба</x:v>
      </x:c>
      <x:c r="J115" s="28" t="str">
        <x:v>Средняя</x:v>
      </x:c>
      <x:c r="K115" s="28" t="str">
        <x:v>Тезариус вкусов (Ники Сегнит)(1).pdf</x:v>
      </x:c>
      <x:c r="L115" s="28" t="str">
        <x:v>Тезариус вкусов (Ники Сегнит)(1).pdf: 236, 435</x:v>
      </x:c>
    </x:row>
    <x:row r="116" ht="66" customHeight="1">
      <x:c r="A116" s="28" t="str">
        <x:v>VEG-0352</x:v>
      </x:c>
      <x:c r="B116" s="28" t="str">
        <x:v>картофель</x:v>
      </x:c>
      <x:c r="C116" s="28" t="str">
        <x:v>корейский рыбный соус</x:v>
      </x:c>
      <x:c r="D116" s="28" t="str">
        <x:v>Рыба и морепродукты</x:v>
      </x:c>
      <x:c r="E116" s="28" t="str">
        <x:v>общие характерные молекулы; умами и солёный контраст</x:v>
      </x:c>
      <x:c r="F116" s="28" t="str">
        <x:v>Картофель имеет профиль «крахмалистый, землистый, ореховый и жареный после нагрева». Партнёр «корейский рыбный соус»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1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6" s="28" t="str">
        <x:v>зелёные или проросшие клубни не использовать; пережаривание даёт горечь и чрезмерно тёмную корку</x:v>
      </x:c>
      <x:c r="I116" s="28" t="str">
        <x:v>пюре, суп, запекание, крем, гарнир, соус или десертная разработка с корейский рыбный соус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196</x:v>
      </x:c>
    </x:row>
    <x:row r="117" ht="66" customHeight="1">
      <x:c r="A117" s="28" t="str">
        <x:v>VEG-0353</x:v>
      </x:c>
      <x:c r="B117" s="28" t="str">
        <x:v>картофель</x:v>
      </x:c>
      <x:c r="C117" s="28" t="str">
        <x:v>кофе</x:v>
      </x:c>
      <x:c r="D117" s="28" t="str">
        <x:v>Кофе</x:v>
      </x:c>
      <x:c r="E117" s="28" t="str">
        <x:v>общие характерные молекулы; пересечение ароматических семейств</x:v>
      </x:c>
      <x:c r="F117" s="28" t="str">
        <x:v>Картофель имеет профиль «крахмалистый, землистый, ореховый и жареный после нагрева».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1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7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I117" s="28" t="str">
        <x:v>пюре, суп, запекание, крем, гарнир, соус или десертная разработка с кофе</x:v>
      </x:c>
      <x:c r="J117" s="28" t="str">
        <x:v>Средняя</x:v>
      </x:c>
      <x:c r="K117" s="28" t="str">
        <x:v>The Art &amp; Science of Foodpairing.pdf</x:v>
      </x:c>
      <x:c r="L117" s="28" t="str">
        <x:v>The Art &amp; Science of Foodpairing.pdf: 196</x:v>
      </x:c>
    </x:row>
    <x:row r="118" ht="66" customHeight="1">
      <x:c r="A118" s="28" t="str">
        <x:v>VEG-0354</x:v>
      </x:c>
      <x:c r="B118" s="28" t="str">
        <x:v>картофель</x:v>
      </x:c>
      <x:c r="C118" s="28" t="str">
        <x:v>краб</x:v>
      </x:c>
      <x:c r="D118" s="28" t="str">
        <x:v>Рыба и морепродукты</x:v>
      </x:c>
      <x:c r="E118" s="28" t="str">
        <x:v>общие характерные молекулы; умами и солёный контраст</x:v>
      </x:c>
      <x:c r="F118" s="28" t="str">
        <x:v>Картофель имеет профиль «крахмалистый, землистый, ореховый и жареный после нагрева». Партнёр «краб»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1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8" s="28" t="str">
        <x:v>зелёные или проросшие клубни не использовать; пережаривание даёт горечь и чрезмерно тёмную корку</x:v>
      </x:c>
      <x:c r="I118" s="28" t="str">
        <x:v>пюре, суп, запекание, крем, гарнир, соус или десертная разработка с краб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196</x:v>
      </x:c>
    </x:row>
    <x:row r="119" ht="66" customHeight="1">
      <x:c r="A119" s="28" t="str">
        <x:v>VEG-0355</x:v>
      </x:c>
      <x:c r="B119" s="28" t="str">
        <x:v>картофель</x:v>
      </x:c>
      <x:c r="C119" s="28" t="str">
        <x:v>кунжутная халва</x:v>
      </x:c>
      <x:c r="D119" s="28" t="str">
        <x:v>Орехи и семена</x:v>
      </x:c>
      <x:c r="E119" s="28" t="str">
        <x:v>общие характерные молекулы; пересечение ароматических семейств</x:v>
      </x:c>
      <x:c r="F119" s="28" t="str">
        <x:v>Картофель имеет профиль «крахмалистый, землистый, ореховый и жареный после нагрева». Партнёр «кунжутная халва»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11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19" s="28" t="str">
        <x:v>зелёные или проросшие клубни не использовать; пережаривание даёт горечь и чрезмерно тёмную корку</x:v>
      </x:c>
      <x:c r="I119" s="28" t="str">
        <x:v>пюре, суп, запекание, крем, гарнир, соус или десертная разработка с кунжутная халва</x:v>
      </x:c>
      <x:c r="J119" s="28" t="str">
        <x:v>Средняя</x:v>
      </x:c>
      <x:c r="K119" s="28" t="str">
        <x:v>The Art &amp; Science of Foodpairing.pdf</x:v>
      </x:c>
      <x:c r="L119" s="28" t="str">
        <x:v>The Art &amp; Science of Foodpairing.pdf: 196</x:v>
      </x:c>
    </x:row>
    <x:row r="120" ht="66" customHeight="1">
      <x:c r="A120" s="28" t="str">
        <x:v>VEG-0356</x:v>
      </x:c>
      <x:c r="B120" s="28" t="str">
        <x:v>картофель</x:v>
      </x:c>
      <x:c r="C120" s="28" t="str">
        <x:v>лангустин</x:v>
      </x:c>
      <x:c r="D120" s="28" t="str">
        <x:v>Рыба и морепродукты</x:v>
      </x:c>
      <x:c r="E120" s="28" t="str">
        <x:v>общие характерные молекулы; умами и солёный контраст</x:v>
      </x:c>
      <x:c r="F120" s="28" t="str">
        <x:v>Картофель имеет профиль «крахмалистый, землистый, ореховый и жареный после нагрева». Партнёр «лангустин»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2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0" s="28" t="str">
        <x:v>зелёные или проросшие клубни не использовать; пережаривание даёт горечь и чрезмерно тёмную корку</x:v>
      </x:c>
      <x:c r="I120" s="28" t="str">
        <x:v>пюре, суп, запекание, крем, гарнир, соус или десертная разработка с лангустин</x:v>
      </x:c>
      <x:c r="J120" s="28" t="str">
        <x:v>Средняя</x:v>
      </x:c>
      <x:c r="K120" s="28" t="str">
        <x:v>The Art &amp; Science of Foodpairing.pdf</x:v>
      </x:c>
      <x:c r="L120" s="28" t="str">
        <x:v>The Art &amp; Science of Foodpairing.pdf: 196</x:v>
      </x:c>
    </x:row>
    <x:row r="121" ht="66" customHeight="1">
      <x:c r="A121" s="28" t="str">
        <x:v>VEG-0357</x:v>
      </x:c>
      <x:c r="B121" s="28" t="str">
        <x:v>картофель</x:v>
      </x:c>
      <x:c r="C121" s="28" t="str">
        <x:v>летний трюфель</x:v>
      </x:c>
      <x:c r="D121" s="28" t="str">
        <x:v>Грибы</x:v>
      </x:c>
      <x:c r="E121" s="28" t="str">
        <x:v>пересечение ароматических семейств; умами и солёный контраст</x:v>
      </x:c>
      <x:c r="F121" s="28" t="str">
        <x:v>Картофель имеет профиль «крахмалистый, землистый, ореховый и жареный после нагрева». Партнёр «летний 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12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1" s="28" t="str">
        <x:v>зелёные или проросшие клубни не использовать; пережаривание даёт горечь и чрезмерно тёмную корку</x:v>
      </x:c>
      <x:c r="I121" s="28" t="str">
        <x:v>пюре, суп, запекание, крем, гарнир, соус или десертная разработка с летний трюфель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196</x:v>
      </x:c>
    </x:row>
    <x:row r="122" ht="66" customHeight="1">
      <x:c r="A122" s="28" t="str">
        <x:v>VEG-0358</x:v>
      </x:c>
      <x:c r="B122" s="28" t="str">
        <x:v>картофель</x:v>
      </x:c>
      <x:c r="C122" s="28" t="str">
        <x:v>ликёр бенедиктин</x:v>
      </x:c>
      <x:c r="D122" s="28" t="str">
        <x:v>Прочее</x:v>
      </x:c>
      <x:c r="E122" s="28" t="str">
        <x:v>сенсорная комплементарность</x:v>
      </x:c>
      <x:c r="F122" s="28" t="str">
        <x:v>Картофель имеет профиль «крахмалистый, землистый, ореховый и жареный после нагрева». Партнёр «ликёр бенедиктин»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2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2" s="28" t="str">
        <x:v>зелёные или проросшие клубни не использовать; пережаривание даёт горечь и чрезмерно тёмную корку</x:v>
      </x:c>
      <x:c r="I122" s="28" t="str">
        <x:v>пюре, суп, запекание, крем, гарнир, соус или десертная разработка с ликёр бенедиктин</x:v>
      </x:c>
      <x:c r="J122" s="28" t="str">
        <x:v>Средняя</x:v>
      </x:c>
      <x:c r="K122" s="28" t="str">
        <x:v>The Art &amp; Science of Foodpairing.pdf</x:v>
      </x:c>
      <x:c r="L122" s="28" t="str">
        <x:v>The Art &amp; Science of Foodpairing.pdf: 196</x:v>
      </x:c>
    </x:row>
    <x:row r="123" ht="66" customHeight="1">
      <x:c r="A123" s="28" t="str">
        <x:v>VEG-0359</x:v>
      </x:c>
      <x:c r="B123" s="28" t="str">
        <x:v>картофель</x:v>
      </x:c>
      <x:c r="C123" s="28" t="str">
        <x:v>лимон</x:v>
      </x:c>
      <x:c r="D123" s="28" t="str">
        <x:v>Фрукты и ягоды</x:v>
      </x:c>
      <x:c r="E123" s="28" t="str">
        <x:v>кислотно-сладкий баланс</x:v>
      </x:c>
      <x:c r="F123" s="28" t="str">
        <x:v>Картофель имеет профиль «крахмалистый, землистый, ореховый и жареный после нагрева».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3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123" s="28" t="str">
        <x:v>пюре, суп, запекание, крем, гарнир, соус или десертная разработка с лимон</x:v>
      </x:c>
      <x:c r="J123" s="28" t="str">
        <x:v>Средняя</x:v>
      </x:c>
      <x:c r="K123" s="28" t="str">
        <x:v>Тезариус вкусов (Ники Сегнит)(1).pdf</x:v>
      </x:c>
      <x:c r="L123" s="28" t="str">
        <x:v>Тезариус вкусов (Ники Сегнит)(1).pdf: 236, 803</x:v>
      </x:c>
    </x:row>
    <x:row r="124" ht="66" customHeight="1">
      <x:c r="A124" s="28" t="str">
        <x:v>VEG-0360</x:v>
      </x:c>
      <x:c r="B124" s="28" t="str">
        <x:v>картофель</x:v>
      </x:c>
      <x:c r="C124" s="28" t="str">
        <x:v>лимон и лайм</x:v>
      </x:c>
      <x:c r="D124" s="28" t="str">
        <x:v>Фрукты и ягоды</x:v>
      </x:c>
      <x:c r="E124" s="28" t="str">
        <x:v>кислотно-сладкий баланс</x:v>
      </x:c>
      <x:c r="F124" s="28" t="str">
        <x:v>Картофель имеет профиль «крахмалистый, землистый, ореховый и жареный после нагрева». Партнёр «лимон и лайм»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4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124" s="28" t="str">
        <x:v>пюре, суп, запекание, крем, гарнир, соус или десертная разработка с лимон и лайм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88</x:v>
      </x:c>
    </x:row>
    <x:row r="125" ht="66" customHeight="1">
      <x:c r="A125" s="28" t="str">
        <x:v>VEG-0361</x:v>
      </x:c>
      <x:c r="B125" s="28" t="str">
        <x:v>картофель</x:v>
      </x:c>
      <x:c r="C125" s="28" t="str">
        <x:v>лисички</x:v>
      </x:c>
      <x:c r="D125" s="28" t="str">
        <x:v>Прочее</x:v>
      </x:c>
      <x:c r="E125" s="28" t="str">
        <x:v>сенсорная комплементарность</x:v>
      </x:c>
      <x:c r="F125" s="28" t="str">
        <x:v>Картофель имеет профиль «крахмалистый, землистый, ореховый и жареный после нагрева». Партнёр «лисички»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2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5" s="28" t="str">
        <x:v>зелёные или проросшие клубни не использовать; пережаривание даёт горечь и чрезмерно тёмную корку</x:v>
      </x:c>
      <x:c r="I125" s="28" t="str">
        <x:v>пюре, суп, запекание, крем, гарнир, соус или десертная разработка с лисички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196</x:v>
      </x:c>
    </x:row>
    <x:row r="126" ht="66" customHeight="1">
      <x:c r="A126" s="28" t="str">
        <x:v>VEG-0362</x:v>
      </x:c>
      <x:c r="B126" s="28" t="str">
        <x:v>картофель</x:v>
      </x:c>
      <x:c r="C126" s="28" t="str">
        <x:v>листья душистой герани</x:v>
      </x:c>
      <x:c r="D126" s="28" t="str">
        <x:v>Прочее</x:v>
      </x:c>
      <x:c r="E126" s="28" t="str">
        <x:v>сенсорная комплементарность</x:v>
      </x:c>
      <x:c r="F126" s="28" t="str">
        <x:v>Картофель имеет профиль «крахмалистый, землистый, ореховый и жареный после нагрева». Партнёр «листья душистой герани»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2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6" s="28" t="str">
        <x:v>зелёные или проросшие клубни не использовать; пережаривание даёт горечь и чрезмерно тёмную корку</x:v>
      </x:c>
      <x:c r="I126" s="28" t="str">
        <x:v>пюре, суп, запекание, крем, гарнир, соус или десертная разработка с листья душистой герани</x:v>
      </x:c>
      <x:c r="J126" s="28" t="str">
        <x:v>Средняя</x:v>
      </x:c>
      <x:c r="K126" s="28" t="str">
        <x:v>The Art &amp; Science of Foodpairing.pdf</x:v>
      </x:c>
      <x:c r="L126" s="28" t="str">
        <x:v>The Art &amp; Science of Foodpairing.pdf: 196</x:v>
      </x:c>
    </x:row>
    <x:row r="127" ht="66" customHeight="1">
      <x:c r="A127" s="28" t="str">
        <x:v>VEG-0363</x:v>
      </x:c>
      <x:c r="B127" s="28" t="str">
        <x:v>картофель</x:v>
      </x:c>
      <x:c r="C127" s="28" t="str">
        <x:v>листья кориандра</x:v>
      </x:c>
      <x:c r="D127" s="28" t="str">
        <x:v>Травы, цветы и листья</x:v>
      </x:c>
      <x:c r="E127" s="28" t="str">
        <x:v>сенсорная комплементарность</x:v>
      </x:c>
      <x:c r="F127" s="28" t="str">
        <x:v>Картофель имеет профиль «крахмалистый, землистый, ореховый и жареный после нагрева».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2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7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127" s="28" t="str">
        <x:v>пюре, суп, запекание, крем, гарнир, соус или десертная разработка с листья кориандра</x:v>
      </x:c>
      <x:c r="J127" s="28" t="str">
        <x:v>Средняя</x:v>
      </x:c>
      <x:c r="K127" s="28" t="str">
        <x:v>Тезариус вкусов (Ники Сегнит)(1).pdf</x:v>
      </x:c>
      <x:c r="L127" s="28" t="str">
        <x:v>Тезариус вкусов (Ники Сегнит)(1).pdf: 236, 519</x:v>
      </x:c>
    </x:row>
    <x:row r="128" ht="66" customHeight="1">
      <x:c r="A128" s="28" t="str">
        <x:v>VEG-0364</x:v>
      </x:c>
      <x:c r="B128" s="28" t="str">
        <x:v>картофель</x:v>
      </x:c>
      <x:c r="C128" s="28" t="str">
        <x:v>личи</x:v>
      </x:c>
      <x:c r="D128" s="28" t="str">
        <x:v>Фрукты и ягоды</x:v>
      </x:c>
      <x:c r="E128" s="28" t="str">
        <x:v>общие характерные молекулы; кислотно-сладкий баланс</x:v>
      </x:c>
      <x:c r="F128" s="28" t="str">
        <x:v>Картофель имеет профиль «крахмалистый, землистый, ореховый и жареный после нагрева». Партнёр «личи»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8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128" s="28" t="str">
        <x:v>пюре, суп, запекание, крем, гарнир, соус или десертная разработка с личи</x:v>
      </x:c>
      <x:c r="J128" s="28" t="str">
        <x:v>Средняя</x:v>
      </x:c>
      <x:c r="K128" s="28" t="str">
        <x:v>The Art &amp; Science of Foodpairing.pdf</x:v>
      </x:c>
      <x:c r="L128" s="28" t="str">
        <x:v>The Art &amp; Science of Foodpairing.pdf: 196</x:v>
      </x:c>
    </x:row>
    <x:row r="129" ht="66" customHeight="1">
      <x:c r="A129" s="28" t="str">
        <x:v>VEG-0365</x:v>
      </x:c>
      <x:c r="B129" s="28" t="str">
        <x:v>картофель</x:v>
      </x:c>
      <x:c r="C129" s="28" t="str">
        <x:v>лук</x:v>
      </x:c>
      <x:c r="D129" s="28" t="str">
        <x:v>Луковые овощи</x:v>
      </x:c>
      <x:c r="E129" s="28" t="str">
        <x:v>пересечение ароматических семейств</x:v>
      </x:c>
      <x:c r="F129" s="28" t="str">
        <x:v>Картофель имеет профиль «крахмалистый, землистый, ореховый и жареный после нагрева».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12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29" s="28" t="str">
        <x:v>зелёные или проросшие клубни не использовать; пережаривание даёт горечь и чрезмерно тёмную корку</x:v>
      </x:c>
      <x:c r="I129" s="28" t="str">
        <x:v>пюре, суп, запекание, крем, гарнир, соус или десертная разработка с лук</x:v>
      </x:c>
      <x:c r="J129" s="28" t="str">
        <x:v>Высокая</x:v>
      </x:c>
      <x:c r="K129" s="28" t="str">
        <x:v>The Art &amp; Science of Foodpairing.pdf | Тезариус вкусов (Ники Сегнит)(1).pdf</x:v>
      </x:c>
      <x:c r="L129" s="28" t="str">
        <x:v>Тезариус вкусов (Ники Сегнит)(1).pdf: 236, 284; The Art &amp; Science of Foodpairing.pdf: 196</x:v>
      </x:c>
    </x:row>
    <x:row r="130" ht="66" customHeight="1">
      <x:c r="A130" s="28" t="str">
        <x:v>VEG-0366</x:v>
      </x:c>
      <x:c r="B130" s="28" t="str">
        <x:v>картофель</x:v>
      </x:c>
      <x:c r="C130" s="28" t="str">
        <x:v>манго</x:v>
      </x:c>
      <x:c r="D130" s="28" t="str">
        <x:v>Фрукты и ягоды</x:v>
      </x:c>
      <x:c r="E130" s="28" t="str">
        <x:v>общие характерные молекулы; кислотно-сладкий баланс</x:v>
      </x:c>
      <x:c r="F130" s="28" t="str">
        <x:v>Картофель имеет профиль «крахмалистый, землистый, ореховый и жареный после нагрева». Партнёр «манго»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130" s="28" t="str">
        <x:v>пюре, суп, запекание, крем, гарнир, соус или десертная разработка с манго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312</x:v>
      </x:c>
    </x:row>
    <x:row r="131" ht="66" customHeight="1">
      <x:c r="A131" s="28" t="str">
        <x:v>VEG-0367</x:v>
      </x:c>
      <x:c r="B131" s="28" t="str">
        <x:v>картофель</x:v>
      </x:c>
      <x:c r="C131" s="28" t="str">
        <x:v>маниок</x:v>
      </x:c>
      <x:c r="D131" s="28" t="str">
        <x:v>Прочее</x:v>
      </x:c>
      <x:c r="E131" s="28" t="str">
        <x:v>сенсорная комплементарность</x:v>
      </x:c>
      <x:c r="F131" s="28" t="str">
        <x:v>Картофель имеет профиль «крахмалистый, землистый, ореховый и жареный после нагрева».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1" s="28" t="str">
        <x:v>зелёные или проросшие клубни не использовать; пережаривание даёт горечь и чрезмерно тёмную корку</x:v>
      </x:c>
      <x:c r="I131" s="28" t="str">
        <x:v>пюре, суп, запекание, крем, гарнир, соус или десертная разработка с маниок</x:v>
      </x:c>
      <x:c r="J131" s="28" t="str">
        <x:v>Средняя</x:v>
      </x:c>
      <x:c r="K131" s="28" t="str">
        <x:v>The Art &amp; Science of Foodpairing.pdf</x:v>
      </x:c>
      <x:c r="L131" s="28" t="str">
        <x:v>The Art &amp; Science of Foodpairing.pdf: 251</x:v>
      </x:c>
    </x:row>
    <x:row r="132" ht="66" customHeight="1">
      <x:c r="A132" s="28" t="str">
        <x:v>VEG-0368</x:v>
      </x:c>
      <x:c r="B132" s="28" t="str">
        <x:v>картофель</x:v>
      </x:c>
      <x:c r="C132" s="28" t="str">
        <x:v>маракуйя</x:v>
      </x:c>
      <x:c r="D132" s="28" t="str">
        <x:v>Прочее</x:v>
      </x:c>
      <x:c r="E132" s="28" t="str">
        <x:v>сенсорная комплементарность</x:v>
      </x:c>
      <x:c r="F132" s="28" t="str">
        <x:v>Картофель имеет профиль «крахмалистый, землистый, ореховый и жареный после нагрева».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2" s="28" t="str">
        <x:v>зелёные или проросшие клубни не использовать; пережаривание даёт горечь и чрезмерно тёмную корку</x:v>
      </x:c>
      <x:c r="I132" s="28" t="str">
        <x:v>пюре, суп, запекание, крем, гарнир, соус или десертная разработка с маракуйя</x:v>
      </x:c>
      <x:c r="J132" s="28" t="str">
        <x:v>Средняя</x:v>
      </x:c>
      <x:c r="K132" s="28" t="str">
        <x:v>The Art &amp; Science of Foodpairing.pdf</x:v>
      </x:c>
      <x:c r="L132" s="28" t="str">
        <x:v>The Art &amp; Science of Foodpairing.pdf: 196</x:v>
      </x:c>
    </x:row>
    <x:row r="133" ht="66" customHeight="1">
      <x:c r="A133" s="28" t="str">
        <x:v>VEG-0369</x:v>
      </x:c>
      <x:c r="B133" s="28" t="str">
        <x:v>картофель</x:v>
      </x:c>
      <x:c r="C133" s="28" t="str">
        <x:v>моллюски</x:v>
      </x:c>
      <x:c r="D133" s="28" t="str">
        <x:v>Рыба и морепродукты</x:v>
      </x:c>
      <x:c r="E133" s="28" t="str">
        <x:v>общие характерные молекулы; умами и солёный контраст</x:v>
      </x:c>
      <x:c r="F133" s="28" t="str">
        <x:v>Картофель имеет профиль «крахмалистый, землистый, ореховый и жареный после нагрева». Партнёр «моллюски»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3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3" s="28" t="str">
        <x:v>зелёные или проросшие клубни не использовать; пережаривание даёт горечь и чрезмерно тёмную корку</x:v>
      </x:c>
      <x:c r="I133" s="28" t="str">
        <x:v>пюре, суп, запекание, крем, гарнир, соус или десертная разработка с моллюски</x:v>
      </x:c>
      <x:c r="J133" s="28" t="str">
        <x:v>Средняя</x:v>
      </x:c>
      <x:c r="K133" s="28" t="str">
        <x:v>Тезариус вкусов (Ники Сегнит)(1).pdf</x:v>
      </x:c>
      <x:c r="L133" s="28" t="str">
        <x:v>Тезариус вкусов (Ники Сегнит)(1).pdf: 237, 370</x:v>
      </x:c>
    </x:row>
    <x:row r="134" ht="66" customHeight="1">
      <x:c r="A134" s="28" t="str">
        <x:v>VEG-0370</x:v>
      </x:c>
      <x:c r="B134" s="28" t="str">
        <x:v>картофель</x:v>
      </x:c>
      <x:c r="C134" s="28" t="str">
        <x:v>мускатный орех</x:v>
      </x:c>
      <x:c r="D134" s="28" t="str">
        <x:v>Рыба и морепродукты</x:v>
      </x:c>
      <x:c r="E134" s="28" t="str">
        <x:v>умами и солёный контраст</x:v>
      </x:c>
      <x:c r="F134" s="28" t="str">
        <x:v>Картофель имеет профиль «крахмалистый, землистый, ореховый и жареный после нагрева».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4" s="28" t="str">
        <x:v>зелёные или проросшие клубни не использовать; пережаривание даёт горечь и чрезмерно тёмную корку</x:v>
      </x:c>
      <x:c r="I134" s="28" t="str">
        <x:v>пюре, суп, запекание, крем, гарнир, соус или десертная разработка с мускатный орех</x:v>
      </x:c>
      <x:c r="J134" s="28" t="str">
        <x:v>Средняя</x:v>
      </x:c>
      <x:c r="K134" s="28" t="str">
        <x:v>Тезариус вкусов (Ники Сегнит)(1).pdf</x:v>
      </x:c>
      <x:c r="L134" s="28" t="str">
        <x:v>Тезариус вкусов (Ники Сегнит)(1).pdf: 239, 588</x:v>
      </x:c>
    </x:row>
    <x:row r="135" ht="66" customHeight="1">
      <x:c r="A135" s="28" t="str">
        <x:v>VEG-0371</x:v>
      </x:c>
      <x:c r="B135" s="28" t="str">
        <x:v>картофель</x:v>
      </x:c>
      <x:c r="C135" s="28" t="str">
        <x:v>мушмула</x:v>
      </x:c>
      <x:c r="D135" s="28" t="str">
        <x:v>Прочее</x:v>
      </x:c>
      <x:c r="E135" s="28" t="str">
        <x:v>сенсорная комплементарность</x:v>
      </x:c>
      <x:c r="F135" s="28" t="str">
        <x:v>Картофель имеет профиль «крахмалистый, землистый, ореховый и жареный после нагрева». Партнёр «мушмула»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5" s="28" t="str">
        <x:v>зелёные или проросшие клубни не использовать; пережаривание даёт горечь и чрезмерно тёмную корку</x:v>
      </x:c>
      <x:c r="I135" s="28" t="str">
        <x:v>пюре, суп, запекание, крем, гарнир, соус или десертная разработка с мушмула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196</x:v>
      </x:c>
    </x:row>
    <x:row r="136" ht="66" customHeight="1">
      <x:c r="A136" s="28" t="str">
        <x:v>VEG-0372</x:v>
      </x:c>
      <x:c r="B136" s="28" t="str">
        <x:v>картофель</x:v>
      </x:c>
      <x:c r="C136" s="28" t="str">
        <x:v>мясо</x:v>
      </x:c>
      <x:c r="D136" s="28" t="str">
        <x:v>Мясо и птица</x:v>
      </x:c>
      <x:c r="E136" s="28" t="str">
        <x:v>общие характерные молекулы; пересечение ароматических семейств; умами и солёный контраст</x:v>
      </x:c>
      <x:c r="F136" s="28" t="str">
        <x:v>Картофель имеет профиль «крахмалистый, землистый, ореховый и жареный после нагрева».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3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6" s="28" t="str">
        <x:v>зелёные или проросшие клубни не использовать; пережаривание даёт горечь и чрезмерно тёмную корку</x:v>
      </x:c>
      <x:c r="I136" s="28" t="str">
        <x:v>пюре, суп, запекание, крем, гарнир, соус или десертная разработка с мясо</x:v>
      </x:c>
      <x:c r="J136" s="28" t="str">
        <x:v>Средняя</x:v>
      </x:c>
      <x:c r="K136" s="28" t="str">
        <x:v>The Art &amp; Science of Foodpairing.pdf</x:v>
      </x:c>
      <x:c r="L136" s="28" t="str">
        <x:v>The Art &amp; Science of Foodpairing.pdf: 186</x:v>
      </x:c>
    </x:row>
    <x:row r="137" ht="66" customHeight="1">
      <x:c r="A137" s="28" t="str">
        <x:v>VEG-0373</x:v>
      </x:c>
      <x:c r="B137" s="28" t="str">
        <x:v>картофель</x:v>
      </x:c>
      <x:c r="C137" s="28" t="str">
        <x:v>мята</x:v>
      </x:c>
      <x:c r="D137" s="28" t="str">
        <x:v>Травы, цветы и листья</x:v>
      </x:c>
      <x:c r="E137" s="28" t="str">
        <x:v>сенсорная комплементарность</x:v>
      </x:c>
      <x:c r="F137" s="28" t="str">
        <x:v>Картофель имеет профиль «крахмалистый, землистый, ореховый и жареный после нагрева».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3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7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137" s="28" t="str">
        <x:v>пюре, суп, запекание, крем, гарнир, соус или десертная разработка с мята</x:v>
      </x:c>
      <x:c r="J137" s="28" t="str">
        <x:v>Средняя</x:v>
      </x:c>
      <x:c r="K137" s="28" t="str">
        <x:v>Тезариус вкусов (Ники Сегнит)(1).pdf</x:v>
      </x:c>
      <x:c r="L137" s="28" t="str">
        <x:v>Тезариус вкусов (Ники Сегнит)(1).pdf: 240, 867</x:v>
      </x:c>
    </x:row>
    <x:row r="138" ht="66" customHeight="1">
      <x:c r="A138" s="28" t="str">
        <x:v>VEG-0374</x:v>
      </x:c>
      <x:c r="B138" s="28" t="str">
        <x:v>картофель</x:v>
      </x:c>
      <x:c r="C138" s="28" t="str">
        <x:v>огурец</x:v>
      </x:c>
      <x:c r="D138" s="28" t="str">
        <x:v>Тыквенные</x:v>
      </x:c>
      <x:c r="E138" s="28" t="str">
        <x:v>сенсорная комплементарность</x:v>
      </x:c>
      <x:c r="F138" s="28" t="str">
        <x:v>Картофель имеет профиль «крахмалистый, землистый, ореховый и жареный после нагрева».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8" s="28" t="str">
        <x:v>зелёные или проросшие клубни не использовать; пережаривание даёт горечь и чрезмерно тёмную корку</x:v>
      </x:c>
      <x:c r="I138" s="28" t="str">
        <x:v>пюре, суп, запекание, крем, гарнир, соус или десертная разработка с огурец</x:v>
      </x:c>
      <x:c r="J138" s="28" t="str">
        <x:v>Средняя</x:v>
      </x:c>
      <x:c r="K138" s="28" t="str">
        <x:v>The Art &amp; Science of Foodpairing.pdf</x:v>
      </x:c>
      <x:c r="L138" s="28" t="str">
        <x:v>The Art &amp; Science of Foodpairing.pdf: 196</x:v>
      </x:c>
    </x:row>
    <x:row r="139" ht="66" customHeight="1">
      <x:c r="A139" s="28" t="str">
        <x:v>VEG-0375</x:v>
      </x:c>
      <x:c r="B139" s="28" t="str">
        <x:v>картофель</x:v>
      </x:c>
      <x:c r="C139" s="28" t="str">
        <x:v>огуречная трава</x:v>
      </x:c>
      <x:c r="D139" s="28" t="str">
        <x:v>Плодовые и тыквенные овощи</x:v>
      </x:c>
      <x:c r="E139" s="28" t="str">
        <x:v>общие характерные молекулы</x:v>
      </x:c>
      <x:c r="F139" s="28" t="str">
        <x:v>Картофель имеет профиль «крахмалистый, землистый, ореховый и жареный после нагрева». Партнёр «огуречная трава»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13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39" s="28" t="str">
        <x:v>зелёные или проросшие клубни не использовать; пережаривание даёт горечь и чрезмерно тёмную корку</x:v>
      </x:c>
      <x:c r="I139" s="28" t="str">
        <x:v>пюре, суп, запекание, крем, гарнир, соус или десертная разработка с огуречная трава</x:v>
      </x:c>
      <x:c r="J139" s="28" t="str">
        <x:v>Средняя</x:v>
      </x:c>
      <x:c r="K139" s="28" t="str">
        <x:v>The Art &amp; Science of Foodpairing.pdf</x:v>
      </x:c>
      <x:c r="L139" s="28" t="str">
        <x:v>The Art &amp; Science of Foodpairing.pdf: 196</x:v>
      </x:c>
    </x:row>
    <x:row r="140" ht="66" customHeight="1">
      <x:c r="A140" s="28" t="str">
        <x:v>VEG-0376</x:v>
      </x:c>
      <x:c r="B140" s="28" t="str">
        <x:v>картофель</x:v>
      </x:c>
      <x:c r="C140" s="28" t="str">
        <x:v>оливки</x:v>
      </x:c>
      <x:c r="D140" s="28" t="str">
        <x:v>Прочее</x:v>
      </x:c>
      <x:c r="E140" s="28" t="str">
        <x:v>сенсорная комплементарность</x:v>
      </x:c>
      <x:c r="F140" s="28" t="str">
        <x:v>Картофель имеет профиль «крахмалистый, землистый, ореховый и жареный после нагрева».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0" s="28" t="str">
        <x:v>зелёные или проросшие клубни не использовать; пережаривание даёт горечь и чрезмерно тёмную корку</x:v>
      </x:c>
      <x:c r="I140" s="28" t="str">
        <x:v>пюре, суп, запекание, крем, гарнир, соус или десертная разработка с оливки</x:v>
      </x:c>
      <x:c r="J140" s="28" t="str">
        <x:v>Средняя</x:v>
      </x:c>
      <x:c r="K140" s="28" t="str">
        <x:v>Тезариус вкусов (Ники Сегнит)(1).pdf</x:v>
      </x:c>
      <x:c r="L140" s="28" t="str">
        <x:v>Тезариус вкусов (Ники Сегнит)(1).pdf: 240, 466</x:v>
      </x:c>
    </x:row>
    <x:row r="141" ht="66" customHeight="1">
      <x:c r="A141" s="28" t="str">
        <x:v>VEG-0377</x:v>
      </x:c>
      <x:c r="B141" s="28" t="str">
        <x:v>картофель</x:v>
      </x:c>
      <x:c r="C141" s="28" t="str">
        <x:v>оливковое масло</x:v>
      </x:c>
      <x:c r="D141" s="28" t="str">
        <x:v>Масла и жиры</x:v>
      </x:c>
      <x:c r="E141" s="28" t="str">
        <x:v>общие характерные молекулы; жировая матрица</x:v>
      </x:c>
      <x:c r="F141" s="28" t="str">
        <x:v>Картофель имеет профиль «крахмалистый, землистый, ореховый и жареный после нагрева». Партнёр «оливковое масло» относится к группе «Масла и жиры» и даёт жирный и мягкий. Вероятный молекулярный мост: альдегиды.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4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1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141" s="28" t="str">
        <x:v>пюре, суп, запекание, крем, гарнир, соус или десертная разработка с оливковое масло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172</x:v>
      </x:c>
    </x:row>
    <x:row r="142" ht="66" customHeight="1">
      <x:c r="A142" s="28" t="str">
        <x:v>VEG-0378</x:v>
      </x:c>
      <x:c r="B142" s="28" t="str">
        <x:v>картофель</x:v>
      </x:c>
      <x:c r="C142" s="28" t="str">
        <x:v>папайя</x:v>
      </x:c>
      <x:c r="D142" s="28" t="str">
        <x:v>Прочее</x:v>
      </x:c>
      <x:c r="E142" s="28" t="str">
        <x:v>сенсорная комплементарность</x:v>
      </x:c>
      <x:c r="F142" s="28" t="str">
        <x:v>Картофель имеет профиль «крахмалистый, землистый, ореховый и жареный после нагрева». Партнёр «папайя»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2" s="28" t="str">
        <x:v>зелёные или проросшие клубни не использовать; пережаривание даёт горечь и чрезмерно тёмную корку</x:v>
      </x:c>
      <x:c r="I142" s="28" t="str">
        <x:v>пюре, суп, запекание, крем, гарнир, соус или десертная разработка с папайя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196</x:v>
      </x:c>
    </x:row>
    <x:row r="143" ht="66" customHeight="1">
      <x:c r="A143" s="28" t="str">
        <x:v>VEG-0379</x:v>
      </x:c>
      <x:c r="B143" s="28" t="str">
        <x:v>картофель</x:v>
      </x:c>
      <x:c r="C143" s="28" t="str">
        <x:v>пастернак</x:v>
      </x:c>
      <x:c r="D143" s="28" t="str">
        <x:v>Корнеплоды</x:v>
      </x:c>
      <x:c r="E143" s="28" t="str">
        <x:v>пересечение ароматических семейств</x:v>
      </x:c>
      <x:c r="F143" s="28" t="str">
        <x:v>Картофель имеет профиль «крахмалистый, землистый, ореховый и жареный после нагрева». Партнёр «пастернак» относится к группе «Корнеплоды» и даёт сладкий, пряный, древесный и слегка анисовый.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14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3" s="28" t="str">
        <x:v>зелёные или проросшие клубни не использовать; пережаривание даёт горечь и чрезмерно тёмную корку</x:v>
      </x:c>
      <x:c r="I143" s="28" t="str">
        <x:v>пюре, суп, запекание, крем, гарнир, соус или десертная разработка с пастернак</x:v>
      </x:c>
      <x:c r="J143" s="28" t="str">
        <x:v>Средняя</x:v>
      </x:c>
      <x:c r="K143" s="28" t="str">
        <x:v>Тезариус вкусов (Ники Сегнит)(1).pdf</x:v>
      </x:c>
      <x:c r="L143" s="28" t="str">
        <x:v>Тезариус вкусов (Ники Сегнит)(1).pdf: 240, 597</x:v>
      </x:c>
    </x:row>
    <x:row r="144" ht="66" customHeight="1">
      <x:c r="A144" s="28" t="str">
        <x:v>VEG-0380</x:v>
      </x:c>
      <x:c r="B144" s="28" t="str">
        <x:v>картофель</x:v>
      </x:c>
      <x:c r="C144" s="28" t="str">
        <x:v>петрушка</x:v>
      </x:c>
      <x:c r="D144" s="28" t="str">
        <x:v>Травы, цветы и листья</x:v>
      </x:c>
      <x:c r="E144" s="28" t="str">
        <x:v>сенсорная комплементарность</x:v>
      </x:c>
      <x:c r="F144" s="28" t="str">
        <x:v>Картофель имеет профиль «крахмалистый, землистый, ореховый и жареный после нагрева».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4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4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144" s="28" t="str">
        <x:v>пюре, суп, запекание, крем, гарнир, соус или десертная разработка с петрушка</x:v>
      </x:c>
      <x:c r="J144" s="28" t="str">
        <x:v>Средняя</x:v>
      </x:c>
      <x:c r="K144" s="28" t="str">
        <x:v>Тезариус вкусов (Ники Сегнит)(1).pdf</x:v>
      </x:c>
      <x:c r="L144" s="28" t="str">
        <x:v>Тезариус вкусов (Ники Сегнит)(1).pdf: 240, 509</x:v>
      </x:c>
    </x:row>
    <x:row r="145" ht="66" customHeight="1">
      <x:c r="A145" s="28" t="str">
        <x:v>VEG-0381</x:v>
      </x:c>
      <x:c r="B145" s="28" t="str">
        <x:v>картофель</x:v>
      </x:c>
      <x:c r="C145" s="28" t="str">
        <x:v>пиво</x:v>
      </x:c>
      <x:c r="D145" s="28" t="str">
        <x:v>Алкогольные напитки</x:v>
      </x:c>
      <x:c r="E145" s="28" t="str">
        <x:v>общие характерные молекулы</x:v>
      </x:c>
      <x:c r="F145" s="28" t="str">
        <x:v>Картофель имеет профиль «крахмалистый, землистый, ореховый и жареный после нагрева». Партнёр «пиво»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14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5" s="28" t="str">
        <x:v>зелёные или проросшие клубни не использовать; пережаривание даёт горечь и чрезмерно тёмную корку</x:v>
      </x:c>
      <x:c r="I145" s="28" t="str">
        <x:v>пюре, суп, запекание, крем, гарнир, соус или десертная разработка с пиво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196</x:v>
      </x:c>
    </x:row>
    <x:row r="146" ht="66" customHeight="1">
      <x:c r="A146" s="28" t="str">
        <x:v>VEG-0382</x:v>
      </x:c>
      <x:c r="B146" s="28" t="str">
        <x:v>картофель</x:v>
      </x:c>
      <x:c r="C146" s="28" t="str">
        <x:v>рапсовый мёд</x:v>
      </x:c>
      <x:c r="D146" s="28" t="str">
        <x:v>Выпечка, крупы, сахара и десерты</x:v>
      </x:c>
      <x:c r="E146" s="28" t="str">
        <x:v>сенсорная комплементарность</x:v>
      </x:c>
      <x:c r="F146" s="28" t="str">
        <x:v>Картофель имеет профиль «крахмалистый, землистый, ореховый и жареный после нагрева». Партнёр «рапсовый 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4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6" s="28" t="str">
        <x:v>зелёные или проросшие клубни не использовать; пережаривание даёт горечь и чрезмерно тёмную корку</x:v>
      </x:c>
      <x:c r="I146" s="28" t="str">
        <x:v>пюре, суп, запекание, крем, гарнир, соус или десертная разработка с рапсовый мёд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196</x:v>
      </x:c>
    </x:row>
    <x:row r="147" ht="66" customHeight="1">
      <x:c r="A147" s="28" t="str">
        <x:v>VEG-0383</x:v>
      </x:c>
      <x:c r="B147" s="28" t="str">
        <x:v>картофель</x:v>
      </x:c>
      <x:c r="C147" s="28" t="str">
        <x:v>рассольный сыр</x:v>
      </x:c>
      <x:c r="D147" s="28" t="str">
        <x:v>Молочные продукты и сыры</x:v>
      </x:c>
      <x:c r="E147" s="28" t="str">
        <x:v>жировая матрица</x:v>
      </x:c>
      <x:c r="F147" s="28" t="str">
        <x:v>Картофель имеет профиль «крахмалистый, землистый, ореховый и жареный после нагрева». Партнёр «рассольный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4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7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147" s="28" t="str">
        <x:v>пюре, суп, запекание, крем, гарнир, соус или десертная разработка с рассольный сыр</x:v>
      </x:c>
      <x:c r="J147" s="28" t="str">
        <x:v>Средняя</x:v>
      </x:c>
      <x:c r="K147" s="28" t="str">
        <x:v>Тезариус вкусов (Ники Сегнит)(1).pdf</x:v>
      </x:c>
      <x:c r="L147" s="28" t="str">
        <x:v>Тезариус вкусов (Ники Сегнит)(1).pdf: 150, 240</x:v>
      </x:c>
    </x:row>
    <x:row r="148" ht="66" customHeight="1">
      <x:c r="A148" s="28" t="str">
        <x:v>VEG-0384</x:v>
      </x:c>
      <x:c r="B148" s="28" t="str">
        <x:v>картофель</x:v>
      </x:c>
      <x:c r="C148" s="28" t="str">
        <x:v>розмарин</x:v>
      </x:c>
      <x:c r="D148" s="28" t="str">
        <x:v>Травы, цветы и листья</x:v>
      </x:c>
      <x:c r="E148" s="28" t="str">
        <x:v>сенсорная комплементарность</x:v>
      </x:c>
      <x:c r="F148" s="28" t="str">
        <x:v>Картофель имеет профиль «крахмалистый, землистый, ореховый и жареный после нагрева».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4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8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148" s="28" t="str">
        <x:v>пюре, суп, запекание, крем, гарнир, соус или десертная разработка с розмарин</x:v>
      </x:c>
      <x:c r="J148" s="28" t="str">
        <x:v>Средняя</x:v>
      </x:c>
      <x:c r="K148" s="28" t="str">
        <x:v>Тезариус вкусов (Ники Сегнит)(1).pdf</x:v>
      </x:c>
      <x:c r="L148" s="28" t="str">
        <x:v>Тезариус вкусов (Ники Сегнит)(1).pdf: 240, 837</x:v>
      </x:c>
    </x:row>
    <x:row r="149" ht="66" customHeight="1">
      <x:c r="A149" s="28" t="str">
        <x:v>VEG-0385</x:v>
      </x:c>
      <x:c r="B149" s="28" t="str">
        <x:v>картофель</x:v>
      </x:c>
      <x:c r="C149" s="28" t="str">
        <x:v>рыба</x:v>
      </x:c>
      <x:c r="D149" s="28" t="str">
        <x:v>Рыба и морепродукты</x:v>
      </x:c>
      <x:c r="E149" s="28" t="str">
        <x:v>общие характерные молекулы; умами и солёный контраст</x:v>
      </x:c>
      <x:c r="F149" s="28" t="str">
        <x:v>Картофель имеет профиль «крахмалистый, землистый, ореховый и жареный после нагрева». Партнёр «рыба»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4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49" s="28" t="str">
        <x:v>зелёные или проросшие клубни не использовать; пережаривание даёт горечь и чрезмерно тёмную корку</x:v>
      </x:c>
      <x:c r="I149" s="28" t="str">
        <x:v>пюре, суп, запекание, крем, гарнир, соус или десертная разработка с рыба</x:v>
      </x:c>
      <x:c r="J149" s="28" t="str">
        <x:v>Средняя</x:v>
      </x:c>
      <x:c r="K149" s="28" t="str">
        <x:v>The Art &amp; Science of Foodpairing.pdf</x:v>
      </x:c>
      <x:c r="L149" s="28" t="str">
        <x:v>The Art &amp; Science of Foodpairing.pdf: 104</x:v>
      </x:c>
    </x:row>
    <x:row r="150" ht="66" customHeight="1">
      <x:c r="A150" s="28" t="str">
        <x:v>VEG-0386</x:v>
      </x:c>
      <x:c r="B150" s="28" t="str">
        <x:v>картофель</x:v>
      </x:c>
      <x:c r="C150" s="28" t="str">
        <x:v>салями</x:v>
      </x:c>
      <x:c r="D150" s="28" t="str">
        <x:v>Прочее</x:v>
      </x:c>
      <x:c r="E150" s="28" t="str">
        <x:v>сенсорная комплементарность</x:v>
      </x:c>
      <x:c r="F150" s="28" t="str">
        <x:v>Картофель имеет профиль «крахмалистый, землистый, ореховый и жареный после нагрева». Партнёр «салями»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0" s="28" t="str">
        <x:v>зелёные или проросшие клубни не использовать; пережаривание даёт горечь и чрезмерно тёмную корку</x:v>
      </x:c>
      <x:c r="I150" s="28" t="str">
        <x:v>пюре, суп, запекание, крем, гарнир, соус или десертная разработка с салями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196</x:v>
      </x:c>
    </x:row>
    <x:row r="151" ht="66" customHeight="1">
      <x:c r="A151" s="28" t="str">
        <x:v>VEG-0387</x:v>
      </x:c>
      <x:c r="B151" s="28" t="str">
        <x:v>картофель</x:v>
      </x:c>
      <x:c r="C151" s="28" t="str">
        <x:v>свинина</x:v>
      </x:c>
      <x:c r="D151" s="28" t="str">
        <x:v>Мясо и птица</x:v>
      </x:c>
      <x:c r="E151" s="28" t="str">
        <x:v>общие характерные молекулы; пересечение ароматических семейств; умами и солёный контраст</x:v>
      </x:c>
      <x:c r="F151" s="28" t="str">
        <x:v>Картофель имеет профиль «крахмалистый, землистый, ореховый и жареный после нагрева».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5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1" s="28" t="str">
        <x:v>зелёные или проросшие клубни не использовать; пережаривание даёт горечь и чрезмерно тёмную корку</x:v>
      </x:c>
      <x:c r="I151" s="28" t="str">
        <x:v>пюре, суп, запекание, крем, гарнир, соус или десертная разработка с свинина</x:v>
      </x:c>
      <x:c r="J151" s="28" t="str">
        <x:v>Средняя</x:v>
      </x:c>
      <x:c r="K151" s="28" t="str">
        <x:v>Тезариус вкусов (Ники Сегнит)(1).pdf</x:v>
      </x:c>
      <x:c r="L151" s="28" t="str">
        <x:v>Тезариус вкусов (Ники Сегнит)(1).pdf: 84, 242</x:v>
      </x:c>
    </x:row>
    <x:row r="152" ht="66" customHeight="1">
      <x:c r="A152" s="28" t="str">
        <x:v>VEG-0388</x:v>
      </x:c>
      <x:c r="B152" s="28" t="str">
        <x:v>картофель</x:v>
      </x:c>
      <x:c r="C152" s="28" t="str">
        <x:v>сельдерей</x:v>
      </x:c>
      <x:c r="D152" s="28" t="str">
        <x:v>Стеблевые овощи</x:v>
      </x:c>
      <x:c r="E152" s="28" t="str">
        <x:v>сенсорная комплементарность</x:v>
      </x:c>
      <x:c r="F152" s="28" t="str">
        <x:v>Картофель имеет профиль «крахмалистый, землистый, ореховый и жареный после нагрева». Партнёр «сельдерей» относится к группе «Стеблевые овощи» и даёт зелёный, травянистый, пряный, слегка анисовый.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2" s="28" t="str">
        <x:v>зелёные или проросшие клубни не использовать; пережаривание даёт горечь и чрезмерно тёмную корку</x:v>
      </x:c>
      <x:c r="I152" s="28" t="str">
        <x:v>пюре, суп, запекание, крем, гарнир, соус или десертная разработка с сельдерей</x:v>
      </x:c>
      <x:c r="J152" s="28" t="str">
        <x:v>Высокая</x:v>
      </x:c>
      <x:c r="K152" s="28" t="str">
        <x:v>The Art &amp; Science of Foodpairing.pdf | Тезариус вкусов (Ники Сегнит)(1).pdf</x:v>
      </x:c>
      <x:c r="L152" s="28" t="str">
        <x:v>Тезариус вкусов (Ники Сегнит)(1).pdf: 242, 251; The Art &amp; Science of Foodpairing.pdf: 196</x:v>
      </x:c>
    </x:row>
    <x:row r="153" ht="66" customHeight="1">
      <x:c r="A153" s="28" t="str">
        <x:v>VEG-0389</x:v>
      </x:c>
      <x:c r="B153" s="28" t="str">
        <x:v>картофель</x:v>
      </x:c>
      <x:c r="C153" s="28" t="str">
        <x:v>соус чили</x:v>
      </x:c>
      <x:c r="D153" s="28" t="str">
        <x:v>Специи</x:v>
      </x:c>
      <x:c r="E153" s="28" t="str">
        <x:v>сенсорная комплементарность</x:v>
      </x:c>
      <x:c r="F153" s="28" t="str">
        <x:v>Картофель имеет профиль «крахмалистый, землистый, ореховый и жареный после нагрева». Партнёр «соус 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5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3" s="28" t="str">
        <x:v>зелёные или проросшие клубни не использовать; пережаривание даёт горечь и чрезмерно тёмную корку</x:v>
      </x:c>
      <x:c r="I153" s="28" t="str">
        <x:v>пюре, суп, запекание, крем, гарнир, соус или десертная разработка с соус чили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196</x:v>
      </x:c>
    </x:row>
    <x:row r="154" ht="66" customHeight="1">
      <x:c r="A154" s="28" t="str">
        <x:v>VEG-0390</x:v>
      </x:c>
      <x:c r="B154" s="28" t="str">
        <x:v>картофель</x:v>
      </x:c>
      <x:c r="C154" s="28" t="str">
        <x:v>спаржа</x:v>
      </x:c>
      <x:c r="D154" s="28" t="str">
        <x:v>Побеговые овощи</x:v>
      </x:c>
      <x:c r="E154" s="28" t="str">
        <x:v>общие характерные молекулы; пересечение ароматических семейств</x:v>
      </x:c>
      <x:c r="F154" s="28" t="str">
        <x:v>Картофель имеет профиль «крахмалистый, землистый, ореховый и жареный после нагрева». Партнёр «спаржа» относится к группе «Побеговые овощи» и даёт зелёный, сернистый, ореховый и слегка сладкий. Вероятный молекулярный мост: пиразины. Совместимость формируется за счёт баланса сладости, кислотности, горечи, умами и текстуры.</x:v>
      </x:c>
      <x:c r="G15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4" s="28" t="str">
        <x:v>зелёные или проросшие клубни не использовать; пережаривание даёт горечь и чрезмерно тёмную корку</x:v>
      </x:c>
      <x:c r="I154" s="28" t="str">
        <x:v>пюре, суп, запекание, крем, гарнир, соус или десертная разработка с спаржа</x:v>
      </x:c>
      <x:c r="J154" s="28" t="str">
        <x:v>Средняя</x:v>
      </x:c>
      <x:c r="K154" s="28" t="str">
        <x:v>Тезариус вкусов (Ники Сегнит)(1).pdf</x:v>
      </x:c>
      <x:c r="L154" s="28" t="str">
        <x:v>Тезариус вкусов (Ники Сегнит)(1).pdf: 242, 346</x:v>
      </x:c>
    </x:row>
    <x:row r="155" ht="66" customHeight="1">
      <x:c r="A155" s="28" t="str">
        <x:v>VEG-0391</x:v>
      </x:c>
      <x:c r="B155" s="28" t="str">
        <x:v>картофель</x:v>
      </x:c>
      <x:c r="C155" s="28" t="str">
        <x:v>сыр</x:v>
      </x:c>
      <x:c r="D155" s="28" t="str">
        <x:v>Молочные продукты и сыры</x:v>
      </x:c>
      <x:c r="E155" s="28" t="str">
        <x:v>жировая матрица</x:v>
      </x:c>
      <x:c r="F155" s="28" t="str">
        <x:v>Картофель имеет профиль «крахмалистый, землистый, ореховый и жареный после нагрева».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5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5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155" s="28" t="str">
        <x:v>пюре, суп, запекание, крем, гарнир, соус или десертная разработка с сыр</x:v>
      </x:c>
      <x:c r="J155" s="28" t="str">
        <x:v>Высокая</x:v>
      </x:c>
      <x:c r="K155" s="28" t="str">
        <x:v>The Art &amp; Science of Foodpairing.pdf</x:v>
      </x:c>
      <x:c r="L155" s="28" t="str">
        <x:v>The Art &amp; Science of Foodpairing.pdf: 196, 197</x:v>
      </x:c>
    </x:row>
    <x:row r="156" ht="66" customHeight="1">
      <x:c r="A156" s="28" t="str">
        <x:v>VEG-0392</x:v>
      </x:c>
      <x:c r="B156" s="28" t="str">
        <x:v>картофель</x:v>
      </x:c>
      <x:c r="C156" s="28" t="str">
        <x:v>твердый сыр</x:v>
      </x:c>
      <x:c r="D156" s="28" t="str">
        <x:v>Молочные продукты и сыры</x:v>
      </x:c>
      <x:c r="E156" s="28" t="str">
        <x:v>жировая матрица</x:v>
      </x:c>
      <x:c r="F156" s="28" t="str">
        <x:v>Картофель имеет профиль «крахмалистый, землистый, ореховый и жареный после нагрева».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5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6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156" s="28" t="str">
        <x:v>пюре, суп, запекание, крем, гарнир, соус или десертная разработка с твердый сыр</x:v>
      </x:c>
      <x:c r="J156" s="28" t="str">
        <x:v>Средняя</x:v>
      </x:c>
      <x:c r="K156" s="28" t="str">
        <x:v>Тезариус вкусов (Ники Сегнит)(1).pdf</x:v>
      </x:c>
      <x:c r="L156" s="28" t="str">
        <x:v>Тезариус вкусов (Ники Сегнит)(1).pdf: 171, 242</x:v>
      </x:c>
    </x:row>
    <x:row r="157" ht="66" customHeight="1">
      <x:c r="A157" s="28" t="str">
        <x:v>VEG-0393</x:v>
      </x:c>
      <x:c r="B157" s="28" t="str">
        <x:v>картофель</x:v>
      </x:c>
      <x:c r="C157" s="28" t="str">
        <x:v>томат</x:v>
      </x:c>
      <x:c r="D157" s="28" t="str">
        <x:v>Плодовые овощи</x:v>
      </x:c>
      <x:c r="E157" s="28" t="str">
        <x:v>общие характерные молекулы; пересечение ароматических семейств</x:v>
      </x:c>
      <x:c r="F157" s="28" t="str">
        <x:v>Картофель имеет профиль «крахмалистый, землистый, ореховый и жареный после нагрева». Партнёр «томат» относится к группе «Плодовые овощи» и даёт зелёный, фруктовый, листовой, сернистый и умами. Вероятный молекулярный мост: метиональ. Совместимость формируется за счёт баланса сладости, кислотности, горечи, умами и текстуры.</x:v>
      </x:c>
      <x:c r="G15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7" s="28" t="str">
        <x:v>зелёные или проросшие клубни не использовать; пережаривание даёт горечь и чрезмерно тёмную корку</x:v>
      </x:c>
      <x:c r="I157" s="28" t="str">
        <x:v>пюре, суп, запекание, крем, гарнир, соус или десертная разработка с томат</x:v>
      </x:c>
      <x:c r="J157" s="28" t="str">
        <x:v>Средняя</x:v>
      </x:c>
      <x:c r="K157" s="28" t="str">
        <x:v>Тезариус вкусов (Ники Сегнит)(1).pdf</x:v>
      </x:c>
      <x:c r="L157" s="28" t="str">
        <x:v>Тезариус вкусов (Ники Сегнит)(1).pdf: 242, 685</x:v>
      </x:c>
    </x:row>
    <x:row r="158" ht="66" customHeight="1">
      <x:c r="A158" s="28" t="str">
        <x:v>VEG-0394</x:v>
      </x:c>
      <x:c r="B158" s="28" t="str">
        <x:v>картофель</x:v>
      </x:c>
      <x:c r="C158" s="28" t="str">
        <x:v>томатный сок</x:v>
      </x:c>
      <x:c r="D158" s="28" t="str">
        <x:v>Плодовые и тыквенные овощи</x:v>
      </x:c>
      <x:c r="E158" s="28" t="str">
        <x:v>общие характерные молекулы</x:v>
      </x:c>
      <x:c r="F158" s="28" t="str">
        <x:v>Картофель имеет профиль «крахмалистый, землистый, ореховый и жареный после нагрева». Партнёр «томатный сок»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15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8" s="28" t="str">
        <x:v>зелёные или проросшие клубни не использовать; пережаривание даёт горечь и чрезмерно тёмную корку</x:v>
      </x:c>
      <x:c r="I158" s="28" t="str">
        <x:v>пюре, суп, запекание, крем, гарнир, соус или десертная разработка с томатный сок</x:v>
      </x:c>
      <x:c r="J158" s="28" t="str">
        <x:v>Средняя</x:v>
      </x:c>
      <x:c r="K158" s="28" t="str">
        <x:v>The Art &amp; Science of Foodpairing.pdf</x:v>
      </x:c>
      <x:c r="L158" s="28" t="str">
        <x:v>The Art &amp; Science of Foodpairing.pdf: 196</x:v>
      </x:c>
    </x:row>
    <x:row r="159" ht="66" customHeight="1">
      <x:c r="A159" s="28" t="str">
        <x:v>VEG-0395</x:v>
      </x:c>
      <x:c r="B159" s="28" t="str">
        <x:v>картофель</x:v>
      </x:c>
      <x:c r="C159" s="28" t="str">
        <x:v>трюфель</x:v>
      </x:c>
      <x:c r="D159" s="28" t="str">
        <x:v>Грибы</x:v>
      </x:c>
      <x:c r="E159" s="28" t="str">
        <x:v>пересечение ароматических семейств; умами и солёный контраст</x:v>
      </x:c>
      <x:c r="F159" s="28" t="str">
        <x:v>Картофель имеет профиль «крахмалистый, землистый, ореховый и жареный после нагрева». Партнёр «трюфель»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15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9" s="28" t="str">
        <x:v>зелёные или проросшие клубни не использовать; пережаривание даёт горечь и чрезмерно тёмную корку</x:v>
      </x:c>
      <x:c r="I159" s="28" t="str">
        <x:v>пюре, суп, запекание, крем, гарнир, соус или десертная разработка с трюфель</x:v>
      </x:c>
      <x:c r="J159" s="28" t="str">
        <x:v>Средняя</x:v>
      </x:c>
      <x:c r="K159" s="28" t="str">
        <x:v>Тезариус вкусов (Ники Сегнит)(1).pdf</x:v>
      </x:c>
      <x:c r="L159" s="28" t="str">
        <x:v>Тезариус вкусов (Ники Сегнит)(1).pdf: 243, 303</x:v>
      </x:c>
    </x:row>
    <x:row r="160" ht="66" customHeight="1">
      <x:c r="A160" s="28" t="str">
        <x:v>VEG-0396</x:v>
      </x:c>
      <x:c r="B160" s="28" t="str">
        <x:v>картофель</x:v>
      </x:c>
      <x:c r="C160" s="28" t="str">
        <x:v>тыква баттернат</x:v>
      </x:c>
      <x:c r="D160" s="28" t="str">
        <x:v>Тыквенные</x:v>
      </x:c>
      <x:c r="E160" s="28" t="str">
        <x:v>сенсорная комплементарность</x:v>
      </x:c>
      <x:c r="F160" s="28" t="str">
        <x:v>Картофель имеет профиль «крахмалистый, землистый, ореховый и жареный после нагрева».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0" s="28" t="str">
        <x:v>зелёные или проросшие клубни не использовать; пережаривание даёт горечь и чрезмерно тёмную корку</x:v>
      </x:c>
      <x:c r="I160" s="28" t="str">
        <x:v>пюре, суп, запекание, крем, гарнир, соус или десертная разработка с тыква баттернат</x:v>
      </x:c>
      <x:c r="J160" s="28" t="str">
        <x:v>Средняя</x:v>
      </x:c>
      <x:c r="K160" s="28" t="str">
        <x:v>The Art &amp; Science of Foodpairing.pdf</x:v>
      </x:c>
      <x:c r="L160" s="28" t="str">
        <x:v>The Art &amp; Science of Foodpairing.pdf: 196</x:v>
      </x:c>
    </x:row>
    <x:row r="161" ht="66" customHeight="1">
      <x:c r="A161" s="28" t="str">
        <x:v>VEG-0397</x:v>
      </x:c>
      <x:c r="B161" s="28" t="str">
        <x:v>картофель</x:v>
      </x:c>
      <x:c r="C161" s="28" t="str">
        <x:v>укроп</x:v>
      </x:c>
      <x:c r="D161" s="28" t="str">
        <x:v>Травы, цветы и листья</x:v>
      </x:c>
      <x:c r="E161" s="28" t="str">
        <x:v>сенсорная комплементарность</x:v>
      </x:c>
      <x:c r="F161" s="28" t="str">
        <x:v>Картофель имеет профиль «крахмалистый, землистый, ореховый и жареный после нагрева». Партнёр «укроп» относится к группе «Травы, цветы и листья» и даёт анисовый, зелёный.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6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1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161" s="28" t="str">
        <x:v>пюре, суп, запекание, крем, гарнир, соус или десертная разработка с укроп</x:v>
      </x:c>
      <x:c r="J161" s="28" t="str">
        <x:v>Средняя</x:v>
      </x:c>
      <x:c r="K161" s="28" t="str">
        <x:v>Тезариус вкусов (Ники Сегнит)(1).pdf</x:v>
      </x:c>
      <x:c r="L161" s="28" t="str">
        <x:v>Тезариус вкусов (Ники Сегнит)(1).pdf: 244, 502</x:v>
      </x:c>
    </x:row>
    <x:row r="162" ht="66" customHeight="1">
      <x:c r="A162" s="28" t="str">
        <x:v>VEG-0398</x:v>
      </x:c>
      <x:c r="B162" s="28" t="str">
        <x:v>картофель</x:v>
      </x:c>
      <x:c r="C162" s="28" t="str">
        <x:v>фундук</x:v>
      </x:c>
      <x:c r="D162" s="28" t="str">
        <x:v>Орехи и семена</x:v>
      </x:c>
      <x:c r="E162" s="28" t="str">
        <x:v>общие характерные молекулы; пересечение ароматических семейств</x:v>
      </x:c>
      <x:c r="F162" s="28" t="str">
        <x:v>Картофель имеет профиль «крахмалистый, землистый, ореховый и жареный после нагрева».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6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2" s="28" t="str">
        <x:v>зелёные или проросшие клубни не использовать; пережаривание даёт горечь и чрезмерно тёмную корку</x:v>
      </x:c>
      <x:c r="I162" s="28" t="str">
        <x:v>пюре, суп, запекание, крем, гарнир, соус или десертная разработка с фундук</x:v>
      </x:c>
      <x:c r="J162" s="28" t="str">
        <x:v>Средняя</x:v>
      </x:c>
      <x:c r="K162" s="28" t="str">
        <x:v>The Art &amp; Science of Foodpairing.pdf</x:v>
      </x:c>
      <x:c r="L162" s="28" t="str">
        <x:v>The Art &amp; Science of Foodpairing.pdf: 196</x:v>
      </x:c>
    </x:row>
    <x:row r="163" ht="66" customHeight="1">
      <x:c r="A163" s="28" t="str">
        <x:v>VEG-0399</x:v>
      </x:c>
      <x:c r="B163" s="28" t="str">
        <x:v>картофель</x:v>
      </x:c>
      <x:c r="C163" s="28" t="str">
        <x:v>хрен</x:v>
      </x:c>
      <x:c r="D163" s="28" t="str">
        <x:v>Прочее</x:v>
      </x:c>
      <x:c r="E163" s="28" t="str">
        <x:v>сенсорная комплементарность</x:v>
      </x:c>
      <x:c r="F163" s="28" t="str">
        <x:v>Картофель имеет профиль «крахмалистый, землистый, ореховый и жареный после нагрева».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3" s="28" t="str">
        <x:v>зелёные или проросшие клубни не использовать; пережаривание даёт горечь и чрезмерно тёмную корку</x:v>
      </x:c>
      <x:c r="I163" s="28" t="str">
        <x:v>пюре, суп, запекание, крем, гарнир, соус или десертная разработка с хрен</x:v>
      </x:c>
      <x:c r="J163" s="28" t="str">
        <x:v>Средняя</x:v>
      </x:c>
      <x:c r="K163" s="28" t="str">
        <x:v>Тезариус вкусов (Ники Сегнит)(1).pdf</x:v>
      </x:c>
      <x:c r="L163" s="28" t="str">
        <x:v>Тезариус вкусов (Ники Сегнит)(1).pdf: 244, 274</x:v>
      </x:c>
    </x:row>
    <x:row r="164" ht="66" customHeight="1">
      <x:c r="A164" s="28" t="str">
        <x:v>VEG-0400</x:v>
      </x:c>
      <x:c r="B164" s="28" t="str">
        <x:v>картофель</x:v>
      </x:c>
      <x:c r="C164" s="28" t="str">
        <x:v>цветная капуста</x:v>
      </x:c>
      <x:c r="D164" s="28" t="str">
        <x:v>Крестоцветные</x:v>
      </x:c>
      <x:c r="E164" s="28" t="str">
        <x:v>общие характерные молекулы; пересечение ароматических семейств</x:v>
      </x:c>
      <x:c r="F164" s="28" t="str">
        <x:v>Картофель имеет профиль «крахмалистый, землистый, ореховый и жареный после нагрева». Партнёр «цветная капуста» относится к группе «Крестоцветные» и даёт мягко капустный, ореховый, сернистый и сливочный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16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4" s="28" t="str">
        <x:v>зелёные или проросшие клубни не использовать; пережаривание даёт горечь и чрезмерно тёмную корку</x:v>
      </x:c>
      <x:c r="I164" s="28" t="str">
        <x:v>пюре, суп, запекание, крем, гарнир, соус или десертная разработка с цветная капуста</x:v>
      </x:c>
      <x:c r="J164" s="28" t="str">
        <x:v>Средняя</x:v>
      </x:c>
      <x:c r="K164" s="28" t="str">
        <x:v>Тезариус вкусов (Ники Сегнит)(1).pdf</x:v>
      </x:c>
      <x:c r="L164" s="28" t="str">
        <x:v>Тезариус вкусов (Ники Сегнит)(1).pdf: 244, 323</x:v>
      </x:c>
    </x:row>
    <x:row r="165" ht="66" customHeight="1">
      <x:c r="A165" s="28" t="str">
        <x:v>VEG-0401</x:v>
      </x:c>
      <x:c r="B165" s="28" t="str">
        <x:v>картофель</x:v>
      </x:c>
      <x:c r="C165" s="28" t="str">
        <x:v>цветы бузины</x:v>
      </x:c>
      <x:c r="D165" s="28" t="str">
        <x:v>Травы, цветы и листья</x:v>
      </x:c>
      <x:c r="E165" s="28" t="str">
        <x:v>сенсорная комплементарность</x:v>
      </x:c>
      <x:c r="F165" s="28" t="str">
        <x:v>Картофель имеет профиль «крахмалистый, землистый, ореховый и жареный после нагрева». Партнёр «цветы бузины»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6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5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165" s="28" t="str">
        <x:v>пюре, суп, запекание, крем, гарнир, соус или десертная разработка с цветы бузины</x:v>
      </x:c>
      <x:c r="J165" s="28" t="str">
        <x:v>Средняя</x:v>
      </x:c>
      <x:c r="K165" s="28" t="str">
        <x:v>The Art &amp; Science of Foodpairing.pdf</x:v>
      </x:c>
      <x:c r="L165" s="28" t="str">
        <x:v>The Art &amp; Science of Foodpairing.pdf: 196</x:v>
      </x:c>
    </x:row>
    <x:row r="166" ht="66" customHeight="1">
      <x:c r="A166" s="28" t="str">
        <x:v>VEG-0402</x:v>
      </x:c>
      <x:c r="B166" s="28" t="str">
        <x:v>картофель</x:v>
      </x:c>
      <x:c r="C166" s="28" t="str">
        <x:v>цыпленок</x:v>
      </x:c>
      <x:c r="D166" s="28" t="str">
        <x:v>Прочее</x:v>
      </x:c>
      <x:c r="E166" s="28" t="str">
        <x:v>сенсорная комплементарность</x:v>
      </x:c>
      <x:c r="F166" s="28" t="str">
        <x:v>Картофель имеет профиль «крахмалистый, землистый, ореховый и жареный после нагрева».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6" s="28" t="str">
        <x:v>зелёные или проросшие клубни не использовать; пережаривание даёт горечь и чрезмерно тёмную корку</x:v>
      </x:c>
      <x:c r="I166" s="28" t="str">
        <x:v>пюре, суп, запекание, крем, гарнир, соус или десертная разработка с цыпленок</x:v>
      </x:c>
      <x:c r="J166" s="28" t="str">
        <x:v>Средняя</x:v>
      </x:c>
      <x:c r="K166" s="28" t="str">
        <x:v>Тезариус вкусов (Ники Сегнит)(1).pdf</x:v>
      </x:c>
      <x:c r="L166" s="28" t="str">
        <x:v>Тезариус вкусов (Ники Сегнит)(1).pdf: 67, 244</x:v>
      </x:c>
    </x:row>
    <x:row r="167" ht="66" customHeight="1">
      <x:c r="A167" s="28" t="str">
        <x:v>VEG-0403</x:v>
      </x:c>
      <x:c r="B167" s="28" t="str">
        <x:v>картофель</x:v>
      </x:c>
      <x:c r="C167" s="28" t="str">
        <x:v>чай</x:v>
      </x:c>
      <x:c r="D167" s="28" t="str">
        <x:v>Чай</x:v>
      </x:c>
      <x:c r="E167" s="28" t="str">
        <x:v>сенсорная комплементарность</x:v>
      </x:c>
      <x:c r="F167" s="28" t="str">
        <x:v>Картофель имеет профиль «крахмалистый, землистый, ореховый и жареный после нагрева».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7" s="28" t="str">
        <x:v>зелёные или проросшие клубни не использовать; пережаривание даёт горечь и чрезмерно тёмную корку</x:v>
      </x:c>
      <x:c r="I167" s="28" t="str">
        <x:v>пюре, суп, запекание, крем, гарнир, соус или десертная разработка с чай</x:v>
      </x:c>
      <x:c r="J167" s="28" t="str">
        <x:v>Средняя</x:v>
      </x:c>
      <x:c r="K167" s="28" t="str">
        <x:v>The Art &amp; Science of Foodpairing.pdf</x:v>
      </x:c>
      <x:c r="L167" s="28" t="str">
        <x:v>The Art &amp; Science of Foodpairing.pdf: 196</x:v>
      </x:c>
    </x:row>
    <x:row r="168" ht="66" customHeight="1">
      <x:c r="A168" s="28" t="str">
        <x:v>VEG-0404</x:v>
      </x:c>
      <x:c r="B168" s="28" t="str">
        <x:v>картофель</x:v>
      </x:c>
      <x:c r="C168" s="28" t="str">
        <x:v>чеддер</x:v>
      </x:c>
      <x:c r="D168" s="28" t="str">
        <x:v>Прочее</x:v>
      </x:c>
      <x:c r="E168" s="28" t="str">
        <x:v>сенсорная комплементарность</x:v>
      </x:c>
      <x:c r="F168" s="28" t="str">
        <x:v>Картофель имеет профиль «крахмалистый, землистый, ореховый и жареный после нагрева». Партнёр «чеддер»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8" s="28" t="str">
        <x:v>зелёные или проросшие клубни не использовать; пережаривание даёт горечь и чрезмерно тёмную корку</x:v>
      </x:c>
      <x:c r="I168" s="28" t="str">
        <x:v>пюре, суп, запекание, крем, гарнир, соус или десертная разработка с чеддер</x:v>
      </x:c>
      <x:c r="J168" s="28" t="str">
        <x:v>Средняя</x:v>
      </x:c>
      <x:c r="K168" s="28" t="str">
        <x:v>The Art &amp; Science of Foodpairing.pdf</x:v>
      </x:c>
      <x:c r="L168" s="28" t="str">
        <x:v>The Art &amp; Science of Foodpairing.pdf: 196</x:v>
      </x:c>
    </x:row>
    <x:row r="169" ht="66" customHeight="1">
      <x:c r="A169" s="28" t="str">
        <x:v>VEG-0405</x:v>
      </x:c>
      <x:c r="B169" s="28" t="str">
        <x:v>картофель</x:v>
      </x:c>
      <x:c r="C169" s="28" t="str">
        <x:v>черная икра</x:v>
      </x:c>
      <x:c r="D169" s="28" t="str">
        <x:v>Рыба и морепродукты</x:v>
      </x:c>
      <x:c r="E169" s="28" t="str">
        <x:v>общие характерные молекулы; умами и солёный контраст</x:v>
      </x:c>
      <x:c r="F169" s="28" t="str">
        <x:v>Картофель имеет профиль «крахмалистый, землистый, ореховый и жареный после нагрева». Партнёр «черная икра»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16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9" s="28" t="str">
        <x:v>зелёные или проросшие клубни не использовать; пережаривание даёт горечь и чрезмерно тёмную корку</x:v>
      </x:c>
      <x:c r="I169" s="28" t="str">
        <x:v>пюре, суп, запекание, крем, гарнир, соус или десертная разработка с черная икра</x:v>
      </x:c>
      <x:c r="J169" s="28" t="str">
        <x:v>Средняя</x:v>
      </x:c>
      <x:c r="K169" s="28" t="str">
        <x:v>Тезариус вкусов (Ники Сегнит)(1).pdf</x:v>
      </x:c>
      <x:c r="L169" s="28" t="str">
        <x:v>Тезариус вкусов (Ники Сегнит)(1).pdf: 244, 406</x:v>
      </x:c>
    </x:row>
    <x:row r="170" ht="66" customHeight="1">
      <x:c r="A170" s="28" t="str">
        <x:v>VEG-0406</x:v>
      </x:c>
      <x:c r="B170" s="28" t="str">
        <x:v>картофель</x:v>
      </x:c>
      <x:c r="C170" s="28" t="str">
        <x:v>чернослив ажен</x:v>
      </x:c>
      <x:c r="D170" s="28" t="str">
        <x:v>Фрукты и ягоды</x:v>
      </x:c>
      <x:c r="E170" s="28" t="str">
        <x:v>общие характерные молекулы; кислотно-сладкий баланс</x:v>
      </x:c>
      <x:c r="F170" s="28" t="str">
        <x:v>Картофель имеет профиль «крахмалистый, землистый, ореховый и жареный после нагрева». Партнёр «чернослив ажен»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7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170" s="28" t="str">
        <x:v>пюре, суп, запекание, крем, гарнир, соус или десертная разработка с чернослив ажен</x:v>
      </x:c>
      <x:c r="J170" s="28" t="str">
        <x:v>Средняя</x:v>
      </x:c>
      <x:c r="K170" s="28" t="str">
        <x:v>The Art &amp; Science of Foodpairing.pdf</x:v>
      </x:c>
      <x:c r="L170" s="28" t="str">
        <x:v>The Art &amp; Science of Foodpairing.pdf: 196</x:v>
      </x:c>
    </x:row>
    <x:row r="171" ht="66" customHeight="1">
      <x:c r="A171" s="28" t="str">
        <x:v>VEG-0407</x:v>
      </x:c>
      <x:c r="B171" s="28" t="str">
        <x:v>картофель</x:v>
      </x:c>
      <x:c r="C171" s="28" t="str">
        <x:v>чеснок</x:v>
      </x:c>
      <x:c r="D171" s="28" t="str">
        <x:v>Луковые овощи</x:v>
      </x:c>
      <x:c r="E171" s="28" t="str">
        <x:v>пересечение ароматических семейств</x:v>
      </x:c>
      <x:c r="F171" s="28" t="str">
        <x:v>Картофель имеет профиль «крахмалистый, землистый, ореховый и жареный после нагрева».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17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1" s="28" t="str">
        <x:v>зелёные или проросшие клубни не использовать; пережаривание даёт горечь и чрезмерно тёмную корку</x:v>
      </x:c>
      <x:c r="I171" s="28" t="str">
        <x:v>пюре, суп, запекание, крем, гарнир, соус или десертная разработка с чеснок</x:v>
      </x:c>
      <x:c r="J171" s="28" t="str">
        <x:v>Средняя</x:v>
      </x:c>
      <x:c r="K171" s="28" t="str">
        <x:v>Тезариус вкусов (Ники Сегнит)(1).pdf</x:v>
      </x:c>
      <x:c r="L171" s="28" t="str">
        <x:v>Тезариус вкусов (Ники Сегнит)(1).pdf: 245, 294</x:v>
      </x:c>
    </x:row>
    <x:row r="172" ht="66" customHeight="1">
      <x:c r="A172" s="28" t="str">
        <x:v>VEG-0408</x:v>
      </x:c>
      <x:c r="B172" s="28" t="str">
        <x:v>картофель</x:v>
      </x:c>
      <x:c r="C172" s="28" t="str">
        <x:v>чиабатта</x:v>
      </x:c>
      <x:c r="D172" s="28" t="str">
        <x:v>Прочее</x:v>
      </x:c>
      <x:c r="E172" s="28" t="str">
        <x:v>сенсорная комплементарность</x:v>
      </x:c>
      <x:c r="F172" s="28" t="str">
        <x:v>Картофель имеет профиль «крахмалистый, землистый, ореховый и жареный после нагрева».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7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2" s="28" t="str">
        <x:v>зелёные или проросшие клубни не использовать; пережаривание даёт горечь и чрезмерно тёмную корку</x:v>
      </x:c>
      <x:c r="I172" s="28" t="str">
        <x:v>пюре, суп, запекание, крем, гарнир, соус или десертная разработка с чиабатта</x:v>
      </x:c>
      <x:c r="J172" s="28" t="str">
        <x:v>Средняя</x:v>
      </x:c>
      <x:c r="K172" s="28" t="str">
        <x:v>The Art &amp; Science of Foodpairing.pdf</x:v>
      </x:c>
      <x:c r="L172" s="28" t="str">
        <x:v>The Art &amp; Science of Foodpairing.pdf: 196</x:v>
      </x:c>
    </x:row>
    <x:row r="173" ht="66" customHeight="1">
      <x:c r="A173" s="28" t="str">
        <x:v>VEG-0409</x:v>
      </x:c>
      <x:c r="B173" s="28" t="str">
        <x:v>картофель</x:v>
      </x:c>
      <x:c r="C173" s="28" t="str">
        <x:v>чили</x:v>
      </x:c>
      <x:c r="D173" s="28" t="str">
        <x:v>Специи</x:v>
      </x:c>
      <x:c r="E173" s="28" t="str">
        <x:v>сенсорная комплементарность</x:v>
      </x:c>
      <x:c r="F173" s="28" t="str">
        <x:v>Картофель имеет профиль «крахмалистый, землистый, ореховый и жареный после нагрева».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7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3" s="28" t="str">
        <x:v>зелёные или проросшие клубни не использовать; пережаривание даёт горечь и чрезмерно тёмную корку</x:v>
      </x:c>
      <x:c r="I173" s="28" t="str">
        <x:v>пюре, суп, запекание, крем, гарнир, соус или десертная разработка с чили</x:v>
      </x:c>
      <x:c r="J173" s="28" t="str">
        <x:v>Средняя</x:v>
      </x:c>
      <x:c r="K173" s="28" t="str">
        <x:v>Тезариус вкусов (Ники Сегнит)(1).pdf</x:v>
      </x:c>
      <x:c r="L173" s="28" t="str">
        <x:v>Тезариус вкусов (Ники Сегнит)(1).pdf: 245, 555</x:v>
      </x:c>
    </x:row>
    <x:row r="174" ht="66" customHeight="1">
      <x:c r="A174" s="28" t="str">
        <x:v>VEG-0410</x:v>
      </x:c>
      <x:c r="B174" s="28" t="str">
        <x:v>картофель</x:v>
      </x:c>
      <x:c r="C174" s="28" t="str">
        <x:v>чили ахи панка</x:v>
      </x:c>
      <x:c r="D174" s="28" t="str">
        <x:v>Специи</x:v>
      </x:c>
      <x:c r="E174" s="28" t="str">
        <x:v>сенсорная комплементарность</x:v>
      </x:c>
      <x:c r="F174" s="28" t="str">
        <x:v>Картофель имеет профиль «крахмалистый, землистый, ореховый и жареный после нагрева». Партнёр «чили ахи панка»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7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4" s="28" t="str">
        <x:v>зелёные или проросшие клубни не использовать; пережаривание даёт горечь и чрезмерно тёмную корку</x:v>
      </x:c>
      <x:c r="I174" s="28" t="str">
        <x:v>пюре, суп, запекание, крем, гарнир, соус или десертная разработка с чили ахи панка</x:v>
      </x:c>
      <x:c r="J174" s="28" t="str">
        <x:v>Средняя</x:v>
      </x:c>
      <x:c r="K174" s="28" t="str">
        <x:v>The Art &amp; Science of Foodpairing.pdf</x:v>
      </x:c>
      <x:c r="L174" s="28" t="str">
        <x:v>The Art &amp; Science of Foodpairing.pdf: 196</x:v>
      </x:c>
    </x:row>
    <x:row r="175" ht="66" customHeight="1">
      <x:c r="A175" s="28" t="str">
        <x:v>VEG-0411</x:v>
      </x:c>
      <x:c r="B175" s="28" t="str">
        <x:v>картофель</x:v>
      </x:c>
      <x:c r="C175" s="28" t="str">
        <x:v>чёрный перец</x:v>
      </x:c>
      <x:c r="D175" s="28" t="str">
        <x:v>Специи</x:v>
      </x:c>
      <x:c r="E175" s="28" t="str">
        <x:v>сенсорная комплементарность</x:v>
      </x:c>
      <x:c r="F175" s="28" t="str">
        <x:v>Картофель имеет профиль «крахмалистый, землистый, ореховый и жареный после нагрева».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7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5" s="28" t="str">
        <x:v>зелёные или проросшие клубни не использовать; пережаривание даёт горечь и чрезмерно тёмную корку</x:v>
      </x:c>
      <x:c r="I175" s="28" t="str">
        <x:v>пюре, суп, запекание, крем, гарнир, соус или десертная разработка с чёрный перец</x:v>
      </x:c>
      <x:c r="J175" s="28" t="str">
        <x:v>Средняя</x:v>
      </x:c>
      <x:c r="K175" s="28" t="str">
        <x:v>The Art &amp; Science of Foodpairing.pdf</x:v>
      </x:c>
      <x:c r="L175" s="28" t="str">
        <x:v>The Art &amp; Science of Foodpairing.pdf: 273</x:v>
      </x:c>
    </x:row>
    <x:row r="176" ht="66" customHeight="1">
      <x:c r="A176" s="28" t="str">
        <x:v>VEG-0412</x:v>
      </x:c>
      <x:c r="B176" s="28" t="str">
        <x:v>картофель</x:v>
      </x:c>
      <x:c r="C176" s="28" t="str">
        <x:v>чёрный трюфель</x:v>
      </x:c>
      <x:c r="D176" s="28" t="str">
        <x:v>Грибы</x:v>
      </x:c>
      <x:c r="E176" s="28" t="str">
        <x:v>пересечение ароматических семейств; умами и солёный контраст</x:v>
      </x:c>
      <x:c r="F176" s="28" t="str">
        <x:v>Картофель имеет профиль «крахмалистый, землистый, ореховый и жареный после нагрева». Партнёр «чёрный 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17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6" s="28" t="str">
        <x:v>зелёные или проросшие клубни не использовать; пережаривание даёт горечь и чрезмерно тёмную корку</x:v>
      </x:c>
      <x:c r="I176" s="28" t="str">
        <x:v>пюре, суп, запекание, крем, гарнир, соус или десертная разработка с чёрный трюфель</x:v>
      </x:c>
      <x:c r="J176" s="28" t="str">
        <x:v>Высокая</x:v>
      </x:c>
      <x:c r="K176" s="28" t="str">
        <x:v>The Art &amp; Science of Foodpairing.pdf</x:v>
      </x:c>
      <x:c r="L176" s="28" t="str">
        <x:v>The Art &amp; Science of Foodpairing.pdf: 193</x:v>
      </x:c>
    </x:row>
    <x:row r="177" ht="66" customHeight="1">
      <x:c r="A177" s="28" t="str">
        <x:v>VEG-0413</x:v>
      </x:c>
      <x:c r="B177" s="28" t="str">
        <x:v>картофель</x:v>
      </x:c>
      <x:c r="C177" s="28" t="str">
        <x:v>чёрный чай</x:v>
      </x:c>
      <x:c r="D177" s="28" t="str">
        <x:v>Чай</x:v>
      </x:c>
      <x:c r="E177" s="28" t="str">
        <x:v>сенсорная комплементарность</x:v>
      </x:c>
      <x:c r="F177" s="28" t="str">
        <x:v>Картофель имеет профиль «крахмалистый, землистый, ореховый и жареный после нагрева». Партнёр «чёрный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7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7" s="28" t="str">
        <x:v>зелёные или проросшие клубни не использовать; пережаривание даёт горечь и чрезмерно тёмную корку</x:v>
      </x:c>
      <x:c r="I177" s="28" t="str">
        <x:v>пюре, суп, запекание, крем, гарнир, соус или десертная разработка с чёрный чай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196</x:v>
      </x:c>
    </x:row>
    <x:row r="178" ht="66" customHeight="1">
      <x:c r="A178" s="28" t="str">
        <x:v>VEG-0414</x:v>
      </x:c>
      <x:c r="B178" s="28" t="str">
        <x:v>картофель</x:v>
      </x:c>
      <x:c r="C178" s="28" t="str">
        <x:v>шафран</x:v>
      </x:c>
      <x:c r="D178" s="28" t="str">
        <x:v>Специи</x:v>
      </x:c>
      <x:c r="E178" s="28" t="str">
        <x:v>сенсорная комплементарность</x:v>
      </x:c>
      <x:c r="F178" s="28" t="str">
        <x:v>Картофель имеет профиль «крахмалистый, землистый, ореховый и жареный после нагрева».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7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8" s="28" t="str">
        <x:v>зелёные или проросшие клубни не использовать; пережаривание даёт горечь и чрезмерно тёмную корку</x:v>
      </x:c>
      <x:c r="I178" s="28" t="str">
        <x:v>пюре, суп, запекание, крем, гарнир, соус или десертная разработка с шафран</x:v>
      </x:c>
      <x:c r="J178" s="28" t="str">
        <x:v>Средняя</x:v>
      </x:c>
      <x:c r="K178" s="28" t="str">
        <x:v>Тезариус вкусов (Ники Сегнит)(1).pdf</x:v>
      </x:c>
      <x:c r="L178" s="28" t="str">
        <x:v>Тезариус вкусов (Ники Сегнит)(1).pdf: 246, 474</x:v>
      </x:c>
    </x:row>
    <x:row r="179" ht="66" customHeight="1">
      <x:c r="A179" s="28" t="str">
        <x:v>VEG-0415</x:v>
      </x:c>
      <x:c r="B179" s="28" t="str">
        <x:v>картофель</x:v>
      </x:c>
      <x:c r="C179" s="28" t="str">
        <x:v>шоколад</x:v>
      </x:c>
      <x:c r="D179" s="28" t="str">
        <x:v>Какао и шоколад</x:v>
      </x:c>
      <x:c r="E179" s="28" t="str">
        <x:v>общие характерные молекулы; пересечение ароматических семейств</x:v>
      </x:c>
      <x:c r="F179" s="28" t="str">
        <x:v>Картофель имеет профиль «крахмалистый, землистый, ореховый и жареный после нагрева».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7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9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I179" s="28" t="str">
        <x:v>пюре, суп, запекание, крем, гарнир, соус или десертная разработка с шоколад</x:v>
      </x:c>
      <x:c r="J179" s="28" t="str">
        <x:v>Средняя</x:v>
      </x:c>
      <x:c r="K179" s="28" t="str">
        <x:v>The Art &amp; Science of Foodpairing.pdf</x:v>
      </x:c>
      <x:c r="L179" s="28" t="str">
        <x:v>The Art &amp; Science of Foodpairing.pdf: 62</x:v>
      </x:c>
    </x:row>
    <x:row r="180" ht="66" customHeight="1">
      <x:c r="A180" s="28" t="str">
        <x:v>VEG-0416</x:v>
      </x:c>
      <x:c r="B180" s="28" t="str">
        <x:v>картофель</x:v>
      </x:c>
      <x:c r="C180" s="28" t="str">
        <x:v>яблоко</x:v>
      </x:c>
      <x:c r="D180" s="28" t="str">
        <x:v>Фрукты и ягоды</x:v>
      </x:c>
      <x:c r="E180" s="28" t="str">
        <x:v>кислотно-сладкий баланс</x:v>
      </x:c>
      <x:c r="F180" s="28" t="str">
        <x:v>Картофель имеет профиль «крахмалистый, землистый, ореховый и жареный после нагрева».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8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8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180" s="28" t="str">
        <x:v>пюре, суп, запекание, крем, гарнир, соус или десертная разработка с яблоко</x:v>
      </x:c>
      <x:c r="J180" s="28" t="str">
        <x:v>Высокая</x:v>
      </x:c>
      <x:c r="K180" s="28" t="str">
        <x:v>The Art &amp; Science of Foodpairing.pdf</x:v>
      </x:c>
      <x:c r="L180" s="28" t="str">
        <x:v>The Art &amp; Science of Foodpairing.pdf: 48</x:v>
      </x:c>
    </x:row>
    <x:row r="181" ht="66" customHeight="1">
      <x:c r="A181" s="28" t="str">
        <x:v>VEG-0417</x:v>
      </x:c>
      <x:c r="B181" s="28" t="str">
        <x:v>картофель</x:v>
      </x:c>
      <x:c r="C181" s="28" t="str">
        <x:v>яйца</x:v>
      </x:c>
      <x:c r="D181" s="28" t="str">
        <x:v>Прочее</x:v>
      </x:c>
      <x:c r="E181" s="28" t="str">
        <x:v>сенсорная комплементарность</x:v>
      </x:c>
      <x:c r="F181" s="28" t="str">
        <x:v>Картофель имеет профиль «крахмалистый, землистый, ореховый и жареный после нагрева».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81" s="28" t="str">
        <x:v>зелёные или проросшие клубни не использовать; пережаривание даёт горечь и чрезмерно тёмную корку</x:v>
      </x:c>
      <x:c r="I181" s="28" t="str">
        <x:v>пюре, суп, запекание, крем, гарнир, соус или десертная разработка с яйца</x:v>
      </x:c>
      <x:c r="J181" s="28" t="str">
        <x:v>Средняя</x:v>
      </x:c>
      <x:c r="K181" s="28" t="str">
        <x:v>Тезариус вкусов (Ники Сегнит)(1).pdf</x:v>
      </x:c>
      <x:c r="L181" s="28" t="str">
        <x:v>Тезариус вкусов (Ники Сегнит)(1).pdf: 246, 354</x:v>
      </x:c>
    </x:row>
    <x:row r="182" ht="66" customHeight="1">
      <x:c r="A182" s="28" t="str">
        <x:v>VEG-0448</x:v>
      </x:c>
      <x:c r="B182" s="28" t="str">
        <x:v>морковь</x:v>
      </x:c>
      <x:c r="C182" s="28" t="str">
        <x:v>агава</x:v>
      </x:c>
      <x:c r="D182" s="28" t="str">
        <x:v>Прочее</x:v>
      </x:c>
      <x:c r="E182" s="28" t="str">
        <x:v>сенсорная комплементарность</x:v>
      </x:c>
      <x:c r="F182" s="28" t="str">
        <x:v>Морковь имеет профиль «сладкий, землистый, древесный и слегка цитрусовый». Партнёр «агава»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8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82" s="28" t="str">
        <x:v>сырая землистость может доминировать; перегрев делает профиль варёно-сладким</x:v>
      </x:c>
      <x:c r="I182" s="28" t="str">
        <x:v>сок, кордиал, гаспачо, салат, соус, маринад или коктейльный компонент с агава</x:v>
      </x:c>
      <x:c r="J182" s="28" t="str">
        <x:v>Гипотеза / практическая</x:v>
      </x:c>
      <x:c r="K182" s="28" t="str">
        <x:v>Таблица сочетания(1).pdf</x:v>
      </x:c>
      <x:c r="L182" s="28" t="str">
        <x:v>Таблица сочетания(1).pdf: 4</x:v>
      </x:c>
    </x:row>
    <x:row r="183" ht="66" customHeight="1">
      <x:c r="A183" s="28" t="str">
        <x:v>VEG-0449</x:v>
      </x:c>
      <x:c r="B183" s="28" t="str">
        <x:v>морковь</x:v>
      </x:c>
      <x:c r="C183" s="28" t="str">
        <x:v>ананас</x:v>
      </x:c>
      <x:c r="D183" s="28" t="str">
        <x:v>Фрукты и ягоды</x:v>
      </x:c>
      <x:c r="E183" s="28" t="str">
        <x:v>кислотно-сладкий баланс</x:v>
      </x:c>
      <x:c r="F183" s="28" t="str">
        <x:v>Морковь имеет профиль «сладкий, землистый, древесный и слегка цитрусовый». Партнёр «ананас» относится к группе «Фрукты и ягоды» и даёт карамельный, сернистый,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8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83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83" s="28" t="str">
        <x:v>сок, кордиал, гаспачо, салат, соус, маринад или коктейльный компонент с ананас</x:v>
      </x:c>
      <x:c r="J183" s="28" t="str">
        <x:v>Гипотеза / практическая</x:v>
      </x:c>
      <x:c r="K183" s="28" t="str">
        <x:v>Таблица сочетания(1).pdf</x:v>
      </x:c>
      <x:c r="L183" s="28" t="str">
        <x:v>Таблица сочетания(1).pdf: 4</x:v>
      </x:c>
    </x:row>
    <x:row r="184" ht="66" customHeight="1">
      <x:c r="A184" s="28" t="str">
        <x:v>VEG-0450</x:v>
      </x:c>
      <x:c r="B184" s="28" t="str">
        <x:v>морковь</x:v>
      </x:c>
      <x:c r="C184" s="28" t="str">
        <x:v>анис</x:v>
      </x:c>
      <x:c r="D184" s="28" t="str">
        <x:v>Прочее</x:v>
      </x:c>
      <x:c r="E184" s="28" t="str">
        <x:v>сенсорная комплементарность</x:v>
      </x:c>
      <x:c r="F184" s="28" t="str">
        <x:v>Морковь имеет профиль «сладкий, землистый, древесный и слегка цитрусовый».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8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84" s="28" t="str">
        <x:v>сырая землистость может доминировать; перегрев делает профиль варёно-сладким</x:v>
      </x:c>
      <x:c r="I184" s="28" t="str">
        <x:v>сок, кордиал, гаспачо, салат, соус, маринад или коктейльный компонент с анис</x:v>
      </x:c>
      <x:c r="J184" s="28" t="str">
        <x:v>Средняя</x:v>
      </x:c>
      <x:c r="K184" s="28" t="str">
        <x:v>Тезариус вкусов (Ники Сегнит)(1).pdf</x:v>
      </x:c>
      <x:c r="L184" s="28" t="str">
        <x:v>Тезариус вкусов (Ники Сегнит)(1).pdf: 486, 601</x:v>
      </x:c>
    </x:row>
    <x:row r="185" ht="66" customHeight="1">
      <x:c r="A185" s="28" t="str">
        <x:v>VEG-0451</x:v>
      </x:c>
      <x:c r="B185" s="28" t="str">
        <x:v>морковь</x:v>
      </x:c>
      <x:c r="C185" s="28" t="str">
        <x:v>апельсин</x:v>
      </x:c>
      <x:c r="D185" s="28" t="str">
        <x:v>Фрукты и ягоды</x:v>
      </x:c>
      <x:c r="E185" s="28" t="str">
        <x:v>пересечение ароматических семейств; кислотно-сладкий баланс</x:v>
      </x:c>
      <x:c r="F185" s="28" t="str">
        <x:v>Морковь имеет профиль «сладкий, землистый, древесный и слегка цитрусовый».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8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85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85" s="28" t="str">
        <x:v>сок, кордиал, гаспачо, салат, соус, маринад или коктейльный компонент с апельсин</x:v>
      </x:c>
      <x:c r="J185" s="28" t="str">
        <x:v>Высокая</x:v>
      </x:c>
      <x:c r="K185" s="28" t="str">
        <x:v>The Art &amp; Science of Foodpairing.pdf | Таблица сочетания(1).pdf | Тезариус вкусов (Ники Сегнит)(1).pdf</x:v>
      </x:c>
      <x:c r="L185" s="28" t="str">
        <x:v>Таблица сочетания(1).pdf: 4; Тезариус вкусов (Ники Сегнит)(1).pdf: 602, 778; The Art &amp; Science of Foodpairing.pdf: 233</x:v>
      </x:c>
    </x:row>
    <x:row r="186" ht="66" customHeight="1">
      <x:c r="A186" s="28" t="str">
        <x:v>VEG-0452</x:v>
      </x:c>
      <x:c r="B186" s="28" t="str">
        <x:v>морковь</x:v>
      </x:c>
      <x:c r="C186" s="28" t="str">
        <x:v>апельсиновый сок</x:v>
      </x:c>
      <x:c r="D186" s="28" t="str">
        <x:v>Фрукты и ягоды</x:v>
      </x:c>
      <x:c r="E186" s="28" t="str">
        <x:v>пересечение ароматических семейств; кислотно-сладкий баланс</x:v>
      </x:c>
      <x:c r="F186" s="28" t="str">
        <x:v>Морковь имеет профиль «сладкий, землистый, древесный и слегка цитрусовый». Партнёр «апельсиновый сок»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8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86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86" s="28" t="str">
        <x:v>сок, кордиал, гаспачо, салат, соус, маринад или коктейльный компонент с апельсиновый сок</x:v>
      </x:c>
      <x:c r="J186" s="28" t="str">
        <x:v>Средняя</x:v>
      </x:c>
      <x:c r="K186" s="28" t="str">
        <x:v>The Art &amp; Science of Foodpairing.pdf</x:v>
      </x:c>
      <x:c r="L186" s="28" t="str">
        <x:v>The Art &amp; Science of Foodpairing.pdf: 232</x:v>
      </x:c>
    </x:row>
    <x:row r="187" ht="66" customHeight="1">
      <x:c r="A187" s="28" t="str">
        <x:v>VEG-0453</x:v>
      </x:c>
      <x:c r="B187" s="28" t="str">
        <x:v>морковь</x:v>
      </x:c>
      <x:c r="C187" s="28" t="str">
        <x:v>арахис</x:v>
      </x:c>
      <x:c r="D187" s="28" t="str">
        <x:v>Орехи и семена</x:v>
      </x:c>
      <x:c r="E187" s="28" t="str">
        <x:v>сенсорная комплементарность</x:v>
      </x:c>
      <x:c r="F187" s="28" t="str">
        <x:v>Морковь имеет профиль «сладкий, землистый, древесный и слегка цитрусовый».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8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87" s="28" t="str">
        <x:v>сырая землистость может доминировать; перегрев делает профиль варёно-сладким</x:v>
      </x:c>
      <x:c r="I187" s="28" t="str">
        <x:v>сок, кордиал, гаспачо, салат, соус, маринад или коктейльный компонент с арахис</x:v>
      </x:c>
      <x:c r="J187" s="28" t="str">
        <x:v>Средняя</x:v>
      </x:c>
      <x:c r="K187" s="28" t="str">
        <x:v>Тезариус вкусов (Ники Сегнит)(1).pdf</x:v>
      </x:c>
      <x:c r="L187" s="28" t="str">
        <x:v>Тезариус вкусов (Ники Сегнит)(1).pdf: 55, 602</x:v>
      </x:c>
    </x:row>
    <x:row r="188" ht="66" customHeight="1">
      <x:c r="A188" s="28" t="str">
        <x:v>VEG-0454</x:v>
      </x:c>
      <x:c r="B188" s="28" t="str">
        <x:v>морковь</x:v>
      </x:c>
      <x:c r="C188" s="28" t="str">
        <x:v>багет</x:v>
      </x:c>
      <x:c r="D188" s="28" t="str">
        <x:v>Прочее</x:v>
      </x:c>
      <x:c r="E188" s="28" t="str">
        <x:v>сенсорная комплементарность</x:v>
      </x:c>
      <x:c r="F188" s="28" t="str">
        <x:v>Морковь имеет профиль «сладкий, землистый, древесный и слегка цитрусовый». Партнёр «багет»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8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88" s="28" t="str">
        <x:v>сырая землистость может доминировать; перегрев делает профиль варёно-сладким</x:v>
      </x:c>
      <x:c r="I188" s="28" t="str">
        <x:v>сок, кордиал, гаспачо, салат, соус, маринад или коктейльный компонент с багет</x:v>
      </x:c>
      <x:c r="J188" s="28" t="str">
        <x:v>Средняя</x:v>
      </x:c>
      <x:c r="K188" s="28" t="str">
        <x:v>The Art &amp; Science of Foodpairing.pdf</x:v>
      </x:c>
      <x:c r="L188" s="28" t="str">
        <x:v>The Art &amp; Science of Foodpairing.pdf: 232</x:v>
      </x:c>
    </x:row>
    <x:row r="189" ht="66" customHeight="1">
      <x:c r="A189" s="28" t="str">
        <x:v>VEG-0455</x:v>
      </x:c>
      <x:c r="B189" s="28" t="str">
        <x:v>морковь</x:v>
      </x:c>
      <x:c r="C189" s="28" t="str">
        <x:v>базилик</x:v>
      </x:c>
      <x:c r="D189" s="28" t="str">
        <x:v>Травы, цветы и листья</x:v>
      </x:c>
      <x:c r="E189" s="28" t="str">
        <x:v>сенсорная комплементарность</x:v>
      </x:c>
      <x:c r="F189" s="28" t="str">
        <x:v>Морковь имеет профиль «сладкий, землистый, древесный и слегка цитрусовый».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18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89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189" s="28" t="str">
        <x:v>сок, кордиал, гаспачо, салат, соус, маринад или коктейльный компонент с базилик</x:v>
      </x:c>
      <x:c r="J189" s="28" t="str">
        <x:v>Гипотеза / практическая</x:v>
      </x:c>
      <x:c r="K189" s="28" t="str">
        <x:v>Таблица сочетания(1).pdf</x:v>
      </x:c>
      <x:c r="L189" s="28" t="str">
        <x:v>Таблица сочетания(1).pdf: 4</x:v>
      </x:c>
    </x:row>
    <x:row r="190" ht="66" customHeight="1">
      <x:c r="A190" s="28" t="str">
        <x:v>VEG-0456</x:v>
      </x:c>
      <x:c r="B190" s="28" t="str">
        <x:v>морковь</x:v>
      </x:c>
      <x:c r="C190" s="28" t="str">
        <x:v>баранина</x:v>
      </x:c>
      <x:c r="D190" s="28" t="str">
        <x:v>Мясо и птица</x:v>
      </x:c>
      <x:c r="E190" s="28" t="str">
        <x:v>умами и солёный контраст</x:v>
      </x:c>
      <x:c r="F190" s="28" t="str">
        <x:v>Морковь имеет профиль «сладкий, землистый, древесный и слегка цитрусовый».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19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0" s="28" t="str">
        <x:v>сырая землистость может доминировать; перегрев делает профиль варёно-сладким</x:v>
      </x:c>
      <x:c r="I190" s="28" t="str">
        <x:v>сок, кордиал, гаспачо, салат, соус, маринад или коктейльный компонент с баранина</x:v>
      </x:c>
      <x:c r="J190" s="28" t="str">
        <x:v>Средняя</x:v>
      </x:c>
      <x:c r="K190" s="28" t="str">
        <x:v>The Art &amp; Science of Foodpairing.pdf</x:v>
      </x:c>
      <x:c r="L190" s="28" t="str">
        <x:v>The Art &amp; Science of Foodpairing.pdf: 232</x:v>
      </x:c>
    </x:row>
    <x:row r="191" ht="66" customHeight="1">
      <x:c r="A191" s="28" t="str">
        <x:v>VEG-0457</x:v>
      </x:c>
      <x:c r="B191" s="28" t="str">
        <x:v>морковь</x:v>
      </x:c>
      <x:c r="C191" s="28" t="str">
        <x:v>бурбон</x:v>
      </x:c>
      <x:c r="D191" s="28" t="str">
        <x:v>Алкогольные напитки</x:v>
      </x:c>
      <x:c r="E191" s="28" t="str">
        <x:v>пересечение ароматических семейств</x:v>
      </x:c>
      <x:c r="F191" s="28" t="str">
        <x:v>Морковь имеет профиль «сладкий, землистый, древесный и слегка цитрусовый». Партнёр «бурбон»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9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1" s="28" t="str">
        <x:v>сырая землистость может доминировать; перегрев делает профиль варёно-сладким</x:v>
      </x:c>
      <x:c r="I191" s="28" t="str">
        <x:v>сок, кордиал, гаспачо, салат, соус, маринад или коктейльный компонент с бурбон</x:v>
      </x:c>
      <x:c r="J191" s="28" t="str">
        <x:v>Средняя</x:v>
      </x:c>
      <x:c r="K191" s="28" t="str">
        <x:v>The Art &amp; Science of Foodpairing.pdf</x:v>
      </x:c>
      <x:c r="L191" s="28" t="str">
        <x:v>The Art &amp; Science of Foodpairing.pdf: 232</x:v>
      </x:c>
    </x:row>
    <x:row r="192" ht="66" customHeight="1">
      <x:c r="A192" s="28" t="str">
        <x:v>VEG-0458</x:v>
      </x:c>
      <x:c r="B192" s="28" t="str">
        <x:v>морковь</x:v>
      </x:c>
      <x:c r="C192" s="28" t="str">
        <x:v>ветчина</x:v>
      </x:c>
      <x:c r="D192" s="28" t="str">
        <x:v>Мясо и птица</x:v>
      </x:c>
      <x:c r="E192" s="28" t="str">
        <x:v>умами и солёный контраст</x:v>
      </x:c>
      <x:c r="F192" s="28" t="str">
        <x:v>Морковь имеет профиль «сладкий, землистый, древесный и слегка цитрусовый». Партнёр «ветчина»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19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2" s="28" t="str">
        <x:v>сырая землистость может доминировать; перегрев делает профиль варёно-сладким</x:v>
      </x:c>
      <x:c r="I192" s="28" t="str">
        <x:v>сок, кордиал, гаспачо, салат, соус, маринад или коктейльный компонент с ветчина</x:v>
      </x:c>
      <x:c r="J192" s="28" t="str">
        <x:v>Средняя</x:v>
      </x:c>
      <x:c r="K192" s="28" t="str">
        <x:v>The Art &amp; Science of Foodpairing.pdf</x:v>
      </x:c>
      <x:c r="L192" s="28" t="str">
        <x:v>The Art &amp; Science of Foodpairing.pdf: 232</x:v>
      </x:c>
    </x:row>
    <x:row r="193" ht="66" customHeight="1">
      <x:c r="A193" s="28" t="str">
        <x:v>VEG-0459</x:v>
      </x:c>
      <x:c r="B193" s="28" t="str">
        <x:v>морковь</x:v>
      </x:c>
      <x:c r="C193" s="28" t="str">
        <x:v>вишнёвое варенье</x:v>
      </x:c>
      <x:c r="D193" s="28" t="str">
        <x:v>Фрукты и ягоды</x:v>
      </x:c>
      <x:c r="E193" s="28" t="str">
        <x:v>кислотно-сладкий баланс</x:v>
      </x:c>
      <x:c r="F193" s="28" t="str">
        <x:v>Морковь имеет профиль «сладкий, землистый, древесный и слегка цитрусовый». Партнёр «вишнёвое варенье»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9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3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93" s="28" t="str">
        <x:v>сок, кордиал, гаспачо, салат, соус, маринад или коктейльный компонент с вишнёвое варенье</x:v>
      </x:c>
      <x:c r="J193" s="28" t="str">
        <x:v>Средняя</x:v>
      </x:c>
      <x:c r="K193" s="28" t="str">
        <x:v>The Art &amp; Science of Foodpairing.pdf</x:v>
      </x:c>
      <x:c r="L193" s="28" t="str">
        <x:v>The Art &amp; Science of Foodpairing.pdf: 232</x:v>
      </x:c>
    </x:row>
    <x:row r="194" ht="66" customHeight="1">
      <x:c r="A194" s="28" t="str">
        <x:v>VEG-0460</x:v>
      </x:c>
      <x:c r="B194" s="28" t="str">
        <x:v>морковь</x:v>
      </x:c>
      <x:c r="C194" s="28" t="str">
        <x:v>водка</x:v>
      </x:c>
      <x:c r="D194" s="28" t="str">
        <x:v>Алкогольные напитки</x:v>
      </x:c>
      <x:c r="E194" s="28" t="str">
        <x:v>пересечение ароматических семейств</x:v>
      </x:c>
      <x:c r="F194" s="28" t="str">
        <x:v>Морковь имеет профиль «сладкий, землистый, древесный и слегка цитрусовый». Партнёр «водка»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9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4" s="28" t="str">
        <x:v>сырая землистость может доминировать; перегрев делает профиль варёно-сладким</x:v>
      </x:c>
      <x:c r="I194" s="28" t="str">
        <x:v>сок, кордиал, гаспачо, салат, соус, маринад или коктейльный компонент с водка</x:v>
      </x:c>
      <x:c r="J194" s="28" t="str">
        <x:v>Средняя</x:v>
      </x:c>
      <x:c r="K194" s="28" t="str">
        <x:v>The Art &amp; Science of Foodpairing.pdf</x:v>
      </x:c>
      <x:c r="L194" s="28" t="str">
        <x:v>The Art &amp; Science of Foodpairing.pdf: 232</x:v>
      </x:c>
    </x:row>
    <x:row r="195" ht="66" customHeight="1">
      <x:c r="A195" s="28" t="str">
        <x:v>VEG-0461</x:v>
      </x:c>
      <x:c r="B195" s="28" t="str">
        <x:v>морковь</x:v>
      </x:c>
      <x:c r="C195" s="28" t="str">
        <x:v>водоросль грацилярия</x:v>
      </x:c>
      <x:c r="D195" s="28" t="str">
        <x:v>Прочее</x:v>
      </x:c>
      <x:c r="E195" s="28" t="str">
        <x:v>сенсорная комплементарность</x:v>
      </x:c>
      <x:c r="F195" s="28" t="str">
        <x:v>Морковь имеет профиль «сладкий, землистый, древесный и слегка цитрусовый». Партнёр «водоросль грацилярия»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19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5" s="28" t="str">
        <x:v>сырая землистость может доминировать; перегрев делает профиль варёно-сладким</x:v>
      </x:c>
      <x:c r="I195" s="28" t="str">
        <x:v>сок, кордиал, гаспачо, салат, соус, маринад или коктейльный компонент с водоросль грацилярия</x:v>
      </x:c>
      <x:c r="J195" s="28" t="str">
        <x:v>Средняя</x:v>
      </x:c>
      <x:c r="K195" s="28" t="str">
        <x:v>The Art &amp; Science of Foodpairing.pdf</x:v>
      </x:c>
      <x:c r="L195" s="28" t="str">
        <x:v>The Art &amp; Science of Foodpairing.pdf: 232</x:v>
      </x:c>
    </x:row>
    <x:row r="196" ht="66" customHeight="1">
      <x:c r="A196" s="28" t="str">
        <x:v>VEG-0462</x:v>
      </x:c>
      <x:c r="B196" s="28" t="str">
        <x:v>морковь</x:v>
      </x:c>
      <x:c r="C196" s="28" t="str">
        <x:v>говядина</x:v>
      </x:c>
      <x:c r="D196" s="28" t="str">
        <x:v>Мясо и птица</x:v>
      </x:c>
      <x:c r="E196" s="28" t="str">
        <x:v>умами и солёный контраст</x:v>
      </x:c>
      <x:c r="F196" s="28" t="str">
        <x:v>Морковь имеет профиль «сладкий, землистый, древесный и слегка цитрусовый».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19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6" s="28" t="str">
        <x:v>сырая землистость может доминировать; перегрев делает профиль варёно-сладким</x:v>
      </x:c>
      <x:c r="I196" s="28" t="str">
        <x:v>сок, кордиал, гаспачо, салат, соус, маринад или коктейльный компонент с говядина</x:v>
      </x:c>
      <x:c r="J196" s="28" t="str">
        <x:v>Средняя</x:v>
      </x:c>
      <x:c r="K196" s="28" t="str">
        <x:v>Тезариус вкусов (Ники Сегнит)(1).pdf</x:v>
      </x:c>
      <x:c r="L196" s="28" t="str">
        <x:v>Тезариус вкусов (Ники Сегнит)(1).pdf: 114, 602</x:v>
      </x:c>
    </x:row>
    <x:row r="197" ht="66" customHeight="1">
      <x:c r="A197" s="28" t="str">
        <x:v>VEG-0463</x:v>
      </x:c>
      <x:c r="B197" s="28" t="str">
        <x:v>морковь</x:v>
      </x:c>
      <x:c r="C197" s="28" t="str">
        <x:v>говядина сухой выдержки</x:v>
      </x:c>
      <x:c r="D197" s="28" t="str">
        <x:v>Мясо и птица</x:v>
      </x:c>
      <x:c r="E197" s="28" t="str">
        <x:v>умами и солёный контраст</x:v>
      </x:c>
      <x:c r="F197" s="28" t="str">
        <x:v>Морковь имеет профиль «сладкий, землистый, древесный и слегка цитрусовый». Партнёр «говядина сухой выдержки»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19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7" s="28" t="str">
        <x:v>сырая землистость может доминировать; перегрев делает профиль варёно-сладким</x:v>
      </x:c>
      <x:c r="I197" s="28" t="str">
        <x:v>сок, кордиал, гаспачо, салат, соус, маринад или коктейльный компонент с говядина сухой выдержки</x:v>
      </x:c>
      <x:c r="J197" s="28" t="str">
        <x:v>Средняя</x:v>
      </x:c>
      <x:c r="K197" s="28" t="str">
        <x:v>The Art &amp; Science of Foodpairing.pdf</x:v>
      </x:c>
      <x:c r="L197" s="28" t="str">
        <x:v>The Art &amp; Science of Foodpairing.pdf: 232</x:v>
      </x:c>
    </x:row>
    <x:row r="198" ht="66" customHeight="1">
      <x:c r="A198" s="28" t="str">
        <x:v>VEG-0464</x:v>
      </x:c>
      <x:c r="B198" s="28" t="str">
        <x:v>морковь</x:v>
      </x:c>
      <x:c r="C198" s="28" t="str">
        <x:v>голубой сыр</x:v>
      </x:c>
      <x:c r="D198" s="28" t="str">
        <x:v>Молочные продукты и сыры</x:v>
      </x:c>
      <x:c r="E198" s="28" t="str">
        <x:v>жировая матрица</x:v>
      </x:c>
      <x:c r="F198" s="28" t="str">
        <x:v>Морковь имеет профиль «сладкий, землистый, древесный и слегка цитрусовый».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19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8" s="28" t="str">
        <x:v>сырая землистость может доминировать; перегрев делает профиль варёно-сладким; жир способен приглушить свежую зелёную ароматику</x:v>
      </x:c>
      <x:c r="I198" s="28" t="str">
        <x:v>сок, кордиал, гаспачо, салат, соус, маринад или коктейльный компонент с голубой сыр</x:v>
      </x:c>
      <x:c r="J198" s="28" t="str">
        <x:v>Средняя</x:v>
      </x:c>
      <x:c r="K198" s="28" t="str">
        <x:v>The Art &amp; Science of Foodpairing.pdf</x:v>
      </x:c>
      <x:c r="L198" s="28" t="str">
        <x:v>The Art &amp; Science of Foodpairing.pdf: 164</x:v>
      </x:c>
    </x:row>
    <x:row r="199" ht="66" customHeight="1">
      <x:c r="A199" s="28" t="str">
        <x:v>VEG-0465</x:v>
      </x:c>
      <x:c r="B199" s="28" t="str">
        <x:v>морковь</x:v>
      </x:c>
      <x:c r="C199" s="28" t="str">
        <x:v>грейпфрутовый сок</x:v>
      </x:c>
      <x:c r="D199" s="28" t="str">
        <x:v>Фрукты и ягоды</x:v>
      </x:c>
      <x:c r="E199" s="28" t="str">
        <x:v>кислотно-сладкий баланс</x:v>
      </x:c>
      <x:c r="F199" s="28" t="str">
        <x:v>Морковь имеет профиль «сладкий, землистый, древесный и слегка цитрусовый». Партнёр «грейпфрутовый сок» относится к группе «Фрукты и ягоды» и даёт горький, сернистый,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9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99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99" s="28" t="str">
        <x:v>сок, кордиал, гаспачо, салат, соус, маринад или коктейльный компонент с грейпфрутовый сок</x:v>
      </x:c>
      <x:c r="J199" s="28" t="str">
        <x:v>Средняя</x:v>
      </x:c>
      <x:c r="K199" s="28" t="str">
        <x:v>The Art &amp; Science of Foodpairing.pdf</x:v>
      </x:c>
      <x:c r="L199" s="28" t="str">
        <x:v>The Art &amp; Science of Foodpairing.pdf: 232</x:v>
      </x:c>
    </x:row>
    <x:row r="200" ht="66" customHeight="1">
      <x:c r="A200" s="28" t="str">
        <x:v>VEG-0466</x:v>
      </x:c>
      <x:c r="B200" s="28" t="str">
        <x:v>морковь</x:v>
      </x:c>
      <x:c r="C200" s="28" t="str">
        <x:v>грецкий орех</x:v>
      </x:c>
      <x:c r="D200" s="28" t="str">
        <x:v>Орехи и семена</x:v>
      </x:c>
      <x:c r="E200" s="28" t="str">
        <x:v>пересечение ароматических семейств</x:v>
      </x:c>
      <x:c r="F200" s="28" t="str">
        <x:v>Морковь имеет профиль «сладкий, землистый, древесный и слегка цитрусовый». Партнёр «грецкий орех» относится к группе «Орехи и семена» и даёт древесный, землистый, ореховый. Профили пересекаются в семействах: древесный, землистый.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0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0" s="28" t="str">
        <x:v>сырая землистость может доминировать; перегрев делает профиль варёно-сладким</x:v>
      </x:c>
      <x:c r="I200" s="28" t="str">
        <x:v>сок, кордиал, гаспачо, салат, соус, маринад или коктейльный компонент с грецкий орех</x:v>
      </x:c>
      <x:c r="J200" s="28" t="str">
        <x:v>Средняя</x:v>
      </x:c>
      <x:c r="K200" s="28" t="str">
        <x:v>Тезариус вкусов (Ники Сегнит)(1).pdf</x:v>
      </x:c>
      <x:c r="L200" s="28" t="str">
        <x:v>Тезариус вкусов (Ники Сегнит)(1).pdf: 602, 627</x:v>
      </x:c>
    </x:row>
    <x:row r="201" ht="66" customHeight="1">
      <x:c r="A201" s="28" t="str">
        <x:v>VEG-0467</x:v>
      </x:c>
      <x:c r="B201" s="28" t="str">
        <x:v>морковь</x:v>
      </x:c>
      <x:c r="C201" s="28" t="str">
        <x:v>груша</x:v>
      </x:c>
      <x:c r="D201" s="28" t="str">
        <x:v>Фрукты и ягоды</x:v>
      </x:c>
      <x:c r="E201" s="28" t="str">
        <x:v>пересечение ароматических семейств; кислотно-сладкий баланс</x:v>
      </x:c>
      <x:c r="F201" s="28" t="str">
        <x:v>Морковь имеет профиль «сладкий, землистый, древесный и слегка цитрусовый».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0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1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201" s="28" t="str">
        <x:v>сок, кордиал, гаспачо, салат, соус, маринад или коктейльный компонент с груша</x:v>
      </x:c>
      <x:c r="J201" s="28" t="str">
        <x:v>Средняя</x:v>
      </x:c>
      <x:c r="K201" s="28" t="str">
        <x:v>The Art &amp; Science of Foodpairing.pdf</x:v>
      </x:c>
      <x:c r="L201" s="28" t="str">
        <x:v>The Art &amp; Science of Foodpairing.pdf: 350</x:v>
      </x:c>
    </x:row>
    <x:row r="202" ht="66" customHeight="1">
      <x:c r="A202" s="28" t="str">
        <x:v>VEG-0468</x:v>
      </x:c>
      <x:c r="B202" s="28" t="str">
        <x:v>морковь</x:v>
      </x:c>
      <x:c r="C202" s="28" t="str">
        <x:v>грюйер</x:v>
      </x:c>
      <x:c r="D202" s="28" t="str">
        <x:v>Прочее</x:v>
      </x:c>
      <x:c r="E202" s="28" t="str">
        <x:v>сенсорная комплементарность</x:v>
      </x:c>
      <x:c r="F202" s="28" t="str">
        <x:v>Морковь имеет профиль «сладкий, землистый, древесный и слегка цитрусовый».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0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2" s="28" t="str">
        <x:v>сырая землистость может доминировать; перегрев делает профиль варёно-сладким</x:v>
      </x:c>
      <x:c r="I202" s="28" t="str">
        <x:v>сок, кордиал, гаспачо, салат, соус, маринад или коктейльный компонент с грюйер</x:v>
      </x:c>
      <x:c r="J202" s="28" t="str">
        <x:v>Средняя</x:v>
      </x:c>
      <x:c r="K202" s="28" t="str">
        <x:v>The Art &amp; Science of Foodpairing.pdf</x:v>
      </x:c>
      <x:c r="L202" s="28" t="str">
        <x:v>The Art &amp; Science of Foodpairing.pdf: 232</x:v>
      </x:c>
    </x:row>
    <x:row r="203" ht="66" customHeight="1">
      <x:c r="A203" s="28" t="str">
        <x:v>VEG-0469</x:v>
      </x:c>
      <x:c r="B203" s="28" t="str">
        <x:v>морковь</x:v>
      </x:c>
      <x:c r="C203" s="28" t="str">
        <x:v>дикий рис</x:v>
      </x:c>
      <x:c r="D203" s="28" t="str">
        <x:v>Выпечка, крупы, сахара и десерты</x:v>
      </x:c>
      <x:c r="E203" s="28" t="str">
        <x:v>пересечение ароматических семейств</x:v>
      </x:c>
      <x:c r="F203" s="28" t="str">
        <x:v>Морковь имеет профиль «сладкий, землистый, древесный и слегка цитрусовый».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0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3" s="28" t="str">
        <x:v>сырая землистость может доминировать; перегрев делает профиль варёно-сладким</x:v>
      </x:c>
      <x:c r="I203" s="28" t="str">
        <x:v>сок, кордиал, гаспачо, салат, соус, маринад или коктейльный компонент с дикий рис</x:v>
      </x:c>
      <x:c r="J203" s="28" t="str">
        <x:v>Средняя</x:v>
      </x:c>
      <x:c r="K203" s="28" t="str">
        <x:v>The Art &amp; Science of Foodpairing.pdf</x:v>
      </x:c>
      <x:c r="L203" s="28" t="str">
        <x:v>The Art &amp; Science of Foodpairing.pdf: 232</x:v>
      </x:c>
    </x:row>
    <x:row r="204" ht="66" customHeight="1">
      <x:c r="A204" s="28" t="str">
        <x:v>VEG-0470</x:v>
      </x:c>
      <x:c r="B204" s="28" t="str">
        <x:v>морковь</x:v>
      </x:c>
      <x:c r="C204" s="28" t="str">
        <x:v>душистый перец</x:v>
      </x:c>
      <x:c r="D204" s="28" t="str">
        <x:v>Специи</x:v>
      </x:c>
      <x:c r="E204" s="28" t="str">
        <x:v>пересечение ароматических семейств</x:v>
      </x:c>
      <x:c r="F204" s="28" t="str">
        <x:v>Морковь имеет профиль «сладкий, землистый, древесный и слегка цитрусовый». Партнёр «душистый перец»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0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4" s="28" t="str">
        <x:v>сырая землистость может доминировать; перегрев делает профиль варёно-сладким</x:v>
      </x:c>
      <x:c r="I204" s="28" t="str">
        <x:v>сок, кордиал, гаспачо, салат, соус, маринад или коктейльный компонент с душистый перец</x:v>
      </x:c>
      <x:c r="J204" s="28" t="str">
        <x:v>Средняя</x:v>
      </x:c>
      <x:c r="K204" s="28" t="str">
        <x:v>The Art &amp; Science of Foodpairing.pdf</x:v>
      </x:c>
      <x:c r="L204" s="28" t="str">
        <x:v>The Art &amp; Science of Foodpairing.pdf: 232</x:v>
      </x:c>
    </x:row>
    <x:row r="205" ht="66" customHeight="1">
      <x:c r="A205" s="28" t="str">
        <x:v>VEG-0471</x:v>
      </x:c>
      <x:c r="B205" s="28" t="str">
        <x:v>морковь</x:v>
      </x:c>
      <x:c r="C205" s="28" t="str">
        <x:v>ежевика</x:v>
      </x:c>
      <x:c r="D205" s="28" t="str">
        <x:v>Прочее</x:v>
      </x:c>
      <x:c r="E205" s="28" t="str">
        <x:v>сенсорная комплементарность</x:v>
      </x:c>
      <x:c r="F205" s="28" t="str">
        <x:v>Морковь имеет профиль «сладкий, землистый, древесный и слегка цитрусовый». Партнёр «ежевика»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0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5" s="28" t="str">
        <x:v>сырая землистость может доминировать; перегрев делает профиль варёно-сладким</x:v>
      </x:c>
      <x:c r="I205" s="28" t="str">
        <x:v>сок, кордиал, гаспачо, салат, соус, маринад или коктейльный компонент с ежевика</x:v>
      </x:c>
      <x:c r="J205" s="28" t="str">
        <x:v>Средняя</x:v>
      </x:c>
      <x:c r="K205" s="28" t="str">
        <x:v>The Art &amp; Science of Foodpairing.pdf</x:v>
      </x:c>
      <x:c r="L205" s="28" t="str">
        <x:v>The Art &amp; Science of Foodpairing.pdf: 232</x:v>
      </x:c>
    </x:row>
    <x:row r="206" ht="66" customHeight="1">
      <x:c r="A206" s="28" t="str">
        <x:v>VEG-0472</x:v>
      </x:c>
      <x:c r="B206" s="28" t="str">
        <x:v>морковь</x:v>
      </x:c>
      <x:c r="C206" s="28" t="str">
        <x:v>зелёные оливки</x:v>
      </x:c>
      <x:c r="D206" s="28" t="str">
        <x:v>Прочее</x:v>
      </x:c>
      <x:c r="E206" s="28" t="str">
        <x:v>сенсорная комплементарность</x:v>
      </x:c>
      <x:c r="F206" s="28" t="str">
        <x:v>Морковь имеет профиль «сладкий, землистый, древесный и слегка цитрусовый». Партнёр «зелёные 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0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6" s="28" t="str">
        <x:v>сырая землистость может доминировать; перегрев делает профиль варёно-сладким</x:v>
      </x:c>
      <x:c r="I206" s="28" t="str">
        <x:v>сок, кордиал, гаспачо, салат, соус, маринад или коктейльный компонент с зелёные оливки</x:v>
      </x:c>
      <x:c r="J206" s="28" t="str">
        <x:v>Средняя</x:v>
      </x:c>
      <x:c r="K206" s="28" t="str">
        <x:v>The Art &amp; Science of Foodpairing.pdf</x:v>
      </x:c>
      <x:c r="L206" s="28" t="str">
        <x:v>The Art &amp; Science of Foodpairing.pdf: 232</x:v>
      </x:c>
    </x:row>
    <x:row r="207" ht="66" customHeight="1">
      <x:c r="A207" s="28" t="str">
        <x:v>VEG-0473</x:v>
      </x:c>
      <x:c r="B207" s="28" t="str">
        <x:v>морковь</x:v>
      </x:c>
      <x:c r="C207" s="28" t="str">
        <x:v>зира</x:v>
      </x:c>
      <x:c r="D207" s="28" t="str">
        <x:v>Специи</x:v>
      </x:c>
      <x:c r="E207" s="28" t="str">
        <x:v>пересечение ароматических семейств</x:v>
      </x:c>
      <x:c r="F207" s="28" t="str">
        <x:v>Морковь имеет профиль «сладкий, землистый, древесный и слегка цитрусовый». Партнёр «зира» относится к группе «Специи» и даёт жареный, землистый, пряный. Профили пересекаются в семействах: землистый.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0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7" s="28" t="str">
        <x:v>сырая землистость может доминировать; перегрев делает профиль варёно-сладким</x:v>
      </x:c>
      <x:c r="I207" s="28" t="str">
        <x:v>сок, кордиал, гаспачо, салат, соус, маринад или коктейльный компонент с зира</x:v>
      </x:c>
      <x:c r="J207" s="28" t="str">
        <x:v>Средняя</x:v>
      </x:c>
      <x:c r="K207" s="28" t="str">
        <x:v>Тезариус вкусов (Ники Сегнит)(1).pdf</x:v>
      </x:c>
      <x:c r="L207" s="28" t="str">
        <x:v>Тезариус вкусов (Ники Сегнит)(1).pdf: 217, 603</x:v>
      </x:c>
    </x:row>
    <x:row r="208" ht="66" customHeight="1">
      <x:c r="A208" s="28" t="str">
        <x:v>VEG-0474</x:v>
      </x:c>
      <x:c r="B208" s="28" t="str">
        <x:v>морковь</x:v>
      </x:c>
      <x:c r="C208" s="28" t="str">
        <x:v>изюм</x:v>
      </x:c>
      <x:c r="D208" s="28" t="str">
        <x:v>Прочее</x:v>
      </x:c>
      <x:c r="E208" s="28" t="str">
        <x:v>сенсорная комплементарность</x:v>
      </x:c>
      <x:c r="F208" s="28" t="str">
        <x:v>Морковь имеет профиль «сладкий, землистый, древесный и слегка цитрусовый». Партнёр «изюм»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0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8" s="28" t="str">
        <x:v>сырая землистость может доминировать; перегрев делает профиль варёно-сладким</x:v>
      </x:c>
      <x:c r="I208" s="28" t="str">
        <x:v>сок, кордиал, гаспачо, салат, соус, маринад или коктейльный компонент с изюм</x:v>
      </x:c>
      <x:c r="J208" s="28" t="str">
        <x:v>Средняя</x:v>
      </x:c>
      <x:c r="K208" s="28" t="str">
        <x:v>The Art &amp; Science of Foodpairing.pdf</x:v>
      </x:c>
      <x:c r="L208" s="28" t="str">
        <x:v>The Art &amp; Science of Foodpairing.pdf: 232</x:v>
      </x:c>
    </x:row>
    <x:row r="209" ht="66" customHeight="1">
      <x:c r="A209" s="28" t="str">
        <x:v>VEG-0475</x:v>
      </x:c>
      <x:c r="B209" s="28" t="str">
        <x:v>морковь</x:v>
      </x:c>
      <x:c r="C209" s="28" t="str">
        <x:v>имбирь</x:v>
      </x:c>
      <x:c r="D209" s="28" t="str">
        <x:v>Специи</x:v>
      </x:c>
      <x:c r="E209" s="28" t="str">
        <x:v>сенсорная комплементарность</x:v>
      </x:c>
      <x:c r="F209" s="28" t="str">
        <x:v>Морковь имеет профиль «сладкий, землистый, древесный и слегка цитрусовый».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0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9" s="28" t="str">
        <x:v>сырая землистость может доминировать; перегрев делает профиль варёно-сладким</x:v>
      </x:c>
      <x:c r="I209" s="28" t="str">
        <x:v>сок, кордиал, гаспачо, салат, соус, маринад или коктейльный компонент с имбирь</x:v>
      </x:c>
      <x:c r="J209" s="28" t="str">
        <x:v>Гипотеза / практическая</x:v>
      </x:c>
      <x:c r="K209" s="28" t="str">
        <x:v>Таблица сочетания(1).pdf</x:v>
      </x:c>
      <x:c r="L209" s="28" t="str">
        <x:v>Таблица сочетания(1).pdf: 4</x:v>
      </x:c>
    </x:row>
    <x:row r="210" ht="66" customHeight="1">
      <x:c r="A210" s="28" t="str">
        <x:v>VEG-0476</x:v>
      </x:c>
      <x:c r="B210" s="28" t="str">
        <x:v>морковь</x:v>
      </x:c>
      <x:c r="C210" s="28" t="str">
        <x:v>испанский чоризо</x:v>
      </x:c>
      <x:c r="D210" s="28" t="str">
        <x:v>Прочее</x:v>
      </x:c>
      <x:c r="E210" s="28" t="str">
        <x:v>сенсорная комплементарность</x:v>
      </x:c>
      <x:c r="F210" s="28" t="str">
        <x:v>Морковь имеет профиль «сладкий, землистый, древесный и слегка цитрусовый».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1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0" s="28" t="str">
        <x:v>сырая землистость может доминировать; перегрев делает профиль варёно-сладким</x:v>
      </x:c>
      <x:c r="I210" s="28" t="str">
        <x:v>сок, кордиал, гаспачо, салат, соус, маринад или коктейльный компонент с испанский чоризо</x:v>
      </x:c>
      <x:c r="J210" s="28" t="str">
        <x:v>Средняя</x:v>
      </x:c>
      <x:c r="K210" s="28" t="str">
        <x:v>The Art &amp; Science of Foodpairing.pdf</x:v>
      </x:c>
      <x:c r="L210" s="28" t="str">
        <x:v>The Art &amp; Science of Foodpairing.pdf: 232</x:v>
      </x:c>
    </x:row>
    <x:row r="211" ht="66" customHeight="1">
      <x:c r="A211" s="28" t="str">
        <x:v>VEG-0477</x:v>
      </x:c>
      <x:c r="B211" s="28" t="str">
        <x:v>морковь</x:v>
      </x:c>
      <x:c r="C211" s="28" t="str">
        <x:v>какао-порошок</x:v>
      </x:c>
      <x:c r="D211" s="28" t="str">
        <x:v>Какао и шоколад</x:v>
      </x:c>
      <x:c r="E211" s="28" t="str">
        <x:v>сенсорная комплементарность</x:v>
      </x:c>
      <x:c r="F211" s="28" t="str">
        <x:v>Морковь имеет профиль «сладкий, землистый, древесный и слегка цитрусовый». Партнёр «какао-порошок» относится к группе «Какао и шоколад» и даёт какаовый, жареный и горько-сладкий.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1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1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I211" s="28" t="str">
        <x:v>сок, кордиал, гаспачо, салат, соус, маринад или коктейльный компонент с какао-порошок</x:v>
      </x:c>
      <x:c r="J211" s="28" t="str">
        <x:v>Средняя</x:v>
      </x:c>
      <x:c r="K211" s="28" t="str">
        <x:v>The Art &amp; Science of Foodpairing.pdf</x:v>
      </x:c>
      <x:c r="L211" s="28" t="str">
        <x:v>The Art &amp; Science of Foodpairing.pdf: 232</x:v>
      </x:c>
    </x:row>
    <x:row r="212" ht="66" customHeight="1">
      <x:c r="A212" s="28" t="str">
        <x:v>VEG-0478</x:v>
      </x:c>
      <x:c r="B212" s="28" t="str">
        <x:v>морковь</x:v>
      </x:c>
      <x:c r="C212" s="28" t="str">
        <x:v>кардамон</x:v>
      </x:c>
      <x:c r="D212" s="28" t="str">
        <x:v>Специи</x:v>
      </x:c>
      <x:c r="E212" s="28" t="str">
        <x:v>сенсорная комплементарность</x:v>
      </x:c>
      <x:c r="F212" s="28" t="str">
        <x:v>Морковь имеет профиль «сладкий, землистый, древесный и слегка цитрусовый».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1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2" s="28" t="str">
        <x:v>сырая землистость может доминировать; перегрев делает профиль варёно-сладким</x:v>
      </x:c>
      <x:c r="I212" s="28" t="str">
        <x:v>сок, кордиал, гаспачо, салат, соус, маринад или коктейльный компонент с кардамон</x:v>
      </x:c>
      <x:c r="J212" s="28" t="str">
        <x:v>Высокая</x:v>
      </x:c>
      <x:c r="K212" s="28" t="str">
        <x:v>The Art &amp; Science of Foodpairing.pdf | Таблица сочетания(1).pdf | Тезариус вкусов (Ники Сегнит)(1).pdf</x:v>
      </x:c>
      <x:c r="L212" s="28" t="str">
        <x:v>Таблица сочетания(1).pdf: 4; Тезариус вкусов (Ники Сегнит)(1).pdf: 604, 830; The Art &amp; Science of Foodpairing.pdf: 232</x:v>
      </x:c>
    </x:row>
    <x:row r="213" ht="66" customHeight="1">
      <x:c r="A213" s="28" t="str">
        <x:v>VEG-0479</x:v>
      </x:c>
      <x:c r="B213" s="28" t="str">
        <x:v>морковь</x:v>
      </x:c>
      <x:c r="C213" s="28" t="str">
        <x:v>кефаль</x:v>
      </x:c>
      <x:c r="D213" s="28" t="str">
        <x:v>Рыба и морепродукты</x:v>
      </x:c>
      <x:c r="E213" s="28" t="str">
        <x:v>умами и солёный контраст</x:v>
      </x:c>
      <x:c r="F213" s="28" t="str">
        <x:v>Морковь имеет профиль «сладкий, землистый, древесный и слегка цитрусовый». Партнёр «кефаль»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1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3" s="28" t="str">
        <x:v>сырая землистость может доминировать; перегрев делает профиль варёно-сладким</x:v>
      </x:c>
      <x:c r="I213" s="28" t="str">
        <x:v>сок, кордиал, гаспачо, салат, соус, маринад или коктейльный компонент с кефаль</x:v>
      </x:c>
      <x:c r="J213" s="28" t="str">
        <x:v>Средняя</x:v>
      </x:c>
      <x:c r="K213" s="28" t="str">
        <x:v>The Art &amp; Science of Foodpairing.pdf</x:v>
      </x:c>
      <x:c r="L213" s="28" t="str">
        <x:v>The Art &amp; Science of Foodpairing.pdf: 232</x:v>
      </x:c>
    </x:row>
    <x:row r="214" ht="66" customHeight="1">
      <x:c r="A214" s="28" t="str">
        <x:v>VEG-0480</x:v>
      </x:c>
      <x:c r="B214" s="28" t="str">
        <x:v>морковь</x:v>
      </x:c>
      <x:c r="C214" s="28" t="str">
        <x:v>кефир</x:v>
      </x:c>
      <x:c r="D214" s="28" t="str">
        <x:v>Прочее</x:v>
      </x:c>
      <x:c r="E214" s="28" t="str">
        <x:v>сенсорная комплементарность</x:v>
      </x:c>
      <x:c r="F214" s="28" t="str">
        <x:v>Морковь имеет профиль «сладкий, землистый, древесный и слегка цитрусовый». Партнёр «кефир»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1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4" s="28" t="str">
        <x:v>сырая землистость может доминировать; перегрев делает профиль варёно-сладким</x:v>
      </x:c>
      <x:c r="I214" s="28" t="str">
        <x:v>сок, кордиал, гаспачо, салат, соус, маринад или коктейльный компонент с кефир</x:v>
      </x:c>
      <x:c r="J214" s="28" t="str">
        <x:v>Средняя</x:v>
      </x:c>
      <x:c r="K214" s="28" t="str">
        <x:v>The Art &amp; Science of Foodpairing.pdf</x:v>
      </x:c>
      <x:c r="L214" s="28" t="str">
        <x:v>The Art &amp; Science of Foodpairing.pdf: 232</x:v>
      </x:c>
    </x:row>
    <x:row r="215" ht="66" customHeight="1">
      <x:c r="A215" s="28" t="str">
        <x:v>VEG-0481</x:v>
      </x:c>
      <x:c r="B215" s="28" t="str">
        <x:v>морковь</x:v>
      </x:c>
      <x:c r="C215" s="28" t="str">
        <x:v>клубника</x:v>
      </x:c>
      <x:c r="D215" s="28" t="str">
        <x:v>Фрукты и ягоды</x:v>
      </x:c>
      <x:c r="E215" s="28" t="str">
        <x:v>кислотно-сладкий баланс</x:v>
      </x:c>
      <x:c r="F215" s="28" t="str">
        <x:v>Морковь имеет профиль «сладкий, землистый, древесный и слегка цитрусовый».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1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5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215" s="28" t="str">
        <x:v>сок, кордиал, гаспачо, салат, соус, маринад или коктейльный компонент с клубника</x:v>
      </x:c>
      <x:c r="J215" s="28" t="str">
        <x:v>Средняя</x:v>
      </x:c>
      <x:c r="K215" s="28" t="str">
        <x:v>The Art &amp; Science of Foodpairing.pdf</x:v>
      </x:c>
      <x:c r="L215" s="28" t="str">
        <x:v>The Art &amp; Science of Foodpairing.pdf: 232</x:v>
      </x:c>
    </x:row>
    <x:row r="216" ht="66" customHeight="1">
      <x:c r="A216" s="28" t="str">
        <x:v>VEG-0482</x:v>
      </x:c>
      <x:c r="B216" s="28" t="str">
        <x:v>морковь</x:v>
      </x:c>
      <x:c r="C216" s="28" t="str">
        <x:v>клюква</x:v>
      </x:c>
      <x:c r="D216" s="28" t="str">
        <x:v>Прочее</x:v>
      </x:c>
      <x:c r="E216" s="28" t="str">
        <x:v>сенсорная комплементарность</x:v>
      </x:c>
      <x:c r="F216" s="28" t="str">
        <x:v>Морковь имеет профиль «сладкий, землистый, древесный и слегка цитрусовый». Партнёр «клюква»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1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6" s="28" t="str">
        <x:v>сырая землистость может доминировать; перегрев делает профиль варёно-сладким</x:v>
      </x:c>
      <x:c r="I216" s="28" t="str">
        <x:v>сок, кордиал, гаспачо, салат, соус, маринад или коктейльный компонент с клюква</x:v>
      </x:c>
      <x:c r="J216" s="28" t="str">
        <x:v>Средняя</x:v>
      </x:c>
      <x:c r="K216" s="28" t="str">
        <x:v>The Art &amp; Science of Foodpairing.pdf</x:v>
      </x:c>
      <x:c r="L216" s="28" t="str">
        <x:v>The Art &amp; Science of Foodpairing.pdf: 232</x:v>
      </x:c>
    </x:row>
    <x:row r="217" ht="66" customHeight="1">
      <x:c r="A217" s="28" t="str">
        <x:v>VEG-0483</x:v>
      </x:c>
      <x:c r="B217" s="28" t="str">
        <x:v>морковь</x:v>
      </x:c>
      <x:c r="C217" s="28" t="str">
        <x:v>кокос</x:v>
      </x:c>
      <x:c r="D217" s="28" t="str">
        <x:v>Прочее</x:v>
      </x:c>
      <x:c r="E217" s="28" t="str">
        <x:v>сенсорная комплементарность</x:v>
      </x:c>
      <x:c r="F217" s="28" t="str">
        <x:v>Морковь имеет профиль «сладкий, землистый, древесный и слегка цитрусовый».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1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7" s="28" t="str">
        <x:v>сырая землистость может доминировать; перегрев делает профиль варёно-сладким</x:v>
      </x:c>
      <x:c r="I217" s="28" t="str">
        <x:v>сок, кордиал, гаспачо, салат, соус, маринад или коктейльный компонент с кокос</x:v>
      </x:c>
      <x:c r="J217" s="28" t="str">
        <x:v>Средняя</x:v>
      </x:c>
      <x:c r="K217" s="28" t="str">
        <x:v>Тезариус вкусов (Ники Сегнит)(1).pdf</x:v>
      </x:c>
      <x:c r="L217" s="28" t="str">
        <x:v>Тезариус вкусов (Ники Сегнит)(1).pdf: 604, 759</x:v>
      </x:c>
    </x:row>
    <x:row r="218" ht="66" customHeight="1">
      <x:c r="A218" s="28" t="str">
        <x:v>VEG-0484</x:v>
      </x:c>
      <x:c r="B218" s="28" t="str">
        <x:v>морковь</x:v>
      </x:c>
      <x:c r="C218" s="28" t="str">
        <x:v>коньяк</x:v>
      </x:c>
      <x:c r="D218" s="28" t="str">
        <x:v>Алкогольные напитки</x:v>
      </x:c>
      <x:c r="E218" s="28" t="str">
        <x:v>пересечение ароматических семейств</x:v>
      </x:c>
      <x:c r="F218" s="28" t="str">
        <x:v>Морковь имеет профиль «сладкий, землистый, древесный и слегка цитрусовый». Партнёр «коньяк»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1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8" s="28" t="str">
        <x:v>сырая землистость может доминировать; перегрев делает профиль варёно-сладким</x:v>
      </x:c>
      <x:c r="I218" s="28" t="str">
        <x:v>сок, кордиал, гаспачо, салат, соус, маринад или коктейльный компонент с коньяк</x:v>
      </x:c>
      <x:c r="J218" s="28" t="str">
        <x:v>Средняя</x:v>
      </x:c>
      <x:c r="K218" s="28" t="str">
        <x:v>The Art &amp; Science of Foodpairing.pdf</x:v>
      </x:c>
      <x:c r="L218" s="28" t="str">
        <x:v>The Art &amp; Science of Foodpairing.pdf: 123</x:v>
      </x:c>
    </x:row>
    <x:row r="219" ht="66" customHeight="1">
      <x:c r="A219" s="28" t="str">
        <x:v>VEG-0485</x:v>
      </x:c>
      <x:c r="B219" s="28" t="str">
        <x:v>морковь</x:v>
      </x:c>
      <x:c r="C219" s="28" t="str">
        <x:v>корица</x:v>
      </x:c>
      <x:c r="D219" s="28" t="str">
        <x:v>Специи</x:v>
      </x:c>
      <x:c r="E219" s="28" t="str">
        <x:v>пересечение ароматических семейств</x:v>
      </x:c>
      <x:c r="F219" s="28" t="str">
        <x:v>Морковь имеет профиль «сладкий, землистый, древесный и слегка цитрусовый». Партнёр «корица» относится к группе «Специи» и даёт древесный, пряный, сладкий. Профили пересекаются в семействах: древесный,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1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9" s="28" t="str">
        <x:v>сырая землистость может доминировать; перегрев делает профиль варёно-сладким</x:v>
      </x:c>
      <x:c r="I219" s="28" t="str">
        <x:v>сок, кордиал, гаспачо, салат, соус, маринад или коктейльный компонент с корица</x:v>
      </x:c>
      <x:c r="J219" s="28" t="str">
        <x:v>Высокая</x:v>
      </x:c>
      <x:c r="K219" s="28" t="str">
        <x:v>Таблица сочетания(1).pdf | Тезариус вкусов (Ники Сегнит)(1).pdf</x:v>
      </x:c>
      <x:c r="L219" s="28" t="str">
        <x:v>Таблица сочетания(1).pdf: 4; Тезариус вкусов (Ники Сегнит)(1).pdf: 577, 605</x:v>
      </x:c>
    </x:row>
    <x:row r="220" ht="66" customHeight="1">
      <x:c r="A220" s="28" t="str">
        <x:v>VEG-0486</x:v>
      </x:c>
      <x:c r="B220" s="28" t="str">
        <x:v>морковь</x:v>
      </x:c>
      <x:c r="C220" s="28" t="str">
        <x:v>кофе</x:v>
      </x:c>
      <x:c r="D220" s="28" t="str">
        <x:v>Кофе</x:v>
      </x:c>
      <x:c r="E220" s="28" t="str">
        <x:v>сенсорная комплементарность</x:v>
      </x:c>
      <x:c r="F220" s="28" t="str">
        <x:v>Морковь имеет профиль «сладкий, землистый, древесный и слегка цитрусовый».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2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0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I220" s="28" t="str">
        <x:v>сок, кордиал, гаспачо, салат, соус, маринад или коктейльный компонент с кофе</x:v>
      </x:c>
      <x:c r="J220" s="28" t="str">
        <x:v>Средняя</x:v>
      </x:c>
      <x:c r="K220" s="28" t="str">
        <x:v>The Art &amp; Science of Foodpairing.pdf</x:v>
      </x:c>
      <x:c r="L220" s="28" t="str">
        <x:v>The Art &amp; Science of Foodpairing.pdf: 297</x:v>
      </x:c>
    </x:row>
    <x:row r="221" ht="66" customHeight="1">
      <x:c r="A221" s="28" t="str">
        <x:v>VEG-0487</x:v>
      </x:c>
      <x:c r="B221" s="28" t="str">
        <x:v>морковь</x:v>
      </x:c>
      <x:c r="C221" s="28" t="str">
        <x:v>красный луциан</x:v>
      </x:c>
      <x:c r="D221" s="28" t="str">
        <x:v>Рыба и морепродукты</x:v>
      </x:c>
      <x:c r="E221" s="28" t="str">
        <x:v>умами и солёный контраст</x:v>
      </x:c>
      <x:c r="F221" s="28" t="str">
        <x:v>Морковь имеет профиль «сладкий, землистый, древесный и слегка цитрусовый». Партнёр «красный луциан»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2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1" s="28" t="str">
        <x:v>сырая землистость может доминировать; перегрев делает профиль варёно-сладким</x:v>
      </x:c>
      <x:c r="I221" s="28" t="str">
        <x:v>сок, кордиал, гаспачо, салат, соус, маринад или коктейльный компонент с красный луциан</x:v>
      </x:c>
      <x:c r="J221" s="28" t="str">
        <x:v>Средняя</x:v>
      </x:c>
      <x:c r="K221" s="28" t="str">
        <x:v>The Art &amp; Science of Foodpairing.pdf</x:v>
      </x:c>
      <x:c r="L221" s="28" t="str">
        <x:v>The Art &amp; Science of Foodpairing.pdf: 232</x:v>
      </x:c>
    </x:row>
    <x:row r="222" ht="66" customHeight="1">
      <x:c r="A222" s="28" t="str">
        <x:v>VEG-0488</x:v>
      </x:c>
      <x:c r="B222" s="28" t="str">
        <x:v>морковь</x:v>
      </x:c>
      <x:c r="C222" s="28" t="str">
        <x:v>кунжут</x:v>
      </x:c>
      <x:c r="D222" s="28" t="str">
        <x:v>Орехи и семена</x:v>
      </x:c>
      <x:c r="E222" s="28" t="str">
        <x:v>сенсорная комплементарность</x:v>
      </x:c>
      <x:c r="F222" s="28" t="str">
        <x:v>Морковь имеет профиль «сладкий, землистый, древесный и слегка цитрусовый». Партнёр «кунжут»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2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2" s="28" t="str">
        <x:v>сырая землистость может доминировать; перегрев делает профиль варёно-сладким</x:v>
      </x:c>
      <x:c r="I222" s="28" t="str">
        <x:v>сок, кордиал, гаспачо, салат, соус, маринад или коктейльный компонент с кунжут</x:v>
      </x:c>
      <x:c r="J222" s="28" t="str">
        <x:v>Высокая</x:v>
      </x:c>
      <x:c r="K222" s="28" t="str">
        <x:v>The Art &amp; Science of Foodpairing.pdf</x:v>
      </x:c>
      <x:c r="L222" s="28" t="str">
        <x:v>The Art &amp; Science of Foodpairing.pdf: 233</x:v>
      </x:c>
    </x:row>
    <x:row r="223" ht="66" customHeight="1">
      <x:c r="A223" s="28" t="str">
        <x:v>VEG-0489</x:v>
      </x:c>
      <x:c r="B223" s="28" t="str">
        <x:v>морковь</x:v>
      </x:c>
      <x:c r="C223" s="28" t="str">
        <x:v>лайм</x:v>
      </x:c>
      <x:c r="D223" s="28" t="str">
        <x:v>Фрукты и ягоды</x:v>
      </x:c>
      <x:c r="E223" s="28" t="str">
        <x:v>кислотно-сладкий баланс</x:v>
      </x:c>
      <x:c r="F223" s="28" t="str">
        <x:v>Морковь имеет профиль «сладкий, землистый, древесный и слегка цитрусовый». Партнёр «лайм» относится к группе «Фрукты и ягоды» и даёт зелёный, кислый,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2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3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223" s="28" t="str">
        <x:v>сок, кордиал, гаспачо, салат, соус, маринад или коктейльный компонент с лайм</x:v>
      </x:c>
      <x:c r="J223" s="28" t="str">
        <x:v>Гипотеза / практическая</x:v>
      </x:c>
      <x:c r="K223" s="28" t="str">
        <x:v>Таблица сочетания(1).pdf</x:v>
      </x:c>
      <x:c r="L223" s="28" t="str">
        <x:v>Таблица сочетания(1).pdf: 4</x:v>
      </x:c>
    </x:row>
    <x:row r="224" ht="66" customHeight="1">
      <x:c r="A224" s="28" t="str">
        <x:v>VEG-0490</x:v>
      </x:c>
      <x:c r="B224" s="28" t="str">
        <x:v>морковь</x:v>
      </x:c>
      <x:c r="C224" s="28" t="str">
        <x:v>лемонграсс</x:v>
      </x:c>
      <x:c r="D224" s="28" t="str">
        <x:v>Травы, цветы и листья</x:v>
      </x:c>
      <x:c r="E224" s="28" t="str">
        <x:v>сенсорная комплементарность</x:v>
      </x:c>
      <x:c r="F224" s="28" t="str">
        <x:v>Морковь имеет профиль «сладкий, землистый, древесный и слегка цитрусовый». Партнёр «лемонграсс»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2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4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224" s="28" t="str">
        <x:v>сок, кордиал, гаспачо, салат, соус, маринад или коктейльный компонент с лемонграсс</x:v>
      </x:c>
      <x:c r="J224" s="28" t="str">
        <x:v>Средняя</x:v>
      </x:c>
      <x:c r="K224" s="28" t="str">
        <x:v>The Art &amp; Science of Foodpairing.pdf</x:v>
      </x:c>
      <x:c r="L224" s="28" t="str">
        <x:v>The Art &amp; Science of Foodpairing.pdf: 232</x:v>
      </x:c>
    </x:row>
    <x:row r="225" ht="66" customHeight="1">
      <x:c r="A225" s="28" t="str">
        <x:v>VEG-0491</x:v>
      </x:c>
      <x:c r="B225" s="28" t="str">
        <x:v>морковь</x:v>
      </x:c>
      <x:c r="C225" s="28" t="str">
        <x:v>лист муиньи</x:v>
      </x:c>
      <x:c r="D225" s="28" t="str">
        <x:v>Прочее</x:v>
      </x:c>
      <x:c r="E225" s="28" t="str">
        <x:v>сенсорная комплементарность</x:v>
      </x:c>
      <x:c r="F225" s="28" t="str">
        <x:v>Морковь имеет профиль «сладкий, землистый, древесный и слегка цитрусовый». Партнёр «лист муиньи»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2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5" s="28" t="str">
        <x:v>сырая землистость может доминировать; перегрев делает профиль варёно-сладким</x:v>
      </x:c>
      <x:c r="I225" s="28" t="str">
        <x:v>сок, кордиал, гаспачо, салат, соус, маринад или коктейльный компонент с лист муиньи</x:v>
      </x:c>
      <x:c r="J225" s="28" t="str">
        <x:v>Средняя</x:v>
      </x:c>
      <x:c r="K225" s="28" t="str">
        <x:v>The Art &amp; Science of Foodpairing.pdf</x:v>
      </x:c>
      <x:c r="L225" s="28" t="str">
        <x:v>The Art &amp; Science of Foodpairing.pdf: 232</x:v>
      </x:c>
    </x:row>
    <x:row r="226" ht="66" customHeight="1">
      <x:c r="A226" s="28" t="str">
        <x:v>VEG-0492</x:v>
      </x:c>
      <x:c r="B226" s="28" t="str">
        <x:v>морковь</x:v>
      </x:c>
      <x:c r="C226" s="28" t="str">
        <x:v>листья кориандра</x:v>
      </x:c>
      <x:c r="D226" s="28" t="str">
        <x:v>Травы, цветы и листья</x:v>
      </x:c>
      <x:c r="E226" s="28" t="str">
        <x:v>сенсорная комплементарность</x:v>
      </x:c>
      <x:c r="F226" s="28" t="str">
        <x:v>Морковь имеет профиль «сладкий, землистый, древесный и слегка цитрусовый».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2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6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226" s="28" t="str">
        <x:v>сок, кордиал, гаспачо, салат, соус, маринад или коктейльный компонент с листья кориандра</x:v>
      </x:c>
      <x:c r="J226" s="28" t="str">
        <x:v>Средняя</x:v>
      </x:c>
      <x:c r="K226" s="28" t="str">
        <x:v>The Art &amp; Science of Foodpairing.pdf</x:v>
      </x:c>
      <x:c r="L226" s="28" t="str">
        <x:v>The Art &amp; Science of Foodpairing.pdf: 232</x:v>
      </x:c>
    </x:row>
    <x:row r="227" ht="66" customHeight="1">
      <x:c r="A227" s="28" t="str">
        <x:v>VEG-0493</x:v>
      </x:c>
      <x:c r="B227" s="28" t="str">
        <x:v>морковь</x:v>
      </x:c>
      <x:c r="C227" s="28" t="str">
        <x:v>лосось</x:v>
      </x:c>
      <x:c r="D227" s="28" t="str">
        <x:v>Рыба и морепродукты</x:v>
      </x:c>
      <x:c r="E227" s="28" t="str">
        <x:v>умами и солёный контраст</x:v>
      </x:c>
      <x:c r="F227" s="28" t="str">
        <x:v>Морковь имеет профиль «сладкий, землистый, древесный и слегка цитрусовый».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2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7" s="28" t="str">
        <x:v>сырая землистость может доминировать; перегрев делает профиль варёно-сладким</x:v>
      </x:c>
      <x:c r="I227" s="28" t="str">
        <x:v>сок, кордиал, гаспачо, салат, соус, маринад или коктейльный компонент с лосось</x:v>
      </x:c>
      <x:c r="J227" s="28" t="str">
        <x:v>Средняя</x:v>
      </x:c>
      <x:c r="K227" s="28" t="str">
        <x:v>The Art &amp; Science of Foodpairing.pdf</x:v>
      </x:c>
      <x:c r="L227" s="28" t="str">
        <x:v>The Art &amp; Science of Foodpairing.pdf: 232</x:v>
      </x:c>
    </x:row>
    <x:row r="228" ht="66" customHeight="1">
      <x:c r="A228" s="28" t="str">
        <x:v>VEG-0494</x:v>
      </x:c>
      <x:c r="B228" s="28" t="str">
        <x:v>морковь</x:v>
      </x:c>
      <x:c r="C228" s="28" t="str">
        <x:v>майоран</x:v>
      </x:c>
      <x:c r="D228" s="28" t="str">
        <x:v>Прочее</x:v>
      </x:c>
      <x:c r="E228" s="28" t="str">
        <x:v>сенсорная комплементарность</x:v>
      </x:c>
      <x:c r="F228" s="28" t="str">
        <x:v>Морковь имеет профиль «сладкий, землистый, древесный и слегка цитрусовый». Партнёр «майоран»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2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8" s="28" t="str">
        <x:v>сырая землистость может доминировать; перегрев делает профиль варёно-сладким</x:v>
      </x:c>
      <x:c r="I228" s="28" t="str">
        <x:v>сок, кордиал, гаспачо, салат, соус, маринад или коктейльный компонент с майоран</x:v>
      </x:c>
      <x:c r="J228" s="28" t="str">
        <x:v>Средняя</x:v>
      </x:c>
      <x:c r="K228" s="28" t="str">
        <x:v>The Art &amp; Science of Foodpairing.pdf</x:v>
      </x:c>
      <x:c r="L228" s="28" t="str">
        <x:v>The Art &amp; Science of Foodpairing.pdf: 232</x:v>
      </x:c>
    </x:row>
    <x:row r="229" ht="66" customHeight="1">
      <x:c r="A229" s="28" t="str">
        <x:v>VEG-0495</x:v>
      </x:c>
      <x:c r="B229" s="28" t="str">
        <x:v>морковь</x:v>
      </x:c>
      <x:c r="C229" s="28" t="str">
        <x:v>маниок</x:v>
      </x:c>
      <x:c r="D229" s="28" t="str">
        <x:v>Прочее</x:v>
      </x:c>
      <x:c r="E229" s="28" t="str">
        <x:v>сенсорная комплементарность</x:v>
      </x:c>
      <x:c r="F229" s="28" t="str">
        <x:v>Морковь имеет профиль «сладкий, землистый, древесный и слегка цитрусовый».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2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9" s="28" t="str">
        <x:v>сырая землистость может доминировать; перегрев делает профиль варёно-сладким</x:v>
      </x:c>
      <x:c r="I229" s="28" t="str">
        <x:v>сок, кордиал, гаспачо, салат, соус, маринад или коктейльный компонент с маниок</x:v>
      </x:c>
      <x:c r="J229" s="28" t="str">
        <x:v>Средняя</x:v>
      </x:c>
      <x:c r="K229" s="28" t="str">
        <x:v>The Art &amp; Science of Foodpairing.pdf</x:v>
      </x:c>
      <x:c r="L229" s="28" t="str">
        <x:v>The Art &amp; Science of Foodpairing.pdf: 251</x:v>
      </x:c>
    </x:row>
    <x:row r="230" ht="66" customHeight="1">
      <x:c r="A230" s="28" t="str">
        <x:v>VEG-0496</x:v>
      </x:c>
      <x:c r="B230" s="28" t="str">
        <x:v>морковь</x:v>
      </x:c>
      <x:c r="C230" s="28" t="str">
        <x:v>миндаль</x:v>
      </x:c>
      <x:c r="D230" s="28" t="str">
        <x:v>Орехи и семена</x:v>
      </x:c>
      <x:c r="E230" s="28" t="str">
        <x:v>сенсорная комплементарность</x:v>
      </x:c>
      <x:c r="F230" s="28" t="str">
        <x:v>Морковь имеет профиль «сладкий, землистый, древесный и слегка цитрусовый». Партнёр «миндаль» относится к группе «Орехи и семена» и даёт жареный, миндальный,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3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0" s="28" t="str">
        <x:v>сырая землистость может доминировать; перегрев делает профиль варёно-сладким</x:v>
      </x:c>
      <x:c r="I230" s="28" t="str">
        <x:v>сок, кордиал, гаспачо, салат, соус, маринад или коктейльный компонент с миндаль</x:v>
      </x:c>
      <x:c r="J230" s="28" t="str">
        <x:v>Средняя</x:v>
      </x:c>
      <x:c r="K230" s="28" t="str">
        <x:v>The Art &amp; Science of Foodpairing.pdf</x:v>
      </x:c>
      <x:c r="L230" s="28" t="str">
        <x:v>The Art &amp; Science of Foodpairing.pdf: 232</x:v>
      </x:c>
    </x:row>
    <x:row r="231" ht="66" customHeight="1">
      <x:c r="A231" s="28" t="str">
        <x:v>VEG-0497</x:v>
      </x:c>
      <x:c r="B231" s="28" t="str">
        <x:v>морковь</x:v>
      </x:c>
      <x:c r="C231" s="28" t="str">
        <x:v>можжевельник</x:v>
      </x:c>
      <x:c r="D231" s="28" t="str">
        <x:v>Прочее</x:v>
      </x:c>
      <x:c r="E231" s="28" t="str">
        <x:v>сенсорная комплементарность</x:v>
      </x:c>
      <x:c r="F231" s="28" t="str">
        <x:v>Морковь имеет профиль «сладкий, землистый, древесный и слегка цитрусовый». Партнёр «можжевельник»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3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1" s="28" t="str">
        <x:v>сырая землистость может доминировать; перегрев делает профиль варёно-сладким</x:v>
      </x:c>
      <x:c r="I231" s="28" t="str">
        <x:v>сок, кордиал, гаспачо, салат, соус, маринад или коктейльный компонент с можжевельник</x:v>
      </x:c>
      <x:c r="J231" s="28" t="str">
        <x:v>Гипотеза / практическая</x:v>
      </x:c>
      <x:c r="K231" s="28" t="str">
        <x:v>Таблица сочетания(1).pdf</x:v>
      </x:c>
      <x:c r="L231" s="28" t="str">
        <x:v>Таблица сочетания(1).pdf: 4</x:v>
      </x:c>
    </x:row>
    <x:row r="232" ht="66" customHeight="1">
      <x:c r="A232" s="28" t="str">
        <x:v>VEG-0498</x:v>
      </x:c>
      <x:c r="B232" s="28" t="str">
        <x:v>морковь</x:v>
      </x:c>
      <x:c r="C232" s="28" t="str">
        <x:v>мята</x:v>
      </x:c>
      <x:c r="D232" s="28" t="str">
        <x:v>Травы, цветы и листья</x:v>
      </x:c>
      <x:c r="E232" s="28" t="str">
        <x:v>сенсорная комплементарность</x:v>
      </x:c>
      <x:c r="F232" s="28" t="str">
        <x:v>Морковь имеет профиль «сладкий, землистый, древесный и слегка цитрусовый».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3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2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232" s="28" t="str">
        <x:v>сок, кордиал, гаспачо, салат, соус, маринад или коктейльный компонент с мята</x:v>
      </x:c>
      <x:c r="J232" s="28" t="str">
        <x:v>Гипотеза / практическая</x:v>
      </x:c>
      <x:c r="K232" s="28" t="str">
        <x:v>Таблица сочетания(1).pdf</x:v>
      </x:c>
      <x:c r="L232" s="28" t="str">
        <x:v>Таблица сочетания(1).pdf: 4</x:v>
      </x:c>
    </x:row>
    <x:row r="233" ht="66" customHeight="1">
      <x:c r="A233" s="28" t="str">
        <x:v>VEG-0499</x:v>
      </x:c>
      <x:c r="B233" s="28" t="str">
        <x:v>морковь</x:v>
      </x:c>
      <x:c r="C233" s="28" t="str">
        <x:v>овощной бульон</x:v>
      </x:c>
      <x:c r="D233" s="28" t="str">
        <x:v>Прочее</x:v>
      </x:c>
      <x:c r="E233" s="28" t="str">
        <x:v>сенсорная комплементарность</x:v>
      </x:c>
      <x:c r="F233" s="28" t="str">
        <x:v>Морковь имеет профиль «сладкий, землистый, древесный и слегка цитрусовый». Партнёр «овощной бульон»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3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3" s="28" t="str">
        <x:v>сырая землистость может доминировать; перегрев делает профиль варёно-сладким</x:v>
      </x:c>
      <x:c r="I233" s="28" t="str">
        <x:v>сок, кордиал, гаспачо, салат, соус, маринад или коктейльный компонент с овощной бульон</x:v>
      </x:c>
      <x:c r="J233" s="28" t="str">
        <x:v>Средняя</x:v>
      </x:c>
      <x:c r="K233" s="28" t="str">
        <x:v>The Art &amp; Science of Foodpairing.pdf</x:v>
      </x:c>
      <x:c r="L233" s="28" t="str">
        <x:v>The Art &amp; Science of Foodpairing.pdf: 232</x:v>
      </x:c>
    </x:row>
    <x:row r="234" ht="66" customHeight="1">
      <x:c r="A234" s="28" t="str">
        <x:v>VEG-0500</x:v>
      </x:c>
      <x:c r="B234" s="28" t="str">
        <x:v>морковь</x:v>
      </x:c>
      <x:c r="C234" s="28" t="str">
        <x:v>огурец</x:v>
      </x:c>
      <x:c r="D234" s="28" t="str">
        <x:v>Тыквенные</x:v>
      </x:c>
      <x:c r="E234" s="28" t="str">
        <x:v>сенсорная комплементарность</x:v>
      </x:c>
      <x:c r="F234" s="28" t="str">
        <x:v>Морковь имеет профиль «сладкий, землистый, древесный и слегка цитрусовый».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3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4" s="28" t="str">
        <x:v>сырая землистость может доминировать; перегрев делает профиль варёно-сладким</x:v>
      </x:c>
      <x:c r="I234" s="28" t="str">
        <x:v>сок, кордиал, гаспачо, салат, соус, маринад или коктейльный компонент с огурец</x:v>
      </x:c>
      <x:c r="J234" s="28" t="str">
        <x:v>Высокая</x:v>
      </x:c>
      <x:c r="K234" s="28" t="str">
        <x:v>Таблица сочетания(1).pdf | Тезариус вкусов (Ники Сегнит)(1).pdf</x:v>
      </x:c>
      <x:c r="L234" s="28" t="str">
        <x:v>Таблица сочетания(1).pdf: 4; Тезариус вкусов (Ники Сегнит)(1).pdf: 494, 606</x:v>
      </x:c>
    </x:row>
    <x:row r="235" ht="66" customHeight="1">
      <x:c r="A235" s="28" t="str">
        <x:v>VEG-0501</x:v>
      </x:c>
      <x:c r="B235" s="28" t="str">
        <x:v>морковь</x:v>
      </x:c>
      <x:c r="C235" s="28" t="str">
        <x:v>оливки</x:v>
      </x:c>
      <x:c r="D235" s="28" t="str">
        <x:v>Прочее</x:v>
      </x:c>
      <x:c r="E235" s="28" t="str">
        <x:v>сенсорная комплементарность</x:v>
      </x:c>
      <x:c r="F235" s="28" t="str">
        <x:v>Морковь имеет профиль «сладкий, землистый, древесный и слегка цитрусовый».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3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5" s="28" t="str">
        <x:v>сырая землистость может доминировать; перегрев делает профиль варёно-сладким</x:v>
      </x:c>
      <x:c r="I235" s="28" t="str">
        <x:v>сок, кордиал, гаспачо, салат, соус, маринад или коктейльный компонент с оливки</x:v>
      </x:c>
      <x:c r="J235" s="28" t="str">
        <x:v>Средняя</x:v>
      </x:c>
      <x:c r="K235" s="28" t="str">
        <x:v>Тезариус вкусов (Ники Сегнит)(1).pdf</x:v>
      </x:c>
      <x:c r="L235" s="28" t="str">
        <x:v>Тезариус вкусов (Ники Сегнит)(1).pdf: 469, 606</x:v>
      </x:c>
    </x:row>
    <x:row r="236" ht="66" customHeight="1">
      <x:c r="A236" s="28" t="str">
        <x:v>VEG-0502</x:v>
      </x:c>
      <x:c r="B236" s="28" t="str">
        <x:v>морковь</x:v>
      </x:c>
      <x:c r="C236" s="28" t="str">
        <x:v>пекинская утка</x:v>
      </x:c>
      <x:c r="D236" s="28" t="str">
        <x:v>Мясо и птица</x:v>
      </x:c>
      <x:c r="E236" s="28" t="str">
        <x:v>умами и солёный контраст</x:v>
      </x:c>
      <x:c r="F236" s="28" t="str">
        <x:v>Морковь имеет профиль «сладкий, землистый, древесный и слегка цитрусовый». Партнёр «пекинская утка»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3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6" s="28" t="str">
        <x:v>сырая землистость может доминировать; перегрев делает профиль варёно-сладким</x:v>
      </x:c>
      <x:c r="I236" s="28" t="str">
        <x:v>сок, кордиал, гаспачо, салат, соус, маринад или коктейльный компонент с пекинская утка</x:v>
      </x:c>
      <x:c r="J236" s="28" t="str">
        <x:v>Средняя</x:v>
      </x:c>
      <x:c r="K236" s="28" t="str">
        <x:v>The Art &amp; Science of Foodpairing.pdf</x:v>
      </x:c>
      <x:c r="L236" s="28" t="str">
        <x:v>The Art &amp; Science of Foodpairing.pdf: 232</x:v>
      </x:c>
    </x:row>
    <x:row r="237" ht="66" customHeight="1">
      <x:c r="A237" s="28" t="str">
        <x:v>VEG-0503</x:v>
      </x:c>
      <x:c r="B237" s="28" t="str">
        <x:v>морковь</x:v>
      </x:c>
      <x:c r="C237" s="28" t="str">
        <x:v>персик</x:v>
      </x:c>
      <x:c r="D237" s="28" t="str">
        <x:v>Фрукты и ягоды</x:v>
      </x:c>
      <x:c r="E237" s="28" t="str">
        <x:v>кислотно-сладкий баланс</x:v>
      </x:c>
      <x:c r="F237" s="28" t="str">
        <x:v>Морковь имеет профиль «сладкий, землистый, древесный и слегка цитрусовый». Партнёр «персик»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3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7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237" s="28" t="str">
        <x:v>сок, кордиал, гаспачо, салат, соус, маринад или коктейльный компонент с персик</x:v>
      </x:c>
      <x:c r="J237" s="28" t="str">
        <x:v>Средняя</x:v>
      </x:c>
      <x:c r="K237" s="28" t="str">
        <x:v>The Art &amp; Science of Foodpairing.pdf</x:v>
      </x:c>
      <x:c r="L237" s="28" t="str">
        <x:v>The Art &amp; Science of Foodpairing.pdf: 232</x:v>
      </x:c>
    </x:row>
    <x:row r="238" ht="66" customHeight="1">
      <x:c r="A238" s="28" t="str">
        <x:v>VEG-0504</x:v>
      </x:c>
      <x:c r="B238" s="28" t="str">
        <x:v>морковь</x:v>
      </x:c>
      <x:c r="C238" s="28" t="str">
        <x:v>петрушка</x:v>
      </x:c>
      <x:c r="D238" s="28" t="str">
        <x:v>Травы, цветы и листья</x:v>
      </x:c>
      <x:c r="E238" s="28" t="str">
        <x:v>сенсорная комплементарность</x:v>
      </x:c>
      <x:c r="F238" s="28" t="str">
        <x:v>Морковь имеет профиль «сладкий, землистый, древесный и слегка цитрусовый».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3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8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238" s="28" t="str">
        <x:v>сок, кордиал, гаспачо, салат, соус, маринад или коктейльный компонент с петрушка</x:v>
      </x:c>
      <x:c r="J238" s="28" t="str">
        <x:v>Средняя</x:v>
      </x:c>
      <x:c r="K238" s="28" t="str">
        <x:v>Тезариус вкусов (Ники Сегнит)(1).pdf</x:v>
      </x:c>
      <x:c r="L238" s="28" t="str">
        <x:v>Тезариус вкусов (Ники Сегнит)(1).pdf: 511, 606</x:v>
      </x:c>
    </x:row>
    <x:row r="239" ht="66" customHeight="1">
      <x:c r="A239" s="28" t="str">
        <x:v>VEG-0505</x:v>
      </x:c>
      <x:c r="B239" s="28" t="str">
        <x:v>морковь</x:v>
      </x:c>
      <x:c r="C239" s="28" t="str">
        <x:v>попкорн</x:v>
      </x:c>
      <x:c r="D239" s="28" t="str">
        <x:v>Выпечка, крупы, сахара и десерты</x:v>
      </x:c>
      <x:c r="E239" s="28" t="str">
        <x:v>пересечение ароматических семейств</x:v>
      </x:c>
      <x:c r="F239" s="28" t="str">
        <x:v>Морковь имеет профиль «сладкий, землистый, древесный и слегка цитрусовый». Партнёр «попкорн»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3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9" s="28" t="str">
        <x:v>сырая землистость может доминировать; перегрев делает профиль варёно-сладким</x:v>
      </x:c>
      <x:c r="I239" s="28" t="str">
        <x:v>сок, кордиал, гаспачо, салат, соус, маринад или коктейльный компонент с попкорн</x:v>
      </x:c>
      <x:c r="J239" s="28" t="str">
        <x:v>Средняя</x:v>
      </x:c>
      <x:c r="K239" s="28" t="str">
        <x:v>The Art &amp; Science of Foodpairing.pdf</x:v>
      </x:c>
      <x:c r="L239" s="28" t="str">
        <x:v>The Art &amp; Science of Foodpairing.pdf: 232</x:v>
      </x:c>
    </x:row>
    <x:row r="240" ht="66" customHeight="1">
      <x:c r="A240" s="28" t="str">
        <x:v>VEG-0506</x:v>
      </x:c>
      <x:c r="B240" s="28" t="str">
        <x:v>морковь</x:v>
      </x:c>
      <x:c r="C240" s="28" t="str">
        <x:v>розмарин</x:v>
      </x:c>
      <x:c r="D240" s="28" t="str">
        <x:v>Травы, цветы и листья</x:v>
      </x:c>
      <x:c r="E240" s="28" t="str">
        <x:v>общие характерные молекулы; пересечение ароматических семейств</x:v>
      </x:c>
      <x:c r="F240" s="28" t="str">
        <x:v>Морковь имеет профиль «сладкий, землистый, древесный и слегка цитрусовый». Партнёр «розмарин» относится к группе «Травы, цветы и листья» и даёт древесный, камфорный, хвойный. Вероятный молекулярный мост: пинены.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4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0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240" s="28" t="str">
        <x:v>сок, кордиал, гаспачо, салат, соус, маринад или коктейльный компонент с розмарин</x:v>
      </x:c>
      <x:c r="J240" s="28" t="str">
        <x:v>Гипотеза / практическая</x:v>
      </x:c>
      <x:c r="K240" s="28" t="str">
        <x:v>Таблица сочетания(1).pdf</x:v>
      </x:c>
      <x:c r="L240" s="28" t="str">
        <x:v>Таблица сочетания(1).pdf: 4</x:v>
      </x:c>
    </x:row>
    <x:row r="241" ht="66" customHeight="1">
      <x:c r="A241" s="28" t="str">
        <x:v>VEG-0507</x:v>
      </x:c>
      <x:c r="B241" s="28" t="str">
        <x:v>морковь</x:v>
      </x:c>
      <x:c r="C241" s="28" t="str">
        <x:v>семена нигеллы</x:v>
      </x:c>
      <x:c r="D241" s="28" t="str">
        <x:v>Орехи и семена</x:v>
      </x:c>
      <x:c r="E241" s="28" t="str">
        <x:v>сенсорная комплементарность</x:v>
      </x:c>
      <x:c r="F241" s="28" t="str">
        <x:v>Морковь имеет профиль «сладкий, землистый, древесный и слегка цитрусовый». Партнёр «семена нигеллы»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4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1" s="28" t="str">
        <x:v>сырая землистость может доминировать; перегрев делает профиль варёно-сладким</x:v>
      </x:c>
      <x:c r="I241" s="28" t="str">
        <x:v>сок, кордиал, гаспачо, салат, соус, маринад или коктейльный компонент с семена нигеллы</x:v>
      </x:c>
      <x:c r="J241" s="28" t="str">
        <x:v>Средняя</x:v>
      </x:c>
      <x:c r="K241" s="28" t="str">
        <x:v>The Art &amp; Science of Foodpairing.pdf</x:v>
      </x:c>
      <x:c r="L241" s="28" t="str">
        <x:v>The Art &amp; Science of Foodpairing.pdf: 232</x:v>
      </x:c>
    </x:row>
    <x:row r="242" ht="66" customHeight="1">
      <x:c r="A242" s="28" t="str">
        <x:v>VEG-0508</x:v>
      </x:c>
      <x:c r="B242" s="28" t="str">
        <x:v>морковь</x:v>
      </x:c>
      <x:c r="C242" s="28" t="str">
        <x:v>сладкая паприка</x:v>
      </x:c>
      <x:c r="D242" s="28" t="str">
        <x:v>Прочее</x:v>
      </x:c>
      <x:c r="E242" s="28" t="str">
        <x:v>сенсорная комплементарность</x:v>
      </x:c>
      <x:c r="F242" s="28" t="str">
        <x:v>Морковь имеет профиль «сладкий, землистый, древесный и слегка цитрусовый». Партнёр «сладкая паприка»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4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2" s="28" t="str">
        <x:v>сырая землистость может доминировать; перегрев делает профиль варёно-сладким</x:v>
      </x:c>
      <x:c r="I242" s="28" t="str">
        <x:v>сок, кордиал, гаспачо, салат, соус, маринад или коктейльный компонент с сладкая паприка</x:v>
      </x:c>
      <x:c r="J242" s="28" t="str">
        <x:v>Средняя</x:v>
      </x:c>
      <x:c r="K242" s="28" t="str">
        <x:v>The Art &amp; Science of Foodpairing.pdf</x:v>
      </x:c>
      <x:c r="L242" s="28" t="str">
        <x:v>The Art &amp; Science of Foodpairing.pdf: 232</x:v>
      </x:c>
    </x:row>
    <x:row r="243" ht="66" customHeight="1">
      <x:c r="A243" s="28" t="str">
        <x:v>VEG-0509</x:v>
      </x:c>
      <x:c r="B243" s="28" t="str">
        <x:v>морковь</x:v>
      </x:c>
      <x:c r="C243" s="28" t="str">
        <x:v>сок бузины</x:v>
      </x:c>
      <x:c r="D243" s="28" t="str">
        <x:v>Травы, цветы и листья</x:v>
      </x:c>
      <x:c r="E243" s="28" t="str">
        <x:v>сенсорная комплементарность</x:v>
      </x:c>
      <x:c r="F243" s="28" t="str">
        <x:v>Морковь имеет профиль «сладкий, землистый, древесный и слегка цитрусовый». Партнёр «сок бузины»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4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3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243" s="28" t="str">
        <x:v>сок, кордиал, гаспачо, салат, соус, маринад или коктейльный компонент с сок бузины</x:v>
      </x:c>
      <x:c r="J243" s="28" t="str">
        <x:v>Средняя</x:v>
      </x:c>
      <x:c r="K243" s="28" t="str">
        <x:v>The Art &amp; Science of Foodpairing.pdf</x:v>
      </x:c>
      <x:c r="L243" s="28" t="str">
        <x:v>The Art &amp; Science of Foodpairing.pdf: 232</x:v>
      </x:c>
    </x:row>
    <x:row r="244" ht="66" customHeight="1">
      <x:c r="A244" s="28" t="str">
        <x:v>VEG-0510</x:v>
      </x:c>
      <x:c r="B244" s="28" t="str">
        <x:v>морковь</x:v>
      </x:c>
      <x:c r="C244" s="28" t="str">
        <x:v>сыр</x:v>
      </x:c>
      <x:c r="D244" s="28" t="str">
        <x:v>Молочные продукты и сыры</x:v>
      </x:c>
      <x:c r="E244" s="28" t="str">
        <x:v>жировая матрица</x:v>
      </x:c>
      <x:c r="F244" s="28" t="str">
        <x:v>Морковь имеет профиль «сладкий, землистый, древесный и слегка цитрусовый».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4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4" s="28" t="str">
        <x:v>сырая землистость может доминировать; перегрев делает профиль варёно-сладким; жир способен приглушить свежую зелёную ароматику</x:v>
      </x:c>
      <x:c r="I244" s="28" t="str">
        <x:v>сок, кордиал, гаспачо, салат, соус, маринад или коктейльный компонент с сыр</x:v>
      </x:c>
      <x:c r="J244" s="28" t="str">
        <x:v>Средняя</x:v>
      </x:c>
      <x:c r="K244" s="28" t="str">
        <x:v>The Art &amp; Science of Foodpairing.pdf</x:v>
      </x:c>
      <x:c r="L244" s="28" t="str">
        <x:v>The Art &amp; Science of Foodpairing.pdf: 232</x:v>
      </x:c>
    </x:row>
    <x:row r="245" ht="66" customHeight="1">
      <x:c r="A245" s="28" t="str">
        <x:v>VEG-0511</x:v>
      </x:c>
      <x:c r="B245" s="28" t="str">
        <x:v>морковь</x:v>
      </x:c>
      <x:c r="C245" s="28" t="str">
        <x:v>сычуаньский перец</x:v>
      </x:c>
      <x:c r="D245" s="28" t="str">
        <x:v>Специи</x:v>
      </x:c>
      <x:c r="E245" s="28" t="str">
        <x:v>пересечение ароматических семейств</x:v>
      </x:c>
      <x:c r="F245" s="28" t="str">
        <x:v>Морковь имеет профиль «сладкий, землистый, древесный и слегка цитрусовый». Партнёр «сычуаньский перец»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4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5" s="28" t="str">
        <x:v>сырая землистость может доминировать; перегрев делает профиль варёно-сладким</x:v>
      </x:c>
      <x:c r="I245" s="28" t="str">
        <x:v>сок, кордиал, гаспачо, салат, соус, маринад или коктейльный компонент с сычуаньский перец</x:v>
      </x:c>
      <x:c r="J245" s="28" t="str">
        <x:v>Средняя</x:v>
      </x:c>
      <x:c r="K245" s="28" t="str">
        <x:v>The Art &amp; Science of Foodpairing.pdf</x:v>
      </x:c>
      <x:c r="L245" s="28" t="str">
        <x:v>The Art &amp; Science of Foodpairing.pdf: 232</x:v>
      </x:c>
    </x:row>
    <x:row r="246" ht="66" customHeight="1">
      <x:c r="A246" s="28" t="str">
        <x:v>VEG-0512</x:v>
      </x:c>
      <x:c r="B246" s="28" t="str">
        <x:v>морковь</x:v>
      </x:c>
      <x:c r="C246" s="28" t="str">
        <x:v>тимьян</x:v>
      </x:c>
      <x:c r="D246" s="28" t="str">
        <x:v>Травы, цветы и листья</x:v>
      </x:c>
      <x:c r="E246" s="28" t="str">
        <x:v>пересечение ароматических семейств</x:v>
      </x:c>
      <x:c r="F246" s="28" t="str">
        <x:v>Морковь имеет профиль «сладкий, землистый, древесный и слегка цитрусовый». Партнёр «тимьян» относится к группе «Травы, цветы и листья» и даёт древесный, зелёный, фенольный. Профили пересекаются в семействах: древесный.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4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6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246" s="28" t="str">
        <x:v>сок, кордиал, гаспачо, салат, соус, маринад или коктейльный компонент с тимьян</x:v>
      </x:c>
      <x:c r="J246" s="28" t="str">
        <x:v>Гипотеза / практическая</x:v>
      </x:c>
      <x:c r="K246" s="28" t="str">
        <x:v>Таблица сочетания(1).pdf</x:v>
      </x:c>
      <x:c r="L246" s="28" t="str">
        <x:v>Таблица сочетания(1).pdf: 4</x:v>
      </x:c>
    </x:row>
    <x:row r="247" ht="66" customHeight="1">
      <x:c r="A247" s="28" t="str">
        <x:v>VEG-0513</x:v>
      </x:c>
      <x:c r="B247" s="28" t="str">
        <x:v>морковь</x:v>
      </x:c>
      <x:c r="C247" s="28" t="str">
        <x:v>томатный сок</x:v>
      </x:c>
      <x:c r="D247" s="28" t="str">
        <x:v>Плодовые и тыквенные овощи</x:v>
      </x:c>
      <x:c r="E247" s="28" t="str">
        <x:v>сенсорная комплементарность</x:v>
      </x:c>
      <x:c r="F247" s="28" t="str">
        <x:v>Морковь имеет профиль «сладкий, землистый, древесный и слегка цитрусовый». Партнёр «томатный сок»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4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7" s="28" t="str">
        <x:v>сырая землистость может доминировать; перегрев делает профиль варёно-сладким</x:v>
      </x:c>
      <x:c r="I247" s="28" t="str">
        <x:v>сок, кордиал, гаспачо, салат, соус, маринад или коктейльный компонент с томатный сок</x:v>
      </x:c>
      <x:c r="J247" s="28" t="str">
        <x:v>Средняя</x:v>
      </x:c>
      <x:c r="K247" s="28" t="str">
        <x:v>The Art &amp; Science of Foodpairing.pdf</x:v>
      </x:c>
      <x:c r="L247" s="28" t="str">
        <x:v>The Art &amp; Science of Foodpairing.pdf: 232</x:v>
      </x:c>
    </x:row>
    <x:row r="248" ht="66" customHeight="1">
      <x:c r="A248" s="28" t="str">
        <x:v>VEG-0514</x:v>
      </x:c>
      <x:c r="B248" s="28" t="str">
        <x:v>морковь</x:v>
      </x:c>
      <x:c r="C248" s="28" t="str">
        <x:v>треска</x:v>
      </x:c>
      <x:c r="D248" s="28" t="str">
        <x:v>Рыба и морепродукты</x:v>
      </x:c>
      <x:c r="E248" s="28" t="str">
        <x:v>умами и солёный контраст</x:v>
      </x:c>
      <x:c r="F248" s="28" t="str">
        <x:v>Морковь имеет профиль «сладкий, землистый, древесный и слегка цитрусовый».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4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8" s="28" t="str">
        <x:v>сырая землистость может доминировать; перегрев делает профиль варёно-сладким</x:v>
      </x:c>
      <x:c r="I248" s="28" t="str">
        <x:v>сок, кордиал, гаспачо, салат, соус, маринад или коктейльный компонент с треска</x:v>
      </x:c>
      <x:c r="J248" s="28" t="str">
        <x:v>Средняя</x:v>
      </x:c>
      <x:c r="K248" s="28" t="str">
        <x:v>The Art &amp; Science of Foodpairing.pdf</x:v>
      </x:c>
      <x:c r="L248" s="28" t="str">
        <x:v>The Art &amp; Science of Foodpairing.pdf: 232</x:v>
      </x:c>
    </x:row>
    <x:row r="249" ht="66" customHeight="1">
      <x:c r="A249" s="28" t="str">
        <x:v>VEG-0515</x:v>
      </x:c>
      <x:c r="B249" s="28" t="str">
        <x:v>морковь</x:v>
      </x:c>
      <x:c r="C249" s="28" t="str">
        <x:v>тыква баттернат</x:v>
      </x:c>
      <x:c r="D249" s="28" t="str">
        <x:v>Тыквенные</x:v>
      </x:c>
      <x:c r="E249" s="28" t="str">
        <x:v>пересечение ароматических семейств</x:v>
      </x:c>
      <x:c r="F249" s="28" t="str">
        <x:v>Морковь имеет профиль «сладкий, землистый, древесный и слегка цитрусовый». Партнёр «тыква баттернат» относится к группе «Тыквенные» и даёт сладкий, сливочный, ореховый и карамельный.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4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9" s="28" t="str">
        <x:v>сырая землистость может доминировать; перегрев делает профиль варёно-сладким</x:v>
      </x:c>
      <x:c r="I249" s="28" t="str">
        <x:v>сок, кордиал, гаспачо, салат, соус, маринад или коктейльный компонент с тыква баттернат</x:v>
      </x:c>
      <x:c r="J249" s="28" t="str">
        <x:v>Средняя</x:v>
      </x:c>
      <x:c r="K249" s="28" t="str">
        <x:v>The Art &amp; Science of Foodpairing.pdf</x:v>
      </x:c>
      <x:c r="L249" s="28" t="str">
        <x:v>The Art &amp; Science of Foodpairing.pdf: 232</x:v>
      </x:c>
    </x:row>
    <x:row r="250" ht="66" customHeight="1">
      <x:c r="A250" s="28" t="str">
        <x:v>VEG-0516</x:v>
      </x:c>
      <x:c r="B250" s="28" t="str">
        <x:v>морковь</x:v>
      </x:c>
      <x:c r="C250" s="28" t="str">
        <x:v>фундук</x:v>
      </x:c>
      <x:c r="D250" s="28" t="str">
        <x:v>Орехи и семена</x:v>
      </x:c>
      <x:c r="E250" s="28" t="str">
        <x:v>сенсорная комплементарность</x:v>
      </x:c>
      <x:c r="F250" s="28" t="str">
        <x:v>Морковь имеет профиль «сладкий, землистый, древесный и слегка цитрусовый».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5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0" s="28" t="str">
        <x:v>сырая землистость может доминировать; перегрев делает профиль варёно-сладким</x:v>
      </x:c>
      <x:c r="I250" s="28" t="str">
        <x:v>сок, кордиал, гаспачо, салат, соус, маринад или коктейльный компонент с фундук</x:v>
      </x:c>
      <x:c r="J250" s="28" t="str">
        <x:v>Высокая</x:v>
      </x:c>
      <x:c r="K250" s="28" t="str">
        <x:v>The Art &amp; Science of Foodpairing.pdf | Тезариус вкусов (Ники Сегнит)(1).pdf</x:v>
      </x:c>
      <x:c r="L250" s="28" t="str">
        <x:v>Тезариус вкусов (Ники Сегнит)(1).pdf: 607, 636; The Art &amp; Science of Foodpairing.pdf: 232</x:v>
      </x:c>
    </x:row>
    <x:row r="251" ht="66" customHeight="1">
      <x:c r="A251" s="28" t="str">
        <x:v>VEG-0517</x:v>
      </x:c>
      <x:c r="B251" s="28" t="str">
        <x:v>морковь</x:v>
      </x:c>
      <x:c r="C251" s="28" t="str">
        <x:v>хамон иберико</x:v>
      </x:c>
      <x:c r="D251" s="28" t="str">
        <x:v>Мясо и птица</x:v>
      </x:c>
      <x:c r="E251" s="28" t="str">
        <x:v>умами и солёный контраст</x:v>
      </x:c>
      <x:c r="F251" s="28" t="str">
        <x:v>Морковь имеет профиль «сладкий, землистый, древесный и слегка цитрусовый».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5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1" s="28" t="str">
        <x:v>сырая землистость может доминировать; перегрев делает профиль варёно-сладким</x:v>
      </x:c>
      <x:c r="I251" s="28" t="str">
        <x:v>сок, кордиал, гаспачо, салат, соус, маринад или коктейльный компонент с хамон иберико</x:v>
      </x:c>
      <x:c r="J251" s="28" t="str">
        <x:v>Средняя</x:v>
      </x:c>
      <x:c r="K251" s="28" t="str">
        <x:v>The Art &amp; Science of Foodpairing.pdf</x:v>
      </x:c>
      <x:c r="L251" s="28" t="str">
        <x:v>The Art &amp; Science of Foodpairing.pdf: 278</x:v>
      </x:c>
    </x:row>
    <x:row r="252" ht="66" customHeight="1">
      <x:c r="A252" s="28" t="str">
        <x:v>VEG-0518</x:v>
      </x:c>
      <x:c r="B252" s="28" t="str">
        <x:v>морковь</x:v>
      </x:c>
      <x:c r="C252" s="28" t="str">
        <x:v>хлеб</x:v>
      </x:c>
      <x:c r="D252" s="28" t="str">
        <x:v>Выпечка, крупы, сахара и десерты</x:v>
      </x:c>
      <x:c r="E252" s="28" t="str">
        <x:v>сенсорная комплементарность</x:v>
      </x:c>
      <x:c r="F252" s="28" t="str">
        <x:v>Морковь имеет профиль «сладкий, землистый, древесный и слегка цитрусовый».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5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2" s="28" t="str">
        <x:v>сырая землистость может доминировать; перегрев делает профиль варёно-сладким</x:v>
      </x:c>
      <x:c r="I252" s="28" t="str">
        <x:v>сок, кордиал, гаспачо, салат, соус, маринад или коктейльный компонент с хлеб</x:v>
      </x:c>
      <x:c r="J252" s="28" t="str">
        <x:v>Средняя</x:v>
      </x:c>
      <x:c r="K252" s="28" t="str">
        <x:v>The Art &amp; Science of Foodpairing.pdf</x:v>
      </x:c>
      <x:c r="L252" s="28" t="str">
        <x:v>The Art &amp; Science of Foodpairing.pdf: 232</x:v>
      </x:c>
    </x:row>
    <x:row r="253" ht="66" customHeight="1">
      <x:c r="A253" s="28" t="str">
        <x:v>VEG-0519</x:v>
      </x:c>
      <x:c r="B253" s="28" t="str">
        <x:v>морковь</x:v>
      </x:c>
      <x:c r="C253" s="28" t="str">
        <x:v>цветы агастахе</x:v>
      </x:c>
      <x:c r="D253" s="28" t="str">
        <x:v>Прочее</x:v>
      </x:c>
      <x:c r="E253" s="28" t="str">
        <x:v>сенсорная комплементарность</x:v>
      </x:c>
      <x:c r="F253" s="28" t="str">
        <x:v>Морковь имеет профиль «сладкий, землистый, древесный и слегка цитрусовый». Партнёр «цветы агастахе»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5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3" s="28" t="str">
        <x:v>сырая землистость может доминировать; перегрев делает профиль варёно-сладким</x:v>
      </x:c>
      <x:c r="I253" s="28" t="str">
        <x:v>сок, кордиал, гаспачо, салат, соус, маринад или коктейльный компонент с цветы агастахе</x:v>
      </x:c>
      <x:c r="J253" s="28" t="str">
        <x:v>Средняя</x:v>
      </x:c>
      <x:c r="K253" s="28" t="str">
        <x:v>The Art &amp; Science of Foodpairing.pdf</x:v>
      </x:c>
      <x:c r="L253" s="28" t="str">
        <x:v>The Art &amp; Science of Foodpairing.pdf: 232</x:v>
      </x:c>
    </x:row>
    <x:row r="254" ht="66" customHeight="1">
      <x:c r="A254" s="28" t="str">
        <x:v>VEG-0520</x:v>
      </x:c>
      <x:c r="B254" s="28" t="str">
        <x:v>морковь</x:v>
      </x:c>
      <x:c r="C254" s="28" t="str">
        <x:v>цитрон рука Будды</x:v>
      </x:c>
      <x:c r="D254" s="28" t="str">
        <x:v>Прочее</x:v>
      </x:c>
      <x:c r="E254" s="28" t="str">
        <x:v>сенсорная комплементарность</x:v>
      </x:c>
      <x:c r="F254" s="28" t="str">
        <x:v>Морковь имеет профиль «сладкий, землистый, древесный и слегка цитрусовый». Партнёр «цитрон рука Будды»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5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4" s="28" t="str">
        <x:v>сырая землистость может доминировать; перегрев делает профиль варёно-сладким</x:v>
      </x:c>
      <x:c r="I254" s="28" t="str">
        <x:v>сок, кордиал, гаспачо, салат, соус, маринад или коктейльный компонент с цитрон рука Будды</x:v>
      </x:c>
      <x:c r="J254" s="28" t="str">
        <x:v>Высокая</x:v>
      </x:c>
      <x:c r="K254" s="28" t="str">
        <x:v>The Art &amp; Science of Foodpairing.pdf</x:v>
      </x:c>
      <x:c r="L254" s="28" t="str">
        <x:v>The Art &amp; Science of Foodpairing.pdf: 232</x:v>
      </x:c>
    </x:row>
    <x:row r="255" ht="66" customHeight="1">
      <x:c r="A255" s="28" t="str">
        <x:v>VEG-0521</x:v>
      </x:c>
      <x:c r="B255" s="28" t="str">
        <x:v>морковь</x:v>
      </x:c>
      <x:c r="C255" s="28" t="str">
        <x:v>черимойя</x:v>
      </x:c>
      <x:c r="D255" s="28" t="str">
        <x:v>Прочее</x:v>
      </x:c>
      <x:c r="E255" s="28" t="str">
        <x:v>сенсорная комплементарность</x:v>
      </x:c>
      <x:c r="F255" s="28" t="str">
        <x:v>Морковь имеет профиль «сладкий, землистый, древесный и слегка цитрусовый». Партнёр «черимойя»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5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5" s="28" t="str">
        <x:v>сырая землистость может доминировать; перегрев делает профиль варёно-сладким</x:v>
      </x:c>
      <x:c r="I255" s="28" t="str">
        <x:v>сок, кордиал, гаспачо, салат, соус, маринад или коктейльный компонент с черимойя</x:v>
      </x:c>
      <x:c r="J255" s="28" t="str">
        <x:v>Средняя</x:v>
      </x:c>
      <x:c r="K255" s="28" t="str">
        <x:v>The Art &amp; Science of Foodpairing.pdf</x:v>
      </x:c>
      <x:c r="L255" s="28" t="str">
        <x:v>The Art &amp; Science of Foodpairing.pdf: 232</x:v>
      </x:c>
    </x:row>
    <x:row r="256" ht="66" customHeight="1">
      <x:c r="A256" s="28" t="str">
        <x:v>VEG-0522</x:v>
      </x:c>
      <x:c r="B256" s="28" t="str">
        <x:v>морковь</x:v>
      </x:c>
      <x:c r="C256" s="28" t="str">
        <x:v>чили</x:v>
      </x:c>
      <x:c r="D256" s="28" t="str">
        <x:v>Специи</x:v>
      </x:c>
      <x:c r="E256" s="28" t="str">
        <x:v>пересечение ароматических семейств</x:v>
      </x:c>
      <x:c r="F256" s="28" t="str">
        <x:v>Морковь имеет профиль «сладкий, землистый, древесный и слегка цитрусовый». Партнёр «чили»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5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6" s="28" t="str">
        <x:v>сырая землистость может доминировать; перегрев делает профиль варёно-сладким</x:v>
      </x:c>
      <x:c r="I256" s="28" t="str">
        <x:v>сок, кордиал, гаспачо, салат, соус, маринад или коктейльный компонент с чили</x:v>
      </x:c>
      <x:c r="J256" s="28" t="str">
        <x:v>Гипотеза / практическая</x:v>
      </x:c>
      <x:c r="K256" s="28" t="str">
        <x:v>Таблица сочетания(1).pdf</x:v>
      </x:c>
      <x:c r="L256" s="28" t="str">
        <x:v>Таблица сочетания(1).pdf: 4</x:v>
      </x:c>
    </x:row>
    <x:row r="257" ht="66" customHeight="1">
      <x:c r="A257" s="28" t="str">
        <x:v>VEG-0523</x:v>
      </x:c>
      <x:c r="B257" s="28" t="str">
        <x:v>морковь</x:v>
      </x:c>
      <x:c r="C257" s="28" t="str">
        <x:v>чили ахи панка</x:v>
      </x:c>
      <x:c r="D257" s="28" t="str">
        <x:v>Специи</x:v>
      </x:c>
      <x:c r="E257" s="28" t="str">
        <x:v>пересечение ароматических семейств</x:v>
      </x:c>
      <x:c r="F257" s="28" t="str">
        <x:v>Морковь имеет профиль «сладкий, землистый, древесный и слегка цитрусовый». Партнёр «чили ахи панка»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5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7" s="28" t="str">
        <x:v>сырая землистость может доминировать; перегрев делает профиль варёно-сладким</x:v>
      </x:c>
      <x:c r="I257" s="28" t="str">
        <x:v>сок, кордиал, гаспачо, салат, соус, маринад или коктейльный компонент с чили ахи панка</x:v>
      </x:c>
      <x:c r="J257" s="28" t="str">
        <x:v>Средняя</x:v>
      </x:c>
      <x:c r="K257" s="28" t="str">
        <x:v>The Art &amp; Science of Foodpairing.pdf</x:v>
      </x:c>
      <x:c r="L257" s="28" t="str">
        <x:v>The Art &amp; Science of Foodpairing.pdf: 232</x:v>
      </x:c>
    </x:row>
    <x:row r="258" ht="66" customHeight="1">
      <x:c r="A258" s="28" t="str">
        <x:v>VEG-0524</x:v>
      </x:c>
      <x:c r="B258" s="28" t="str">
        <x:v>морковь</x:v>
      </x:c>
      <x:c r="C258" s="28" t="str">
        <x:v>чили хабанеро</x:v>
      </x:c>
      <x:c r="D258" s="28" t="str">
        <x:v>Специи</x:v>
      </x:c>
      <x:c r="E258" s="28" t="str">
        <x:v>пересечение ароматических семейств</x:v>
      </x:c>
      <x:c r="F258" s="28" t="str">
        <x:v>Морковь имеет профиль «сладкий, землистый, древесный и слегка цитрусовый». Партнёр «чили хабанеро» относится к группе «Специи» и даёт пряный и древесный.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5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8" s="28" t="str">
        <x:v>сырая землистость может доминировать; перегрев делает профиль варёно-сладким</x:v>
      </x:c>
      <x:c r="I258" s="28" t="str">
        <x:v>сок, кордиал, гаспачо, салат, соус, маринад или коктейльный компонент с чили хабанеро</x:v>
      </x:c>
      <x:c r="J258" s="28" t="str">
        <x:v>Средняя</x:v>
      </x:c>
      <x:c r="K258" s="28" t="str">
        <x:v>The Art &amp; Science of Foodpairing.pdf</x:v>
      </x:c>
      <x:c r="L258" s="28" t="str">
        <x:v>The Art &amp; Science of Foodpairing.pdf: 232</x:v>
      </x:c>
    </x:row>
    <x:row r="259" ht="66" customHeight="1">
      <x:c r="A259" s="28" t="str">
        <x:v>VEG-0525</x:v>
      </x:c>
      <x:c r="B259" s="28" t="str">
        <x:v>морковь</x:v>
      </x:c>
      <x:c r="C259" s="28" t="str">
        <x:v>чёрная смородина</x:v>
      </x:c>
      <x:c r="D259" s="28" t="str">
        <x:v>Фрукты и ягоды</x:v>
      </x:c>
      <x:c r="E259" s="28" t="str">
        <x:v>кислотно-сладкий баланс</x:v>
      </x:c>
      <x:c r="F259" s="28" t="str">
        <x:v>Морковь имеет профиль «сладкий, землистый, древесный и слегка цитрусовый».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5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9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259" s="28" t="str">
        <x:v>сок, кордиал, гаспачо, салат, соус, маринад или коктейльный компонент с чёрная смородина</x:v>
      </x:c>
      <x:c r="J259" s="28" t="str">
        <x:v>Гипотеза / практическая</x:v>
      </x:c>
      <x:c r="K259" s="28" t="str">
        <x:v>Таблица сочетания(1).pdf</x:v>
      </x:c>
      <x:c r="L259" s="28" t="str">
        <x:v>Таблица сочетания(1).pdf: 2</x:v>
      </x:c>
    </x:row>
    <x:row r="260" ht="66" customHeight="1">
      <x:c r="A260" s="28" t="str">
        <x:v>VEG-0526</x:v>
      </x:c>
      <x:c r="B260" s="28" t="str">
        <x:v>морковь</x:v>
      </x:c>
      <x:c r="C260" s="28" t="str">
        <x:v>чёрные оливки</x:v>
      </x:c>
      <x:c r="D260" s="28" t="str">
        <x:v>Прочее</x:v>
      </x:c>
      <x:c r="E260" s="28" t="str">
        <x:v>сенсорная комплементарность</x:v>
      </x:c>
      <x:c r="F260" s="28" t="str">
        <x:v>Морковь имеет профиль «сладкий, землистый, древесный и слегка цитрусовый». Партнёр «чёрные 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6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60" s="28" t="str">
        <x:v>сырая землистость может доминировать; перегрев делает профиль варёно-сладким</x:v>
      </x:c>
      <x:c r="I260" s="28" t="str">
        <x:v>сок, кордиал, гаспачо, салат, соус, маринад или коктейльный компонент с чёрные оливки</x:v>
      </x:c>
      <x:c r="J260" s="28" t="str">
        <x:v>Средняя</x:v>
      </x:c>
      <x:c r="K260" s="28" t="str">
        <x:v>The Art &amp; Science of Foodpairing.pdf</x:v>
      </x:c>
      <x:c r="L260" s="28" t="str">
        <x:v>The Art &amp; Science of Foodpairing.pdf: 232</x:v>
      </x:c>
    </x:row>
    <x:row r="261" ht="66" customHeight="1">
      <x:c r="A261" s="28" t="str">
        <x:v>VEG-0527</x:v>
      </x:c>
      <x:c r="B261" s="28" t="str">
        <x:v>морковь</x:v>
      </x:c>
      <x:c r="C261" s="28" t="str">
        <x:v>чёрный перец</x:v>
      </x:c>
      <x:c r="D261" s="28" t="str">
        <x:v>Специи</x:v>
      </x:c>
      <x:c r="E261" s="28" t="str">
        <x:v>пересечение ароматических семейств</x:v>
      </x:c>
      <x:c r="F261" s="28" t="str">
        <x:v>Морковь имеет профиль «сладкий, землистый, древесный и слегка цитрусовый». Партнёр «чёрный перец» относится к группе «Специи» и даёт древесный, пряный, цитрусовый. Профили пересекаются в семействах: древесный.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6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61" s="28" t="str">
        <x:v>сырая землистость может доминировать; перегрев делает профиль варёно-сладким</x:v>
      </x:c>
      <x:c r="I261" s="28" t="str">
        <x:v>сок, кордиал, гаспачо, салат, соус, маринад или коктейльный компонент с чёрный перец</x:v>
      </x:c>
      <x:c r="J261" s="28" t="str">
        <x:v>Высокая</x:v>
      </x:c>
      <x:c r="K261" s="28" t="str">
        <x:v>The Art &amp; Science of Foodpairing.pdf | Таблица сочетания(1).pdf</x:v>
      </x:c>
      <x:c r="L261" s="28" t="str">
        <x:v>Таблица сочетания(1).pdf: 4; The Art &amp; Science of Foodpairing.pdf: 232, 273, 274</x:v>
      </x:c>
    </x:row>
    <x:row r="262" ht="66" customHeight="1">
      <x:c r="A262" s="28" t="str">
        <x:v>VEG-0528</x:v>
      </x:c>
      <x:c r="B262" s="28" t="str">
        <x:v>морковь</x:v>
      </x:c>
      <x:c r="C262" s="28" t="str">
        <x:v>шоколадная паста</x:v>
      </x:c>
      <x:c r="D262" s="28" t="str">
        <x:v>Какао и шоколад</x:v>
      </x:c>
      <x:c r="E262" s="28" t="str">
        <x:v>сенсорная комплементарность</x:v>
      </x:c>
      <x:c r="F262" s="28" t="str">
        <x:v>Морковь имеет профиль «сладкий, землистый, древесный и слегка цитрусовый». Партнёр «шоколадная паста»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6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62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I262" s="28" t="str">
        <x:v>сок, кордиал, гаспачо, салат, соус, маринад или коктейльный компонент с шоколадная паста</x:v>
      </x:c>
      <x:c r="J262" s="28" t="str">
        <x:v>Средняя</x:v>
      </x:c>
      <x:c r="K262" s="28" t="str">
        <x:v>The Art &amp; Science of Foodpairing.pdf</x:v>
      </x:c>
      <x:c r="L262" s="28" t="str">
        <x:v>The Art &amp; Science of Foodpairing.pdf: 232</x:v>
      </x:c>
    </x:row>
    <x:row r="263" ht="66" customHeight="1">
      <x:c r="A263" s="28" t="str">
        <x:v>VEG-0529</x:v>
      </x:c>
      <x:c r="B263" s="28" t="str">
        <x:v>морковь</x:v>
      </x:c>
      <x:c r="C263" s="28" t="str">
        <x:v>яблоко</x:v>
      </x:c>
      <x:c r="D263" s="28" t="str">
        <x:v>Фрукты и ягоды</x:v>
      </x:c>
      <x:c r="E263" s="28" t="str">
        <x:v>кислотно-сладкий баланс</x:v>
      </x:c>
      <x:c r="F263" s="28" t="str">
        <x:v>Морковь имеет профиль «сладкий, землистый, древесный и слегка цитрусовый».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6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63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263" s="28" t="str">
        <x:v>сок, кордиал, гаспачо, салат, соус, маринад или коктейльный компонент с яблоко</x:v>
      </x:c>
      <x:c r="J263" s="28" t="str">
        <x:v>Высокая</x:v>
      </x:c>
      <x:c r="K263" s="28" t="str">
        <x:v>The Art &amp; Science of Foodpairing.pdf | Тезариус вкусов (Ники Сегнит)(1).pdf</x:v>
      </x:c>
      <x:c r="L263" s="28" t="str">
        <x:v>Тезариус вкусов (Ники Сегнит)(1).pdf: 607, 714; The Art &amp; Science of Foodpairing.pdf: 232</x:v>
      </x:c>
    </x:row>
    <x:row r="264" ht="66" customHeight="1">
      <x:c r="A264" s="28" t="str">
        <x:v>VEG-0593</x:v>
      </x:c>
      <x:c r="B264" s="28" t="str">
        <x:v>пастернак</x:v>
      </x:c>
      <x:c r="C264" s="28" t="str">
        <x:v>анис</x:v>
      </x:c>
      <x:c r="D264" s="28" t="str">
        <x:v>Прочее</x:v>
      </x:c>
      <x:c r="E264" s="28" t="str">
        <x:v>сенсорная комплементарность</x:v>
      </x:c>
      <x:c r="F264" s="28" t="str">
        <x:v>Пастернак имеет профиль «сладкий, пряный, древесный и слегка анисовый».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64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64" s="28" t="str">
        <x:v>старый пастернак может быть волокнистым; сильная сладость требует баланса</x:v>
      </x:c>
      <x:c r="I264" s="28" t="str">
        <x:v>пюре, суп, запекание, крем, гарнир, соус или десертная разработка с анис</x:v>
      </x:c>
      <x:c r="J264" s="28" t="str">
        <x:v>Средняя</x:v>
      </x:c>
      <x:c r="K264" s="28" t="str">
        <x:v>Тезариус вкусов (Ники Сегнит)(1).pdf</x:v>
      </x:c>
      <x:c r="L264" s="28" t="str">
        <x:v>Тезариус вкусов (Ники Сегнит)(1).pdf: 486, 594</x:v>
      </x:c>
    </x:row>
    <x:row r="265" ht="66" customHeight="1">
      <x:c r="A265" s="28" t="str">
        <x:v>VEG-0594</x:v>
      </x:c>
      <x:c r="B265" s="28" t="str">
        <x:v>пастернак</x:v>
      </x:c>
      <x:c r="C265" s="28" t="str">
        <x:v>банан</x:v>
      </x:c>
      <x:c r="D265" s="28" t="str">
        <x:v>Фрукты и ягоды</x:v>
      </x:c>
      <x:c r="E265" s="28" t="str">
        <x:v>кислотно-сладкий баланс</x:v>
      </x:c>
      <x:c r="F265" s="28" t="str">
        <x:v>Пастернак имеет профиль «сладкий, пряный, древесный и слегка анисовый».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65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65" s="28" t="str">
        <x:v>старый пастернак может быть волокнистым; сильная сладость требует баланса; избыток кислоты или воды может сделать овощной вкус тонким и разрушить сливочную эмульсию</x:v>
      </x:c>
      <x:c r="I265" s="28" t="str">
        <x:v>пюре, суп, запекание, крем, гарнир, соус или десертная разработка с банан</x:v>
      </x:c>
      <x:c r="J265" s="28" t="str">
        <x:v>Средняя</x:v>
      </x:c>
      <x:c r="K265" s="28" t="str">
        <x:v>Тезариус вкусов (Ники Сегнит)(1).pdf</x:v>
      </x:c>
      <x:c r="L265" s="28" t="str">
        <x:v>Тезариус вкусов (Ники Сегнит)(1).pdf: 594, 734</x:v>
      </x:c>
    </x:row>
    <x:row r="266" ht="66" customHeight="1">
      <x:c r="A266" s="28" t="str">
        <x:v>VEG-0595</x:v>
      </x:c>
      <x:c r="B266" s="28" t="str">
        <x:v>пастернак</x:v>
      </x:c>
      <x:c r="C266" s="28" t="str">
        <x:v>бекон</x:v>
      </x:c>
      <x:c r="D266" s="28" t="str">
        <x:v>Мясо и птица</x:v>
      </x:c>
      <x:c r="E266" s="28" t="str">
        <x:v>умами и солёный контраст</x:v>
      </x:c>
      <x:c r="F266" s="28" t="str">
        <x:v>Пастернак имеет профиль «сладкий, пряный, древесный и слегка анисовый».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66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66" s="28" t="str">
        <x:v>старый пастернак может быть волокнистым; сильная сладость требует баланса</x:v>
      </x:c>
      <x:c r="I266" s="28" t="str">
        <x:v>пюре, суп, запекание, крем, гарнир, соус или десертная разработка с бекон</x:v>
      </x:c>
      <x:c r="J266" s="28" t="str">
        <x:v>Средняя</x:v>
      </x:c>
      <x:c r="K266" s="28" t="str">
        <x:v>Тезариус вкусов (Ники Сегнит)(1).pdf</x:v>
      </x:c>
      <x:c r="L266" s="28" t="str">
        <x:v>Тезариус вкусов (Ники Сегнит)(1).pdf: 446, 595</x:v>
      </x:c>
    </x:row>
    <x:row r="267" ht="66" customHeight="1">
      <x:c r="A267" s="28" t="str">
        <x:v>VEG-0596</x:v>
      </x:c>
      <x:c r="B267" s="28" t="str">
        <x:v>пастернак</x:v>
      </x:c>
      <x:c r="C267" s="28" t="str">
        <x:v>белая рыба</x:v>
      </x:c>
      <x:c r="D267" s="28" t="str">
        <x:v>Рыба и морепродукты</x:v>
      </x:c>
      <x:c r="E267" s="28" t="str">
        <x:v>умами и солёный контраст</x:v>
      </x:c>
      <x:c r="F267" s="28" t="str">
        <x:v>Пастернак имеет профиль «сладкий, пряный, древесный и слегка анисовый».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67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67" s="28" t="str">
        <x:v>старый пастернак может быть волокнистым; сильная сладость требует баланса</x:v>
      </x:c>
      <x:c r="I267" s="28" t="str">
        <x:v>пюре, суп, запекание, крем, гарнир, соус или десертная разработка с белая рыба</x:v>
      </x:c>
      <x:c r="J267" s="28" t="str">
        <x:v>Средняя</x:v>
      </x:c>
      <x:c r="K267" s="28" t="str">
        <x:v>Тезариус вкусов (Ники Сегнит)(1).pdf</x:v>
      </x:c>
      <x:c r="L267" s="28" t="str">
        <x:v>Тезариус вкусов (Ники Сегнит)(1).pdf: 388, 595</x:v>
      </x:c>
    </x:row>
    <x:row r="268" ht="66" customHeight="1">
      <x:c r="A268" s="28" t="str">
        <x:v>VEG-0597</x:v>
      </x:c>
      <x:c r="B268" s="28" t="str">
        <x:v>пастернак</x:v>
      </x:c>
      <x:c r="C268" s="28" t="str">
        <x:v>водяной кресс</x:v>
      </x:c>
      <x:c r="D268" s="28" t="str">
        <x:v>Прочее</x:v>
      </x:c>
      <x:c r="E268" s="28" t="str">
        <x:v>сенсорная комплементарность</x:v>
      </x:c>
      <x:c r="F268" s="28" t="str">
        <x:v>Пастернак имеет профиль «сладкий, пряный, древесный и слегка анисовый». Партнёр «водяной кресс»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68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68" s="28" t="str">
        <x:v>старый пастернак может быть волокнистым; сильная сладость требует баланса</x:v>
      </x:c>
      <x:c r="I268" s="28" t="str">
        <x:v>пюре, суп, запекание, крем, гарнир, соус или десертная разработка с водяной кресс</x:v>
      </x:c>
      <x:c r="J268" s="28" t="str">
        <x:v>Средняя</x:v>
      </x:c>
      <x:c r="K268" s="28" t="str">
        <x:v>Тезариус вкусов (Ники Сегнит)(1).pdf</x:v>
      </x:c>
      <x:c r="L268" s="28" t="str">
        <x:v>Тезариус вкусов (Ники Сегнит)(1).pdf: 262, 595</x:v>
      </x:c>
    </x:row>
    <x:row r="269" ht="66" customHeight="1">
      <x:c r="A269" s="28" t="str">
        <x:v>VEG-0598</x:v>
      </x:c>
      <x:c r="B269" s="28" t="str">
        <x:v>пастернак</x:v>
      </x:c>
      <x:c r="C269" s="28" t="str">
        <x:v>говядина</x:v>
      </x:c>
      <x:c r="D269" s="28" t="str">
        <x:v>Мясо и птица</x:v>
      </x:c>
      <x:c r="E269" s="28" t="str">
        <x:v>умами и солёный контраст</x:v>
      </x:c>
      <x:c r="F269" s="28" t="str">
        <x:v>Пастернак имеет профиль «сладкий, пряный, древесный и слегка анисовый».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69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69" s="28" t="str">
        <x:v>старый пастернак может быть волокнистым; сильная сладость требует баланса</x:v>
      </x:c>
      <x:c r="I269" s="28" t="str">
        <x:v>пюре, суп, запекание, крем, гарнир, соус или десертная разработка с говядина</x:v>
      </x:c>
      <x:c r="J269" s="28" t="str">
        <x:v>Средняя</x:v>
      </x:c>
      <x:c r="K269" s="28" t="str">
        <x:v>Тезариус вкусов (Ники Сегнит)(1).pdf</x:v>
      </x:c>
      <x:c r="L269" s="28" t="str">
        <x:v>Тезариус вкусов (Ники Сегнит)(1).pdf: 115, 596</x:v>
      </x:c>
    </x:row>
    <x:row r="270" ht="66" customHeight="1">
      <x:c r="A270" s="28" t="str">
        <x:v>VEG-0599</x:v>
      </x:c>
      <x:c r="B270" s="28" t="str">
        <x:v>пастернак</x:v>
      </x:c>
      <x:c r="C270" s="28" t="str">
        <x:v>грецкий орех</x:v>
      </x:c>
      <x:c r="D270" s="28" t="str">
        <x:v>Орехи и семена</x:v>
      </x:c>
      <x:c r="E270" s="28" t="str">
        <x:v>пересечение ароматических семейств</x:v>
      </x:c>
      <x:c r="F270" s="28" t="str">
        <x:v>Пастернак имеет профиль «сладкий, пряный, древесный и слегка анисовый». Партнёр «грецкий орех» относится к группе «Орехи и семена» и даёт древесный, землистый, ореховый. Профили пересекаются в семействах: землистый.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70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0" s="28" t="str">
        <x:v>старый пастернак может быть волокнистым; сильная сладость требует баланса</x:v>
      </x:c>
      <x:c r="I270" s="28" t="str">
        <x:v>пюре, суп, запекание, крем, гарнир, соус или десертная разработка с грецкий орех</x:v>
      </x:c>
      <x:c r="J270" s="28" t="str">
        <x:v>Средняя</x:v>
      </x:c>
      <x:c r="K270" s="28" t="str">
        <x:v>Тезариус вкусов (Ники Сегнит)(1).pdf</x:v>
      </x:c>
      <x:c r="L270" s="28" t="str">
        <x:v>Тезариус вкусов (Ники Сегнит)(1).pdf: 597, 627</x:v>
      </x:c>
    </x:row>
    <x:row r="271" ht="66" customHeight="1">
      <x:c r="A271" s="28" t="str">
        <x:v>VEG-0600</x:v>
      </x:c>
      <x:c r="B271" s="28" t="str">
        <x:v>пастернак</x:v>
      </x:c>
      <x:c r="C271" s="28" t="str">
        <x:v>кунжут, халва и тахини</x:v>
      </x:c>
      <x:c r="D271" s="28" t="str">
        <x:v>Орехи и семена</x:v>
      </x:c>
      <x:c r="E271" s="28" t="str">
        <x:v>общие характерные молекулы</x:v>
      </x:c>
      <x:c r="F271" s="28" t="str">
        <x:v>Пастернак имеет профиль «сладкий, пряный, древесный и слегка анисовый». Партнёр «кунжут, халва и тахини»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71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1" s="28" t="str">
        <x:v>старый пастернак может быть волокнистым; сильная сладость требует баланса</x:v>
      </x:c>
      <x:c r="I271" s="28" t="str">
        <x:v>пюре, суп, запекание, крем, гарнир, соус или десертная разработка с кунжут, халва и тахини</x:v>
      </x:c>
      <x:c r="J271" s="28" t="str">
        <x:v>Средняя</x:v>
      </x:c>
      <x:c r="K271" s="28" t="str">
        <x:v>The Art &amp; Science of Foodpairing.pdf</x:v>
      </x:c>
      <x:c r="L271" s="28" t="str">
        <x:v>The Art &amp; Science of Foodpairing.pdf: 308</x:v>
      </x:c>
    </x:row>
    <x:row r="272" ht="66" customHeight="1">
      <x:c r="A272" s="28" t="str">
        <x:v>VEG-0601</x:v>
      </x:c>
      <x:c r="B272" s="28" t="str">
        <x:v>пастернак</x:v>
      </x:c>
      <x:c r="C272" s="28" t="str">
        <x:v>маниок</x:v>
      </x:c>
      <x:c r="D272" s="28" t="str">
        <x:v>Прочее</x:v>
      </x:c>
      <x:c r="E272" s="28" t="str">
        <x:v>сенсорная комплементарность</x:v>
      </x:c>
      <x:c r="F272" s="28" t="str">
        <x:v>Пастернак имеет профиль «сладкий, пряный, древесный и слегка анисовый».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72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2" s="28" t="str">
        <x:v>старый пастернак может быть волокнистым; сильная сладость требует баланса</x:v>
      </x:c>
      <x:c r="I272" s="28" t="str">
        <x:v>пюре, суп, запекание, крем, гарнир, соус или десертная разработка с маниок</x:v>
      </x:c>
      <x:c r="J272" s="28" t="str">
        <x:v>Высокая</x:v>
      </x:c>
      <x:c r="K272" s="28" t="str">
        <x:v>The Art &amp; Science of Foodpairing.pdf</x:v>
      </x:c>
      <x:c r="L272" s="28" t="str">
        <x:v>The Art &amp; Science of Foodpairing.pdf: 247</x:v>
      </x:c>
    </x:row>
    <x:row r="273" ht="66" customHeight="1">
      <x:c r="A273" s="28" t="str">
        <x:v>VEG-0602</x:v>
      </x:c>
      <x:c r="B273" s="28" t="str">
        <x:v>пастернак</x:v>
      </x:c>
      <x:c r="C273" s="28" t="str">
        <x:v>моллюски</x:v>
      </x:c>
      <x:c r="D273" s="28" t="str">
        <x:v>Рыба и морепродукты</x:v>
      </x:c>
      <x:c r="E273" s="28" t="str">
        <x:v>умами и солёный контраст</x:v>
      </x:c>
      <x:c r="F273" s="28" t="str">
        <x:v>Пастернак имеет профиль «сладкий, пряный, древесный и слегка анисовый».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73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3" s="28" t="str">
        <x:v>старый пастернак может быть волокнистым; сильная сладость требует баланса</x:v>
      </x:c>
      <x:c r="I273" s="28" t="str">
        <x:v>пюре, суп, запекание, крем, гарнир, соус или десертная разработка с моллюски</x:v>
      </x:c>
      <x:c r="J273" s="28" t="str">
        <x:v>Средняя</x:v>
      </x:c>
      <x:c r="K273" s="28" t="str">
        <x:v>Тезариус вкусов (Ники Сегнит)(1).pdf</x:v>
      </x:c>
      <x:c r="L273" s="28" t="str">
        <x:v>Тезариус вкусов (Ники Сегнит)(1).pdf: 374, 598</x:v>
      </x:c>
    </x:row>
    <x:row r="274" ht="66" customHeight="1">
      <x:c r="A274" s="28" t="str">
        <x:v>VEG-0603</x:v>
      </x:c>
      <x:c r="B274" s="28" t="str">
        <x:v>пастернак</x:v>
      </x:c>
      <x:c r="C274" s="28" t="str">
        <x:v>мускатный орех</x:v>
      </x:c>
      <x:c r="D274" s="28" t="str">
        <x:v>Рыба и морепродукты</x:v>
      </x:c>
      <x:c r="E274" s="28" t="str">
        <x:v>общие характерные молекулы; пересечение ароматических семейств; умами и солёный контраст</x:v>
      </x:c>
      <x:c r="F274" s="28" t="str">
        <x:v>Пастернак имеет профиль «сладкий, пряный, древесный и слегка анисовый». Партнёр «мускатный орех» относится к группе «Рыба и морепродукты» и даёт камфорный, ореховый, пряный. Вероятный молекулярный мост: пинены.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74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4" s="28" t="str">
        <x:v>старый пастернак может быть волокнистым; сильная сладость требует баланса</x:v>
      </x:c>
      <x:c r="I274" s="28" t="str">
        <x:v>пюре, суп, запекание, крем, гарнир, соус или десертная разработка с мускатный орех</x:v>
      </x:c>
      <x:c r="J274" s="28" t="str">
        <x:v>Средняя</x:v>
      </x:c>
      <x:c r="K274" s="28" t="str">
        <x:v>Тезариус вкусов (Ники Сегнит)(1).pdf</x:v>
      </x:c>
      <x:c r="L274" s="28" t="str">
        <x:v>Тезариус вкусов (Ники Сегнит)(1).pdf: 589, 598</x:v>
      </x:c>
    </x:row>
    <x:row r="275" ht="66" customHeight="1">
      <x:c r="A275" s="28" t="str">
        <x:v>VEG-0604</x:v>
      </x:c>
      <x:c r="B275" s="28" t="str">
        <x:v>пастернак</x:v>
      </x:c>
      <x:c r="C275" s="28" t="str">
        <x:v>пармезан</x:v>
      </x:c>
      <x:c r="D275" s="28" t="str">
        <x:v>Прочее</x:v>
      </x:c>
      <x:c r="E275" s="28" t="str">
        <x:v>сенсорная комплементарность</x:v>
      </x:c>
      <x:c r="F275" s="28" t="str">
        <x:v>Пастернак имеет профиль «сладкий, пряный, древесный и слегка анисовый».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75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5" s="28" t="str">
        <x:v>старый пастернак может быть волокнистым; сильная сладость требует баланса</x:v>
      </x:c>
      <x:c r="I275" s="28" t="str">
        <x:v>пюре, суп, запекание, крем, гарнир, соус или десертная разработка с пармезан</x:v>
      </x:c>
      <x:c r="J275" s="28" t="str">
        <x:v>Средняя</x:v>
      </x:c>
      <x:c r="K275" s="28" t="str">
        <x:v>The Art &amp; Science of Foodpairing.pdf</x:v>
      </x:c>
      <x:c r="L275" s="28" t="str">
        <x:v>The Art &amp; Science of Foodpairing.pdf: 282</x:v>
      </x:c>
    </x:row>
    <x:row r="276" ht="66" customHeight="1">
      <x:c r="A276" s="28" t="str">
        <x:v>VEG-0605</x:v>
      </x:c>
      <x:c r="B276" s="28" t="str">
        <x:v>пастернак</x:v>
      </x:c>
      <x:c r="C276" s="28" t="str">
        <x:v>свинина</x:v>
      </x:c>
      <x:c r="D276" s="28" t="str">
        <x:v>Мясо и птица</x:v>
      </x:c>
      <x:c r="E276" s="28" t="str">
        <x:v>умами и солёный контраст</x:v>
      </x:c>
      <x:c r="F276" s="28" t="str">
        <x:v>Пастернак имеет профиль «сладкий, пряный, древесный и слегка анисовый».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76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6" s="28" t="str">
        <x:v>старый пастернак может быть волокнистым; сильная сладость требует баланса</x:v>
      </x:c>
      <x:c r="I276" s="28" t="str">
        <x:v>пюре, суп, запекание, крем, гарнир, соус или десертная разработка с свинина</x:v>
      </x:c>
      <x:c r="J276" s="28" t="str">
        <x:v>Средняя</x:v>
      </x:c>
      <x:c r="K276" s="28" t="str">
        <x:v>Тезариус вкусов (Ники Сегнит)(1).pdf</x:v>
      </x:c>
      <x:c r="L276" s="28" t="str">
        <x:v>Тезариус вкусов (Ники Сегнит)(1).pdf: 86, 598</x:v>
      </x:c>
    </x:row>
    <x:row r="277" ht="66" customHeight="1">
      <x:c r="A277" s="28" t="str">
        <x:v>VEG-0606</x:v>
      </x:c>
      <x:c r="B277" s="28" t="str">
        <x:v>пастернак</x:v>
      </x:c>
      <x:c r="C277" s="28" t="str">
        <x:v>твердый сыр</x:v>
      </x:c>
      <x:c r="D277" s="28" t="str">
        <x:v>Молочные продукты и сыры</x:v>
      </x:c>
      <x:c r="E277" s="28" t="str">
        <x:v>жировая матрица</x:v>
      </x:c>
      <x:c r="F277" s="28" t="str">
        <x:v>Пастернак имеет профиль «сладкий, пряный, древесный и слегка анисовый».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77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7" s="28" t="str">
        <x:v>старый пастернак может быть волокнистым; сильная сладость требует баланса; жир способен приглушить свежую зелёную ароматику</x:v>
      </x:c>
      <x:c r="I277" s="28" t="str">
        <x:v>пюре, суп, запекание, крем, гарнир, соус или десертная разработка с твердый сыр</x:v>
      </x:c>
      <x:c r="J277" s="28" t="str">
        <x:v>Средняя</x:v>
      </x:c>
      <x:c r="K277" s="28" t="str">
        <x:v>Тезариус вкусов (Ники Сегнит)(1).pdf</x:v>
      </x:c>
      <x:c r="L277" s="28" t="str">
        <x:v>Тезариус вкусов (Ники Сегнит)(1).pdf: 175, 599</x:v>
      </x:c>
    </x:row>
    <x:row r="278" ht="66" customHeight="1">
      <x:c r="A278" s="28" t="str">
        <x:v>VEG-0607</x:v>
      </x:c>
      <x:c r="B278" s="28" t="str">
        <x:v>пастернак</x:v>
      </x:c>
      <x:c r="C278" s="28" t="str">
        <x:v>хамон иберико</x:v>
      </x:c>
      <x:c r="D278" s="28" t="str">
        <x:v>Мясо и птица</x:v>
      </x:c>
      <x:c r="E278" s="28" t="str">
        <x:v>умами и солёный контраст</x:v>
      </x:c>
      <x:c r="F278" s="28" t="str">
        <x:v>Пастернак имеет профиль «сладкий, пряный, древесный и слегка анисовый».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78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8" s="28" t="str">
        <x:v>старый пастернак может быть волокнистым; сильная сладость требует баланса</x:v>
      </x:c>
      <x:c r="I278" s="28" t="str">
        <x:v>пюре, суп, запекание, крем, гарнир, соус или десертная разработка с хамон иберико</x:v>
      </x:c>
      <x:c r="J278" s="28" t="str">
        <x:v>Средняя</x:v>
      </x:c>
      <x:c r="K278" s="28" t="str">
        <x:v>The Art &amp; Science of Foodpairing.pdf</x:v>
      </x:c>
      <x:c r="L278" s="28" t="str">
        <x:v>The Art &amp; Science of Foodpairing.pdf: 278</x:v>
      </x:c>
    </x:row>
    <x:row r="279" ht="66" customHeight="1">
      <x:c r="A279" s="28" t="str">
        <x:v>VEG-0608</x:v>
      </x:c>
      <x:c r="B279" s="28" t="str">
        <x:v>пастернак</x:v>
      </x:c>
      <x:c r="C279" s="28" t="str">
        <x:v>цыпленок</x:v>
      </x:c>
      <x:c r="D279" s="28" t="str">
        <x:v>Прочее</x:v>
      </x:c>
      <x:c r="E279" s="28" t="str">
        <x:v>сенсорная комплементарность</x:v>
      </x:c>
      <x:c r="F279" s="28" t="str">
        <x:v>Пастернак имеет профиль «сладкий, пряный, древесный и слегка анисовый».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79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79" s="28" t="str">
        <x:v>старый пастернак может быть волокнистым; сильная сладость требует баланса</x:v>
      </x:c>
      <x:c r="I279" s="28" t="str">
        <x:v>пюре, суп, запекание, крем, гарнир, соус или десертная разработка с цыпленок</x:v>
      </x:c>
      <x:c r="J279" s="28" t="str">
        <x:v>Средняя</x:v>
      </x:c>
      <x:c r="K279" s="28" t="str">
        <x:v>Тезариус вкусов (Ники Сегнит)(1).pdf</x:v>
      </x:c>
      <x:c r="L279" s="28" t="str">
        <x:v>Тезариус вкусов (Ники Сегнит)(1).pdf: 70, 599</x:v>
      </x:c>
    </x:row>
    <x:row r="280" ht="66" customHeight="1">
      <x:c r="A280" s="28" t="str">
        <x:v>VEG-0609</x:v>
      </x:c>
      <x:c r="B280" s="28" t="str">
        <x:v>пастернак</x:v>
      </x:c>
      <x:c r="C280" s="28" t="str">
        <x:v>чёрный перец</x:v>
      </x:c>
      <x:c r="D280" s="28" t="str">
        <x:v>Специи</x:v>
      </x:c>
      <x:c r="E280" s="28" t="str">
        <x:v>пересечение ароматических семейств</x:v>
      </x:c>
      <x:c r="F280" s="28" t="str">
        <x:v>Пастернак имеет профиль «сладкий, пряный, древесный и слегка анисовый». Партнёр «чёрный перец» относится к группе «Специи» и даёт древесный, пряный, цитрусовый. Профили пересекаются в семействах: пряный.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80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280" s="28" t="str">
        <x:v>старый пастернак может быть волокнистым; сильная сладость требует баланса</x:v>
      </x:c>
      <x:c r="I280" s="28" t="str">
        <x:v>пюре, суп, запекание, крем, гарнир, соус или десертная разработка с чёрный перец</x:v>
      </x:c>
      <x:c r="J280" s="28" t="str">
        <x:v>Средняя</x:v>
      </x:c>
      <x:c r="K280" s="28" t="str">
        <x:v>The Art &amp; Science of Foodpairing.pdf</x:v>
      </x:c>
      <x:c r="L280" s="28" t="str">
        <x:v>The Art &amp; Science of Foodpairing.pdf: 273, 274</x:v>
      </x:c>
    </x:row>
    <x:row r="281" ht="66" customHeight="1">
      <x:c r="A281" s="28" t="str">
        <x:v>VEG-0610</x:v>
      </x:c>
      <x:c r="B281" s="28" t="str">
        <x:v>редис</x:v>
      </x:c>
      <x:c r="C281" s="28" t="str">
        <x:v>апельсин</x:v>
      </x:c>
      <x:c r="D281" s="28" t="str">
        <x:v>Фрукты и ягоды</x:v>
      </x:c>
      <x:c r="E281" s="28" t="str">
        <x:v>кислотно-сладкий баланс; сернистая или горчичная комплементарность</x:v>
      </x:c>
      <x:c r="F281" s="28" t="str">
        <x:v>Редис имеет профиль «горчичный, зелёный, перечный и водянистый».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1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281" s="28" t="str">
        <x:v>вялая текстура и чрезмерная острота; некоторые сорта значительно сильнее других; избыток кислоты или воды может сделать овощной вкус тонким и разрушить сливочную эмульсию</x:v>
      </x:c>
      <x:c r="I281" s="28" t="str">
        <x:v>салат, гарнир, суп, соус, маринад, ферментация или напиток с апельсин</x:v>
      </x:c>
      <x:c r="J281" s="28" t="str">
        <x:v>Средняя</x:v>
      </x:c>
      <x:c r="K281" s="28" t="str">
        <x:v>The Art &amp; Science of Foodpairing.pdf</x:v>
      </x:c>
      <x:c r="L281" s="28" t="str">
        <x:v>The Art &amp; Science of Foodpairing.pdf: 236</x:v>
      </x:c>
    </x:row>
    <x:row r="282" ht="66" customHeight="1">
      <x:c r="A282" s="28" t="str">
        <x:v>VEG-0611</x:v>
      </x:c>
      <x:c r="B282" s="28" t="str">
        <x:v>редис</x:v>
      </x:c>
      <x:c r="C282" s="28" t="str">
        <x:v>болгарский перец</x:v>
      </x:c>
      <x:c r="D282" s="28" t="str">
        <x:v>Плодовые овощи</x:v>
      </x:c>
      <x:c r="E282" s="28" t="str">
        <x:v>пересечение ароматических семейств; сернистая или горчичная комплементарность</x:v>
      </x:c>
      <x:c r="F282" s="28" t="str">
        <x:v>Редис имеет профиль «горчичный, зелёный, перечный и водянистый».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зелёный.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2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282" s="28" t="str">
        <x:v>вялая текстура и чрезмерная острота; некоторые сорта значительно сильнее других</x:v>
      </x:c>
      <x:c r="I282" s="28" t="str">
        <x:v>салат, гарнир, суп, соус, маринад, ферментация или напиток с болгарский перец</x:v>
      </x:c>
      <x:c r="J282" s="28" t="str">
        <x:v>Средняя</x:v>
      </x:c>
      <x:c r="K282" s="28" t="str">
        <x:v>The Art &amp; Science of Foodpairing.pdf</x:v>
      </x:c>
      <x:c r="L282" s="28" t="str">
        <x:v>The Art &amp; Science of Foodpairing.pdf: 108</x:v>
      </x:c>
    </x:row>
    <x:row r="283" ht="66" customHeight="1">
      <x:c r="A283" s="28" t="str">
        <x:v>VEG-0612</x:v>
      </x:c>
      <x:c r="B283" s="28" t="str">
        <x:v>редис</x:v>
      </x:c>
      <x:c r="C283" s="28" t="str">
        <x:v>джин</x:v>
      </x:c>
      <x:c r="D283" s="28" t="str">
        <x:v>Алкогольные напитки</x:v>
      </x:c>
      <x:c r="E283" s="28" t="str">
        <x:v>сернистая или горчичная комплементарность</x:v>
      </x:c>
      <x:c r="F283" s="28" t="str">
        <x:v>Редис имеет профиль «горчичный, зелёный, перечный и водянистый».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3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283" s="28" t="str">
        <x:v>вялая текстура и чрезмерная острота; некоторые сорта значительно сильнее других</x:v>
      </x:c>
      <x:c r="I283" s="28" t="str">
        <x:v>салат, гарнир, суп, соус, маринад, ферментация или напиток с джин</x:v>
      </x:c>
      <x:c r="J283" s="28" t="str">
        <x:v>Средняя</x:v>
      </x:c>
      <x:c r="K283" s="28" t="str">
        <x:v>The Art &amp; Science of Foodpairing.pdf</x:v>
      </x:c>
      <x:c r="L283" s="28" t="str">
        <x:v>The Art &amp; Science of Foodpairing.pdf: 215</x:v>
      </x:c>
    </x:row>
    <x:row r="284" ht="66" customHeight="1">
      <x:c r="A284" s="28" t="str">
        <x:v>VEG-0613</x:v>
      </x:c>
      <x:c r="B284" s="28" t="str">
        <x:v>редис</x:v>
      </x:c>
      <x:c r="C284" s="28" t="str">
        <x:v>кардамон</x:v>
      </x:c>
      <x:c r="D284" s="28" t="str">
        <x:v>Специи</x:v>
      </x:c>
      <x:c r="E284" s="28" t="str">
        <x:v>сернистая или горчичная комплементарность</x:v>
      </x:c>
      <x:c r="F284" s="28" t="str">
        <x:v>Редис имеет профиль «горчичный, зелёный, перечный и водянистый».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4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284" s="28" t="str">
        <x:v>вялая текстура и чрезмерная острота; некоторые сорта значительно сильнее других</x:v>
      </x:c>
      <x:c r="I284" s="28" t="str">
        <x:v>салат, гарнир, суп, соус, маринад, ферментация или напиток с кардамон</x:v>
      </x:c>
      <x:c r="J284" s="28" t="str">
        <x:v>Средняя</x:v>
      </x:c>
      <x:c r="K284" s="28" t="str">
        <x:v>The Art &amp; Science of Foodpairing.pdf</x:v>
      </x:c>
      <x:c r="L284" s="28" t="str">
        <x:v>The Art &amp; Science of Foodpairing.pdf: 256</x:v>
      </x:c>
    </x:row>
    <x:row r="285" ht="66" customHeight="1">
      <x:c r="A285" s="28" t="str">
        <x:v>VEG-0614</x:v>
      </x:c>
      <x:c r="B285" s="28" t="str">
        <x:v>редис</x:v>
      </x:c>
      <x:c r="C285" s="28" t="str">
        <x:v>кимчи</x:v>
      </x:c>
      <x:c r="D285" s="28" t="str">
        <x:v>Ферментированные продукты и соусы</x:v>
      </x:c>
      <x:c r="E285" s="28" t="str">
        <x:v>умами и солёный контраст; сернистая или горчичная комплементарность</x:v>
      </x:c>
      <x:c r="F285" s="28" t="str">
        <x:v>Редис имеет профиль «горчичный, зелёный, перечный и водянистый».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5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285" s="28" t="str">
        <x:v>вялая текстура и чрезмерная острота; некоторые сорта значительно сильнее других</x:v>
      </x:c>
      <x:c r="I285" s="28" t="str">
        <x:v>салат, гарнир, суп, соус, маринад, ферментация или напиток с кимчи</x:v>
      </x:c>
      <x:c r="J285" s="28" t="str">
        <x:v>Средняя</x:v>
      </x:c>
      <x:c r="K285" s="28" t="str">
        <x:v>The Art &amp; Science of Foodpairing.pdf</x:v>
      </x:c>
      <x:c r="L285" s="28" t="str">
        <x:v>The Art &amp; Science of Foodpairing.pdf: 304, 305</x:v>
      </x:c>
    </x:row>
    <x:row r="286" ht="66" customHeight="1">
      <x:c r="A286" s="28" t="str">
        <x:v>VEG-0615</x:v>
      </x:c>
      <x:c r="B286" s="28" t="str">
        <x:v>редис</x:v>
      </x:c>
      <x:c r="C286" s="28" t="str">
        <x:v>кунжут, халва и тахини</x:v>
      </x:c>
      <x:c r="D286" s="28" t="str">
        <x:v>Орехи и семена</x:v>
      </x:c>
      <x:c r="E286" s="28" t="str">
        <x:v>сернистая или горчичная комплементарность</x:v>
      </x:c>
      <x:c r="F286" s="28" t="str">
        <x:v>Редис имеет профиль «горчичный, зелёный, перечный и водянистый».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6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286" s="28" t="str">
        <x:v>вялая текстура и чрезмерная острота; некоторые сорта значительно сильнее других</x:v>
      </x:c>
      <x:c r="I286" s="28" t="str">
        <x:v>салат, гарнир, суп, соус, маринад, ферментация или напиток с кунжут, халва и тахини</x:v>
      </x:c>
      <x:c r="J286" s="28" t="str">
        <x:v>Средняя</x:v>
      </x:c>
      <x:c r="K286" s="28" t="str">
        <x:v>The Art &amp; Science of Foodpairing.pdf</x:v>
      </x:c>
      <x:c r="L286" s="28" t="str">
        <x:v>The Art &amp; Science of Foodpairing.pdf: 308</x:v>
      </x:c>
    </x:row>
    <x:row r="287" ht="66" customHeight="1">
      <x:c r="A287" s="28" t="str">
        <x:v>VEG-0616</x:v>
      </x:c>
      <x:c r="B287" s="28" t="str">
        <x:v>редис</x:v>
      </x:c>
      <x:c r="C287" s="28" t="str">
        <x:v>пармезан</x:v>
      </x:c>
      <x:c r="D287" s="28" t="str">
        <x:v>Прочее</x:v>
      </x:c>
      <x:c r="E287" s="28" t="str">
        <x:v>сернистая или горчичная комплементарность</x:v>
      </x:c>
      <x:c r="F287" s="28" t="str">
        <x:v>Редис имеет профиль «горчичный, зелёный, перечный и водянистый».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7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287" s="28" t="str">
        <x:v>вялая текстура и чрезмерная острота; некоторые сорта значительно сильнее других</x:v>
      </x:c>
      <x:c r="I287" s="28" t="str">
        <x:v>салат, гарнир, суп, соус, маринад, ферментация или напиток с пармезан</x:v>
      </x:c>
      <x:c r="J287" s="28" t="str">
        <x:v>Средняя</x:v>
      </x:c>
      <x:c r="K287" s="28" t="str">
        <x:v>The Art &amp; Science of Foodpairing.pdf</x:v>
      </x:c>
      <x:c r="L287" s="28" t="str">
        <x:v>The Art &amp; Science of Foodpairing.pdf: 282</x:v>
      </x:c>
    </x:row>
    <x:row r="288" ht="66" customHeight="1">
      <x:c r="A288" s="28" t="str">
        <x:v>VEG-0617</x:v>
      </x:c>
      <x:c r="B288" s="28" t="str">
        <x:v>репа</x:v>
      </x:c>
      <x:c r="C288" s="28" t="str">
        <x:v>ананас</x:v>
      </x:c>
      <x:c r="D288" s="28" t="str">
        <x:v>Фрукты и ягоды</x:v>
      </x:c>
      <x:c r="E288" s="28" t="str">
        <x:v>кислотно-сладкий баланс; сернистая или горчичная комплементарность</x:v>
      </x:c>
      <x:c r="F288" s="28" t="str">
        <x:v>Репа имеет профиль «горчичный, зелёный, землистый и мягко сладкий». Партнёр «ананас» относится к группе «Фрукты и ягоды» и даёт карамельный, сернистый,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8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288" s="28" t="str">
        <x:v>старая репа может быть древесной и горькой; передозировка горчичных нот; избыток кислоты или воды может сделать овощной вкус тонким и разрушить сливочную эмульсию</x:v>
      </x:c>
      <x:c r="I288" s="28" t="str">
        <x:v>салат, гарнир, суп, соус, маринад, ферментация или напиток с ананас</x:v>
      </x:c>
      <x:c r="J288" s="28" t="str">
        <x:v>Средняя</x:v>
      </x:c>
      <x:c r="K288" s="28" t="str">
        <x:v>The Art &amp; Science of Foodpairing.pdf</x:v>
      </x:c>
      <x:c r="L288" s="28" t="str">
        <x:v>The Art &amp; Science of Foodpairing.pdf: 242</x:v>
      </x:c>
    </x:row>
    <x:row r="289" ht="66" customHeight="1">
      <x:c r="A289" s="28" t="str">
        <x:v>VEG-0618</x:v>
      </x:c>
      <x:c r="B289" s="28" t="str">
        <x:v>репа</x:v>
      </x:c>
      <x:c r="C289" s="28" t="str">
        <x:v>апельсин</x:v>
      </x:c>
      <x:c r="D289" s="28" t="str">
        <x:v>Фрукты и ягоды</x:v>
      </x:c>
      <x:c r="E289" s="28" t="str">
        <x:v>кислотно-сладкий баланс; сернистая или горчичная комплементарность</x:v>
      </x:c>
      <x:c r="F289" s="28" t="str">
        <x:v>Репа имеет профиль «горчичный, зелёный, землистый и мягко сладкий».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9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289" s="28" t="str">
        <x:v>старая репа может быть древесной и горькой; передозировка горчичных нот; избыток кислоты или воды может сделать овощной вкус тонким и разрушить сливочную эмульсию</x:v>
      </x:c>
      <x:c r="I289" s="28" t="str">
        <x:v>салат, гарнир, суп, соус, маринад, ферментация или напиток с апельсин</x:v>
      </x:c>
      <x:c r="J289" s="28" t="str">
        <x:v>Средняя</x:v>
      </x:c>
      <x:c r="K289" s="28" t="str">
        <x:v>The Art &amp; Science of Foodpairing.pdf</x:v>
      </x:c>
      <x:c r="L289" s="28" t="str">
        <x:v>The Art &amp; Science of Foodpairing.pdf: 236</x:v>
      </x:c>
    </x:row>
    <x:row r="290" ht="66" customHeight="1">
      <x:c r="A290" s="28" t="str">
        <x:v>VEG-0619</x:v>
      </x:c>
      <x:c r="B290" s="28" t="str">
        <x:v>репа</x:v>
      </x:c>
      <x:c r="C290" s="28" t="str">
        <x:v>голубой сыр</x:v>
      </x:c>
      <x:c r="D290" s="28" t="str">
        <x:v>Молочные продукты и сыры</x:v>
      </x:c>
      <x:c r="E290" s="28" t="str">
        <x:v>жировая матрица; сернистая или горчичная комплементарность</x:v>
      </x:c>
      <x:c r="F290" s="28" t="str">
        <x:v>Репа имеет профиль «горчичный, зелёный, землистый и мягко сладкий».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90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290" s="28" t="str">
        <x:v>старая репа может быть древесной и горькой; передозировка горчичных нот; жир способен приглушить свежую зелёную ароматику</x:v>
      </x:c>
      <x:c r="I290" s="28" t="str">
        <x:v>салат, гарнир, суп, соус, маринад, ферментация или напиток с голубой сыр</x:v>
      </x:c>
      <x:c r="J290" s="28" t="str">
        <x:v>Средняя</x:v>
      </x:c>
      <x:c r="K290" s="28" t="str">
        <x:v>The Art &amp; Science of Foodpairing.pdf</x:v>
      </x:c>
      <x:c r="L290" s="28" t="str">
        <x:v>The Art &amp; Science of Foodpairing.pdf: 164</x:v>
      </x:c>
    </x:row>
    <x:row r="291" ht="66" customHeight="1">
      <x:c r="A291" s="28" t="str">
        <x:v>VEG-0620</x:v>
      </x:c>
      <x:c r="B291" s="28" t="str">
        <x:v>репа</x:v>
      </x:c>
      <x:c r="C291" s="28" t="str">
        <x:v>жасмин</x:v>
      </x:c>
      <x:c r="D291" s="28" t="str">
        <x:v>Травы, цветы и листья</x:v>
      </x:c>
      <x:c r="E291" s="28" t="str">
        <x:v>пересечение ароматических семейств; сернистая или горчичная комплементарность</x:v>
      </x:c>
      <x:c r="F291" s="28" t="str">
        <x:v>Репа имеет профиль «горчичный, зелёный, землистый и мягко сладкий». Партнёр «жасмин»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91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291" s="28" t="str">
        <x:v>старая репа может быть древесной и горькой; передозировка горчичных нот; длительный нагрев уносит свежие терпены и зелёные альдегиды</x:v>
      </x:c>
      <x:c r="I291" s="28" t="str">
        <x:v>салат, гарнир, суп, соус, маринад, ферментация или напиток с жасмин</x:v>
      </x:c>
      <x:c r="J291" s="28" t="str">
        <x:v>Высокая</x:v>
      </x:c>
      <x:c r="K291" s="28" t="str">
        <x:v>The Art &amp; Science of Foodpairing.pdf</x:v>
      </x:c>
      <x:c r="L291" s="28" t="str">
        <x:v>The Art &amp; Science of Foodpairing.pdf: 210, 211</x:v>
      </x:c>
    </x:row>
    <x:row r="292" ht="66" customHeight="1">
      <x:c r="A292" s="28" t="str">
        <x:v>VEG-0621</x:v>
      </x:c>
      <x:c r="B292" s="28" t="str">
        <x:v>репа</x:v>
      </x:c>
      <x:c r="C292" s="28" t="str">
        <x:v>кофе</x:v>
      </x:c>
      <x:c r="D292" s="28" t="str">
        <x:v>Кофе</x:v>
      </x:c>
      <x:c r="E292" s="28" t="str">
        <x:v>сернистая или горчичная комплементарность</x:v>
      </x:c>
      <x:c r="F292" s="28" t="str">
        <x:v>Репа имеет профиль «горчичный, зелёный, землистый и мягко сладкий».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92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292" s="28" t="str">
        <x:v>старая репа может быть древесной и горькой; передозировка горчичных нот; жареная горечь легко маскирует нежный овощной аромат</x:v>
      </x:c>
      <x:c r="I292" s="28" t="str">
        <x:v>салат, гарнир, суп, соус, маринад, ферментация или напиток с кофе</x:v>
      </x:c>
      <x:c r="J292" s="28" t="str">
        <x:v>Средняя</x:v>
      </x:c>
      <x:c r="K292" s="28" t="str">
        <x:v>The Art &amp; Science of Foodpairing.pdf</x:v>
      </x:c>
      <x:c r="L292" s="28" t="str">
        <x:v>The Art &amp; Science of Foodpairing.pdf: 297</x:v>
      </x:c>
    </x:row>
    <x:row r="293" ht="66" customHeight="1">
      <x:c r="A293" s="28" t="str">
        <x:v>VEG-0622</x:v>
      </x:c>
      <x:c r="B293" s="28" t="str">
        <x:v>репа</x:v>
      </x:c>
      <x:c r="C293" s="28" t="str">
        <x:v>кунжут, халва и тахини</x:v>
      </x:c>
      <x:c r="D293" s="28" t="str">
        <x:v>Орехи и семена</x:v>
      </x:c>
      <x:c r="E293" s="28" t="str">
        <x:v>сернистая или горчичная комплементарность</x:v>
      </x:c>
      <x:c r="F293" s="28" t="str">
        <x:v>Репа имеет профиль «горчичный, зелёный, землистый и мягко сладкий».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93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293" s="28" t="str">
        <x:v>старая репа может быть древесной и горькой; передозировка горчичных нот</x:v>
      </x:c>
      <x:c r="I293" s="28" t="str">
        <x:v>салат, гарнир, суп, соус, маринад, ферментация или напиток с кунжут, халва и тахини</x:v>
      </x:c>
      <x:c r="J293" s="28" t="str">
        <x:v>Средняя</x:v>
      </x:c>
      <x:c r="K293" s="28" t="str">
        <x:v>The Art &amp; Science of Foodpairing.pdf</x:v>
      </x:c>
      <x:c r="L293" s="28" t="str">
        <x:v>The Art &amp; Science of Foodpairing.pdf: 308</x:v>
      </x:c>
    </x:row>
    <x:row r="294" ht="66" customHeight="1">
      <x:c r="A294" s="28" t="str">
        <x:v>VEG-0623</x:v>
      </x:c>
      <x:c r="B294" s="28" t="str">
        <x:v>свёкла</x:v>
      </x:c>
      <x:c r="C294" s="28" t="str">
        <x:v>абрикос</x:v>
      </x:c>
      <x:c r="D294" s="28" t="str">
        <x:v>Фрукты и ягоды</x:v>
      </x:c>
      <x:c r="E294" s="28" t="str">
        <x:v>общие характерные молекулы; кислотно-сладкий баланс</x:v>
      </x:c>
      <x:c r="F294" s="28" t="str">
        <x:v>Свёкла имеет профиль «землистый, сладкий, минеральный и слегка зелёный». Партнёр «абрикос»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9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294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294" s="28" t="str">
        <x:v>сок, кордиал, гаспачо, салат, соус, маринад или коктейльный компонент с абрикос</x:v>
      </x:c>
      <x:c r="J294" s="28" t="str">
        <x:v>Средняя</x:v>
      </x:c>
      <x:c r="K294" s="28" t="str">
        <x:v>The Art &amp; Science of Foodpairing.pdf</x:v>
      </x:c>
      <x:c r="L294" s="28" t="str">
        <x:v>The Art &amp; Science of Foodpairing.pdf: 224</x:v>
      </x:c>
    </x:row>
    <x:row r="295" ht="66" customHeight="1">
      <x:c r="A295" s="28" t="str">
        <x:v>VEG-0624</x:v>
      </x:c>
      <x:c r="B295" s="28" t="str">
        <x:v>свёкла</x:v>
      </x:c>
      <x:c r="C295" s="28" t="str">
        <x:v>анчоусы</x:v>
      </x:c>
      <x:c r="D295" s="28" t="str">
        <x:v>Рыба и морепродукты</x:v>
      </x:c>
      <x:c r="E295" s="28" t="str">
        <x:v>общие характерные молекулы; умами и солёный контраст</x:v>
      </x:c>
      <x:c r="F295" s="28" t="str">
        <x:v>Свёкла имеет профиль «землистый, сладкий, минеральный и слегка зелёный». Партнёр «анчоусы»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9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295" s="28" t="str">
        <x:v>геосмин легко доминирует; беталаины отвечают за цвет, а не за запах; сильный нагрев снижает яркость цвета</x:v>
      </x:c>
      <x:c r="I295" s="28" t="str">
        <x:v>сок, кордиал, гаспачо, салат, соус, маринад или коктейльный компонент с анчоусы</x:v>
      </x:c>
      <x:c r="J295" s="28" t="str">
        <x:v>Средняя</x:v>
      </x:c>
      <x:c r="K295" s="28" t="str">
        <x:v>Тезариус вкусов (Ники Сегнит)(1).pdf</x:v>
      </x:c>
      <x:c r="L295" s="28" t="str">
        <x:v>Тезариус вкусов (Ники Сегнит)(1).pdf: 222, 429</x:v>
      </x:c>
    </x:row>
    <x:row r="296" ht="66" customHeight="1">
      <x:c r="A296" s="28" t="str">
        <x:v>VEG-0625</x:v>
      </x:c>
      <x:c r="B296" s="28" t="str">
        <x:v>свёкла</x:v>
      </x:c>
      <x:c r="C296" s="28" t="str">
        <x:v>апельсин</x:v>
      </x:c>
      <x:c r="D296" s="28" t="str">
        <x:v>Фрукты и ягоды</x:v>
      </x:c>
      <x:c r="E296" s="28" t="str">
        <x:v>пересечение ароматических семейств; кислотно-сладкий баланс</x:v>
      </x:c>
      <x:c r="F296" s="28" t="str">
        <x:v>Свёкла имеет профиль «землистый, сладкий, минеральный и слегка зелёный».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9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296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296" s="28" t="str">
        <x:v>сок, кордиал, гаспачо, салат, соус, маринад или коктейльный компонент с апельсин</x:v>
      </x:c>
      <x:c r="J296" s="28" t="str">
        <x:v>Средняя</x:v>
      </x:c>
      <x:c r="K296" s="28" t="str">
        <x:v>Тезариус вкусов (Ники Сегнит)(1).pdf</x:v>
      </x:c>
      <x:c r="L296" s="28" t="str">
        <x:v>Тезариус вкусов (Ники Сегнит)(1).pdf: 223, 780</x:v>
      </x:c>
    </x:row>
    <x:row r="297" ht="66" customHeight="1">
      <x:c r="A297" s="28" t="str">
        <x:v>VEG-0626</x:v>
      </x:c>
      <x:c r="B297" s="28" t="str">
        <x:v>свёкла</x:v>
      </x:c>
      <x:c r="C297" s="28" t="str">
        <x:v>арахис</x:v>
      </x:c>
      <x:c r="D297" s="28" t="str">
        <x:v>Орехи и семена</x:v>
      </x:c>
      <x:c r="E297" s="28" t="str">
        <x:v>общие характерные молекулы</x:v>
      </x:c>
      <x:c r="F297" s="28" t="str">
        <x:v>Свёкла имеет профиль «землистый, сладкий, минеральный и слегка зелёный». Партнёр «арахис» относится к группе «Орехи и семена» и даёт ореховый, жареный и жирный.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9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297" s="28" t="str">
        <x:v>геосмин легко доминирует; беталаины отвечают за цвет, а не за запах; сильный нагрев снижает яркость цвета</x:v>
      </x:c>
      <x:c r="I297" s="28" t="str">
        <x:v>сок, кордиал, гаспачо, салат, соус, маринад или коктейльный компонент с арахис</x:v>
      </x:c>
      <x:c r="J297" s="28" t="str">
        <x:v>Средняя</x:v>
      </x:c>
      <x:c r="K297" s="28" t="str">
        <x:v>The Art &amp; Science of Foodpairing.pdf</x:v>
      </x:c>
      <x:c r="L297" s="28" t="str">
        <x:v>The Art &amp; Science of Foodpairing.pdf: 224</x:v>
      </x:c>
    </x:row>
    <x:row r="298" ht="66" customHeight="1">
      <x:c r="A298" s="28" t="str">
        <x:v>VEG-0627</x:v>
      </x:c>
      <x:c r="B298" s="28" t="str">
        <x:v>свёкла</x:v>
      </x:c>
      <x:c r="C298" s="28" t="str">
        <x:v>арбуз</x:v>
      </x:c>
      <x:c r="D298" s="28" t="str">
        <x:v>Прочее</x:v>
      </x:c>
      <x:c r="E298" s="28" t="str">
        <x:v>сенсорная комплементарность</x:v>
      </x:c>
      <x:c r="F298" s="28" t="str">
        <x:v>Свёкла имеет профиль «землистый, сладкий, минеральный и слегка зелёный».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9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298" s="28" t="str">
        <x:v>геосмин легко доминирует; беталаины отвечают за цвет, а не за запах; сильный нагрев снижает яркость цвета</x:v>
      </x:c>
      <x:c r="I298" s="28" t="str">
        <x:v>сок, кордиал, гаспачо, салат, соус, маринад или коктейльный компонент с арбуз</x:v>
      </x:c>
      <x:c r="J298" s="28" t="str">
        <x:v>Средняя</x:v>
      </x:c>
      <x:c r="K298" s="28" t="str">
        <x:v>The Art &amp; Science of Foodpairing.pdf</x:v>
      </x:c>
      <x:c r="L298" s="28" t="str">
        <x:v>The Art &amp; Science of Foodpairing.pdf: 78</x:v>
      </x:c>
    </x:row>
    <x:row r="299" ht="66" customHeight="1">
      <x:c r="A299" s="28" t="str">
        <x:v>VEG-0628</x:v>
      </x:c>
      <x:c r="B299" s="28" t="str">
        <x:v>свёкла</x:v>
      </x:c>
      <x:c r="C299" s="28" t="str">
        <x:v>асаи</x:v>
      </x:c>
      <x:c r="D299" s="28" t="str">
        <x:v>Прочее</x:v>
      </x:c>
      <x:c r="E299" s="28" t="str">
        <x:v>сенсорная комплементарность</x:v>
      </x:c>
      <x:c r="F299" s="28" t="str">
        <x:v>Свёкла имеет профиль «землистый, сладкий, минеральный и слегка зелёный». Партнёр «асаи»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9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299" s="28" t="str">
        <x:v>геосмин легко доминирует; беталаины отвечают за цвет, а не за запах; сильный нагрев снижает яркость цвета</x:v>
      </x:c>
      <x:c r="I299" s="28" t="str">
        <x:v>сок, кордиал, гаспачо, салат, соус, маринад или коктейльный компонент с асаи</x:v>
      </x:c>
      <x:c r="J299" s="28" t="str">
        <x:v>Средняя</x:v>
      </x:c>
      <x:c r="K299" s="28" t="str">
        <x:v>The Art &amp; Science of Foodpairing.pdf</x:v>
      </x:c>
      <x:c r="L299" s="28" t="str">
        <x:v>The Art &amp; Science of Foodpairing.pdf: 224</x:v>
      </x:c>
    </x:row>
    <x:row r="300" ht="66" customHeight="1">
      <x:c r="A300" s="28" t="str">
        <x:v>VEG-0629</x:v>
      </x:c>
      <x:c r="B300" s="28" t="str">
        <x:v>свёкла</x:v>
      </x:c>
      <x:c r="C300" s="28" t="str">
        <x:v>бальзамический уксус</x:v>
      </x:c>
      <x:c r="D300" s="28" t="str">
        <x:v>Ферментированные продукты и соусы</x:v>
      </x:c>
      <x:c r="E300" s="28" t="str">
        <x:v>умами и солёный контраст</x:v>
      </x:c>
      <x:c r="F300" s="28" t="str">
        <x:v>Свёкла имеет профиль «землистый, сладкий, минеральный и слегка зелёный».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0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0" s="28" t="str">
        <x:v>геосмин легко доминирует; беталаины отвечают за цвет, а не за запах; сильный нагрев снижает яркость цвета</x:v>
      </x:c>
      <x:c r="I300" s="28" t="str">
        <x:v>сок, кордиал, гаспачо, салат, соус, маринад или коктейльный компонент с бальзамический уксус</x:v>
      </x:c>
      <x:c r="J300" s="28" t="str">
        <x:v>Средняя</x:v>
      </x:c>
      <x:c r="K300" s="28" t="str">
        <x:v>The Art &amp; Science of Foodpairing.pdf</x:v>
      </x:c>
      <x:c r="L300" s="28" t="str">
        <x:v>The Art &amp; Science of Foodpairing.pdf: 316</x:v>
      </x:c>
    </x:row>
    <x:row r="301" ht="66" customHeight="1">
      <x:c r="A301" s="28" t="str">
        <x:v>VEG-0630</x:v>
      </x:c>
      <x:c r="B301" s="28" t="str">
        <x:v>свёкла</x:v>
      </x:c>
      <x:c r="C301" s="28" t="str">
        <x:v>банан</x:v>
      </x:c>
      <x:c r="D301" s="28" t="str">
        <x:v>Фрукты и ягоды</x:v>
      </x:c>
      <x:c r="E301" s="28" t="str">
        <x:v>общие характерные молекулы; кислотно-сладкий баланс</x:v>
      </x:c>
      <x:c r="F301" s="28" t="str">
        <x:v>Свёкла имеет профиль «землистый, сладкий, минеральный и слегка зелёный». Партнёр «банан»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0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1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301" s="28" t="str">
        <x:v>сок, кордиал, гаспачо, салат, соус, маринад или коктейльный компонент с банан</x:v>
      </x:c>
      <x:c r="J301" s="28" t="str">
        <x:v>Средняя</x:v>
      </x:c>
      <x:c r="K301" s="28" t="str">
        <x:v>The Art &amp; Science of Foodpairing.pdf</x:v>
      </x:c>
      <x:c r="L301" s="28" t="str">
        <x:v>The Art &amp; Science of Foodpairing.pdf: 224</x:v>
      </x:c>
    </x:row>
    <x:row r="302" ht="66" customHeight="1">
      <x:c r="A302" s="28" t="str">
        <x:v>VEG-0631</x:v>
      </x:c>
      <x:c r="B302" s="28" t="str">
        <x:v>свёкла</x:v>
      </x:c>
      <x:c r="C302" s="28" t="str">
        <x:v>баранина</x:v>
      </x:c>
      <x:c r="D302" s="28" t="str">
        <x:v>Мясо и птица</x:v>
      </x:c>
      <x:c r="E302" s="28" t="str">
        <x:v>умами и солёный контраст</x:v>
      </x:c>
      <x:c r="F302" s="28" t="str">
        <x:v>Свёкла имеет профиль «землистый, сладкий, минеральный и слегка зелёный».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0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2" s="28" t="str">
        <x:v>геосмин легко доминирует; беталаины отвечают за цвет, а не за запах; сильный нагрев снижает яркость цвета</x:v>
      </x:c>
      <x:c r="I302" s="28" t="str">
        <x:v>сок, кордиал, гаспачо, салат, соус, маринад или коктейльный компонент с баранина</x:v>
      </x:c>
      <x:c r="J302" s="28" t="str">
        <x:v>Средняя</x:v>
      </x:c>
      <x:c r="K302" s="28" t="str">
        <x:v>The Art &amp; Science of Foodpairing.pdf</x:v>
      </x:c>
      <x:c r="L302" s="28" t="str">
        <x:v>The Art &amp; Science of Foodpairing.pdf: 224</x:v>
      </x:c>
    </x:row>
    <x:row r="303" ht="66" customHeight="1">
      <x:c r="A303" s="28" t="str">
        <x:v>VEG-0632</x:v>
      </x:c>
      <x:c r="B303" s="28" t="str">
        <x:v>свёкла</x:v>
      </x:c>
      <x:c r="C303" s="28" t="str">
        <x:v>батат</x:v>
      </x:c>
      <x:c r="D303" s="28" t="str">
        <x:v>Корнеплоды и клубни</x:v>
      </x:c>
      <x:c r="E303" s="28" t="str">
        <x:v>пересечение ароматических семейств</x:v>
      </x:c>
      <x:c r="F303" s="28" t="str">
        <x:v>Свёкла имеет профиль «землистый, сладкий, минеральный и слегка зелёный». Партнёр «батат» относится к группе «Корнеплоды и клубни» и даёт сладкий, крахмалистый, цветочный, карамельный и ореховый после запекания.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0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3" s="28" t="str">
        <x:v>геосмин легко доминирует; беталаины отвечают за цвет, а не за запах; сильный нагрев снижает яркость цвета</x:v>
      </x:c>
      <x:c r="I303" s="28" t="str">
        <x:v>сок, кордиал, гаспачо, салат, соус, маринад или коктейльный компонент с батат</x:v>
      </x:c>
      <x:c r="J303" s="28" t="str">
        <x:v>Средняя</x:v>
      </x:c>
      <x:c r="K303" s="28" t="str">
        <x:v>The Art &amp; Science of Foodpairing.pdf</x:v>
      </x:c>
      <x:c r="L303" s="28" t="str">
        <x:v>The Art &amp; Science of Foodpairing.pdf: 119</x:v>
      </x:c>
    </x:row>
    <x:row r="304" ht="66" customHeight="1">
      <x:c r="A304" s="28" t="str">
        <x:v>VEG-0633</x:v>
      </x:c>
      <x:c r="B304" s="28" t="str">
        <x:v>свёкла</x:v>
      </x:c>
      <x:c r="C304" s="28" t="str">
        <x:v>бекон</x:v>
      </x:c>
      <x:c r="D304" s="28" t="str">
        <x:v>Мясо и птица</x:v>
      </x:c>
      <x:c r="E304" s="28" t="str">
        <x:v>умами и солёный контраст</x:v>
      </x:c>
      <x:c r="F304" s="28" t="str">
        <x:v>Свёкла имеет профиль «землистый, сладкий, минеральный и слегка зелёный».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0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4" s="28" t="str">
        <x:v>геосмин легко доминирует; беталаины отвечают за цвет, а не за запах; сильный нагрев снижает яркость цвета</x:v>
      </x:c>
      <x:c r="I304" s="28" t="str">
        <x:v>сок, кордиал, гаспачо, салат, соус, маринад или коктейльный компонент с бекон</x:v>
      </x:c>
      <x:c r="J304" s="28" t="str">
        <x:v>Средняя</x:v>
      </x:c>
      <x:c r="K304" s="28" t="str">
        <x:v>The Art &amp; Science of Foodpairing.pdf</x:v>
      </x:c>
      <x:c r="L304" s="28" t="str">
        <x:v>The Art &amp; Science of Foodpairing.pdf: 224</x:v>
      </x:c>
    </x:row>
    <x:row r="305" ht="66" customHeight="1">
      <x:c r="A305" s="28" t="str">
        <x:v>VEG-0634</x:v>
      </x:c>
      <x:c r="B305" s="28" t="str">
        <x:v>свёкла</x:v>
      </x:c>
      <x:c r="C305" s="28" t="str">
        <x:v>виноград</x:v>
      </x:c>
      <x:c r="D305" s="28" t="str">
        <x:v>Фрукты и ягоды</x:v>
      </x:c>
      <x:c r="E305" s="28" t="str">
        <x:v>общие характерные молекулы; кислотно-сладкий баланс</x:v>
      </x:c>
      <x:c r="F305" s="28" t="str">
        <x:v>Свёкла имеет профиль «землистый, сладкий, минеральный и слегка зелёный». Партнёр «виноград»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0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5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305" s="28" t="str">
        <x:v>сок, кордиал, гаспачо, салат, соус, маринад или коктейльный компонент с виноград</x:v>
      </x:c>
      <x:c r="J305" s="28" t="str">
        <x:v>Средняя</x:v>
      </x:c>
      <x:c r="K305" s="28" t="str">
        <x:v>The Art &amp; Science of Foodpairing.pdf</x:v>
      </x:c>
      <x:c r="L305" s="28" t="str">
        <x:v>The Art &amp; Science of Foodpairing.pdf: 224</x:v>
      </x:c>
    </x:row>
    <x:row r="306" ht="66" customHeight="1">
      <x:c r="A306" s="28" t="str">
        <x:v>VEG-0635</x:v>
      </x:c>
      <x:c r="B306" s="28" t="str">
        <x:v>свёкла</x:v>
      </x:c>
      <x:c r="C306" s="28" t="str">
        <x:v>водка</x:v>
      </x:c>
      <x:c r="D306" s="28" t="str">
        <x:v>Алкогольные напитки</x:v>
      </x:c>
      <x:c r="E306" s="28" t="str">
        <x:v>общие характерные молекулы</x:v>
      </x:c>
      <x:c r="F306" s="28" t="str">
        <x:v>Свёкла имеет профиль «землистый, сладкий, минеральный и слегка зелёный». Партнёр «водка»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0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6" s="28" t="str">
        <x:v>геосмин легко доминирует; беталаины отвечают за цвет, а не за запах; сильный нагрев снижает яркость цвета</x:v>
      </x:c>
      <x:c r="I306" s="28" t="str">
        <x:v>сок, кордиал, гаспачо, салат, соус, маринад или коктейльный компонент с водка</x:v>
      </x:c>
      <x:c r="J306" s="28" t="str">
        <x:v>Высокая</x:v>
      </x:c>
      <x:c r="K306" s="28" t="str">
        <x:v>The Art &amp; Science of Foodpairing.pdf</x:v>
      </x:c>
      <x:c r="L306" s="28" t="str">
        <x:v>The Art &amp; Science of Foodpairing.pdf: 223</x:v>
      </x:c>
    </x:row>
    <x:row r="307" ht="66" customHeight="1">
      <x:c r="A307" s="28" t="str">
        <x:v>VEG-0636</x:v>
      </x:c>
      <x:c r="B307" s="28" t="str">
        <x:v>свёкла</x:v>
      </x:c>
      <x:c r="C307" s="28" t="str">
        <x:v>водоросль грацилярия</x:v>
      </x:c>
      <x:c r="D307" s="28" t="str">
        <x:v>Прочее</x:v>
      </x:c>
      <x:c r="E307" s="28" t="str">
        <x:v>сенсорная комплементарность</x:v>
      </x:c>
      <x:c r="F307" s="28" t="str">
        <x:v>Свёкла имеет профиль «землистый, сладкий, минеральный и слегка зелёный». Партнёр «водоросль грацилярия»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0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7" s="28" t="str">
        <x:v>геосмин легко доминирует; беталаины отвечают за цвет, а не за запах; сильный нагрев снижает яркость цвета</x:v>
      </x:c>
      <x:c r="I307" s="28" t="str">
        <x:v>сок, кордиал, гаспачо, салат, соус, маринад или коктейльный компонент с водоросль грацилярия</x:v>
      </x:c>
      <x:c r="J307" s="28" t="str">
        <x:v>Средняя</x:v>
      </x:c>
      <x:c r="K307" s="28" t="str">
        <x:v>The Art &amp; Science of Foodpairing.pdf</x:v>
      </x:c>
      <x:c r="L307" s="28" t="str">
        <x:v>The Art &amp; Science of Foodpairing.pdf: 224</x:v>
      </x:c>
    </x:row>
    <x:row r="308" ht="66" customHeight="1">
      <x:c r="A308" s="28" t="str">
        <x:v>VEG-0637</x:v>
      </x:c>
      <x:c r="B308" s="28" t="str">
        <x:v>свёкла</x:v>
      </x:c>
      <x:c r="C308" s="28" t="str">
        <x:v>водяной кресс</x:v>
      </x:c>
      <x:c r="D308" s="28" t="str">
        <x:v>Прочее</x:v>
      </x:c>
      <x:c r="E308" s="28" t="str">
        <x:v>сенсорная комплементарность</x:v>
      </x:c>
      <x:c r="F308" s="28" t="str">
        <x:v>Свёкла имеет профиль «землистый, сладкий, минеральный и слегка зелёный». Партнёр «водяной кресс»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0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8" s="28" t="str">
        <x:v>геосмин легко доминирует; беталаины отвечают за цвет, а не за запах; сильный нагрев снижает яркость цвета</x:v>
      </x:c>
      <x:c r="I308" s="28" t="str">
        <x:v>сок, кордиал, гаспачо, салат, соус, маринад или коктейльный компонент с водяной кресс</x:v>
      </x:c>
      <x:c r="J308" s="28" t="str">
        <x:v>Средняя</x:v>
      </x:c>
      <x:c r="K308" s="28" t="str">
        <x:v>Тезариус вкусов (Ники Сегнит)(1).pdf</x:v>
      </x:c>
      <x:c r="L308" s="28" t="str">
        <x:v>Тезариус вкусов (Ники Сегнит)(1).pdf: 223, 262</x:v>
      </x:c>
    </x:row>
    <x:row r="309" ht="66" customHeight="1">
      <x:c r="A309" s="28" t="str">
        <x:v>VEG-0638</x:v>
      </x:c>
      <x:c r="B309" s="28" t="str">
        <x:v>свёкла</x:v>
      </x:c>
      <x:c r="C309" s="28" t="str">
        <x:v>гвоздика</x:v>
      </x:c>
      <x:c r="D309" s="28" t="str">
        <x:v>Специи</x:v>
      </x:c>
      <x:c r="E309" s="28" t="str">
        <x:v>сенсорная комплементарность</x:v>
      </x:c>
      <x:c r="F309" s="28" t="str">
        <x:v>Свёкла имеет профиль «землистый, сладкий, минеральный и слегка зелёный».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30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9" s="28" t="str">
        <x:v>геосмин легко доминирует; беталаины отвечают за цвет, а не за запах; сильный нагрев снижает яркость цвета</x:v>
      </x:c>
      <x:c r="I309" s="28" t="str">
        <x:v>сок, кордиал, гаспачо, салат, соус, маринад или коктейльный компонент с гвоздика</x:v>
      </x:c>
      <x:c r="J309" s="28" t="str">
        <x:v>Средняя</x:v>
      </x:c>
      <x:c r="K309" s="28" t="str">
        <x:v>The Art &amp; Science of Foodpairing.pdf</x:v>
      </x:c>
      <x:c r="L309" s="28" t="str">
        <x:v>The Art &amp; Science of Foodpairing.pdf: 224</x:v>
      </x:c>
    </x:row>
    <x:row r="310" ht="66" customHeight="1">
      <x:c r="A310" s="28" t="str">
        <x:v>VEG-0639</x:v>
      </x:c>
      <x:c r="B310" s="28" t="str">
        <x:v>свёкла</x:v>
      </x:c>
      <x:c r="C310" s="28" t="str">
        <x:v>говядина</x:v>
      </x:c>
      <x:c r="D310" s="28" t="str">
        <x:v>Мясо и птица</x:v>
      </x:c>
      <x:c r="E310" s="28" t="str">
        <x:v>умами и солёный контраст</x:v>
      </x:c>
      <x:c r="F310" s="28" t="str">
        <x:v>Свёкла имеет профиль «землистый, сладкий, минеральный и слегка зелёный».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1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0" s="28" t="str">
        <x:v>геосмин легко доминирует; беталаины отвечают за цвет, а не за запах; сильный нагрев снижает яркость цвета</x:v>
      </x:c>
      <x:c r="I310" s="28" t="str">
        <x:v>сок, кордиал, гаспачо, салат, соус, маринад или коктейльный компонент с говядина</x:v>
      </x:c>
      <x:c r="J310" s="28" t="str">
        <x:v>Высокая</x:v>
      </x:c>
      <x:c r="K310" s="28" t="str">
        <x:v>The Art &amp; Science of Foodpairing.pdf | Тезариус вкусов (Ники Сегнит)(1).pdf</x:v>
      </x:c>
      <x:c r="L310" s="28" t="str">
        <x:v>Тезариус вкусов (Ники Сегнит)(1).pdf: 117, 223; The Art &amp; Science of Foodpairing.pdf: 224</x:v>
      </x:c>
    </x:row>
    <x:row r="311" ht="66" customHeight="1">
      <x:c r="A311" s="28" t="str">
        <x:v>VEG-0640</x:v>
      </x:c>
      <x:c r="B311" s="28" t="str">
        <x:v>свёкла</x:v>
      </x:c>
      <x:c r="C311" s="28" t="str">
        <x:v>гранат</x:v>
      </x:c>
      <x:c r="D311" s="28" t="str">
        <x:v>Прочее</x:v>
      </x:c>
      <x:c r="E311" s="28" t="str">
        <x:v>сенсорная комплементарность</x:v>
      </x:c>
      <x:c r="F311" s="28" t="str">
        <x:v>Свёкла имеет профиль «землистый, сладкий, минеральный и слегка зелёный». Партнёр «гранат»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1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1" s="28" t="str">
        <x:v>геосмин легко доминирует; беталаины отвечают за цвет, а не за запах; сильный нагрев снижает яркость цвета</x:v>
      </x:c>
      <x:c r="I311" s="28" t="str">
        <x:v>сок, кордиал, гаспачо, салат, соус, маринад или коктейльный компонент с гранат</x:v>
      </x:c>
      <x:c r="J311" s="28" t="str">
        <x:v>Высокая</x:v>
      </x:c>
      <x:c r="K311" s="28" t="str">
        <x:v>The Art &amp; Science of Foodpairing.pdf</x:v>
      </x:c>
      <x:c r="L311" s="28" t="str">
        <x:v>The Art &amp; Science of Foodpairing.pdf: 225</x:v>
      </x:c>
    </x:row>
    <x:row r="312" ht="66" customHeight="1">
      <x:c r="A312" s="28" t="str">
        <x:v>VEG-0641</x:v>
      </x:c>
      <x:c r="B312" s="28" t="str">
        <x:v>свёкла</x:v>
      </x:c>
      <x:c r="C312" s="28" t="str">
        <x:v>грецкий орех</x:v>
      </x:c>
      <x:c r="D312" s="28" t="str">
        <x:v>Орехи и семена</x:v>
      </x:c>
      <x:c r="E312" s="28" t="str">
        <x:v>общие характерные молекулы; пересечение ароматических семейств</x:v>
      </x:c>
      <x:c r="F312" s="28" t="str">
        <x:v>Свёкла имеет профиль «землистый, сладкий, минеральный и слегка зелёный». Партнёр «грецкий орех» относится к группе «Орехи и семена» и даёт древесный, землистый, ореховый.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1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2" s="28" t="str">
        <x:v>геосмин легко доминирует; беталаины отвечают за цвет, а не за запах; сильный нагрев снижает яркость цвета</x:v>
      </x:c>
      <x:c r="I312" s="28" t="str">
        <x:v>сок, кордиал, гаспачо, салат, соус, маринад или коктейльный компонент с грецкий орех</x:v>
      </x:c>
      <x:c r="J312" s="28" t="str">
        <x:v>Средняя</x:v>
      </x:c>
      <x:c r="K312" s="28" t="str">
        <x:v>Тезариус вкусов (Ники Сегнит)(1).pdf</x:v>
      </x:c>
      <x:c r="L312" s="28" t="str">
        <x:v>Тезариус вкусов (Ники Сегнит)(1).pdf: 223, 225, 628</x:v>
      </x:c>
    </x:row>
    <x:row r="313" ht="66" customHeight="1">
      <x:c r="A313" s="28" t="str">
        <x:v>VEG-0642</x:v>
      </x:c>
      <x:c r="B313" s="28" t="str">
        <x:v>свёкла</x:v>
      </x:c>
      <x:c r="C313" s="28" t="str">
        <x:v>дикий рис</x:v>
      </x:c>
      <x:c r="D313" s="28" t="str">
        <x:v>Выпечка, крупы, сахара и десерты</x:v>
      </x:c>
      <x:c r="E313" s="28" t="str">
        <x:v>пересечение ароматических семейств</x:v>
      </x:c>
      <x:c r="F313" s="28" t="str">
        <x:v>Свёкла имеет профиль «землистый, сладкий, минеральный и слегка зелёный».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1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3" s="28" t="str">
        <x:v>геосмин легко доминирует; беталаины отвечают за цвет, а не за запах; сильный нагрев снижает яркость цвета</x:v>
      </x:c>
      <x:c r="I313" s="28" t="str">
        <x:v>сок, кордиал, гаспачо, салат, соус, маринад или коктейльный компонент с дикий рис</x:v>
      </x:c>
      <x:c r="J313" s="28" t="str">
        <x:v>Средняя</x:v>
      </x:c>
      <x:c r="K313" s="28" t="str">
        <x:v>The Art &amp; Science of Foodpairing.pdf</x:v>
      </x:c>
      <x:c r="L313" s="28" t="str">
        <x:v>The Art &amp; Science of Foodpairing.pdf: 224</x:v>
      </x:c>
    </x:row>
    <x:row r="314" ht="66" customHeight="1">
      <x:c r="A314" s="28" t="str">
        <x:v>VEG-0643</x:v>
      </x:c>
      <x:c r="B314" s="28" t="str">
        <x:v>свёкла</x:v>
      </x:c>
      <x:c r="C314" s="28" t="str">
        <x:v>ежевика</x:v>
      </x:c>
      <x:c r="D314" s="28" t="str">
        <x:v>Прочее</x:v>
      </x:c>
      <x:c r="E314" s="28" t="str">
        <x:v>сенсорная комплементарность</x:v>
      </x:c>
      <x:c r="F314" s="28" t="str">
        <x:v>Свёкла имеет профиль «землистый, сладкий, минеральный и слегка зелёный». Партнёр «ежевика»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1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4" s="28" t="str">
        <x:v>геосмин легко доминирует; беталаины отвечают за цвет, а не за запах; сильный нагрев снижает яркость цвета</x:v>
      </x:c>
      <x:c r="I314" s="28" t="str">
        <x:v>сок, кордиал, гаспачо, салат, соус, маринад или коктейльный компонент с ежевика</x:v>
      </x:c>
      <x:c r="J314" s="28" t="str">
        <x:v>Средняя</x:v>
      </x:c>
      <x:c r="K314" s="28" t="str">
        <x:v>The Art &amp; Science of Foodpairing.pdf</x:v>
      </x:c>
      <x:c r="L314" s="28" t="str">
        <x:v>The Art &amp; Science of Foodpairing.pdf: 224</x:v>
      </x:c>
    </x:row>
    <x:row r="315" ht="66" customHeight="1">
      <x:c r="A315" s="28" t="str">
        <x:v>VEG-0644</x:v>
      </x:c>
      <x:c r="B315" s="28" t="str">
        <x:v>свёкла</x:v>
      </x:c>
      <x:c r="C315" s="28" t="str">
        <x:v>жирная рыба</x:v>
      </x:c>
      <x:c r="D315" s="28" t="str">
        <x:v>Рыба и морепродукты</x:v>
      </x:c>
      <x:c r="E315" s="28" t="str">
        <x:v>общие характерные молекулы; умами и солёный контраст</x:v>
      </x:c>
      <x:c r="F315" s="28" t="str">
        <x:v>Свёкла имеет профиль «землистый, сладкий, минеральный и слегка зелёный». Партнёр «жирная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1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5" s="28" t="str">
        <x:v>геосмин легко доминирует; беталаины отвечают за цвет, а не за запах; сильный нагрев снижает яркость цвета</x:v>
      </x:c>
      <x:c r="I315" s="28" t="str">
        <x:v>сок, кордиал, гаспачо, салат, соус, маринад или коктейльный компонент с жирная рыба</x:v>
      </x:c>
      <x:c r="J315" s="28" t="str">
        <x:v>Средняя</x:v>
      </x:c>
      <x:c r="K315" s="28" t="str">
        <x:v>Тезариус вкусов (Ники Сегнит)(1).pdf</x:v>
      </x:c>
      <x:c r="L315" s="28" t="str">
        <x:v>Тезариус вкусов (Ники Сегнит)(1).pdf: 223, 417</x:v>
      </x:c>
    </x:row>
    <x:row r="316" ht="66" customHeight="1">
      <x:c r="A316" s="28" t="str">
        <x:v>VEG-0645</x:v>
      </x:c>
      <x:c r="B316" s="28" t="str">
        <x:v>свёкла</x:v>
      </x:c>
      <x:c r="C316" s="28" t="str">
        <x:v>зира</x:v>
      </x:c>
      <x:c r="D316" s="28" t="str">
        <x:v>Специи</x:v>
      </x:c>
      <x:c r="E316" s="28" t="str">
        <x:v>пересечение ароматических семейств</x:v>
      </x:c>
      <x:c r="F316" s="28" t="str">
        <x:v>Свёкла имеет профиль «землистый, сладкий, минеральный и слегка зелёный». Партнёр «зира» относится к группе «Специи» и даёт жареный, землистый, пряный. Профили пересекаются в семействах: землистый.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31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6" s="28" t="str">
        <x:v>геосмин легко доминирует; беталаины отвечают за цвет, а не за запах; сильный нагрев снижает яркость цвета</x:v>
      </x:c>
      <x:c r="I316" s="28" t="str">
        <x:v>сок, кордиал, гаспачо, салат, соус, маринад или коктейльный компонент с зира</x:v>
      </x:c>
      <x:c r="J316" s="28" t="str">
        <x:v>Средняя</x:v>
      </x:c>
      <x:c r="K316" s="28" t="str">
        <x:v>Тезариус вкусов (Ники Сегнит)(1).pdf</x:v>
      </x:c>
      <x:c r="L316" s="28" t="str">
        <x:v>Тезариус вкусов (Ники Сегнит)(1).pdf: 219, 223</x:v>
      </x:c>
    </x:row>
    <x:row r="317" ht="66" customHeight="1">
      <x:c r="A317" s="28" t="str">
        <x:v>VEG-0646</x:v>
      </x:c>
      <x:c r="B317" s="28" t="str">
        <x:v>свёкла</x:v>
      </x:c>
      <x:c r="C317" s="28" t="str">
        <x:v>изюм</x:v>
      </x:c>
      <x:c r="D317" s="28" t="str">
        <x:v>Прочее</x:v>
      </x:c>
      <x:c r="E317" s="28" t="str">
        <x:v>сенсорная комплементарность</x:v>
      </x:c>
      <x:c r="F317" s="28" t="str">
        <x:v>Свёкла имеет профиль «землистый, сладкий, минеральный и слегка зелёный». Партнёр «изюм»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1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7" s="28" t="str">
        <x:v>геосмин легко доминирует; беталаины отвечают за цвет, а не за запах; сильный нагрев снижает яркость цвета</x:v>
      </x:c>
      <x:c r="I317" s="28" t="str">
        <x:v>сок, кордиал, гаспачо, салат, соус, маринад или коктейльный компонент с изюм</x:v>
      </x:c>
      <x:c r="J317" s="28" t="str">
        <x:v>Средняя</x:v>
      </x:c>
      <x:c r="K317" s="28" t="str">
        <x:v>The Art &amp; Science of Foodpairing.pdf</x:v>
      </x:c>
      <x:c r="L317" s="28" t="str">
        <x:v>The Art &amp; Science of Foodpairing.pdf: 224</x:v>
      </x:c>
    </x:row>
    <x:row r="318" ht="66" customHeight="1">
      <x:c r="A318" s="28" t="str">
        <x:v>VEG-0647</x:v>
      </x:c>
      <x:c r="B318" s="28" t="str">
        <x:v>свёкла</x:v>
      </x:c>
      <x:c r="C318" s="28" t="str">
        <x:v>имбирь</x:v>
      </x:c>
      <x:c r="D318" s="28" t="str">
        <x:v>Специи</x:v>
      </x:c>
      <x:c r="E318" s="28" t="str">
        <x:v>сенсорная комплементарность</x:v>
      </x:c>
      <x:c r="F318" s="28" t="str">
        <x:v>Свёкла имеет профиль «землистый, сладкий, минеральный и слегка зелёный».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31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8" s="28" t="str">
        <x:v>геосмин легко доминирует; беталаины отвечают за цвет, а не за запах; сильный нагрев снижает яркость цвета</x:v>
      </x:c>
      <x:c r="I318" s="28" t="str">
        <x:v>сок, кордиал, гаспачо, салат, соус, маринад или коктейльный компонент с имбирь</x:v>
      </x:c>
      <x:c r="J318" s="28" t="str">
        <x:v>Средняя</x:v>
      </x:c>
      <x:c r="K318" s="28" t="str">
        <x:v>The Art &amp; Science of Foodpairing.pdf</x:v>
      </x:c>
      <x:c r="L318" s="28" t="str">
        <x:v>The Art &amp; Science of Foodpairing.pdf: 142</x:v>
      </x:c>
    </x:row>
    <x:row r="319" ht="66" customHeight="1">
      <x:c r="A319" s="28" t="str">
        <x:v>VEG-0648</x:v>
      </x:c>
      <x:c r="B319" s="28" t="str">
        <x:v>свёкла</x:v>
      </x:c>
      <x:c r="C319" s="28" t="str">
        <x:v>инжир</x:v>
      </x:c>
      <x:c r="D319" s="28" t="str">
        <x:v>Фрукты и ягоды</x:v>
      </x:c>
      <x:c r="E319" s="28" t="str">
        <x:v>общие характерные молекулы; кислотно-сладкий баланс</x:v>
      </x:c>
      <x:c r="F319" s="28" t="str">
        <x:v>Свёкла имеет профиль «землистый, сладкий, минеральный и слегка зелёный». Партнёр «инжир»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1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9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319" s="28" t="str">
        <x:v>сок, кордиал, гаспачо, салат, соус, маринад или коктейльный компонент с инжир</x:v>
      </x:c>
      <x:c r="J319" s="28" t="str">
        <x:v>Средняя</x:v>
      </x:c>
      <x:c r="K319" s="28" t="str">
        <x:v>The Art &amp; Science of Foodpairing.pdf</x:v>
      </x:c>
      <x:c r="L319" s="28" t="str">
        <x:v>The Art &amp; Science of Foodpairing.pdf: 224</x:v>
      </x:c>
    </x:row>
    <x:row r="320" ht="66" customHeight="1">
      <x:c r="A320" s="28" t="str">
        <x:v>VEG-0649</x:v>
      </x:c>
      <x:c r="B320" s="28" t="str">
        <x:v>свёкла</x:v>
      </x:c>
      <x:c r="C320" s="28" t="str">
        <x:v>каперсы</x:v>
      </x:c>
      <x:c r="D320" s="28" t="str">
        <x:v>Прочее</x:v>
      </x:c>
      <x:c r="E320" s="28" t="str">
        <x:v>сенсорная комплементарность</x:v>
      </x:c>
      <x:c r="F320" s="28" t="str">
        <x:v>Свёкла имеет профиль «землистый, сладкий, минеральный и слегка зелёный».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2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0" s="28" t="str">
        <x:v>геосмин легко доминирует; беталаины отвечают за цвет, а не за запах; сильный нагрев снижает яркость цвета</x:v>
      </x:c>
      <x:c r="I320" s="28" t="str">
        <x:v>сок, кордиал, гаспачо, салат, соус, маринад или коктейльный компонент с каперсы</x:v>
      </x:c>
      <x:c r="J320" s="28" t="str">
        <x:v>Средняя</x:v>
      </x:c>
      <x:c r="K320" s="28" t="str">
        <x:v>Тезариус вкусов (Ники Сегнит)(1).pdf</x:v>
      </x:c>
      <x:c r="L320" s="28" t="str">
        <x:v>Тезариус вкусов (Ники Сегнит)(1).pdf: 223, 271</x:v>
      </x:c>
    </x:row>
    <x:row r="321" ht="66" customHeight="1">
      <x:c r="A321" s="28" t="str">
        <x:v>VEG-0650</x:v>
      </x:c>
      <x:c r="B321" s="28" t="str">
        <x:v>свёкла</x:v>
      </x:c>
      <x:c r="C321" s="28" t="str">
        <x:v>капуста</x:v>
      </x:c>
      <x:c r="D321" s="28" t="str">
        <x:v>Крестоцветные</x:v>
      </x:c>
      <x:c r="E321" s="28" t="str">
        <x:v>пересечение ароматических семейств</x:v>
      </x:c>
      <x:c r="F321" s="28" t="str">
        <x:v>Свёкла имеет профиль «землистый, сладкий, минеральный и слегка зелёный».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2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1" s="28" t="str">
        <x:v>геосмин легко доминирует; беталаины отвечают за цвет, а не за запах; сильный нагрев снижает яркость цвета</x:v>
      </x:c>
      <x:c r="I321" s="28" t="str">
        <x:v>сок, кордиал, гаспачо, салат, соус, маринад или коктейльный компонент с капуста</x:v>
      </x:c>
      <x:c r="J321" s="28" t="str">
        <x:v>Средняя</x:v>
      </x:c>
      <x:c r="K321" s="28" t="str">
        <x:v>The Art &amp; Science of Foodpairing.pdf</x:v>
      </x:c>
      <x:c r="L321" s="28" t="str">
        <x:v>The Art &amp; Science of Foodpairing.pdf: 224</x:v>
      </x:c>
    </x:row>
    <x:row r="322" ht="66" customHeight="1">
      <x:c r="A322" s="28" t="str">
        <x:v>VEG-0651</x:v>
      </x:c>
      <x:c r="B322" s="28" t="str">
        <x:v>свёкла</x:v>
      </x:c>
      <x:c r="C322" s="28" t="str">
        <x:v>картофель</x:v>
      </x:c>
      <x:c r="D322" s="28" t="str">
        <x:v>Корнеплоды и клубни</x:v>
      </x:c>
      <x:c r="E322" s="28" t="str">
        <x:v>общие характерные молекулы; пересечение ароматических семейств</x:v>
      </x:c>
      <x:c r="F322" s="28" t="str">
        <x:v>Свёкла имеет профиль «землистый, сладкий, минеральный и слегка зелёный». Партнёр «картофель» относится к группе «Корнеплоды и клубни» и даёт крахмалистый, землистый, ореховый и жареный после нагрева.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2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2" s="28" t="str">
        <x:v>геосмин легко доминирует; беталаины отвечают за цвет, а не за запах; сильный нагрев снижает яркость цвета</x:v>
      </x:c>
      <x:c r="I322" s="28" t="str">
        <x:v>сок, кордиал, гаспачо, салат, соус, маринад или коктейльный компонент с картофель</x:v>
      </x:c>
      <x:c r="J322" s="28" t="str">
        <x:v>Средняя</x:v>
      </x:c>
      <x:c r="K322" s="28" t="str">
        <x:v>Тезариус вкусов (Ники Сегнит)(1).pdf</x:v>
      </x:c>
      <x:c r="L322" s="28" t="str">
        <x:v>Тезариус вкусов (Ники Сегнит)(1).pdf: 224, 241</x:v>
      </x:c>
    </x:row>
    <x:row r="323" ht="66" customHeight="1">
      <x:c r="A323" s="28" t="str">
        <x:v>VEG-0652</x:v>
      </x:c>
      <x:c r="B323" s="28" t="str">
        <x:v>свёкла</x:v>
      </x:c>
      <x:c r="C323" s="28" t="str">
        <x:v>кефаль</x:v>
      </x:c>
      <x:c r="D323" s="28" t="str">
        <x:v>Рыба и морепродукты</x:v>
      </x:c>
      <x:c r="E323" s="28" t="str">
        <x:v>общие характерные молекулы; умами и солёный контраст</x:v>
      </x:c>
      <x:c r="F323" s="28" t="str">
        <x:v>Свёкла имеет профиль «землистый, сладкий, минеральный и слегка зелёный». Партнёр «кефаль»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2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3" s="28" t="str">
        <x:v>геосмин легко доминирует; беталаины отвечают за цвет, а не за запах; сильный нагрев снижает яркость цвета</x:v>
      </x:c>
      <x:c r="I323" s="28" t="str">
        <x:v>сок, кордиал, гаспачо, салат, соус, маринад или коктейльный компонент с кефаль</x:v>
      </x:c>
      <x:c r="J323" s="28" t="str">
        <x:v>Средняя</x:v>
      </x:c>
      <x:c r="K323" s="28" t="str">
        <x:v>The Art &amp; Science of Foodpairing.pdf</x:v>
      </x:c>
      <x:c r="L323" s="28" t="str">
        <x:v>The Art &amp; Science of Foodpairing.pdf: 224</x:v>
      </x:c>
    </x:row>
    <x:row r="324" ht="66" customHeight="1">
      <x:c r="A324" s="28" t="str">
        <x:v>VEG-0653</x:v>
      </x:c>
      <x:c r="B324" s="28" t="str">
        <x:v>свёкла</x:v>
      </x:c>
      <x:c r="C324" s="28" t="str">
        <x:v>кимчи</x:v>
      </x:c>
      <x:c r="D324" s="28" t="str">
        <x:v>Ферментированные продукты и соусы</x:v>
      </x:c>
      <x:c r="E324" s="28" t="str">
        <x:v>умами и солёный контраст</x:v>
      </x:c>
      <x:c r="F324" s="28" t="str">
        <x:v>Свёкла имеет профиль «землистый, сладкий, минеральный и слегка зелёный».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2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4" s="28" t="str">
        <x:v>геосмин легко доминирует; беталаины отвечают за цвет, а не за запах; сильный нагрев снижает яркость цвета</x:v>
      </x:c>
      <x:c r="I324" s="28" t="str">
        <x:v>сок, кордиал, гаспачо, салат, соус, маринад или коктейльный компонент с кимчи</x:v>
      </x:c>
      <x:c r="J324" s="28" t="str">
        <x:v>Средняя</x:v>
      </x:c>
      <x:c r="K324" s="28" t="str">
        <x:v>The Art &amp; Science of Foodpairing.pdf</x:v>
      </x:c>
      <x:c r="L324" s="28" t="str">
        <x:v>The Art &amp; Science of Foodpairing.pdf: 305</x:v>
      </x:c>
    </x:row>
    <x:row r="325" ht="66" customHeight="1">
      <x:c r="A325" s="28" t="str">
        <x:v>VEG-0654</x:v>
      </x:c>
      <x:c r="B325" s="28" t="str">
        <x:v>свёкла</x:v>
      </x:c>
      <x:c r="C325" s="28" t="str">
        <x:v>козий сыр</x:v>
      </x:c>
      <x:c r="D325" s="28" t="str">
        <x:v>Молочные продукты и сыры</x:v>
      </x:c>
      <x:c r="E325" s="28" t="str">
        <x:v>жировая матрица</x:v>
      </x:c>
      <x:c r="F325" s="28" t="str">
        <x:v>Свёкла имеет профиль «землистый, сладкий, минеральный и слегка зелёный».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32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5" s="28" t="str">
        <x:v>геосмин легко доминирует; беталаины отвечают за цвет, а не за запах; сильный нагрев снижает яркость цвета; жир способен приглушить свежую зелёную ароматику</x:v>
      </x:c>
      <x:c r="I325" s="28" t="str">
        <x:v>сок, кордиал, гаспачо, салат, соус, маринад или коктейльный компонент с козий сыр</x:v>
      </x:c>
      <x:c r="J325" s="28" t="str">
        <x:v>Средняя</x:v>
      </x:c>
      <x:c r="K325" s="28" t="str">
        <x:v>Тезариус вкусов (Ники Сегнит)(1).pdf</x:v>
      </x:c>
      <x:c r="L325" s="28" t="str">
        <x:v>Тезариус вкусов (Ники Сегнит)(1).pdf: 143, 224</x:v>
      </x:c>
    </x:row>
    <x:row r="326" ht="66" customHeight="1">
      <x:c r="A326" s="28" t="str">
        <x:v>VEG-0655</x:v>
      </x:c>
      <x:c r="B326" s="28" t="str">
        <x:v>свёкла</x:v>
      </x:c>
      <x:c r="C326" s="28" t="str">
        <x:v>кокос</x:v>
      </x:c>
      <x:c r="D326" s="28" t="str">
        <x:v>Прочее</x:v>
      </x:c>
      <x:c r="E326" s="28" t="str">
        <x:v>сенсорная комплементарность</x:v>
      </x:c>
      <x:c r="F326" s="28" t="str">
        <x:v>Свёкла имеет профиль «землистый, сладкий, минеральный и слегка зелёный».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2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6" s="28" t="str">
        <x:v>геосмин легко доминирует; беталаины отвечают за цвет, а не за запах; сильный нагрев снижает яркость цвета</x:v>
      </x:c>
      <x:c r="I326" s="28" t="str">
        <x:v>сок, кордиал, гаспачо, салат, соус, маринад или коктейльный компонент с кокос</x:v>
      </x:c>
      <x:c r="J326" s="28" t="str">
        <x:v>Высокая</x:v>
      </x:c>
      <x:c r="K326" s="28" t="str">
        <x:v>The Art &amp; Science of Foodpairing.pdf | Тезариус вкусов (Ники Сегнит)(1).pdf</x:v>
      </x:c>
      <x:c r="L326" s="28" t="str">
        <x:v>Тезариус вкусов (Ники Сегнит)(1).pdf: 225, 759; The Art &amp; Science of Foodpairing.pdf: 135, 224</x:v>
      </x:c>
    </x:row>
    <x:row r="327" ht="66" customHeight="1">
      <x:c r="A327" s="28" t="str">
        <x:v>VEG-0656</x:v>
      </x:c>
      <x:c r="B327" s="28" t="str">
        <x:v>свёкла</x:v>
      </x:c>
      <x:c r="C327" s="28" t="str">
        <x:v>коньяк</x:v>
      </x:c>
      <x:c r="D327" s="28" t="str">
        <x:v>Алкогольные напитки</x:v>
      </x:c>
      <x:c r="E327" s="28" t="str">
        <x:v>общие характерные молекулы</x:v>
      </x:c>
      <x:c r="F327" s="28" t="str">
        <x:v>Свёкла имеет профиль «землистый, сладкий, минеральный и слегка зелёный». Партнёр «коньяк»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2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7" s="28" t="str">
        <x:v>геосмин легко доминирует; беталаины отвечают за цвет, а не за запах; сильный нагрев снижает яркость цвета</x:v>
      </x:c>
      <x:c r="I327" s="28" t="str">
        <x:v>сок, кордиал, гаспачо, салат, соус, маринад или коктейльный компонент с коньяк</x:v>
      </x:c>
      <x:c r="J327" s="28" t="str">
        <x:v>Средняя</x:v>
      </x:c>
      <x:c r="K327" s="28" t="str">
        <x:v>The Art &amp; Science of Foodpairing.pdf</x:v>
      </x:c>
      <x:c r="L327" s="28" t="str">
        <x:v>The Art &amp; Science of Foodpairing.pdf: 123</x:v>
      </x:c>
    </x:row>
    <x:row r="328" ht="66" customHeight="1">
      <x:c r="A328" s="28" t="str">
        <x:v>VEG-0657</x:v>
      </x:c>
      <x:c r="B328" s="28" t="str">
        <x:v>свёкла</x:v>
      </x:c>
      <x:c r="C328" s="28" t="str">
        <x:v>копчёный лосось</x:v>
      </x:c>
      <x:c r="D328" s="28" t="str">
        <x:v>Рыба и морепродукты</x:v>
      </x:c>
      <x:c r="E328" s="28" t="str">
        <x:v>общие характерные молекулы; умами и солёный контраст</x:v>
      </x:c>
      <x:c r="F328" s="28" t="str">
        <x:v>Свёкла имеет профиль «землистый, сладкий, минеральный и слегка зелёный». Партнёр «копчёный лосось»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2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8" s="28" t="str">
        <x:v>геосмин легко доминирует; беталаины отвечают за цвет, а не за запах; сильный нагрев снижает яркость цвета</x:v>
      </x:c>
      <x:c r="I328" s="28" t="str">
        <x:v>сок, кордиал, гаспачо, салат, соус, маринад или коктейльный компонент с копчёный лосось</x:v>
      </x:c>
      <x:c r="J328" s="28" t="str">
        <x:v>Средняя</x:v>
      </x:c>
      <x:c r="K328" s="28" t="str">
        <x:v>The Art &amp; Science of Foodpairing.pdf</x:v>
      </x:c>
      <x:c r="L328" s="28" t="str">
        <x:v>The Art &amp; Science of Foodpairing.pdf: 224</x:v>
      </x:c>
    </x:row>
    <x:row r="329" ht="66" customHeight="1">
      <x:c r="A329" s="28" t="str">
        <x:v>VEG-0658</x:v>
      </x:c>
      <x:c r="B329" s="28" t="str">
        <x:v>свёкла</x:v>
      </x:c>
      <x:c r="C329" s="28" t="str">
        <x:v>костный мозг</x:v>
      </x:c>
      <x:c r="D329" s="28" t="str">
        <x:v>Прочее</x:v>
      </x:c>
      <x:c r="E329" s="28" t="str">
        <x:v>сенсорная комплементарность</x:v>
      </x:c>
      <x:c r="F329" s="28" t="str">
        <x:v>Свёкла имеет профиль «землистый, сладкий, минеральный и слегка зелёный». Партнёр «костный мозг»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2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9" s="28" t="str">
        <x:v>геосмин легко доминирует; беталаины отвечают за цвет, а не за запах; сильный нагрев снижает яркость цвета</x:v>
      </x:c>
      <x:c r="I329" s="28" t="str">
        <x:v>сок, кордиал, гаспачо, салат, соус, маринад или коктейльный компонент с костный мозг</x:v>
      </x:c>
      <x:c r="J329" s="28" t="str">
        <x:v>Средняя</x:v>
      </x:c>
      <x:c r="K329" s="28" t="str">
        <x:v>The Art &amp; Science of Foodpairing.pdf</x:v>
      </x:c>
      <x:c r="L329" s="28" t="str">
        <x:v>The Art &amp; Science of Foodpairing.pdf: 224</x:v>
      </x:c>
    </x:row>
    <x:row r="330" ht="66" customHeight="1">
      <x:c r="A330" s="28" t="str">
        <x:v>VEG-0659</x:v>
      </x:c>
      <x:c r="B330" s="28" t="str">
        <x:v>свёкла</x:v>
      </x:c>
      <x:c r="C330" s="28" t="str">
        <x:v>кофе</x:v>
      </x:c>
      <x:c r="D330" s="28" t="str">
        <x:v>Кофе</x:v>
      </x:c>
      <x:c r="E330" s="28" t="str">
        <x:v>сенсорная комплементарность</x:v>
      </x:c>
      <x:c r="F330" s="28" t="str">
        <x:v>Свёкла имеет профиль «землистый, сладкий, минеральный и слегка зелёный».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3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0" s="28" t="str">
        <x:v>геосмин легко доминирует; беталаины отвечают за цвет, а не за запах; сильный нагрев снижает яркость цвета; жареная горечь легко маскирует нежный овощной аромат</x:v>
      </x:c>
      <x:c r="I330" s="28" t="str">
        <x:v>сок, кордиал, гаспачо, салат, соус, маринад или коктейльный компонент с кофе</x:v>
      </x:c>
      <x:c r="J330" s="28" t="str">
        <x:v>Средняя</x:v>
      </x:c>
      <x:c r="K330" s="28" t="str">
        <x:v>The Art &amp; Science of Foodpairing.pdf</x:v>
      </x:c>
      <x:c r="L330" s="28" t="str">
        <x:v>The Art &amp; Science of Foodpairing.pdf: 297</x:v>
      </x:c>
    </x:row>
    <x:row r="331" ht="66" customHeight="1">
      <x:c r="A331" s="28" t="str">
        <x:v>VEG-0660</x:v>
      </x:c>
      <x:c r="B331" s="28" t="str">
        <x:v>свёкла</x:v>
      </x:c>
      <x:c r="C331" s="28" t="str">
        <x:v>кунжут, халва и тахини</x:v>
      </x:c>
      <x:c r="D331" s="28" t="str">
        <x:v>Орехи и семена</x:v>
      </x:c>
      <x:c r="E331" s="28" t="str">
        <x:v>общие характерные молекулы</x:v>
      </x:c>
      <x:c r="F331" s="28" t="str">
        <x:v>Свёкла имеет профиль «землистый, сладкий, минеральный и слегка зелёный». Партнёр «кунжут, халва и тахини» относится к группе «Орехи и семена» и даёт ореховый, жареный и жирный.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3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1" s="28" t="str">
        <x:v>геосмин легко доминирует; беталаины отвечают за цвет, а не за запах; сильный нагрев снижает яркость цвета</x:v>
      </x:c>
      <x:c r="I331" s="28" t="str">
        <x:v>сок, кордиал, гаспачо, салат, соус, маринад или коктейльный компонент с кунжут, халва и тахини</x:v>
      </x:c>
      <x:c r="J331" s="28" t="str">
        <x:v>Средняя</x:v>
      </x:c>
      <x:c r="K331" s="28" t="str">
        <x:v>The Art &amp; Science of Foodpairing.pdf</x:v>
      </x:c>
      <x:c r="L331" s="28" t="str">
        <x:v>The Art &amp; Science of Foodpairing.pdf: 308</x:v>
      </x:c>
    </x:row>
    <x:row r="332" ht="66" customHeight="1">
      <x:c r="A332" s="28" t="str">
        <x:v>VEG-0661</x:v>
      </x:c>
      <x:c r="B332" s="28" t="str">
        <x:v>свёкла</x:v>
      </x:c>
      <x:c r="C332" s="28" t="str">
        <x:v>курица</x:v>
      </x:c>
      <x:c r="D332" s="28" t="str">
        <x:v>Мясо и птица</x:v>
      </x:c>
      <x:c r="E332" s="28" t="str">
        <x:v>умами и солёный контраст</x:v>
      </x:c>
      <x:c r="F332" s="28" t="str">
        <x:v>Свёкла имеет профиль «землистый, сладкий, минеральный и слегка зелёный». Партнёр «курица»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3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2" s="28" t="str">
        <x:v>геосмин легко доминирует; беталаины отвечают за цвет, а не за запах; сильный нагрев снижает яркость цвета</x:v>
      </x:c>
      <x:c r="I332" s="28" t="str">
        <x:v>сок, кордиал, гаспачо, салат, соус, маринад или коктейльный компонент с курица</x:v>
      </x:c>
      <x:c r="J332" s="28" t="str">
        <x:v>Средняя</x:v>
      </x:c>
      <x:c r="K332" s="28" t="str">
        <x:v>The Art &amp; Science of Foodpairing.pdf</x:v>
      </x:c>
      <x:c r="L332" s="28" t="str">
        <x:v>The Art &amp; Science of Foodpairing.pdf: 224</x:v>
      </x:c>
    </x:row>
    <x:row r="333" ht="66" customHeight="1">
      <x:c r="A333" s="28" t="str">
        <x:v>VEG-0662</x:v>
      </x:c>
      <x:c r="B333" s="28" t="str">
        <x:v>свёкла</x:v>
      </x:c>
      <x:c r="C333" s="28" t="str">
        <x:v>лист карри</x:v>
      </x:c>
      <x:c r="D333" s="28" t="str">
        <x:v>Прочее</x:v>
      </x:c>
      <x:c r="E333" s="28" t="str">
        <x:v>сенсорная комплементарность</x:v>
      </x:c>
      <x:c r="F333" s="28" t="str">
        <x:v>Свёкла имеет профиль «землистый, сладкий, минеральный и слегка зелёный». Партнёр «лист карри»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3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3" s="28" t="str">
        <x:v>геосмин легко доминирует; беталаины отвечают за цвет, а не за запах; сильный нагрев снижает яркость цвета</x:v>
      </x:c>
      <x:c r="I333" s="28" t="str">
        <x:v>сок, кордиал, гаспачо, салат, соус, маринад или коктейльный компонент с лист карри</x:v>
      </x:c>
      <x:c r="J333" s="28" t="str">
        <x:v>Средняя</x:v>
      </x:c>
      <x:c r="K333" s="28" t="str">
        <x:v>The Art &amp; Science of Foodpairing.pdf</x:v>
      </x:c>
      <x:c r="L333" s="28" t="str">
        <x:v>The Art &amp; Science of Foodpairing.pdf: 224</x:v>
      </x:c>
    </x:row>
    <x:row r="334" ht="66" customHeight="1">
      <x:c r="A334" s="28" t="str">
        <x:v>VEG-0663</x:v>
      </x:c>
      <x:c r="B334" s="28" t="str">
        <x:v>свёкла</x:v>
      </x:c>
      <x:c r="C334" s="28" t="str">
        <x:v>листья кориандра</x:v>
      </x:c>
      <x:c r="D334" s="28" t="str">
        <x:v>Травы, цветы и листья</x:v>
      </x:c>
      <x:c r="E334" s="28" t="str">
        <x:v>пересечение ароматических семейств</x:v>
      </x:c>
      <x:c r="F334" s="28" t="str">
        <x:v>Свёкла имеет профиль «землистый, сладкий, минеральный и слегка зелёный».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33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4" s="28" t="str">
        <x:v>геосмин легко доминирует; беталаины отвечают за цвет, а не за запах; сильный нагрев снижает яркость цвета; длительный нагрев уносит свежие терпены и зелёные альдегиды</x:v>
      </x:c>
      <x:c r="I334" s="28" t="str">
        <x:v>сок, кордиал, гаспачо, салат, соус, маринад или коктейльный компонент с листья кориандра</x:v>
      </x:c>
      <x:c r="J334" s="28" t="str">
        <x:v>Средняя</x:v>
      </x:c>
      <x:c r="K334" s="28" t="str">
        <x:v>The Art &amp; Science of Foodpairing.pdf</x:v>
      </x:c>
      <x:c r="L334" s="28" t="str">
        <x:v>The Art &amp; Science of Foodpairing.pdf: 224</x:v>
      </x:c>
    </x:row>
    <x:row r="335" ht="66" customHeight="1">
      <x:c r="A335" s="28" t="str">
        <x:v>VEG-0664</x:v>
      </x:c>
      <x:c r="B335" s="28" t="str">
        <x:v>свёкла</x:v>
      </x:c>
      <x:c r="C335" s="28" t="str">
        <x:v>лосось</x:v>
      </x:c>
      <x:c r="D335" s="28" t="str">
        <x:v>Рыба и морепродукты</x:v>
      </x:c>
      <x:c r="E335" s="28" t="str">
        <x:v>общие характерные молекулы; умами и солёный контраст</x:v>
      </x:c>
      <x:c r="F335" s="28" t="str">
        <x:v>Свёкла имеет профиль «землистый, сладкий, минеральный и слегка зелёный». Партнёр «лосось»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3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5" s="28" t="str">
        <x:v>геосмин легко доминирует; беталаины отвечают за цвет, а не за запах; сильный нагрев снижает яркость цвета</x:v>
      </x:c>
      <x:c r="I335" s="28" t="str">
        <x:v>сок, кордиал, гаспачо, салат, соус, маринад или коктейльный компонент с лосось</x:v>
      </x:c>
      <x:c r="J335" s="28" t="str">
        <x:v>Средняя</x:v>
      </x:c>
      <x:c r="K335" s="28" t="str">
        <x:v>The Art &amp; Science of Foodpairing.pdf</x:v>
      </x:c>
      <x:c r="L335" s="28" t="str">
        <x:v>The Art &amp; Science of Foodpairing.pdf: 224</x:v>
      </x:c>
    </x:row>
    <x:row r="336" ht="66" customHeight="1">
      <x:c r="A336" s="28" t="str">
        <x:v>VEG-0665</x:v>
      </x:c>
      <x:c r="B336" s="28" t="str">
        <x:v>свёкла</x:v>
      </x:c>
      <x:c r="C336" s="28" t="str">
        <x:v>лук</x:v>
      </x:c>
      <x:c r="D336" s="28" t="str">
        <x:v>Луковые овощи</x:v>
      </x:c>
      <x:c r="E336" s="28" t="str">
        <x:v>пересечение ароматических семейств</x:v>
      </x:c>
      <x:c r="F336" s="28" t="str">
        <x:v>Свёкла имеет профиль «землистый, сладкий, минеральный и слегка зелёный».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3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6" s="28" t="str">
        <x:v>геосмин легко доминирует; беталаины отвечают за цвет, а не за запах; сильный нагрев снижает яркость цвета</x:v>
      </x:c>
      <x:c r="I336" s="28" t="str">
        <x:v>сок, кордиал, гаспачо, салат, соус, маринад или коктейльный компонент с лук</x:v>
      </x:c>
      <x:c r="J336" s="28" t="str">
        <x:v>Средняя</x:v>
      </x:c>
      <x:c r="K336" s="28" t="str">
        <x:v>Тезариус вкусов (Ники Сегнит)(1).pdf</x:v>
      </x:c>
      <x:c r="L336" s="28" t="str">
        <x:v>Тезариус вкусов (Ники Сегнит)(1).pdf: 225, 286</x:v>
      </x:c>
    </x:row>
    <x:row r="337" ht="66" customHeight="1">
      <x:c r="A337" s="28" t="str">
        <x:v>VEG-0666</x:v>
      </x:c>
      <x:c r="B337" s="28" t="str">
        <x:v>свёкла</x:v>
      </x:c>
      <x:c r="C337" s="28" t="str">
        <x:v>лук-порей</x:v>
      </x:c>
      <x:c r="D337" s="28" t="str">
        <x:v>Луковые овощи</x:v>
      </x:c>
      <x:c r="E337" s="28" t="str">
        <x:v>пересечение ароматических семейств</x:v>
      </x:c>
      <x:c r="F337" s="28" t="str">
        <x:v>Свёкла имеет профиль «землистый, сладкий, минеральный и слегка зелёный». Партнёр «лук-порей» относится к группе «Луковые овощи» и даёт сернистый,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3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7" s="28" t="str">
        <x:v>геосмин легко доминирует; беталаины отвечают за цвет, а не за запах; сильный нагрев снижает яркость цвета</x:v>
      </x:c>
      <x:c r="I337" s="28" t="str">
        <x:v>сок, кордиал, гаспачо, салат, соус, маринад или коктейльный компонент с лук-порей</x:v>
      </x:c>
      <x:c r="J337" s="28" t="str">
        <x:v>Средняя</x:v>
      </x:c>
      <x:c r="K337" s="28" t="str">
        <x:v>The Art &amp; Science of Foodpairing.pdf</x:v>
      </x:c>
      <x:c r="L337" s="28" t="str">
        <x:v>The Art &amp; Science of Foodpairing.pdf: 224</x:v>
      </x:c>
    </x:row>
    <x:row r="338" ht="66" customHeight="1">
      <x:c r="A338" s="28" t="str">
        <x:v>VEG-0667</x:v>
      </x:c>
      <x:c r="B338" s="28" t="str">
        <x:v>свёкла</x:v>
      </x:c>
      <x:c r="C338" s="28" t="str">
        <x:v>мак</x:v>
      </x:c>
      <x:c r="D338" s="28" t="str">
        <x:v>Прочее</x:v>
      </x:c>
      <x:c r="E338" s="28" t="str">
        <x:v>сенсорная комплементарность</x:v>
      </x:c>
      <x:c r="F338" s="28" t="str">
        <x:v>Свёкла имеет профиль «землистый, сладкий, минеральный и слегка зелёный». Партнёр «мак»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3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8" s="28" t="str">
        <x:v>геосмин легко доминирует; беталаины отвечают за цвет, а не за запах; сильный нагрев снижает яркость цвета</x:v>
      </x:c>
      <x:c r="I338" s="28" t="str">
        <x:v>сок, кордиал, гаспачо, салат, соус, маринад или коктейльный компонент с мак</x:v>
      </x:c>
      <x:c r="J338" s="28" t="str">
        <x:v>Средняя</x:v>
      </x:c>
      <x:c r="K338" s="28" t="str">
        <x:v>The Art &amp; Science of Foodpairing.pdf</x:v>
      </x:c>
      <x:c r="L338" s="28" t="str">
        <x:v>The Art &amp; Science of Foodpairing.pdf: 224</x:v>
      </x:c>
    </x:row>
    <x:row r="339" ht="66" customHeight="1">
      <x:c r="A339" s="28" t="str">
        <x:v>VEG-0668</x:v>
      </x:c>
      <x:c r="B339" s="28" t="str">
        <x:v>свёкла</x:v>
      </x:c>
      <x:c r="C339" s="28" t="str">
        <x:v>макадамия</x:v>
      </x:c>
      <x:c r="D339" s="28" t="str">
        <x:v>Прочее</x:v>
      </x:c>
      <x:c r="E339" s="28" t="str">
        <x:v>сенсорная комплементарность</x:v>
      </x:c>
      <x:c r="F339" s="28" t="str">
        <x:v>Свёкла имеет профиль «землистый, сладкий, минеральный и слегка зелёный». Партнёр «макадамия»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3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9" s="28" t="str">
        <x:v>геосмин легко доминирует; беталаины отвечают за цвет, а не за запах; сильный нагрев снижает яркость цвета</x:v>
      </x:c>
      <x:c r="I339" s="28" t="str">
        <x:v>сок, кордиал, гаспачо, салат, соус, маринад или коктейльный компонент с макадамия</x:v>
      </x:c>
      <x:c r="J339" s="28" t="str">
        <x:v>Средняя</x:v>
      </x:c>
      <x:c r="K339" s="28" t="str">
        <x:v>The Art &amp; Science of Foodpairing.pdf</x:v>
      </x:c>
      <x:c r="L339" s="28" t="str">
        <x:v>The Art &amp; Science of Foodpairing.pdf: 224</x:v>
      </x:c>
    </x:row>
    <x:row r="340" ht="66" customHeight="1">
      <x:c r="A340" s="28" t="str">
        <x:v>VEG-0669</x:v>
      </x:c>
      <x:c r="B340" s="28" t="str">
        <x:v>свёкла</x:v>
      </x:c>
      <x:c r="C340" s="28" t="str">
        <x:v>малина</x:v>
      </x:c>
      <x:c r="D340" s="28" t="str">
        <x:v>Фрукты и ягоды</x:v>
      </x:c>
      <x:c r="E340" s="28" t="str">
        <x:v>кислотно-сладкий баланс</x:v>
      </x:c>
      <x:c r="F340" s="28" t="str">
        <x:v>Свёкла имеет профиль «землистый, сладкий, минеральный и слегка зелёный». Партнёр «малина» относится к группе «Фрукты и ягоды» и даёт цветочный, ягодный.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4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0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340" s="28" t="str">
        <x:v>сок, кордиал, гаспачо, салат, соус, маринад или коктейльный компонент с малина</x:v>
      </x:c>
      <x:c r="J340" s="28" t="str">
        <x:v>Средняя</x:v>
      </x:c>
      <x:c r="K340" s="28" t="str">
        <x:v>The Art &amp; Science of Foodpairing.pdf</x:v>
      </x:c>
      <x:c r="L340" s="28" t="str">
        <x:v>The Art &amp; Science of Foodpairing.pdf: 224</x:v>
      </x:c>
    </x:row>
    <x:row r="341" ht="66" customHeight="1">
      <x:c r="A341" s="28" t="str">
        <x:v>VEG-0670</x:v>
      </x:c>
      <x:c r="B341" s="28" t="str">
        <x:v>свёкла</x:v>
      </x:c>
      <x:c r="C341" s="28" t="str">
        <x:v>маракуйя</x:v>
      </x:c>
      <x:c r="D341" s="28" t="str">
        <x:v>Прочее</x:v>
      </x:c>
      <x:c r="E341" s="28" t="str">
        <x:v>сенсорная комплементарность</x:v>
      </x:c>
      <x:c r="F341" s="28" t="str">
        <x:v>Свёкла имеет профиль «землистый, сладкий, минеральный и слегка зелёный».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4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1" s="28" t="str">
        <x:v>геосмин легко доминирует; беталаины отвечают за цвет, а не за запах; сильный нагрев снижает яркость цвета</x:v>
      </x:c>
      <x:c r="I341" s="28" t="str">
        <x:v>сок, кордиал, гаспачо, салат, соус, маринад или коктейльный компонент с маракуйя</x:v>
      </x:c>
      <x:c r="J341" s="28" t="str">
        <x:v>Средняя</x:v>
      </x:c>
      <x:c r="K341" s="28" t="str">
        <x:v>The Art &amp; Science of Foodpairing.pdf</x:v>
      </x:c>
      <x:c r="L341" s="28" t="str">
        <x:v>The Art &amp; Science of Foodpairing.pdf: 224</x:v>
      </x:c>
    </x:row>
    <x:row r="342" ht="66" customHeight="1">
      <x:c r="A342" s="28" t="str">
        <x:v>VEG-0671</x:v>
      </x:c>
      <x:c r="B342" s="28" t="str">
        <x:v>свёкла</x:v>
      </x:c>
      <x:c r="C342" s="28" t="str">
        <x:v>мацутакэ</x:v>
      </x:c>
      <x:c r="D342" s="28" t="str">
        <x:v>Прочее</x:v>
      </x:c>
      <x:c r="E342" s="28" t="str">
        <x:v>сенсорная комплементарность</x:v>
      </x:c>
      <x:c r="F342" s="28" t="str">
        <x:v>Свёкла имеет профиль «землистый, сладкий, минеральный и слегка зелёный». Партнёр «мацутакэ»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4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2" s="28" t="str">
        <x:v>геосмин легко доминирует; беталаины отвечают за цвет, а не за запах; сильный нагрев снижает яркость цвета</x:v>
      </x:c>
      <x:c r="I342" s="28" t="str">
        <x:v>сок, кордиал, гаспачо, салат, соус, маринад или коктейльный компонент с мацутакэ</x:v>
      </x:c>
      <x:c r="J342" s="28" t="str">
        <x:v>Средняя</x:v>
      </x:c>
      <x:c r="K342" s="28" t="str">
        <x:v>The Art &amp; Science of Foodpairing.pdf</x:v>
      </x:c>
      <x:c r="L342" s="28" t="str">
        <x:v>The Art &amp; Science of Foodpairing.pdf: 224</x:v>
      </x:c>
    </x:row>
    <x:row r="343" ht="66" customHeight="1">
      <x:c r="A343" s="28" t="str">
        <x:v>VEG-0672</x:v>
      </x:c>
      <x:c r="B343" s="28" t="str">
        <x:v>свёкла</x:v>
      </x:c>
      <x:c r="C343" s="28" t="str">
        <x:v>моллюски</x:v>
      </x:c>
      <x:c r="D343" s="28" t="str">
        <x:v>Рыба и морепродукты</x:v>
      </x:c>
      <x:c r="E343" s="28" t="str">
        <x:v>общие характерные молекулы; умами и солёный контраст</x:v>
      </x:c>
      <x:c r="F343" s="28" t="str">
        <x:v>Свёкла имеет профиль «землистый, сладкий, минеральный и слегка зелёный». Партнёр «моллюски»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4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3" s="28" t="str">
        <x:v>геосмин легко доминирует; беталаины отвечают за цвет, а не за запах; сильный нагрев снижает яркость цвета</x:v>
      </x:c>
      <x:c r="I343" s="28" t="str">
        <x:v>сок, кордиал, гаспачо, салат, соус, маринад или коктейльный компонент с моллюски</x:v>
      </x:c>
      <x:c r="J343" s="28" t="str">
        <x:v>Средняя</x:v>
      </x:c>
      <x:c r="K343" s="28" t="str">
        <x:v>The Art &amp; Science of Foodpairing.pdf</x:v>
      </x:c>
      <x:c r="L343" s="28" t="str">
        <x:v>The Art &amp; Science of Foodpairing.pdf: 224</x:v>
      </x:c>
    </x:row>
    <x:row r="344" ht="66" customHeight="1">
      <x:c r="A344" s="28" t="str">
        <x:v>VEG-0673</x:v>
      </x:c>
      <x:c r="B344" s="28" t="str">
        <x:v>свёкла</x:v>
      </x:c>
      <x:c r="C344" s="28" t="str">
        <x:v>морковь</x:v>
      </x:c>
      <x:c r="D344" s="28" t="str">
        <x:v>Корнеплоды</x:v>
      </x:c>
      <x:c r="E344" s="28" t="str">
        <x:v>пересечение ароматических семейств</x:v>
      </x:c>
      <x:c r="F344" s="28" t="str">
        <x:v>Свёкла имеет профиль «землистый, сладкий, минеральный и слегка зелёный».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землистый,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4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4" s="28" t="str">
        <x:v>геосмин легко доминирует; беталаины отвечают за цвет, а не за запах; сильный нагрев снижает яркость цвета</x:v>
      </x:c>
      <x:c r="I344" s="28" t="str">
        <x:v>сок, кордиал, гаспачо, салат, соус, маринад или коктейльный компонент с морковь</x:v>
      </x:c>
      <x:c r="J344" s="28" t="str">
        <x:v>Средняя</x:v>
      </x:c>
      <x:c r="K344" s="28" t="str">
        <x:v>The Art &amp; Science of Foodpairing.pdf</x:v>
      </x:c>
      <x:c r="L344" s="28" t="str">
        <x:v>The Art &amp; Science of Foodpairing.pdf: 232</x:v>
      </x:c>
    </x:row>
    <x:row r="345" ht="66" customHeight="1">
      <x:c r="A345" s="28" t="str">
        <x:v>VEG-0674</x:v>
      </x:c>
      <x:c r="B345" s="28" t="str">
        <x:v>свёкла</x:v>
      </x:c>
      <x:c r="C345" s="28" t="str">
        <x:v>морской язык</x:v>
      </x:c>
      <x:c r="D345" s="28" t="str">
        <x:v>Рыба и морепродукты</x:v>
      </x:c>
      <x:c r="E345" s="28" t="str">
        <x:v>общие характерные молекулы; умами и солёный контраст</x:v>
      </x:c>
      <x:c r="F345" s="28" t="str">
        <x:v>Свёкла имеет профиль «землистый, сладкий, минеральный и слегка зелёный». Партнёр «морской язык»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4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5" s="28" t="str">
        <x:v>геосмин легко доминирует; беталаины отвечают за цвет, а не за запах; сильный нагрев снижает яркость цвета</x:v>
      </x:c>
      <x:c r="I345" s="28" t="str">
        <x:v>сок, кордиал, гаспачо, салат, соус, маринад или коктейльный компонент с морской язык</x:v>
      </x:c>
      <x:c r="J345" s="28" t="str">
        <x:v>Средняя</x:v>
      </x:c>
      <x:c r="K345" s="28" t="str">
        <x:v>The Art &amp; Science of Foodpairing.pdf</x:v>
      </x:c>
      <x:c r="L345" s="28" t="str">
        <x:v>The Art &amp; Science of Foodpairing.pdf: 224</x:v>
      </x:c>
    </x:row>
    <x:row r="346" ht="66" customHeight="1">
      <x:c r="A346" s="28" t="str">
        <x:v>VEG-0675</x:v>
      </x:c>
      <x:c r="B346" s="28" t="str">
        <x:v>свёкла</x:v>
      </x:c>
      <x:c r="C346" s="28" t="str">
        <x:v>мята</x:v>
      </x:c>
      <x:c r="D346" s="28" t="str">
        <x:v>Травы, цветы и листья</x:v>
      </x:c>
      <x:c r="E346" s="28" t="str">
        <x:v>пересечение ароматических семейств</x:v>
      </x:c>
      <x:c r="F346" s="28" t="str">
        <x:v>Свёкла имеет профиль «землистый, сладкий, минеральный и слегка зелёный».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34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6" s="28" t="str">
        <x:v>геосмин легко доминирует; беталаины отвечают за цвет, а не за запах; сильный нагрев снижает яркость цвета; длительный нагрев уносит свежие терпены и зелёные альдегиды</x:v>
      </x:c>
      <x:c r="I346" s="28" t="str">
        <x:v>сок, кордиал, гаспачо, салат, соус, маринад или коктейльный компонент с мята</x:v>
      </x:c>
      <x:c r="J346" s="28" t="str">
        <x:v>Средняя</x:v>
      </x:c>
      <x:c r="K346" s="28" t="str">
        <x:v>The Art &amp; Science of Foodpairing.pdf</x:v>
      </x:c>
      <x:c r="L346" s="28" t="str">
        <x:v>The Art &amp; Science of Foodpairing.pdf: 224</x:v>
      </x:c>
    </x:row>
    <x:row r="347" ht="66" customHeight="1">
      <x:c r="A347" s="28" t="str">
        <x:v>VEG-0676</x:v>
      </x:c>
      <x:c r="B347" s="28" t="str">
        <x:v>свёкла</x:v>
      </x:c>
      <x:c r="C347" s="28" t="str">
        <x:v>мёд</x:v>
      </x:c>
      <x:c r="D347" s="28" t="str">
        <x:v>Выпечка, крупы, сахара и десерты</x:v>
      </x:c>
      <x:c r="E347" s="28" t="str">
        <x:v>пересечение ароматических семейств</x:v>
      </x:c>
      <x:c r="F347" s="28" t="str">
        <x:v>Свёкла имеет профиль «землистый, сладкий, минеральный и слегка зелёный».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4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7" s="28" t="str">
        <x:v>геосмин легко доминирует; беталаины отвечают за цвет, а не за запах; сильный нагрев снижает яркость цвета</x:v>
      </x:c>
      <x:c r="I347" s="28" t="str">
        <x:v>сок, кордиал, гаспачо, салат, соус, маринад или коктейльный компонент с мёд</x:v>
      </x:c>
      <x:c r="J347" s="28" t="str">
        <x:v>Средняя</x:v>
      </x:c>
      <x:c r="K347" s="28" t="str">
        <x:v>The Art &amp; Science of Foodpairing.pdf</x:v>
      </x:c>
      <x:c r="L347" s="28" t="str">
        <x:v>The Art &amp; Science of Foodpairing.pdf: 224</x:v>
      </x:c>
    </x:row>
    <x:row r="348" ht="66" customHeight="1">
      <x:c r="A348" s="28" t="str">
        <x:v>VEG-0677</x:v>
      </x:c>
      <x:c r="B348" s="28" t="str">
        <x:v>свёкла</x:v>
      </x:c>
      <x:c r="C348" s="28" t="str">
        <x:v>оливковое масло</x:v>
      </x:c>
      <x:c r="D348" s="28" t="str">
        <x:v>Масла и жиры</x:v>
      </x:c>
      <x:c r="E348" s="28" t="str">
        <x:v>общие характерные молекулы; жировая матрица</x:v>
      </x:c>
      <x:c r="F348" s="28" t="str">
        <x:v>Свёкла имеет профиль «землистый, сладкий, минеральный и слегка зелёный». Партнёр «оливковое масло» относится к группе «Масла и жиры» и даёт жирный и мягкий. Вероятный молекулярный мост: альдегиды.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34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8" s="28" t="str">
        <x:v>геосмин легко доминирует; беталаины отвечают за цвет, а не за запах; сильный нагрев снижает яркость цвета; жир способен приглушить свежую зелёную ароматику</x:v>
      </x:c>
      <x:c r="I348" s="28" t="str">
        <x:v>сок, кордиал, гаспачо, салат, соус, маринад или коктейльный компонент с оливковое масло</x:v>
      </x:c>
      <x:c r="J348" s="28" t="str">
        <x:v>Средняя</x:v>
      </x:c>
      <x:c r="K348" s="28" t="str">
        <x:v>The Art &amp; Science of Foodpairing.pdf</x:v>
      </x:c>
      <x:c r="L348" s="28" t="str">
        <x:v>The Art &amp; Science of Foodpairing.pdf: 172</x:v>
      </x:c>
    </x:row>
    <x:row r="349" ht="66" customHeight="1">
      <x:c r="A349" s="28" t="str">
        <x:v>VEG-0678</x:v>
      </x:c>
      <x:c r="B349" s="28" t="str">
        <x:v>свёкла</x:v>
      </x:c>
      <x:c r="C349" s="28" t="str">
        <x:v>пармезан</x:v>
      </x:c>
      <x:c r="D349" s="28" t="str">
        <x:v>Прочее</x:v>
      </x:c>
      <x:c r="E349" s="28" t="str">
        <x:v>сенсорная комплементарность</x:v>
      </x:c>
      <x:c r="F349" s="28" t="str">
        <x:v>Свёкла имеет профиль «землистый, сладкий, минеральный и слегка зелёный».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4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49" s="28" t="str">
        <x:v>геосмин легко доминирует; беталаины отвечают за цвет, а не за запах; сильный нагрев снижает яркость цвета</x:v>
      </x:c>
      <x:c r="I349" s="28" t="str">
        <x:v>сок, кордиал, гаспачо, салат, соус, маринад или коктейльный компонент с пармезан</x:v>
      </x:c>
      <x:c r="J349" s="28" t="str">
        <x:v>Средняя</x:v>
      </x:c>
      <x:c r="K349" s="28" t="str">
        <x:v>The Art &amp; Science of Foodpairing.pdf</x:v>
      </x:c>
      <x:c r="L349" s="28" t="str">
        <x:v>The Art &amp; Science of Foodpairing.pdf: 282</x:v>
      </x:c>
    </x:row>
    <x:row r="350" ht="66" customHeight="1">
      <x:c r="A350" s="28" t="str">
        <x:v>VEG-0679</x:v>
      </x:c>
      <x:c r="B350" s="28" t="str">
        <x:v>свёкла</x:v>
      </x:c>
      <x:c r="C350" s="28" t="str">
        <x:v>пастернак</x:v>
      </x:c>
      <x:c r="D350" s="28" t="str">
        <x:v>Корнеплоды</x:v>
      </x:c>
      <x:c r="E350" s="28" t="str">
        <x:v>пересечение ароматических семейств</x:v>
      </x:c>
      <x:c r="F350" s="28" t="str">
        <x:v>Свёкла имеет профиль «землистый, сладкий, минеральный и слегка зелёный». Партнёр «пастернак» относится к группе «Корнеплоды» и даёт сладкий, пряный, древесный и слегка анисовый. Профили пересекаются в семействах: землистый,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5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0" s="28" t="str">
        <x:v>геосмин легко доминирует; беталаины отвечают за цвет, а не за запах; сильный нагрев снижает яркость цвета</x:v>
      </x:c>
      <x:c r="I350" s="28" t="str">
        <x:v>сок, кордиал, гаспачо, салат, соус, маринад или коктейльный компонент с пастернак</x:v>
      </x:c>
      <x:c r="J350" s="28" t="str">
        <x:v>Средняя</x:v>
      </x:c>
      <x:c r="K350" s="28" t="str">
        <x:v>The Art &amp; Science of Foodpairing.pdf</x:v>
      </x:c>
      <x:c r="L350" s="28" t="str">
        <x:v>The Art &amp; Science of Foodpairing.pdf: 224</x:v>
      </x:c>
    </x:row>
    <x:row r="351" ht="66" customHeight="1">
      <x:c r="A351" s="28" t="str">
        <x:v>VEG-0680</x:v>
      </x:c>
      <x:c r="B351" s="28" t="str">
        <x:v>свёкла</x:v>
      </x:c>
      <x:c r="C351" s="28" t="str">
        <x:v>пекан</x:v>
      </x:c>
      <x:c r="D351" s="28" t="str">
        <x:v>Прочее</x:v>
      </x:c>
      <x:c r="E351" s="28" t="str">
        <x:v>сенсорная комплементарность</x:v>
      </x:c>
      <x:c r="F351" s="28" t="str">
        <x:v>Свёкла имеет профиль «землистый, сладкий, минеральный и слегка зелёный». Партнёр «пекан»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5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1" s="28" t="str">
        <x:v>геосмин легко доминирует; беталаины отвечают за цвет, а не за запах; сильный нагрев снижает яркость цвета</x:v>
      </x:c>
      <x:c r="I351" s="28" t="str">
        <x:v>сок, кордиал, гаспачо, салат, соус, маринад или коктейльный компонент с пекан</x:v>
      </x:c>
      <x:c r="J351" s="28" t="str">
        <x:v>Средняя</x:v>
      </x:c>
      <x:c r="K351" s="28" t="str">
        <x:v>The Art &amp; Science of Foodpairing.pdf</x:v>
      </x:c>
      <x:c r="L351" s="28" t="str">
        <x:v>The Art &amp; Science of Foodpairing.pdf: 224</x:v>
      </x:c>
    </x:row>
    <x:row r="352" ht="66" customHeight="1">
      <x:c r="A352" s="28" t="str">
        <x:v>VEG-0681</x:v>
      </x:c>
      <x:c r="B352" s="28" t="str">
        <x:v>свёкла</x:v>
      </x:c>
      <x:c r="C352" s="28" t="str">
        <x:v>песочное печенье</x:v>
      </x:c>
      <x:c r="D352" s="28" t="str">
        <x:v>Мясо и птица</x:v>
      </x:c>
      <x:c r="E352" s="28" t="str">
        <x:v>умами и солёный контраст</x:v>
      </x:c>
      <x:c r="F352" s="28" t="str">
        <x:v>Свёкла имеет профиль «землистый, сладкий, минеральный и слегка зелёный». Партнёр «песочное печенье»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5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2" s="28" t="str">
        <x:v>геосмин легко доминирует; беталаины отвечают за цвет, а не за запах; сильный нагрев снижает яркость цвета</x:v>
      </x:c>
      <x:c r="I352" s="28" t="str">
        <x:v>сок, кордиал, гаспачо, салат, соус, маринад или коктейльный компонент с песочное печенье</x:v>
      </x:c>
      <x:c r="J352" s="28" t="str">
        <x:v>Средняя</x:v>
      </x:c>
      <x:c r="K352" s="28" t="str">
        <x:v>The Art &amp; Science of Foodpairing.pdf</x:v>
      </x:c>
      <x:c r="L352" s="28" t="str">
        <x:v>The Art &amp; Science of Foodpairing.pdf: 224</x:v>
      </x:c>
    </x:row>
    <x:row r="353" ht="66" customHeight="1">
      <x:c r="A353" s="28" t="str">
        <x:v>VEG-0682</x:v>
      </x:c>
      <x:c r="B353" s="28" t="str">
        <x:v>свёкла</x:v>
      </x:c>
      <x:c r="C353" s="28" t="str">
        <x:v>петрушка</x:v>
      </x:c>
      <x:c r="D353" s="28" t="str">
        <x:v>Травы, цветы и листья</x:v>
      </x:c>
      <x:c r="E353" s="28" t="str">
        <x:v>пересечение ароматических семейств</x:v>
      </x:c>
      <x:c r="F353" s="28" t="str">
        <x:v>Свёкла имеет профиль «землистый, сладкий, минеральный и слегка зелёный». Партнёр «петрушка» относится к группе «Травы, цветы и листья» и даёт зелёный, травянистый.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35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3" s="28" t="str">
        <x:v>геосмин легко доминирует; беталаины отвечают за цвет, а не за запах; сильный нагрев снижает яркость цвета; длительный нагрев уносит свежие терпены и зелёные альдегиды</x:v>
      </x:c>
      <x:c r="I353" s="28" t="str">
        <x:v>сок, кордиал, гаспачо, салат, соус, маринад или коктейльный компонент с петрушка</x:v>
      </x:c>
      <x:c r="J353" s="28" t="str">
        <x:v>Средняя</x:v>
      </x:c>
      <x:c r="K353" s="28" t="str">
        <x:v>The Art &amp; Science of Foodpairing.pdf</x:v>
      </x:c>
      <x:c r="L353" s="28" t="str">
        <x:v>The Art &amp; Science of Foodpairing.pdf: 224</x:v>
      </x:c>
    </x:row>
    <x:row r="354" ht="66" customHeight="1">
      <x:c r="A354" s="28" t="str">
        <x:v>VEG-0683</x:v>
      </x:c>
      <x:c r="B354" s="28" t="str">
        <x:v>свёкла</x:v>
      </x:c>
      <x:c r="C354" s="28" t="str">
        <x:v>печень</x:v>
      </x:c>
      <x:c r="D354" s="28" t="str">
        <x:v>Мясо и птица</x:v>
      </x:c>
      <x:c r="E354" s="28" t="str">
        <x:v>умами и солёный контраст</x:v>
      </x:c>
      <x:c r="F354" s="28" t="str">
        <x:v>Свёкла имеет профиль «землистый, сладкий, минеральный и слегка зелёный». Партнёр «печень»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5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4" s="28" t="str">
        <x:v>геосмин легко доминирует; беталаины отвечают за цвет, а не за запах; сильный нагрев снижает яркость цвета</x:v>
      </x:c>
      <x:c r="I354" s="28" t="str">
        <x:v>сок, кордиал, гаспачо, салат, соус, маринад или коктейльный компонент с печень</x:v>
      </x:c>
      <x:c r="J354" s="28" t="str">
        <x:v>Средняя</x:v>
      </x:c>
      <x:c r="K354" s="28" t="str">
        <x:v>Тезариус вкусов (Ники Сегнит)(1).pdf</x:v>
      </x:c>
      <x:c r="L354" s="28" t="str">
        <x:v>Тезариус вкусов (Ники Сегнит)(1).pdf: 102, 225</x:v>
      </x:c>
    </x:row>
    <x:row r="355" ht="66" customHeight="1">
      <x:c r="A355" s="28" t="str">
        <x:v>VEG-0684</x:v>
      </x:c>
      <x:c r="B355" s="28" t="str">
        <x:v>свёкла</x:v>
      </x:c>
      <x:c r="C355" s="28" t="str">
        <x:v>рыба</x:v>
      </x:c>
      <x:c r="D355" s="28" t="str">
        <x:v>Рыба и морепродукты</x:v>
      </x:c>
      <x:c r="E355" s="28" t="str">
        <x:v>общие характерные молекулы; умами и солёный контраст</x:v>
      </x:c>
      <x:c r="F355" s="28" t="str">
        <x:v>Свёкла имеет профиль «землистый, сладкий, минеральный и слегка зелёный». Партнёр «рыба»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5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5" s="28" t="str">
        <x:v>геосмин легко доминирует; беталаины отвечают за цвет, а не за запах; сильный нагрев снижает яркость цвета</x:v>
      </x:c>
      <x:c r="I355" s="28" t="str">
        <x:v>сок, кордиал, гаспачо, салат, соус, маринад или коктейльный компонент с рыба</x:v>
      </x:c>
      <x:c r="J355" s="28" t="str">
        <x:v>Средняя</x:v>
      </x:c>
      <x:c r="K355" s="28" t="str">
        <x:v>The Art &amp; Science of Foodpairing.pdf</x:v>
      </x:c>
      <x:c r="L355" s="28" t="str">
        <x:v>The Art &amp; Science of Foodpairing.pdf: 104</x:v>
      </x:c>
    </x:row>
    <x:row r="356" ht="66" customHeight="1">
      <x:c r="A356" s="28" t="str">
        <x:v>VEG-0685</x:v>
      </x:c>
      <x:c r="B356" s="28" t="str">
        <x:v>свёкла</x:v>
      </x:c>
      <x:c r="C356" s="28" t="str">
        <x:v>свиная грудинка</x:v>
      </x:c>
      <x:c r="D356" s="28" t="str">
        <x:v>Мясо и птица</x:v>
      </x:c>
      <x:c r="E356" s="28" t="str">
        <x:v>умами и солёный контраст</x:v>
      </x:c>
      <x:c r="F356" s="28" t="str">
        <x:v>Свёкла имеет профиль «землистый, сладкий, минеральный и слегка зелёный». Партнёр «свиная грудинка»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5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6" s="28" t="str">
        <x:v>геосмин легко доминирует; беталаины отвечают за цвет, а не за запах; сильный нагрев снижает яркость цвета</x:v>
      </x:c>
      <x:c r="I356" s="28" t="str">
        <x:v>сок, кордиал, гаспачо, салат, соус, маринад или коктейльный компонент с свиная грудинка</x:v>
      </x:c>
      <x:c r="J356" s="28" t="str">
        <x:v>Средняя</x:v>
      </x:c>
      <x:c r="K356" s="28" t="str">
        <x:v>The Art &amp; Science of Foodpairing.pdf</x:v>
      </x:c>
      <x:c r="L356" s="28" t="str">
        <x:v>The Art &amp; Science of Foodpairing.pdf: 224</x:v>
      </x:c>
    </x:row>
    <x:row r="357" ht="66" customHeight="1">
      <x:c r="A357" s="28" t="str">
        <x:v>VEG-0686</x:v>
      </x:c>
      <x:c r="B357" s="28" t="str">
        <x:v>свёкла</x:v>
      </x:c>
      <x:c r="C357" s="28" t="str">
        <x:v>свинина</x:v>
      </x:c>
      <x:c r="D357" s="28" t="str">
        <x:v>Мясо и птица</x:v>
      </x:c>
      <x:c r="E357" s="28" t="str">
        <x:v>умами и солёный контраст</x:v>
      </x:c>
      <x:c r="F357" s="28" t="str">
        <x:v>Свёкла имеет профиль «землистый, сладкий, минеральный и слегка зелёный».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5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7" s="28" t="str">
        <x:v>геосмин легко доминирует; беталаины отвечают за цвет, а не за запах; сильный нагрев снижает яркость цвета</x:v>
      </x:c>
      <x:c r="I357" s="28" t="str">
        <x:v>сок, кордиал, гаспачо, салат, соус, маринад или коктейльный компонент с свинина</x:v>
      </x:c>
      <x:c r="J357" s="28" t="str">
        <x:v>Средняя</x:v>
      </x:c>
      <x:c r="K357" s="28" t="str">
        <x:v>Тезариус вкусов (Ники Сегнит)(1).pdf</x:v>
      </x:c>
      <x:c r="L357" s="28" t="str">
        <x:v>Тезариус вкусов (Ники Сегнит)(1).pdf: 87, 225</x:v>
      </x:c>
    </x:row>
    <x:row r="358" ht="66" customHeight="1">
      <x:c r="A358" s="28" t="str">
        <x:v>VEG-0687</x:v>
      </x:c>
      <x:c r="B358" s="28" t="str">
        <x:v>свёкла</x:v>
      </x:c>
      <x:c r="C358" s="28" t="str">
        <x:v>сельдерей</x:v>
      </x:c>
      <x:c r="D358" s="28" t="str">
        <x:v>Стеблевые овощи</x:v>
      </x:c>
      <x:c r="E358" s="28" t="str">
        <x:v>пересечение ароматических семейств</x:v>
      </x:c>
      <x:c r="F358" s="28" t="str">
        <x:v>Свёкла имеет профиль «землистый, сладкий, минеральный и слегка зелёный».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5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8" s="28" t="str">
        <x:v>геосмин легко доминирует; беталаины отвечают за цвет, а не за запах; сильный нагрев снижает яркость цвета</x:v>
      </x:c>
      <x:c r="I358" s="28" t="str">
        <x:v>сок, кордиал, гаспачо, салат, соус, маринад или коктейльный компонент с сельдерей</x:v>
      </x:c>
      <x:c r="J358" s="28" t="str">
        <x:v>Средняя</x:v>
      </x:c>
      <x:c r="K358" s="28" t="str">
        <x:v>The Art &amp; Science of Foodpairing.pdf</x:v>
      </x:c>
      <x:c r="L358" s="28" t="str">
        <x:v>The Art &amp; Science of Foodpairing.pdf: 224</x:v>
      </x:c>
    </x:row>
    <x:row r="359" ht="66" customHeight="1">
      <x:c r="A359" s="28" t="str">
        <x:v>VEG-0688</x:v>
      </x:c>
      <x:c r="B359" s="28" t="str">
        <x:v>свёкла</x:v>
      </x:c>
      <x:c r="C359" s="28" t="str">
        <x:v>сельдерей корневой</x:v>
      </x:c>
      <x:c r="D359" s="28" t="str">
        <x:v>Корнеплоды</x:v>
      </x:c>
      <x:c r="E359" s="28" t="str">
        <x:v>пересечение ароматических семейств</x:v>
      </x:c>
      <x:c r="F359" s="28" t="str">
        <x:v>Свёкла имеет профиль «землистый, сладкий, минеральный и слегка зелёный».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землистый.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5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59" s="28" t="str">
        <x:v>геосмин легко доминирует; беталаины отвечают за цвет, а не за запах; сильный нагрев снижает яркость цвета</x:v>
      </x:c>
      <x:c r="I359" s="28" t="str">
        <x:v>сок, кордиал, гаспачо, салат, соус, маринад или коктейльный компонент с сельдерей корневой</x:v>
      </x:c>
      <x:c r="J359" s="28" t="str">
        <x:v>Средняя</x:v>
      </x:c>
      <x:c r="K359" s="28" t="str">
        <x:v>The Art &amp; Science of Foodpairing.pdf</x:v>
      </x:c>
      <x:c r="L359" s="28" t="str">
        <x:v>The Art &amp; Science of Foodpairing.pdf: 52</x:v>
      </x:c>
    </x:row>
    <x:row r="360" ht="66" customHeight="1">
      <x:c r="A360" s="28" t="str">
        <x:v>VEG-0689</x:v>
      </x:c>
      <x:c r="B360" s="28" t="str">
        <x:v>свёкла</x:v>
      </x:c>
      <x:c r="C360" s="28" t="str">
        <x:v>скат</x:v>
      </x:c>
      <x:c r="D360" s="28" t="str">
        <x:v>Рыба и морепродукты</x:v>
      </x:c>
      <x:c r="E360" s="28" t="str">
        <x:v>общие характерные молекулы; умами и солёный контраст</x:v>
      </x:c>
      <x:c r="F360" s="28" t="str">
        <x:v>Свёкла имеет профиль «землистый, сладкий, минеральный и слегка зелёный». Партнёр «скат»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6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0" s="28" t="str">
        <x:v>геосмин легко доминирует; беталаины отвечают за цвет, а не за запах; сильный нагрев снижает яркость цвета</x:v>
      </x:c>
      <x:c r="I360" s="28" t="str">
        <x:v>сок, кордиал, гаспачо, салат, соус, маринад или коктейльный компонент с скат</x:v>
      </x:c>
      <x:c r="J360" s="28" t="str">
        <x:v>Средняя</x:v>
      </x:c>
      <x:c r="K360" s="28" t="str">
        <x:v>The Art &amp; Science of Foodpairing.pdf</x:v>
      </x:c>
      <x:c r="L360" s="28" t="str">
        <x:v>The Art &amp; Science of Foodpairing.pdf: 224</x:v>
      </x:c>
    </x:row>
    <x:row r="361" ht="66" customHeight="1">
      <x:c r="A361" s="28" t="str">
        <x:v>VEG-0690</x:v>
      </x:c>
      <x:c r="B361" s="28" t="str">
        <x:v>свёкла</x:v>
      </x:c>
      <x:c r="C361" s="28" t="str">
        <x:v>сметана и лимон</x:v>
      </x:c>
      <x:c r="D361" s="28" t="str">
        <x:v>Фрукты и ягоды</x:v>
      </x:c>
      <x:c r="E361" s="28" t="str">
        <x:v>кислотно-сладкий баланс</x:v>
      </x:c>
      <x:c r="F361" s="28" t="str">
        <x:v>Свёкла имеет профиль «землистый, сладкий, минеральный и слегка зелёный». Партнёр «сметана и 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6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1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361" s="28" t="str">
        <x:v>сок, кордиал, гаспачо, салат, соус, маринад или коктейльный компонент с сметана и лимон</x:v>
      </x:c>
      <x:c r="J361" s="28" t="str">
        <x:v>Средняя</x:v>
      </x:c>
      <x:c r="K361" s="28" t="str">
        <x:v>The Art &amp; Science of Foodpairing.pdf</x:v>
      </x:c>
      <x:c r="L361" s="28" t="str">
        <x:v>The Art &amp; Science of Foodpairing.pdf: 224</x:v>
      </x:c>
    </x:row>
    <x:row r="362" ht="66" customHeight="1">
      <x:c r="A362" s="28" t="str">
        <x:v>VEG-0691</x:v>
      </x:c>
      <x:c r="B362" s="28" t="str">
        <x:v>свёкла</x:v>
      </x:c>
      <x:c r="C362" s="28" t="str">
        <x:v>соевый соус</x:v>
      </x:c>
      <x:c r="D362" s="28" t="str">
        <x:v>Ферментированные продукты и соусы</x:v>
      </x:c>
      <x:c r="E362" s="28" t="str">
        <x:v>умами и солёный контраст</x:v>
      </x:c>
      <x:c r="F362" s="28" t="str">
        <x:v>Свёкла имеет профиль «землистый, сладкий, минеральный и слегка зелёный». Партнёр «соевый соус» относится к группе «Ферментированные продукты и соусы» и даёт жареный,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6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2" s="28" t="str">
        <x:v>геосмин легко доминирует; беталаины отвечают за цвет, а не за запах; сильный нагрев снижает яркость цвета</x:v>
      </x:c>
      <x:c r="I362" s="28" t="str">
        <x:v>сок, кордиал, гаспачо, салат, соус, маринад или коктейльный компонент с соевый соус</x:v>
      </x:c>
      <x:c r="J362" s="28" t="str">
        <x:v>Средняя</x:v>
      </x:c>
      <x:c r="K362" s="28" t="str">
        <x:v>The Art &amp; Science of Foodpairing.pdf</x:v>
      </x:c>
      <x:c r="L362" s="28" t="str">
        <x:v>The Art &amp; Science of Foodpairing.pdf: 224</x:v>
      </x:c>
    </x:row>
    <x:row r="363" ht="66" customHeight="1">
      <x:c r="A363" s="28" t="str">
        <x:v>VEG-0692</x:v>
      </x:c>
      <x:c r="B363" s="28" t="str">
        <x:v>свёкла</x:v>
      </x:c>
      <x:c r="C363" s="28" t="str">
        <x:v>спаржа</x:v>
      </x:c>
      <x:c r="D363" s="28" t="str">
        <x:v>Побеговые овощи</x:v>
      </x:c>
      <x:c r="E363" s="28" t="str">
        <x:v>пересечение ароматических семейств</x:v>
      </x:c>
      <x:c r="F363" s="28" t="str">
        <x:v>Свёкла имеет профиль «землистый, сладкий, минеральный и слегка зелёный». Партнёр «спаржа» относится к группе «Побеговые овощи» и даёт зелёный, сернистый, ореховый и слегка сладкий.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6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3" s="28" t="str">
        <x:v>геосмин легко доминирует; беталаины отвечают за цвет, а не за запах; сильный нагрев снижает яркость цвета</x:v>
      </x:c>
      <x:c r="I363" s="28" t="str">
        <x:v>сок, кордиал, гаспачо, салат, соус, маринад или коктейльный компонент с спаржа</x:v>
      </x:c>
      <x:c r="J363" s="28" t="str">
        <x:v>Средняя</x:v>
      </x:c>
      <x:c r="K363" s="28" t="str">
        <x:v>The Art &amp; Science of Foodpairing.pdf</x:v>
      </x:c>
      <x:c r="L363" s="28" t="str">
        <x:v>The Art &amp; Science of Foodpairing.pdf: 224</x:v>
      </x:c>
    </x:row>
    <x:row r="364" ht="66" customHeight="1">
      <x:c r="A364" s="28" t="str">
        <x:v>VEG-0693</x:v>
      </x:c>
      <x:c r="B364" s="28" t="str">
        <x:v>свёкла</x:v>
      </x:c>
      <x:c r="C364" s="28" t="str">
        <x:v>сыр</x:v>
      </x:c>
      <x:c r="D364" s="28" t="str">
        <x:v>Молочные продукты и сыры</x:v>
      </x:c>
      <x:c r="E364" s="28" t="str">
        <x:v>жировая матрица</x:v>
      </x:c>
      <x:c r="F364" s="28" t="str">
        <x:v>Свёкла имеет профиль «землистый, сладкий, минеральный и слегка зелёный».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36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4" s="28" t="str">
        <x:v>геосмин легко доминирует; беталаины отвечают за цвет, а не за запах; сильный нагрев снижает яркость цвета; жир способен приглушить свежую зелёную ароматику</x:v>
      </x:c>
      <x:c r="I364" s="28" t="str">
        <x:v>сок, кордиал, гаспачо, салат, соус, маринад или коктейльный компонент с сыр</x:v>
      </x:c>
      <x:c r="J364" s="28" t="str">
        <x:v>Средняя</x:v>
      </x:c>
      <x:c r="K364" s="28" t="str">
        <x:v>The Art &amp; Science of Foodpairing.pdf</x:v>
      </x:c>
      <x:c r="L364" s="28" t="str">
        <x:v>The Art &amp; Science of Foodpairing.pdf: 224</x:v>
      </x:c>
    </x:row>
    <x:row r="365" ht="66" customHeight="1">
      <x:c r="A365" s="28" t="str">
        <x:v>VEG-0694</x:v>
      </x:c>
      <x:c r="B365" s="28" t="str">
        <x:v>свёкла</x:v>
      </x:c>
      <x:c r="C365" s="28" t="str">
        <x:v>томат</x:v>
      </x:c>
      <x:c r="D365" s="28" t="str">
        <x:v>Плодовые овощи</x:v>
      </x:c>
      <x:c r="E365" s="28" t="str">
        <x:v>пересечение ароматических семейств</x:v>
      </x:c>
      <x:c r="F365" s="28" t="str">
        <x:v>Свёкла имеет профиль «землистый, сладкий, минеральный и слегка зелёный».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6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5" s="28" t="str">
        <x:v>геосмин легко доминирует; беталаины отвечают за цвет, а не за запах; сильный нагрев снижает яркость цвета</x:v>
      </x:c>
      <x:c r="I365" s="28" t="str">
        <x:v>сок, кордиал, гаспачо, салат, соус, маринад или коктейльный компонент с томат</x:v>
      </x:c>
      <x:c r="J365" s="28" t="str">
        <x:v>Средняя</x:v>
      </x:c>
      <x:c r="K365" s="28" t="str">
        <x:v>The Art &amp; Science of Foodpairing.pdf</x:v>
      </x:c>
      <x:c r="L365" s="28" t="str">
        <x:v>The Art &amp; Science of Foodpairing.pdf: 161, 224</x:v>
      </x:c>
    </x:row>
    <x:row r="366" ht="66" customHeight="1">
      <x:c r="A366" s="28" t="str">
        <x:v>VEG-0695</x:v>
      </x:c>
      <x:c r="B366" s="28" t="str">
        <x:v>свёкла</x:v>
      </x:c>
      <x:c r="C366" s="28" t="str">
        <x:v>томатильо</x:v>
      </x:c>
      <x:c r="D366" s="28" t="str">
        <x:v>Плодовые и тыквенные овощи</x:v>
      </x:c>
      <x:c r="E366" s="28" t="str">
        <x:v>общие характерные молекулы; пересечение ароматических семейств</x:v>
      </x:c>
      <x:c r="F366" s="28" t="str">
        <x:v>Свёкла имеет профиль «землистый, сладкий, минеральный и слегка зелёный». Партнёр «томатильо»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6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6" s="28" t="str">
        <x:v>геосмин легко доминирует; беталаины отвечают за цвет, а не за запах; сильный нагрев снижает яркость цвета</x:v>
      </x:c>
      <x:c r="I366" s="28" t="str">
        <x:v>сок, кордиал, гаспачо, салат, соус, маринад или коктейльный компонент с томатильо</x:v>
      </x:c>
      <x:c r="J366" s="28" t="str">
        <x:v>Средняя</x:v>
      </x:c>
      <x:c r="K366" s="28" t="str">
        <x:v>The Art &amp; Science of Foodpairing.pdf</x:v>
      </x:c>
      <x:c r="L366" s="28" t="str">
        <x:v>The Art &amp; Science of Foodpairing.pdf: 224</x:v>
      </x:c>
    </x:row>
    <x:row r="367" ht="66" customHeight="1">
      <x:c r="A367" s="28" t="str">
        <x:v>VEG-0696</x:v>
      </x:c>
      <x:c r="B367" s="28" t="str">
        <x:v>свёкла</x:v>
      </x:c>
      <x:c r="C367" s="28" t="str">
        <x:v>трюфель</x:v>
      </x:c>
      <x:c r="D367" s="28" t="str">
        <x:v>Грибы</x:v>
      </x:c>
      <x:c r="E367" s="28" t="str">
        <x:v>пересечение ароматических семейств; умами и солёный контраст</x:v>
      </x:c>
      <x:c r="F367" s="28" t="str">
        <x:v>Свёкла имеет профиль «землистый, сладкий, минеральный и слегка зелёный». Партнёр «трюфель» относится к группе «Грибы» и даёт землистый, грибной и умами. Профили пересекаются в семействах: землистый.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6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7" s="28" t="str">
        <x:v>геосмин легко доминирует; беталаины отвечают за цвет, а не за запах; сильный нагрев снижает яркость цвета</x:v>
      </x:c>
      <x:c r="I367" s="28" t="str">
        <x:v>сок, кордиал, гаспачо, салат, соус, маринад или коктейльный компонент с трюфель</x:v>
      </x:c>
      <x:c r="J367" s="28" t="str">
        <x:v>Средняя</x:v>
      </x:c>
      <x:c r="K367" s="28" t="str">
        <x:v>The Art &amp; Science of Foodpairing.pdf</x:v>
      </x:c>
      <x:c r="L367" s="28" t="str">
        <x:v>The Art &amp; Science of Foodpairing.pdf: 192</x:v>
      </x:c>
    </x:row>
    <x:row r="368" ht="66" customHeight="1">
      <x:c r="A368" s="28" t="str">
        <x:v>VEG-0697</x:v>
      </x:c>
      <x:c r="B368" s="28" t="str">
        <x:v>свёкла</x:v>
      </x:c>
      <x:c r="C368" s="28" t="str">
        <x:v>укроп</x:v>
      </x:c>
      <x:c r="D368" s="28" t="str">
        <x:v>Травы, цветы и листья</x:v>
      </x:c>
      <x:c r="E368" s="28" t="str">
        <x:v>пересечение ароматических семейств</x:v>
      </x:c>
      <x:c r="F368" s="28" t="str">
        <x:v>Свёкла имеет профиль «землистый, сладкий, минеральный и слегка зелёный». Партнёр «укроп» относится к группе «Травы, цветы и листья» и даёт анисовый, зелёный.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36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8" s="28" t="str">
        <x:v>геосмин легко доминирует; беталаины отвечают за цвет, а не за запах; сильный нагрев снижает яркость цвета; длительный нагрев уносит свежие терпены и зелёные альдегиды</x:v>
      </x:c>
      <x:c r="I368" s="28" t="str">
        <x:v>сок, кордиал, гаспачо, салат, соус, маринад или коктейльный компонент с укроп</x:v>
      </x:c>
      <x:c r="J368" s="28" t="str">
        <x:v>Средняя</x:v>
      </x:c>
      <x:c r="K368" s="28" t="str">
        <x:v>Тезариус вкусов (Ники Сегнит)(1).pdf</x:v>
      </x:c>
      <x:c r="L368" s="28" t="str">
        <x:v>Тезариус вкусов (Ники Сегнит)(1).pdf: 226, 505</x:v>
      </x:c>
    </x:row>
    <x:row r="369" ht="66" customHeight="1">
      <x:c r="A369" s="28" t="str">
        <x:v>VEG-0698</x:v>
      </x:c>
      <x:c r="B369" s="28" t="str">
        <x:v>свёкла</x:v>
      </x:c>
      <x:c r="C369" s="28" t="str">
        <x:v>фундук</x:v>
      </x:c>
      <x:c r="D369" s="28" t="str">
        <x:v>Орехи и семена</x:v>
      </x:c>
      <x:c r="E369" s="28" t="str">
        <x:v>сенсорная комплементарность</x:v>
      </x:c>
      <x:c r="F369" s="28" t="str">
        <x:v>Свёкла имеет профиль «землистый, сладкий, минеральный и слегка зелёный».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6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69" s="28" t="str">
        <x:v>геосмин легко доминирует; беталаины отвечают за цвет, а не за запах; сильный нагрев снижает яркость цвета</x:v>
      </x:c>
      <x:c r="I369" s="28" t="str">
        <x:v>сок, кордиал, гаспачо, салат, соус, маринад или коктейльный компонент с фундук</x:v>
      </x:c>
      <x:c r="J369" s="28" t="str">
        <x:v>Средняя</x:v>
      </x:c>
      <x:c r="K369" s="28" t="str">
        <x:v>The Art &amp; Science of Foodpairing.pdf</x:v>
      </x:c>
      <x:c r="L369" s="28" t="str">
        <x:v>The Art &amp; Science of Foodpairing.pdf: 332</x:v>
      </x:c>
    </x:row>
    <x:row r="370" ht="66" customHeight="1">
      <x:c r="A370" s="28" t="str">
        <x:v>VEG-0699</x:v>
      </x:c>
      <x:c r="B370" s="28" t="str">
        <x:v>свёкла</x:v>
      </x:c>
      <x:c r="C370" s="28" t="str">
        <x:v>хрен</x:v>
      </x:c>
      <x:c r="D370" s="28" t="str">
        <x:v>Прочее</x:v>
      </x:c>
      <x:c r="E370" s="28" t="str">
        <x:v>сенсорная комплементарность</x:v>
      </x:c>
      <x:c r="F370" s="28" t="str">
        <x:v>Свёкла имеет профиль «землистый, сладкий, минеральный и слегка зелёный».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0" s="28" t="str">
        <x:v>геосмин легко доминирует; беталаины отвечают за цвет, а не за запах; сильный нагрев снижает яркость цвета</x:v>
      </x:c>
      <x:c r="I370" s="28" t="str">
        <x:v>сок, кордиал, гаспачо, салат, соус, маринад или коктейльный компонент с хрен</x:v>
      </x:c>
      <x:c r="J370" s="28" t="str">
        <x:v>Средняя</x:v>
      </x:c>
      <x:c r="K370" s="28" t="str">
        <x:v>Тезариус вкусов (Ники Сегнит)(1).pdf</x:v>
      </x:c>
      <x:c r="L370" s="28" t="str">
        <x:v>Тезариус вкусов (Ники Сегнит)(1).pdf: 227, 275</x:v>
      </x:c>
    </x:row>
    <x:row r="371" ht="66" customHeight="1">
      <x:c r="A371" s="28" t="str">
        <x:v>VEG-0700</x:v>
      </x:c>
      <x:c r="B371" s="28" t="str">
        <x:v>свёкла</x:v>
      </x:c>
      <x:c r="C371" s="28" t="str">
        <x:v>цветная капуста</x:v>
      </x:c>
      <x:c r="D371" s="28" t="str">
        <x:v>Крестоцветные</x:v>
      </x:c>
      <x:c r="E371" s="28" t="str">
        <x:v>сенсорная комплементарность</x:v>
      </x:c>
      <x:c r="F371" s="28" t="str">
        <x:v>Свёкла имеет профиль «землистый, сладкий, минеральный и слегка зелёный». Партнёр «цветная капуста» относится к группе «Крестоцветные» и даёт мягко капустный, ореховый, сернистый и сливочный после запекания.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1" s="28" t="str">
        <x:v>геосмин легко доминирует; беталаины отвечают за цвет, а не за запах; сильный нагрев снижает яркость цвета</x:v>
      </x:c>
      <x:c r="I371" s="28" t="str">
        <x:v>сок, кордиал, гаспачо, салат, соус, маринад или коктейльный компонент с цветная капуста</x:v>
      </x:c>
      <x:c r="J371" s="28" t="str">
        <x:v>Средняя</x:v>
      </x:c>
      <x:c r="K371" s="28" t="str">
        <x:v>The Art &amp; Science of Foodpairing.pdf</x:v>
      </x:c>
      <x:c r="L371" s="28" t="str">
        <x:v>The Art &amp; Science of Foodpairing.pdf: 224</x:v>
      </x:c>
    </x:row>
    <x:row r="372" ht="66" customHeight="1">
      <x:c r="A372" s="28" t="str">
        <x:v>VEG-0701</x:v>
      </x:c>
      <x:c r="B372" s="28" t="str">
        <x:v>свёкла</x:v>
      </x:c>
      <x:c r="C372" s="28" t="str">
        <x:v>чай</x:v>
      </x:c>
      <x:c r="D372" s="28" t="str">
        <x:v>Чай</x:v>
      </x:c>
      <x:c r="E372" s="28" t="str">
        <x:v>пересечение ароматических семейств</x:v>
      </x:c>
      <x:c r="F372" s="28" t="str">
        <x:v>Свёкла имеет профиль «землистый, сладкий, минеральный и слегка зелёный». Партнёр «чай»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2" s="28" t="str">
        <x:v>геосмин легко доминирует; беталаины отвечают за цвет, а не за запах; сильный нагрев снижает яркость цвета</x:v>
      </x:c>
      <x:c r="I372" s="28" t="str">
        <x:v>сок, кордиал, гаспачо, салат, соус, маринад или коктейльный компонент с чай</x:v>
      </x:c>
      <x:c r="J372" s="28" t="str">
        <x:v>Средняя</x:v>
      </x:c>
      <x:c r="K372" s="28" t="str">
        <x:v>The Art &amp; Science of Foodpairing.pdf</x:v>
      </x:c>
      <x:c r="L372" s="28" t="str">
        <x:v>The Art &amp; Science of Foodpairing.pdf: 224</x:v>
      </x:c>
    </x:row>
    <x:row r="373" ht="66" customHeight="1">
      <x:c r="A373" s="28" t="str">
        <x:v>VEG-0702</x:v>
      </x:c>
      <x:c r="B373" s="28" t="str">
        <x:v>свёкла</x:v>
      </x:c>
      <x:c r="C373" s="28" t="str">
        <x:v>чеснок</x:v>
      </x:c>
      <x:c r="D373" s="28" t="str">
        <x:v>Луковые овощи</x:v>
      </x:c>
      <x:c r="E373" s="28" t="str">
        <x:v>сенсорная комплементарность</x:v>
      </x:c>
      <x:c r="F373" s="28" t="str">
        <x:v>Свёкла имеет профиль «землистый, сладкий, минеральный и слегка зелёный». Партнёр «чеснок» относится к группе «Луковые овощи» и даёт резкий сернистый, зелёный и мясной; после запекания — сладкий и ореховый.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3" s="28" t="str">
        <x:v>геосмин легко доминирует; беталаины отвечают за цвет, а не за запах; сильный нагрев снижает яркость цвета</x:v>
      </x:c>
      <x:c r="I373" s="28" t="str">
        <x:v>сок, кордиал, гаспачо, салат, соус, маринад или коктейльный компонент с чеснок</x:v>
      </x:c>
      <x:c r="J373" s="28" t="str">
        <x:v>Средняя</x:v>
      </x:c>
      <x:c r="K373" s="28" t="str">
        <x:v>The Art &amp; Science of Foodpairing.pdf</x:v>
      </x:c>
      <x:c r="L373" s="28" t="str">
        <x:v>The Art &amp; Science of Foodpairing.pdf: 113, 114</x:v>
      </x:c>
    </x:row>
    <x:row r="374" ht="66" customHeight="1">
      <x:c r="A374" s="28" t="str">
        <x:v>VEG-0703</x:v>
      </x:c>
      <x:c r="B374" s="28" t="str">
        <x:v>свёкла</x:v>
      </x:c>
      <x:c r="C374" s="28" t="str">
        <x:v>чили</x:v>
      </x:c>
      <x:c r="D374" s="28" t="str">
        <x:v>Специи</x:v>
      </x:c>
      <x:c r="E374" s="28" t="str">
        <x:v>сенсорная комплементарность</x:v>
      </x:c>
      <x:c r="F374" s="28" t="str">
        <x:v>Свёкла имеет профиль «землистый, сладкий, минеральный и слегка зелёный».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37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4" s="28" t="str">
        <x:v>геосмин легко доминирует; беталаины отвечают за цвет, а не за запах; сильный нагрев снижает яркость цвета</x:v>
      </x:c>
      <x:c r="I374" s="28" t="str">
        <x:v>сок, кордиал, гаспачо, салат, соус, маринад или коктейльный компонент с чили</x:v>
      </x:c>
      <x:c r="J374" s="28" t="str">
        <x:v>Средняя</x:v>
      </x:c>
      <x:c r="K374" s="28" t="str">
        <x:v>The Art &amp; Science of Foodpairing.pdf</x:v>
      </x:c>
      <x:c r="L374" s="28" t="str">
        <x:v>The Art &amp; Science of Foodpairing.pdf: 94</x:v>
      </x:c>
    </x:row>
    <x:row r="375" ht="66" customHeight="1">
      <x:c r="A375" s="28" t="str">
        <x:v>VEG-0704</x:v>
      </x:c>
      <x:c r="B375" s="28" t="str">
        <x:v>свёкла</x:v>
      </x:c>
      <x:c r="C375" s="28" t="str">
        <x:v>чёрная оливка пикваль</x:v>
      </x:c>
      <x:c r="D375" s="28" t="str">
        <x:v>Прочее</x:v>
      </x:c>
      <x:c r="E375" s="28" t="str">
        <x:v>сенсорная комплементарность</x:v>
      </x:c>
      <x:c r="F375" s="28" t="str">
        <x:v>Свёкла имеет профиль «землистый, сладкий, минеральный и слегка зелёный». Партнёр «чёрная оливка пикваль»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5" s="28" t="str">
        <x:v>геосмин легко доминирует; беталаины отвечают за цвет, а не за запах; сильный нагрев снижает яркость цвета</x:v>
      </x:c>
      <x:c r="I375" s="28" t="str">
        <x:v>сок, кордиал, гаспачо, салат, соус, маринад или коктейльный компонент с чёрная оливка пикваль</x:v>
      </x:c>
      <x:c r="J375" s="28" t="str">
        <x:v>Средняя</x:v>
      </x:c>
      <x:c r="K375" s="28" t="str">
        <x:v>The Art &amp; Science of Foodpairing.pdf</x:v>
      </x:c>
      <x:c r="L375" s="28" t="str">
        <x:v>The Art &amp; Science of Foodpairing.pdf: 224</x:v>
      </x:c>
    </x:row>
    <x:row r="376" ht="66" customHeight="1">
      <x:c r="A376" s="28" t="str">
        <x:v>VEG-0705</x:v>
      </x:c>
      <x:c r="B376" s="28" t="str">
        <x:v>свёкла</x:v>
      </x:c>
      <x:c r="C376" s="28" t="str">
        <x:v>чёрная смородина</x:v>
      </x:c>
      <x:c r="D376" s="28" t="str">
        <x:v>Фрукты и ягоды</x:v>
      </x:c>
      <x:c r="E376" s="28" t="str">
        <x:v>общие характерные молекулы; кислотно-сладкий баланс</x:v>
      </x:c>
      <x:c r="F376" s="28" t="str">
        <x:v>Свёкла имеет профиль «землистый, сладкий, минеральный и слегка зелёный». Партнёр «чёрная смородина»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7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6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376" s="28" t="str">
        <x:v>сок, кордиал, гаспачо, салат, соус, маринад или коктейльный компонент с чёрная смородина</x:v>
      </x:c>
      <x:c r="J376" s="28" t="str">
        <x:v>Средняя</x:v>
      </x:c>
      <x:c r="K376" s="28" t="str">
        <x:v>The Art &amp; Science of Foodpairing.pdf</x:v>
      </x:c>
      <x:c r="L376" s="28" t="str">
        <x:v>The Art &amp; Science of Foodpairing.pdf: 224</x:v>
      </x:c>
    </x:row>
    <x:row r="377" ht="66" customHeight="1">
      <x:c r="A377" s="28" t="str">
        <x:v>VEG-0706</x:v>
      </x:c>
      <x:c r="B377" s="28" t="str">
        <x:v>свёкла</x:v>
      </x:c>
      <x:c r="C377" s="28" t="str">
        <x:v>чёрный перец</x:v>
      </x:c>
      <x:c r="D377" s="28" t="str">
        <x:v>Специи</x:v>
      </x:c>
      <x:c r="E377" s="28" t="str">
        <x:v>сенсорная комплементарность</x:v>
      </x:c>
      <x:c r="F377" s="28" t="str">
        <x:v>Свёкла имеет профиль «землистый, сладкий, минеральный и слегка зелёный».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37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7" s="28" t="str">
        <x:v>геосмин легко доминирует; беталаины отвечают за цвет, а не за запах; сильный нагрев снижает яркость цвета</x:v>
      </x:c>
      <x:c r="I377" s="28" t="str">
        <x:v>сок, кордиал, гаспачо, салат, соус, маринад или коктейльный компонент с чёрный перец</x:v>
      </x:c>
      <x:c r="J377" s="28" t="str">
        <x:v>Средняя</x:v>
      </x:c>
      <x:c r="K377" s="28" t="str">
        <x:v>The Art &amp; Science of Foodpairing.pdf</x:v>
      </x:c>
      <x:c r="L377" s="28" t="str">
        <x:v>The Art &amp; Science of Foodpairing.pdf: 273, 274</x:v>
      </x:c>
    </x:row>
    <x:row r="378" ht="66" customHeight="1">
      <x:c r="A378" s="28" t="str">
        <x:v>VEG-0707</x:v>
      </x:c>
      <x:c r="B378" s="28" t="str">
        <x:v>свёкла</x:v>
      </x:c>
      <x:c r="C378" s="28" t="str">
        <x:v>шисо</x:v>
      </x:c>
      <x:c r="D378" s="28" t="str">
        <x:v>Прочее</x:v>
      </x:c>
      <x:c r="E378" s="28" t="str">
        <x:v>сенсорная комплементарность</x:v>
      </x:c>
      <x:c r="F378" s="28" t="str">
        <x:v>Свёкла имеет профиль «землистый, сладкий, минеральный и слегка зелёный». Партнёр «шисо»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8" s="28" t="str">
        <x:v>геосмин легко доминирует; беталаины отвечают за цвет, а не за запах; сильный нагрев снижает яркость цвета</x:v>
      </x:c>
      <x:c r="I378" s="28" t="str">
        <x:v>сок, кордиал, гаспачо, салат, соус, маринад или коктейльный компонент с шисо</x:v>
      </x:c>
      <x:c r="J378" s="28" t="str">
        <x:v>Средняя</x:v>
      </x:c>
      <x:c r="K378" s="28" t="str">
        <x:v>The Art &amp; Science of Foodpairing.pdf</x:v>
      </x:c>
      <x:c r="L378" s="28" t="str">
        <x:v>The Art &amp; Science of Foodpairing.pdf: 224</x:v>
      </x:c>
    </x:row>
    <x:row r="379" ht="66" customHeight="1">
      <x:c r="A379" s="28" t="str">
        <x:v>VEG-0708</x:v>
      </x:c>
      <x:c r="B379" s="28" t="str">
        <x:v>свёкла</x:v>
      </x:c>
      <x:c r="C379" s="28" t="str">
        <x:v>шоколад</x:v>
      </x:c>
      <x:c r="D379" s="28" t="str">
        <x:v>Какао и шоколад</x:v>
      </x:c>
      <x:c r="E379" s="28" t="str">
        <x:v>сенсорная комплементарность</x:v>
      </x:c>
      <x:c r="F379" s="28" t="str">
        <x:v>Свёкла имеет профиль «землистый, сладкий, минеральный и слегка зелёный».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7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79" s="28" t="str">
        <x:v>геосмин легко доминирует; беталаины отвечают за цвет, а не за запах; сильный нагрев снижает яркость цвета; жареная горечь легко маскирует нежный овощной аромат</x:v>
      </x:c>
      <x:c r="I379" s="28" t="str">
        <x:v>сок, кордиал, гаспачо, салат, соус, маринад или коктейльный компонент с шоколад</x:v>
      </x:c>
      <x:c r="J379" s="28" t="str">
        <x:v>Высокая</x:v>
      </x:c>
      <x:c r="K379" s="28" t="str">
        <x:v>The Art &amp; Science of Foodpairing.pdf | Тезариус вкусов (Ники Сегнит)(1).pdf</x:v>
      </x:c>
      <x:c r="L379" s="28" t="str">
        <x:v>Тезариус вкусов (Ники Сегнит)(1).pdf: 35, 227; The Art &amp; Science of Foodpairing.pdf: 62</x:v>
      </x:c>
    </x:row>
    <x:row r="380" ht="66" customHeight="1">
      <x:c r="A380" s="28" t="str">
        <x:v>VEG-0709</x:v>
      </x:c>
      <x:c r="B380" s="28" t="str">
        <x:v>свёкла</x:v>
      </x:c>
      <x:c r="C380" s="28" t="str">
        <x:v>яблоко</x:v>
      </x:c>
      <x:c r="D380" s="28" t="str">
        <x:v>Фрукты и ягоды</x:v>
      </x:c>
      <x:c r="E380" s="28" t="str">
        <x:v>пересечение ароматических семейств; кислотно-сладкий баланс</x:v>
      </x:c>
      <x:c r="F380" s="28" t="str">
        <x:v>Свёкла имеет профиль «землистый, сладкий, минеральный и слегка зелёный».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8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80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380" s="28" t="str">
        <x:v>сок, кордиал, гаспачо, салат, соус, маринад или коктейльный компонент с яблоко</x:v>
      </x:c>
      <x:c r="J380" s="28" t="str">
        <x:v>Высокая</x:v>
      </x:c>
      <x:c r="K380" s="28" t="str">
        <x:v>The Art &amp; Science of Foodpairing.pdf | Тезариус вкусов (Ники Сегнит)(1).pdf</x:v>
      </x:c>
      <x:c r="L380" s="28" t="str">
        <x:v>Тезариус вкусов (Ники Сегнит)(1).pdf: 228, 714; The Art &amp; Science of Foodpairing.pdf: 224</x:v>
      </x:c>
    </x:row>
    <x:row r="381" ht="66" customHeight="1">
      <x:c r="A381" s="28" t="str">
        <x:v>VEG-0710</x:v>
      </x:c>
      <x:c r="B381" s="28" t="str">
        <x:v>свёкла</x:v>
      </x:c>
      <x:c r="C381" s="28" t="str">
        <x:v>яичница</x:v>
      </x:c>
      <x:c r="D381" s="28" t="str">
        <x:v>Яйца</x:v>
      </x:c>
      <x:c r="E381" s="28" t="str">
        <x:v>сенсорная комплементарность</x:v>
      </x:c>
      <x:c r="F381" s="28" t="str">
        <x:v>Свёкла имеет профиль «землистый, сладкий, минеральный и слегка зелёный». Партнёр «яичница» относится к группе «Яйца» и даёт сливочный,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8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81" s="28" t="str">
        <x:v>геосмин легко доминирует; беталаины отвечают за цвет, а не за запах; сильный нагрев снижает яркость цвета</x:v>
      </x:c>
      <x:c r="I381" s="28" t="str">
        <x:v>сок, кордиал, гаспачо, салат, соус, маринад или коктейльный компонент с яичница</x:v>
      </x:c>
      <x:c r="J381" s="28" t="str">
        <x:v>Средняя</x:v>
      </x:c>
      <x:c r="K381" s="28" t="str">
        <x:v>The Art &amp; Science of Foodpairing.pdf</x:v>
      </x:c>
      <x:c r="L381" s="28" t="str">
        <x:v>The Art &amp; Science of Foodpairing.pdf: 224</x:v>
      </x:c>
    </x:row>
    <x:row r="382" ht="66" customHeight="1">
      <x:c r="A382" s="28" t="str">
        <x:v>VEG-0711</x:v>
      </x:c>
      <x:c r="B382" s="28" t="str">
        <x:v>свёкла</x:v>
      </x:c>
      <x:c r="C382" s="28" t="str">
        <x:v>яйца</x:v>
      </x:c>
      <x:c r="D382" s="28" t="str">
        <x:v>Прочее</x:v>
      </x:c>
      <x:c r="E382" s="28" t="str">
        <x:v>сенсорная комплементарность</x:v>
      </x:c>
      <x:c r="F382" s="28" t="str">
        <x:v>Свёкла имеет профиль «землистый, сладкий, минеральный и слегка зелёный».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8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82" s="28" t="str">
        <x:v>геосмин легко доминирует; беталаины отвечают за цвет, а не за запах; сильный нагрев снижает яркость цвета</x:v>
      </x:c>
      <x:c r="I382" s="28" t="str">
        <x:v>сок, кордиал, гаспачо, салат, соус, маринад или коктейльный компонент с яйца</x:v>
      </x:c>
      <x:c r="J382" s="28" t="str">
        <x:v>Средняя</x:v>
      </x:c>
      <x:c r="K382" s="28" t="str">
        <x:v>Тезариус вкусов (Ники Сегнит)(1).pdf</x:v>
      </x:c>
      <x:c r="L382" s="28" t="str">
        <x:v>Тезариус вкусов (Ники Сегнит)(1).pdf: 228, 358</x:v>
      </x:c>
    </x:row>
    <x:row r="383" ht="66" customHeight="1">
      <x:c r="A383" s="28" t="str">
        <x:v>VEG-0737</x:v>
      </x:c>
      <x:c r="B383" s="28" t="str">
        <x:v>сельдерей корневой</x:v>
      </x:c>
      <x:c r="C383" s="28" t="str">
        <x:v>анис</x:v>
      </x:c>
      <x:c r="D383" s="28" t="str">
        <x:v>Прочее</x:v>
      </x:c>
      <x:c r="E383" s="28" t="str">
        <x:v>сенсорная комплементарность</x:v>
      </x:c>
      <x:c r="F383" s="28" t="str">
        <x:v>Сельдерей корневой имеет профиль «землистый, ореховый, сельдерейно-пряный и слегка грибной».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8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83" s="28" t="str">
        <x:v>быстро окисляется после нарезки; избыток сельдерейных фталидов даёт аптечную ноту</x:v>
      </x:c>
      <x:c r="I383" s="28" t="str">
        <x:v>пюре, суп, запекание, крем, гарнир, соус или десертная разработка с анис</x:v>
      </x:c>
      <x:c r="J383" s="28" t="str">
        <x:v>Средняя</x:v>
      </x:c>
      <x:c r="K383" s="28" t="str">
        <x:v>The Art &amp; Science of Foodpairing.pdf</x:v>
      </x:c>
      <x:c r="L383" s="28" t="str">
        <x:v>The Art &amp; Science of Foodpairing.pdf: 52</x:v>
      </x:c>
    </x:row>
    <x:row r="384" ht="66" customHeight="1">
      <x:c r="A384" s="28" t="str">
        <x:v>VEG-0738</x:v>
      </x:c>
      <x:c r="B384" s="28" t="str">
        <x:v>сельдерей корневой</x:v>
      </x:c>
      <x:c r="C384" s="28" t="str">
        <x:v>ваниль</x:v>
      </x:c>
      <x:c r="D384" s="28" t="str">
        <x:v>Специи</x:v>
      </x:c>
      <x:c r="E384" s="28" t="str">
        <x:v>сенсорная комплементарность</x:v>
      </x:c>
      <x:c r="F384" s="28" t="str">
        <x:v>Сельдерей корневой имеет профиль «землистый, ореховый, сельдерейно-пряный и слегка грибной».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8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84" s="28" t="str">
        <x:v>быстро окисляется после нарезки; избыток сельдерейных фталидов даёт аптечную ноту</x:v>
      </x:c>
      <x:c r="I384" s="28" t="str">
        <x:v>пюре, суп, запекание, крем, гарнир, соус или десертная разработка с ваниль</x:v>
      </x:c>
      <x:c r="J384" s="28" t="str">
        <x:v>Высокая</x:v>
      </x:c>
      <x:c r="K384" s="28" t="str">
        <x:v>The Art &amp; Science of Foodpairing.pdf</x:v>
      </x:c>
      <x:c r="L384" s="28" t="str">
        <x:v>The Art &amp; Science of Foodpairing.pdf: 53</x:v>
      </x:c>
    </x:row>
    <x:row r="385" ht="66" customHeight="1">
      <x:c r="A385" s="28" t="str">
        <x:v>VEG-0739</x:v>
      </x:c>
      <x:c r="B385" s="28" t="str">
        <x:v>сельдерей корневой</x:v>
      </x:c>
      <x:c r="C385" s="28" t="str">
        <x:v>гамбургер</x:v>
      </x:c>
      <x:c r="D385" s="28" t="str">
        <x:v>Прочее</x:v>
      </x:c>
      <x:c r="E385" s="28" t="str">
        <x:v>сенсорная комплементарность</x:v>
      </x:c>
      <x:c r="F385" s="28" t="str">
        <x:v>Сельдерей корневой имеет профиль «землистый, ореховый, сельдерейно-пряный и слегка грибной». Партнёр «гамбургер»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8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85" s="28" t="str">
        <x:v>быстро окисляется после нарезки; избыток сельдерейных фталидов даёт аптечную ноту</x:v>
      </x:c>
      <x:c r="I385" s="28" t="str">
        <x:v>пюре, суп, запекание, крем, гарнир, соус или десертная разработка с гамбургер</x:v>
      </x:c>
      <x:c r="J385" s="28" t="str">
        <x:v>Средняя</x:v>
      </x:c>
      <x:c r="K385" s="28" t="str">
        <x:v>The Art &amp; Science of Foodpairing.pdf</x:v>
      </x:c>
      <x:c r="L385" s="28" t="str">
        <x:v>The Art &amp; Science of Foodpairing.pdf: 52</x:v>
      </x:c>
    </x:row>
    <x:row r="386" ht="66" customHeight="1">
      <x:c r="A386" s="28" t="str">
        <x:v>VEG-0740</x:v>
      </x:c>
      <x:c r="B386" s="28" t="str">
        <x:v>сельдерей корневой</x:v>
      </x:c>
      <x:c r="C386" s="28" t="str">
        <x:v>гибискус</x:v>
      </x:c>
      <x:c r="D386" s="28" t="str">
        <x:v>Прочее</x:v>
      </x:c>
      <x:c r="E386" s="28" t="str">
        <x:v>сенсорная комплементарность</x:v>
      </x:c>
      <x:c r="F386" s="28" t="str">
        <x:v>Сельдерей корневой имеет профиль «землистый, ореховый, сельдерейно-пряный и слегка грибной».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8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86" s="28" t="str">
        <x:v>быстро окисляется после нарезки; избыток сельдерейных фталидов даёт аптечную ноту</x:v>
      </x:c>
      <x:c r="I386" s="28" t="str">
        <x:v>пюре, суп, запекание, крем, гарнир, соус или десертная разработка с гибискус</x:v>
      </x:c>
      <x:c r="J386" s="28" t="str">
        <x:v>Средняя</x:v>
      </x:c>
      <x:c r="K386" s="28" t="str">
        <x:v>The Art &amp; Science of Foodpairing.pdf</x:v>
      </x:c>
      <x:c r="L386" s="28" t="str">
        <x:v>The Art &amp; Science of Foodpairing.pdf: 52</x:v>
      </x:c>
    </x:row>
    <x:row r="387" ht="66" customHeight="1">
      <x:c r="A387" s="28" t="str">
        <x:v>VEG-0741</x:v>
      </x:c>
      <x:c r="B387" s="28" t="str">
        <x:v>сельдерей корневой</x:v>
      </x:c>
      <x:c r="C387" s="28" t="str">
        <x:v>говядина</x:v>
      </x:c>
      <x:c r="D387" s="28" t="str">
        <x:v>Мясо и птица</x:v>
      </x:c>
      <x:c r="E387" s="28" t="str">
        <x:v>умами и солёный контраст</x:v>
      </x:c>
      <x:c r="F387" s="28" t="str">
        <x:v>Сельдерей корневой имеет профиль «землистый, ореховый, сельдерейно-пряный и слегка грибной».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87" s="28" t="str">
        <x:v>быстро окисляется после нарезки; избыток сельдерейных фталидов даёт аптечную ноту</x:v>
      </x:c>
      <x:c r="I387" s="28" t="str">
        <x:v>пюре, суп, запекание, крем, гарнир, соус или десертная разработка с говядина</x:v>
      </x:c>
      <x:c r="J387" s="28" t="str">
        <x:v>Средняя</x:v>
      </x:c>
      <x:c r="K387" s="28" t="str">
        <x:v>The Art &amp; Science of Foodpairing.pdf</x:v>
      </x:c>
      <x:c r="L387" s="28" t="str">
        <x:v>The Art &amp; Science of Foodpairing.pdf: 52</x:v>
      </x:c>
    </x:row>
    <x:row r="388" ht="66" customHeight="1">
      <x:c r="A388" s="28" t="str">
        <x:v>VEG-0742</x:v>
      </x:c>
      <x:c r="B388" s="28" t="str">
        <x:v>сельдерей корневой</x:v>
      </x:c>
      <x:c r="C388" s="28" t="str">
        <x:v>говяжья вырезка</x:v>
      </x:c>
      <x:c r="D388" s="28" t="str">
        <x:v>Прочее</x:v>
      </x:c>
      <x:c r="E388" s="28" t="str">
        <x:v>сенсорная комплементарность</x:v>
      </x:c>
      <x:c r="F388" s="28" t="str">
        <x:v>Сельдерей корневой имеет профиль «землистый, ореховый, сельдерейно-пряный и слегка грибной». Партнёр «говяжья вырезка»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8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88" s="28" t="str">
        <x:v>быстро окисляется после нарезки; избыток сельдерейных фталидов даёт аптечную ноту</x:v>
      </x:c>
      <x:c r="I388" s="28" t="str">
        <x:v>пюре, суп, запекание, крем, гарнир, соус или десертная разработка с говяжья вырезка</x:v>
      </x:c>
      <x:c r="J388" s="28" t="str">
        <x:v>Средняя</x:v>
      </x:c>
      <x:c r="K388" s="28" t="str">
        <x:v>The Art &amp; Science of Foodpairing.pdf</x:v>
      </x:c>
      <x:c r="L388" s="28" t="str">
        <x:v>The Art &amp; Science of Foodpairing.pdf: 52</x:v>
      </x:c>
    </x:row>
    <x:row r="389" ht="66" customHeight="1">
      <x:c r="A389" s="28" t="str">
        <x:v>VEG-0743</x:v>
      </x:c>
      <x:c r="B389" s="28" t="str">
        <x:v>сельдерей корневой</x:v>
      </x:c>
      <x:c r="C389" s="28" t="str">
        <x:v>гуава</x:v>
      </x:c>
      <x:c r="D389" s="28" t="str">
        <x:v>Фрукты и ягоды</x:v>
      </x:c>
      <x:c r="E389" s="28" t="str">
        <x:v>кислотно-сладкий баланс</x:v>
      </x:c>
      <x:c r="F389" s="28" t="str">
        <x:v>Сельдерей корневой имеет профиль «землистый, ореховый, сельдерейно-пряный и слегка грибной». Партнёр «гуава»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8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89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389" s="28" t="str">
        <x:v>пюре, суп, запекание, крем, гарнир, соус или десертная разработка с гуава</x:v>
      </x:c>
      <x:c r="J389" s="28" t="str">
        <x:v>Средняя</x:v>
      </x:c>
      <x:c r="K389" s="28" t="str">
        <x:v>The Art &amp; Science of Foodpairing.pdf</x:v>
      </x:c>
      <x:c r="L389" s="28" t="str">
        <x:v>The Art &amp; Science of Foodpairing.pdf: 52</x:v>
      </x:c>
    </x:row>
    <x:row r="390" ht="66" customHeight="1">
      <x:c r="A390" s="28" t="str">
        <x:v>VEG-0744</x:v>
      </x:c>
      <x:c r="B390" s="28" t="str">
        <x:v>сельдерей корневой</x:v>
      </x:c>
      <x:c r="C390" s="28" t="str">
        <x:v>дикий голубь</x:v>
      </x:c>
      <x:c r="D390" s="28" t="str">
        <x:v>Прочее</x:v>
      </x:c>
      <x:c r="E390" s="28" t="str">
        <x:v>сенсорная комплементарность</x:v>
      </x:c>
      <x:c r="F390" s="28" t="str">
        <x:v>Сельдерей корневой имеет профиль «землистый, ореховый, сельдерейно-пряный и слегка грибной». Партнёр «дикий голубь»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9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0" s="28" t="str">
        <x:v>быстро окисляется после нарезки; избыток сельдерейных фталидов даёт аптечную ноту</x:v>
      </x:c>
      <x:c r="I390" s="28" t="str">
        <x:v>пюре, суп, запекание, крем, гарнир, соус или десертная разработка с дикий голубь</x:v>
      </x:c>
      <x:c r="J390" s="28" t="str">
        <x:v>Средняя</x:v>
      </x:c>
      <x:c r="K390" s="28" t="str">
        <x:v>The Art &amp; Science of Foodpairing.pdf</x:v>
      </x:c>
      <x:c r="L390" s="28" t="str">
        <x:v>The Art &amp; Science of Foodpairing.pdf: 52</x:v>
      </x:c>
    </x:row>
    <x:row r="391" ht="66" customHeight="1">
      <x:c r="A391" s="28" t="str">
        <x:v>VEG-0745</x:v>
      </x:c>
      <x:c r="B391" s="28" t="str">
        <x:v>сельдерей корневой</x:v>
      </x:c>
      <x:c r="C391" s="28" t="str">
        <x:v>дикий гусь</x:v>
      </x:c>
      <x:c r="D391" s="28" t="str">
        <x:v>Прочее</x:v>
      </x:c>
      <x:c r="E391" s="28" t="str">
        <x:v>сенсорная комплементарность</x:v>
      </x:c>
      <x:c r="F391" s="28" t="str">
        <x:v>Сельдерей корневой имеет профиль «землистый, ореховый, сельдерейно-пряный и слегка грибной». Партнёр «дикий гусь»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9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1" s="28" t="str">
        <x:v>быстро окисляется после нарезки; избыток сельдерейных фталидов даёт аптечную ноту</x:v>
      </x:c>
      <x:c r="I391" s="28" t="str">
        <x:v>пюре, суп, запекание, крем, гарнир, соус или десертная разработка с дикий гусь</x:v>
      </x:c>
      <x:c r="J391" s="28" t="str">
        <x:v>Средняя</x:v>
      </x:c>
      <x:c r="K391" s="28" t="str">
        <x:v>The Art &amp; Science of Foodpairing.pdf</x:v>
      </x:c>
      <x:c r="L391" s="28" t="str">
        <x:v>The Art &amp; Science of Foodpairing.pdf: 52</x:v>
      </x:c>
    </x:row>
    <x:row r="392" ht="66" customHeight="1">
      <x:c r="A392" s="28" t="str">
        <x:v>VEG-0746</x:v>
      </x:c>
      <x:c r="B392" s="28" t="str">
        <x:v>сельдерей корневой</x:v>
      </x:c>
      <x:c r="C392" s="28" t="str">
        <x:v>дикий рис</x:v>
      </x:c>
      <x:c r="D392" s="28" t="str">
        <x:v>Выпечка, крупы, сахара и десерты</x:v>
      </x:c>
      <x:c r="E392" s="28" t="str">
        <x:v>сенсорная комплементарность</x:v>
      </x:c>
      <x:c r="F392" s="28" t="str">
        <x:v>Сельдерей корневой имеет профиль «землистый, ореховый, сельдерейно-пряный и слегка грибной». Партнёр «дикий рис»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39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2" s="28" t="str">
        <x:v>быстро окисляется после нарезки; избыток сельдерейных фталидов даёт аптечную ноту</x:v>
      </x:c>
      <x:c r="I392" s="28" t="str">
        <x:v>пюре, суп, запекание, крем, гарнир, соус или десертная разработка с дикий рис</x:v>
      </x:c>
      <x:c r="J392" s="28" t="str">
        <x:v>Средняя</x:v>
      </x:c>
      <x:c r="K392" s="28" t="str">
        <x:v>The Art &amp; Science of Foodpairing.pdf</x:v>
      </x:c>
      <x:c r="L392" s="28" t="str">
        <x:v>The Art &amp; Science of Foodpairing.pdf: 52</x:v>
      </x:c>
    </x:row>
    <x:row r="393" ht="66" customHeight="1">
      <x:c r="A393" s="28" t="str">
        <x:v>VEG-0747</x:v>
      </x:c>
      <x:c r="B393" s="28" t="str">
        <x:v>сельдерей корневой</x:v>
      </x:c>
      <x:c r="C393" s="28" t="str">
        <x:v>длиннозёрный рис</x:v>
      </x:c>
      <x:c r="D393" s="28" t="str">
        <x:v>Выпечка, крупы, сахара и десерты</x:v>
      </x:c>
      <x:c r="E393" s="28" t="str">
        <x:v>сенсорная комплементарность</x:v>
      </x:c>
      <x:c r="F393" s="28" t="str">
        <x:v>Сельдерей корневой имеет профиль «землистый, ореховый, сельдерейно-пряный и слегка грибной». Партнёр «длиннозёрный рис»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39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3" s="28" t="str">
        <x:v>быстро окисляется после нарезки; избыток сельдерейных фталидов даёт аптечную ноту</x:v>
      </x:c>
      <x:c r="I393" s="28" t="str">
        <x:v>пюре, суп, запекание, крем, гарнир, соус или десертная разработка с длиннозёрный рис</x:v>
      </x:c>
      <x:c r="J393" s="28" t="str">
        <x:v>Средняя</x:v>
      </x:c>
      <x:c r="K393" s="28" t="str">
        <x:v>The Art &amp; Science of Foodpairing.pdf</x:v>
      </x:c>
      <x:c r="L393" s="28" t="str">
        <x:v>The Art &amp; Science of Foodpairing.pdf: 52</x:v>
      </x:c>
    </x:row>
    <x:row r="394" ht="66" customHeight="1">
      <x:c r="A394" s="28" t="str">
        <x:v>VEG-0748</x:v>
      </x:c>
      <x:c r="B394" s="28" t="str">
        <x:v>сельдерей корневой</x:v>
      </x:c>
      <x:c r="C394" s="28" t="str">
        <x:v>душистый перец</x:v>
      </x:c>
      <x:c r="D394" s="28" t="str">
        <x:v>Специи</x:v>
      </x:c>
      <x:c r="E394" s="28" t="str">
        <x:v>пересечение ароматических семейств</x:v>
      </x:c>
      <x:c r="F394" s="28" t="str">
        <x:v>Сельдерей корневой имеет профиль «землистый, ореховый, сельдерейно-пряный и слегка грибной». Партнёр «душистый перец» относится к группе «Специи» и даёт пряный и древесный. Профили пересекаются в семействах: пряный.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9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4" s="28" t="str">
        <x:v>быстро окисляется после нарезки; избыток сельдерейных фталидов даёт аптечную ноту</x:v>
      </x:c>
      <x:c r="I394" s="28" t="str">
        <x:v>пюре, суп, запекание, крем, гарнир, соус или десертная разработка с душистый перец</x:v>
      </x:c>
      <x:c r="J394" s="28" t="str">
        <x:v>Средняя</x:v>
      </x:c>
      <x:c r="K394" s="28" t="str">
        <x:v>The Art &amp; Science of Foodpairing.pdf</x:v>
      </x:c>
      <x:c r="L394" s="28" t="str">
        <x:v>The Art &amp; Science of Foodpairing.pdf: 52</x:v>
      </x:c>
    </x:row>
    <x:row r="395" ht="66" customHeight="1">
      <x:c r="A395" s="28" t="str">
        <x:v>VEG-0749</x:v>
      </x:c>
      <x:c r="B395" s="28" t="str">
        <x:v>сельдерей корневой</x:v>
      </x:c>
      <x:c r="C395" s="28" t="str">
        <x:v>зелёная фасоль</x:v>
      </x:c>
      <x:c r="D395" s="28" t="str">
        <x:v>Бобовые</x:v>
      </x:c>
      <x:c r="E395" s="28" t="str">
        <x:v>пересечение ароматических семейств</x:v>
      </x:c>
      <x:c r="F395" s="28" t="str">
        <x:v>Сельдерей корневой имеет профиль «землистый, ореховый, сельдерейно-пряный и слегка грибной». Партнёр «зелёная фасоль» относится к группе «Бобовые» и даёт зелёный, травянистый, бобовый и слегка ореховый. Профили пересекаются в семействах: ореховый. Совместимость формируется за счёт баланса сладости, кислотности, горечи, умами и текстуры.</x:v>
      </x:c>
      <x:c r="G39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5" s="28" t="str">
        <x:v>быстро окисляется после нарезки; избыток сельдерейных фталидов даёт аптечную ноту</x:v>
      </x:c>
      <x:c r="I395" s="28" t="str">
        <x:v>пюре, суп, запекание, крем, гарнир, соус или десертная разработка с зелёная фасоль</x:v>
      </x:c>
      <x:c r="J395" s="28" t="str">
        <x:v>Средняя</x:v>
      </x:c>
      <x:c r="K395" s="28" t="str">
        <x:v>The Art &amp; Science of Foodpairing.pdf</x:v>
      </x:c>
      <x:c r="L395" s="28" t="str">
        <x:v>The Art &amp; Science of Foodpairing.pdf: 52</x:v>
      </x:c>
    </x:row>
    <x:row r="396" ht="66" customHeight="1">
      <x:c r="A396" s="28" t="str">
        <x:v>VEG-0750</x:v>
      </x:c>
      <x:c r="B396" s="28" t="str">
        <x:v>сельдерей корневой</x:v>
      </x:c>
      <x:c r="C396" s="28" t="str">
        <x:v>инжир</x:v>
      </x:c>
      <x:c r="D396" s="28" t="str">
        <x:v>Фрукты и ягоды</x:v>
      </x:c>
      <x:c r="E396" s="28" t="str">
        <x:v>кислотно-сладкий баланс</x:v>
      </x:c>
      <x:c r="F396" s="28" t="str">
        <x:v>Сельдерей корневой имеет профиль «землистый, ореховый, сельдерейно-пряный и слегка грибной». Партнёр «инжир»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9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6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396" s="28" t="str">
        <x:v>пюре, суп, запекание, крем, гарнир, соус или десертная разработка с инжир</x:v>
      </x:c>
      <x:c r="J396" s="28" t="str">
        <x:v>Средняя</x:v>
      </x:c>
      <x:c r="K396" s="28" t="str">
        <x:v>The Art &amp; Science of Foodpairing.pdf</x:v>
      </x:c>
      <x:c r="L396" s="28" t="str">
        <x:v>The Art &amp; Science of Foodpairing.pdf: 52</x:v>
      </x:c>
    </x:row>
    <x:row r="397" ht="66" customHeight="1">
      <x:c r="A397" s="28" t="str">
        <x:v>VEG-0751</x:v>
      </x:c>
      <x:c r="B397" s="28" t="str">
        <x:v>сельдерей корневой</x:v>
      </x:c>
      <x:c r="C397" s="28" t="str">
        <x:v>кабан</x:v>
      </x:c>
      <x:c r="D397" s="28" t="str">
        <x:v>Прочее</x:v>
      </x:c>
      <x:c r="E397" s="28" t="str">
        <x:v>сенсорная комплементарность</x:v>
      </x:c>
      <x:c r="F397" s="28" t="str">
        <x:v>Сельдерей корневой имеет профиль «землистый, ореховый, сельдерейно-пряный и слегка грибной». Партнёр «кабан»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9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7" s="28" t="str">
        <x:v>быстро окисляется после нарезки; избыток сельдерейных фталидов даёт аптечную ноту</x:v>
      </x:c>
      <x:c r="I397" s="28" t="str">
        <x:v>пюре, суп, запекание, крем, гарнир, соус или десертная разработка с кабан</x:v>
      </x:c>
      <x:c r="J397" s="28" t="str">
        <x:v>Средняя</x:v>
      </x:c>
      <x:c r="K397" s="28" t="str">
        <x:v>The Art &amp; Science of Foodpairing.pdf</x:v>
      </x:c>
      <x:c r="L397" s="28" t="str">
        <x:v>The Art &amp; Science of Foodpairing.pdf: 52</x:v>
      </x:c>
    </x:row>
    <x:row r="398" ht="66" customHeight="1">
      <x:c r="A398" s="28" t="str">
        <x:v>VEG-0752</x:v>
      </x:c>
      <x:c r="B398" s="28" t="str">
        <x:v>сельдерей корневой</x:v>
      </x:c>
      <x:c r="C398" s="28" t="str">
        <x:v>камбала</x:v>
      </x:c>
      <x:c r="D398" s="28" t="str">
        <x:v>Прочее</x:v>
      </x:c>
      <x:c r="E398" s="28" t="str">
        <x:v>сенсорная комплементарность</x:v>
      </x:c>
      <x:c r="F398" s="28" t="str">
        <x:v>Сельдерей корневой имеет профиль «землистый, ореховый, сельдерейно-пряный и слегка грибной». Партнёр «камбала»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9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8" s="28" t="str">
        <x:v>быстро окисляется после нарезки; избыток сельдерейных фталидов даёт аптечную ноту</x:v>
      </x:c>
      <x:c r="I398" s="28" t="str">
        <x:v>пюре, суп, запекание, крем, гарнир, соус или десертная разработка с камбала</x:v>
      </x:c>
      <x:c r="J398" s="28" t="str">
        <x:v>Средняя</x:v>
      </x:c>
      <x:c r="K398" s="28" t="str">
        <x:v>The Art &amp; Science of Foodpairing.pdf</x:v>
      </x:c>
      <x:c r="L398" s="28" t="str">
        <x:v>The Art &amp; Science of Foodpairing.pdf: 52</x:v>
      </x:c>
    </x:row>
    <x:row r="399" ht="66" customHeight="1">
      <x:c r="A399" s="28" t="str">
        <x:v>VEG-0753</x:v>
      </x:c>
      <x:c r="B399" s="28" t="str">
        <x:v>сельдерей корневой</x:v>
      </x:c>
      <x:c r="C399" s="28" t="str">
        <x:v>капуста</x:v>
      </x:c>
      <x:c r="D399" s="28" t="str">
        <x:v>Крестоцветные</x:v>
      </x:c>
      <x:c r="E399" s="28" t="str">
        <x:v>сенсорная комплементарность</x:v>
      </x:c>
      <x:c r="F399" s="28" t="str">
        <x:v>Сельдерей корневой имеет профиль «землистый, ореховый, сельдерейно-пряный и слегка грибной». Партнёр «капуста» относится к группе «Крестоцветные» и даёт зелёный, горчичный, сернистый и сладковатый после приготовления.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9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399" s="28" t="str">
        <x:v>быстро окисляется после нарезки; избыток сельдерейных фталидов даёт аптечную ноту</x:v>
      </x:c>
      <x:c r="I399" s="28" t="str">
        <x:v>пюре, суп, запекание, крем, гарнир, соус или десертная разработка с капуста</x:v>
      </x:c>
      <x:c r="J399" s="28" t="str">
        <x:v>Средняя</x:v>
      </x:c>
      <x:c r="K399" s="28" t="str">
        <x:v>The Art &amp; Science of Foodpairing.pdf</x:v>
      </x:c>
      <x:c r="L399" s="28" t="str">
        <x:v>The Art &amp; Science of Foodpairing.pdf: 52</x:v>
      </x:c>
    </x:row>
    <x:row r="400" ht="66" customHeight="1">
      <x:c r="A400" s="28" t="str">
        <x:v>VEG-0754</x:v>
      </x:c>
      <x:c r="B400" s="28" t="str">
        <x:v>сельдерей корневой</x:v>
      </x:c>
      <x:c r="C400" s="28" t="str">
        <x:v>кардамон</x:v>
      </x:c>
      <x:c r="D400" s="28" t="str">
        <x:v>Специи</x:v>
      </x:c>
      <x:c r="E400" s="28" t="str">
        <x:v>сенсорная комплементарность</x:v>
      </x:c>
      <x:c r="F400" s="28" t="str">
        <x:v>Сельдерей корневой имеет профиль «землистый, ореховый, сельдерейно-пряный и слегка грибной».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40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0" s="28" t="str">
        <x:v>быстро окисляется после нарезки; избыток сельдерейных фталидов даёт аптечную ноту</x:v>
      </x:c>
      <x:c r="I400" s="28" t="str">
        <x:v>пюре, суп, запекание, крем, гарнир, соус или десертная разработка с кардамон</x:v>
      </x:c>
      <x:c r="J400" s="28" t="str">
        <x:v>Средняя</x:v>
      </x:c>
      <x:c r="K400" s="28" t="str">
        <x:v>The Art &amp; Science of Foodpairing.pdf</x:v>
      </x:c>
      <x:c r="L400" s="28" t="str">
        <x:v>The Art &amp; Science of Foodpairing.pdf: 256</x:v>
      </x:c>
    </x:row>
    <x:row r="401" ht="66" customHeight="1">
      <x:c r="A401" s="28" t="str">
        <x:v>VEG-0755</x:v>
      </x:c>
      <x:c r="B401" s="28" t="str">
        <x:v>сельдерей корневой</x:v>
      </x:c>
      <x:c r="C401" s="28" t="str">
        <x:v>кешью</x:v>
      </x:c>
      <x:c r="D401" s="28" t="str">
        <x:v>Прочее</x:v>
      </x:c>
      <x:c r="E401" s="28" t="str">
        <x:v>сенсорная комплементарность</x:v>
      </x:c>
      <x:c r="F401" s="28" t="str">
        <x:v>Сельдерей корневой имеет профиль «землистый, ореховый, сельдерейно-пряный и слегка грибной». Партнёр «кешью»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0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1" s="28" t="str">
        <x:v>быстро окисляется после нарезки; избыток сельдерейных фталидов даёт аптечную ноту</x:v>
      </x:c>
      <x:c r="I401" s="28" t="str">
        <x:v>пюре, суп, запекание, крем, гарнир, соус или десертная разработка с кешью</x:v>
      </x:c>
      <x:c r="J401" s="28" t="str">
        <x:v>Средняя</x:v>
      </x:c>
      <x:c r="K401" s="28" t="str">
        <x:v>The Art &amp; Science of Foodpairing.pdf</x:v>
      </x:c>
      <x:c r="L401" s="28" t="str">
        <x:v>The Art &amp; Science of Foodpairing.pdf: 52</x:v>
      </x:c>
    </x:row>
    <x:row r="402" ht="66" customHeight="1">
      <x:c r="A402" s="28" t="str">
        <x:v>VEG-0756</x:v>
      </x:c>
      <x:c r="B402" s="28" t="str">
        <x:v>сельдерей корневой</x:v>
      </x:c>
      <x:c r="C402" s="28" t="str">
        <x:v>костный мозг</x:v>
      </x:c>
      <x:c r="D402" s="28" t="str">
        <x:v>Прочее</x:v>
      </x:c>
      <x:c r="E402" s="28" t="str">
        <x:v>сенсорная комплементарность</x:v>
      </x:c>
      <x:c r="F402" s="28" t="str">
        <x:v>Сельдерей корневой имеет профиль «землистый, ореховый, сельдерейно-пряный и слегка грибной». Партнёр «костный мозг»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0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2" s="28" t="str">
        <x:v>быстро окисляется после нарезки; избыток сельдерейных фталидов даёт аптечную ноту</x:v>
      </x:c>
      <x:c r="I402" s="28" t="str">
        <x:v>пюре, суп, запекание, крем, гарнир, соус или десертная разработка с костный мозг</x:v>
      </x:c>
      <x:c r="J402" s="28" t="str">
        <x:v>Средняя</x:v>
      </x:c>
      <x:c r="K402" s="28" t="str">
        <x:v>The Art &amp; Science of Foodpairing.pdf</x:v>
      </x:c>
      <x:c r="L402" s="28" t="str">
        <x:v>The Art &amp; Science of Foodpairing.pdf: 52</x:v>
      </x:c>
    </x:row>
    <x:row r="403" ht="66" customHeight="1">
      <x:c r="A403" s="28" t="str">
        <x:v>VEG-0757</x:v>
      </x:c>
      <x:c r="B403" s="28" t="str">
        <x:v>сельдерей корневой</x:v>
      </x:c>
      <x:c r="C403" s="28" t="str">
        <x:v>краб</x:v>
      </x:c>
      <x:c r="D403" s="28" t="str">
        <x:v>Рыба и морепродукты</x:v>
      </x:c>
      <x:c r="E403" s="28" t="str">
        <x:v>умами и солёный контраст</x:v>
      </x:c>
      <x:c r="F403" s="28" t="str">
        <x:v>Сельдерей корневой имеет профиль «землистый, ореховый, сельдерейно-пряный и слегка грибной». Партнёр «краб»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0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3" s="28" t="str">
        <x:v>быстро окисляется после нарезки; избыток сельдерейных фталидов даёт аптечную ноту</x:v>
      </x:c>
      <x:c r="I403" s="28" t="str">
        <x:v>пюре, суп, запекание, крем, гарнир, соус или десертная разработка с краб</x:v>
      </x:c>
      <x:c r="J403" s="28" t="str">
        <x:v>Средняя</x:v>
      </x:c>
      <x:c r="K403" s="28" t="str">
        <x:v>The Art &amp; Science of Foodpairing.pdf</x:v>
      </x:c>
      <x:c r="L403" s="28" t="str">
        <x:v>The Art &amp; Science of Foodpairing.pdf: 52</x:v>
      </x:c>
    </x:row>
    <x:row r="404" ht="66" customHeight="1">
      <x:c r="A404" s="28" t="str">
        <x:v>VEG-0758</x:v>
      </x:c>
      <x:c r="B404" s="28" t="str">
        <x:v>сельдерей корневой</x:v>
      </x:c>
      <x:c r="C404" s="28" t="str">
        <x:v>креветка</x:v>
      </x:c>
      <x:c r="D404" s="28" t="str">
        <x:v>Рыба и морепродукты</x:v>
      </x:c>
      <x:c r="E404" s="28" t="str">
        <x:v>умами и солёный контраст</x:v>
      </x:c>
      <x:c r="F404" s="28" t="str">
        <x:v>Сельдерей корневой имеет профиль «землистый, ореховый, сельдерейно-пряный и слегка грибной». Партнёр «креветка»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0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4" s="28" t="str">
        <x:v>быстро окисляется после нарезки; избыток сельдерейных фталидов даёт аптечную ноту</x:v>
      </x:c>
      <x:c r="I404" s="28" t="str">
        <x:v>пюре, суп, запекание, крем, гарнир, соус или десертная разработка с креветка</x:v>
      </x:c>
      <x:c r="J404" s="28" t="str">
        <x:v>Средняя</x:v>
      </x:c>
      <x:c r="K404" s="28" t="str">
        <x:v>The Art &amp; Science of Foodpairing.pdf</x:v>
      </x:c>
      <x:c r="L404" s="28" t="str">
        <x:v>The Art &amp; Science of Foodpairing.pdf: 52</x:v>
      </x:c>
    </x:row>
    <x:row r="405" ht="66" customHeight="1">
      <x:c r="A405" s="28" t="str">
        <x:v>VEG-0759</x:v>
      </x:c>
      <x:c r="B405" s="28" t="str">
        <x:v>сельдерей корневой</x:v>
      </x:c>
      <x:c r="C405" s="28" t="str">
        <x:v>креветки</x:v>
      </x:c>
      <x:c r="D405" s="28" t="str">
        <x:v>Рыба и морепродукты</x:v>
      </x:c>
      <x:c r="E405" s="28" t="str">
        <x:v>умами и солёный контраст</x:v>
      </x:c>
      <x:c r="F405" s="28" t="str">
        <x:v>Сельдерей корневой имеет профиль «землистый, ореховый, сельдерейно-пряный и слегка грибной». Партнёр «креветки»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0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5" s="28" t="str">
        <x:v>быстро окисляется после нарезки; избыток сельдерейных фталидов даёт аптечную ноту</x:v>
      </x:c>
      <x:c r="I405" s="28" t="str">
        <x:v>пюре, суп, запекание, крем, гарнир, соус или десертная разработка с креветки</x:v>
      </x:c>
      <x:c r="J405" s="28" t="str">
        <x:v>Высокая</x:v>
      </x:c>
      <x:c r="K405" s="28" t="str">
        <x:v>The Art &amp; Science of Foodpairing.pdf</x:v>
      </x:c>
      <x:c r="L405" s="28" t="str">
        <x:v>The Art &amp; Science of Foodpairing.pdf: 52</x:v>
      </x:c>
    </x:row>
    <x:row r="406" ht="66" customHeight="1">
      <x:c r="A406" s="28" t="str">
        <x:v>VEG-0760</x:v>
      </x:c>
      <x:c r="B406" s="28" t="str">
        <x:v>сельдерей корневой</x:v>
      </x:c>
      <x:c r="C406" s="28" t="str">
        <x:v>куркума</x:v>
      </x:c>
      <x:c r="D406" s="28" t="str">
        <x:v>Прочее</x:v>
      </x:c>
      <x:c r="E406" s="28" t="str">
        <x:v>сенсорная комплементарность</x:v>
      </x:c>
      <x:c r="F406" s="28" t="str">
        <x:v>Сельдерей корневой имеет профиль «землистый, ореховый, сельдерейно-пряный и слегка грибной».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0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6" s="28" t="str">
        <x:v>быстро окисляется после нарезки; избыток сельдерейных фталидов даёт аптечную ноту</x:v>
      </x:c>
      <x:c r="I406" s="28" t="str">
        <x:v>пюре, суп, запекание, крем, гарнир, соус или десертная разработка с куркума</x:v>
      </x:c>
      <x:c r="J406" s="28" t="str">
        <x:v>Средняя</x:v>
      </x:c>
      <x:c r="K406" s="28" t="str">
        <x:v>The Art &amp; Science of Foodpairing.pdf</x:v>
      </x:c>
      <x:c r="L406" s="28" t="str">
        <x:v>The Art &amp; Science of Foodpairing.pdf: 52</x:v>
      </x:c>
    </x:row>
    <x:row r="407" ht="66" customHeight="1">
      <x:c r="A407" s="28" t="str">
        <x:v>VEG-0761</x:v>
      </x:c>
      <x:c r="B407" s="28" t="str">
        <x:v>сельдерей корневой</x:v>
      </x:c>
      <x:c r="C407" s="28" t="str">
        <x:v>лаванда</x:v>
      </x:c>
      <x:c r="D407" s="28" t="str">
        <x:v>Прочее</x:v>
      </x:c>
      <x:c r="E407" s="28" t="str">
        <x:v>сенсорная комплементарность</x:v>
      </x:c>
      <x:c r="F407" s="28" t="str">
        <x:v>Сельдерей корневой имеет профиль «землистый, ореховый, сельдерейно-пряный и слегка грибной». Партнёр «лаванда»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0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7" s="28" t="str">
        <x:v>быстро окисляется после нарезки; избыток сельдерейных фталидов даёт аптечную ноту</x:v>
      </x:c>
      <x:c r="I407" s="28" t="str">
        <x:v>пюре, суп, запекание, крем, гарнир, соус или десертная разработка с лаванда</x:v>
      </x:c>
      <x:c r="J407" s="28" t="str">
        <x:v>Высокая</x:v>
      </x:c>
      <x:c r="K407" s="28" t="str">
        <x:v>The Art &amp; Science of Foodpairing.pdf</x:v>
      </x:c>
      <x:c r="L407" s="28" t="str">
        <x:v>The Art &amp; Science of Foodpairing.pdf: 53</x:v>
      </x:c>
    </x:row>
    <x:row r="408" ht="66" customHeight="1">
      <x:c r="A408" s="28" t="str">
        <x:v>VEG-0762</x:v>
      </x:c>
      <x:c r="B408" s="28" t="str">
        <x:v>сельдерей корневой</x:v>
      </x:c>
      <x:c r="C408" s="28" t="str">
        <x:v>листья кориандра</x:v>
      </x:c>
      <x:c r="D408" s="28" t="str">
        <x:v>Травы, цветы и листья</x:v>
      </x:c>
      <x:c r="E408" s="28" t="str">
        <x:v>сенсорная комплементарность</x:v>
      </x:c>
      <x:c r="F408" s="28" t="str">
        <x:v>Сельдерей корневой имеет профиль «землистый, ореховый, сельдерейно-пряный и слегка грибной».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40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8" s="28" t="str">
        <x:v>быстро окисляется после нарезки; избыток сельдерейных фталидов даёт аптечную ноту; длительный нагрев уносит свежие терпены и зелёные альдегиды</x:v>
      </x:c>
      <x:c r="I408" s="28" t="str">
        <x:v>пюре, суп, запекание, крем, гарнир, соус или десертная разработка с листья кориандра</x:v>
      </x:c>
      <x:c r="J408" s="28" t="str">
        <x:v>Средняя</x:v>
      </x:c>
      <x:c r="K408" s="28" t="str">
        <x:v>The Art &amp; Science of Foodpairing.pdf</x:v>
      </x:c>
      <x:c r="L408" s="28" t="str">
        <x:v>The Art &amp; Science of Foodpairing.pdf: 52</x:v>
      </x:c>
    </x:row>
    <x:row r="409" ht="66" customHeight="1">
      <x:c r="A409" s="28" t="str">
        <x:v>VEG-0763</x:v>
      </x:c>
      <x:c r="B409" s="28" t="str">
        <x:v>сельдерей корневой</x:v>
      </x:c>
      <x:c r="C409" s="28" t="str">
        <x:v>листья тмина</x:v>
      </x:c>
      <x:c r="D409" s="28" t="str">
        <x:v>Прочее</x:v>
      </x:c>
      <x:c r="E409" s="28" t="str">
        <x:v>сенсорная комплементарность</x:v>
      </x:c>
      <x:c r="F409" s="28" t="str">
        <x:v>Сельдерей корневой имеет профиль «землистый, ореховый, сельдерейно-пряный и слегка грибной». Партнёр «листья тмина»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0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09" s="28" t="str">
        <x:v>быстро окисляется после нарезки; избыток сельдерейных фталидов даёт аптечную ноту</x:v>
      </x:c>
      <x:c r="I409" s="28" t="str">
        <x:v>пюре, суп, запекание, крем, гарнир, соус или десертная разработка с листья тмина</x:v>
      </x:c>
      <x:c r="J409" s="28" t="str">
        <x:v>Средняя</x:v>
      </x:c>
      <x:c r="K409" s="28" t="str">
        <x:v>The Art &amp; Science of Foodpairing.pdf</x:v>
      </x:c>
      <x:c r="L409" s="28" t="str">
        <x:v>The Art &amp; Science of Foodpairing.pdf: 52</x:v>
      </x:c>
    </x:row>
    <x:row r="410" ht="66" customHeight="1">
      <x:c r="A410" s="28" t="str">
        <x:v>VEG-0764</x:v>
      </x:c>
      <x:c r="B410" s="28" t="str">
        <x:v>сельдерей корневой</x:v>
      </x:c>
      <x:c r="C410" s="28" t="str">
        <x:v>листья эвкалипта</x:v>
      </x:c>
      <x:c r="D410" s="28" t="str">
        <x:v>Прочее</x:v>
      </x:c>
      <x:c r="E410" s="28" t="str">
        <x:v>сенсорная комплементарность</x:v>
      </x:c>
      <x:c r="F410" s="28" t="str">
        <x:v>Сельдерей корневой имеет профиль «землистый, ореховый, сельдерейно-пряный и слегка грибной». Партнёр «листья эвкалипта»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1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0" s="28" t="str">
        <x:v>быстро окисляется после нарезки; избыток сельдерейных фталидов даёт аптечную ноту</x:v>
      </x:c>
      <x:c r="I410" s="28" t="str">
        <x:v>пюре, суп, запекание, крем, гарнир, соус или десертная разработка с листья эвкалипта</x:v>
      </x:c>
      <x:c r="J410" s="28" t="str">
        <x:v>Средняя</x:v>
      </x:c>
      <x:c r="K410" s="28" t="str">
        <x:v>The Art &amp; Science of Foodpairing.pdf</x:v>
      </x:c>
      <x:c r="L410" s="28" t="str">
        <x:v>The Art &amp; Science of Foodpairing.pdf: 52</x:v>
      </x:c>
    </x:row>
    <x:row r="411" ht="66" customHeight="1">
      <x:c r="A411" s="28" t="str">
        <x:v>VEG-0765</x:v>
      </x:c>
      <x:c r="B411" s="28" t="str">
        <x:v>сельдерей корневой</x:v>
      </x:c>
      <x:c r="C411" s="28" t="str">
        <x:v>мангостин</x:v>
      </x:c>
      <x:c r="D411" s="28" t="str">
        <x:v>Фрукты и ягоды</x:v>
      </x:c>
      <x:c r="E411" s="28" t="str">
        <x:v>кислотно-сладкий баланс</x:v>
      </x:c>
      <x:c r="F411" s="28" t="str">
        <x:v>Сельдерей корневой имеет профиль «землистый, ореховый, сельдерейно-пряный и слегка грибной». Партнёр «мангостин»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41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1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411" s="28" t="str">
        <x:v>пюре, суп, запекание, крем, гарнир, соус или десертная разработка с мангостин</x:v>
      </x:c>
      <x:c r="J411" s="28" t="str">
        <x:v>Средняя</x:v>
      </x:c>
      <x:c r="K411" s="28" t="str">
        <x:v>The Art &amp; Science of Foodpairing.pdf</x:v>
      </x:c>
      <x:c r="L411" s="28" t="str">
        <x:v>The Art &amp; Science of Foodpairing.pdf: 52</x:v>
      </x:c>
    </x:row>
    <x:row r="412" ht="66" customHeight="1">
      <x:c r="A412" s="28" t="str">
        <x:v>VEG-0766</x:v>
      </x:c>
      <x:c r="B412" s="28" t="str">
        <x:v>сельдерей корневой</x:v>
      </x:c>
      <x:c r="C412" s="28" t="str">
        <x:v>мандарин</x:v>
      </x:c>
      <x:c r="D412" s="28" t="str">
        <x:v>Прочее</x:v>
      </x:c>
      <x:c r="E412" s="28" t="str">
        <x:v>сенсорная комплементарность</x:v>
      </x:c>
      <x:c r="F412" s="28" t="str">
        <x:v>Сельдерей корневой имеет профиль «землистый, ореховый, сельдерейно-пряный и слегка грибной». Партнёр «мандарин»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1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2" s="28" t="str">
        <x:v>быстро окисляется после нарезки; избыток сельдерейных фталидов даёт аптечную ноту</x:v>
      </x:c>
      <x:c r="I412" s="28" t="str">
        <x:v>пюре, суп, запекание, крем, гарнир, соус или десертная разработка с мандарин</x:v>
      </x:c>
      <x:c r="J412" s="28" t="str">
        <x:v>Средняя</x:v>
      </x:c>
      <x:c r="K412" s="28" t="str">
        <x:v>The Art &amp; Science of Foodpairing.pdf</x:v>
      </x:c>
      <x:c r="L412" s="28" t="str">
        <x:v>The Art &amp; Science of Foodpairing.pdf: 52</x:v>
      </x:c>
    </x:row>
    <x:row r="413" ht="66" customHeight="1">
      <x:c r="A413" s="28" t="str">
        <x:v>VEG-0767</x:v>
      </x:c>
      <x:c r="B413" s="28" t="str">
        <x:v>сельдерей корневой</x:v>
      </x:c>
      <x:c r="C413" s="28" t="str">
        <x:v>мелисса</x:v>
      </x:c>
      <x:c r="D413" s="28" t="str">
        <x:v>Прочее</x:v>
      </x:c>
      <x:c r="E413" s="28" t="str">
        <x:v>сенсорная комплементарность</x:v>
      </x:c>
      <x:c r="F413" s="28" t="str">
        <x:v>Сельдерей корневой имеет профиль «землистый, ореховый, сельдерейно-пряный и слегка грибной». Партнёр «мелисса»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1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3" s="28" t="str">
        <x:v>быстро окисляется после нарезки; избыток сельдерейных фталидов даёт аптечную ноту</x:v>
      </x:c>
      <x:c r="I413" s="28" t="str">
        <x:v>пюре, суп, запекание, крем, гарнир, соус или десертная разработка с мелисса</x:v>
      </x:c>
      <x:c r="J413" s="28" t="str">
        <x:v>Средняя</x:v>
      </x:c>
      <x:c r="K413" s="28" t="str">
        <x:v>The Art &amp; Science of Foodpairing.pdf</x:v>
      </x:c>
      <x:c r="L413" s="28" t="str">
        <x:v>The Art &amp; Science of Foodpairing.pdf: 52</x:v>
      </x:c>
    </x:row>
    <x:row r="414" ht="66" customHeight="1">
      <x:c r="A414" s="28" t="str">
        <x:v>VEG-0768</x:v>
      </x:c>
      <x:c r="B414" s="28" t="str">
        <x:v>сельдерей корневой</x:v>
      </x:c>
      <x:c r="C414" s="28" t="str">
        <x:v>мольва</x:v>
      </x:c>
      <x:c r="D414" s="28" t="str">
        <x:v>Прочее</x:v>
      </x:c>
      <x:c r="E414" s="28" t="str">
        <x:v>сенсорная комплементарность</x:v>
      </x:c>
      <x:c r="F414" s="28" t="str">
        <x:v>Сельдерей корневой имеет профиль «землистый, ореховый, сельдерейно-пряный и слегка грибной». Партнёр «мольва»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1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4" s="28" t="str">
        <x:v>быстро окисляется после нарезки; избыток сельдерейных фталидов даёт аптечную ноту</x:v>
      </x:c>
      <x:c r="I414" s="28" t="str">
        <x:v>пюре, суп, запекание, крем, гарнир, соус или десертная разработка с мольва</x:v>
      </x:c>
      <x:c r="J414" s="28" t="str">
        <x:v>Средняя</x:v>
      </x:c>
      <x:c r="K414" s="28" t="str">
        <x:v>The Art &amp; Science of Foodpairing.pdf</x:v>
      </x:c>
      <x:c r="L414" s="28" t="str">
        <x:v>The Art &amp; Science of Foodpairing.pdf: 52</x:v>
      </x:c>
    </x:row>
    <x:row r="415" ht="66" customHeight="1">
      <x:c r="A415" s="28" t="str">
        <x:v>VEG-0769</x:v>
      </x:c>
      <x:c r="B415" s="28" t="str">
        <x:v>сельдерей корневой</x:v>
      </x:c>
      <x:c r="C415" s="28" t="str">
        <x:v>морковь</x:v>
      </x:c>
      <x:c r="D415" s="28" t="str">
        <x:v>Корнеплоды</x:v>
      </x:c>
      <x:c r="E415" s="28" t="str">
        <x:v>пересечение ароматических семейств</x:v>
      </x:c>
      <x:c r="F415" s="28" t="str">
        <x:v>Сельдерей корневой имеет профиль «землистый, ореховый, сельдерейно-пряный и слегка грибной».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41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5" s="28" t="str">
        <x:v>быстро окисляется после нарезки; избыток сельдерейных фталидов даёт аптечную ноту</x:v>
      </x:c>
      <x:c r="I415" s="28" t="str">
        <x:v>пюре, суп, запекание, крем, гарнир, соус или десертная разработка с морковь</x:v>
      </x:c>
      <x:c r="J415" s="28" t="str">
        <x:v>Средняя</x:v>
      </x:c>
      <x:c r="K415" s="28" t="str">
        <x:v>The Art &amp; Science of Foodpairing.pdf</x:v>
      </x:c>
      <x:c r="L415" s="28" t="str">
        <x:v>The Art &amp; Science of Foodpairing.pdf: 52</x:v>
      </x:c>
    </x:row>
    <x:row r="416" ht="66" customHeight="1">
      <x:c r="A416" s="28" t="str">
        <x:v>VEG-0770</x:v>
      </x:c>
      <x:c r="B416" s="28" t="str">
        <x:v>сельдерей корневой</x:v>
      </x:c>
      <x:c r="C416" s="28" t="str">
        <x:v>морской язык</x:v>
      </x:c>
      <x:c r="D416" s="28" t="str">
        <x:v>Рыба и морепродукты</x:v>
      </x:c>
      <x:c r="E416" s="28" t="str">
        <x:v>умами и солёный контраст</x:v>
      </x:c>
      <x:c r="F416" s="28" t="str">
        <x:v>Сельдерей корневой имеет профиль «землистый, ореховый, сельдерейно-пряный и слегка грибной». Партнёр «морской язык»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1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6" s="28" t="str">
        <x:v>быстро окисляется после нарезки; избыток сельдерейных фталидов даёт аптечную ноту</x:v>
      </x:c>
      <x:c r="I416" s="28" t="str">
        <x:v>пюре, суп, запекание, крем, гарнир, соус или десертная разработка с морской язык</x:v>
      </x:c>
      <x:c r="J416" s="28" t="str">
        <x:v>Средняя</x:v>
      </x:c>
      <x:c r="K416" s="28" t="str">
        <x:v>The Art &amp; Science of Foodpairing.pdf</x:v>
      </x:c>
      <x:c r="L416" s="28" t="str">
        <x:v>The Art &amp; Science of Foodpairing.pdf: 52</x:v>
      </x:c>
    </x:row>
    <x:row r="417" ht="66" customHeight="1">
      <x:c r="A417" s="28" t="str">
        <x:v>VEG-0771</x:v>
      </x:c>
      <x:c r="B417" s="28" t="str">
        <x:v>сельдерей корневой</x:v>
      </x:c>
      <x:c r="C417" s="28" t="str">
        <x:v>морской ёж</x:v>
      </x:c>
      <x:c r="D417" s="28" t="str">
        <x:v>Прочее</x:v>
      </x:c>
      <x:c r="E417" s="28" t="str">
        <x:v>сенсорная комплементарность</x:v>
      </x:c>
      <x:c r="F417" s="28" t="str">
        <x:v>Сельдерей корневой имеет профиль «землистый, ореховый, сельдерейно-пряный и слегка грибной». Партнёр «морской ёж»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1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7" s="28" t="str">
        <x:v>быстро окисляется после нарезки; избыток сельдерейных фталидов даёт аптечную ноту</x:v>
      </x:c>
      <x:c r="I417" s="28" t="str">
        <x:v>пюре, суп, запекание, крем, гарнир, соус или десертная разработка с морской ёж</x:v>
      </x:c>
      <x:c r="J417" s="28" t="str">
        <x:v>Средняя</x:v>
      </x:c>
      <x:c r="K417" s="28" t="str">
        <x:v>The Art &amp; Science of Foodpairing.pdf</x:v>
      </x:c>
      <x:c r="L417" s="28" t="str">
        <x:v>The Art &amp; Science of Foodpairing.pdf: 52</x:v>
      </x:c>
    </x:row>
    <x:row r="418" ht="66" customHeight="1">
      <x:c r="A418" s="28" t="str">
        <x:v>VEG-0772</x:v>
      </x:c>
      <x:c r="B418" s="28" t="str">
        <x:v>сельдерей корневой</x:v>
      </x:c>
      <x:c r="C418" s="28" t="str">
        <x:v>мята колосистая</x:v>
      </x:c>
      <x:c r="D418" s="28" t="str">
        <x:v>Травы, цветы и листья</x:v>
      </x:c>
      <x:c r="E418" s="28" t="str">
        <x:v>сенсорная комплементарность</x:v>
      </x:c>
      <x:c r="F418" s="28" t="str">
        <x:v>Сельдерей корневой имеет профиль «землистый, ореховый, сельдерейно-пряный и слегка грибной». Партнёр «мята колосистая»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41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8" s="28" t="str">
        <x:v>быстро окисляется после нарезки; избыток сельдерейных фталидов даёт аптечную ноту; длительный нагрев уносит свежие терпены и зелёные альдегиды</x:v>
      </x:c>
      <x:c r="I418" s="28" t="str">
        <x:v>пюре, суп, запекание, крем, гарнир, соус или десертная разработка с мята колосистая</x:v>
      </x:c>
      <x:c r="J418" s="28" t="str">
        <x:v>Средняя</x:v>
      </x:c>
      <x:c r="K418" s="28" t="str">
        <x:v>The Art &amp; Science of Foodpairing.pdf</x:v>
      </x:c>
      <x:c r="L418" s="28" t="str">
        <x:v>The Art &amp; Science of Foodpairing.pdf: 52</x:v>
      </x:c>
    </x:row>
    <x:row r="419" ht="66" customHeight="1">
      <x:c r="A419" s="28" t="str">
        <x:v>VEG-0773</x:v>
      </x:c>
      <x:c r="B419" s="28" t="str">
        <x:v>сельдерей корневой</x:v>
      </x:c>
      <x:c r="C419" s="28" t="str">
        <x:v>оливковое масло мансанилья</x:v>
      </x:c>
      <x:c r="D419" s="28" t="str">
        <x:v>Масла и жиры</x:v>
      </x:c>
      <x:c r="E419" s="28" t="str">
        <x:v>жировая матрица</x:v>
      </x:c>
      <x:c r="F419" s="28" t="str">
        <x:v>Сельдерей корневой имеет профиль «землистый, ореховый, сельдерейно-пряный и слегка грибной». Партнёр «оливковое масло мансанилья»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41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19" s="28" t="str">
        <x:v>быстро окисляется после нарезки; избыток сельдерейных фталидов даёт аптечную ноту; жир способен приглушить свежую зелёную ароматику</x:v>
      </x:c>
      <x:c r="I419" s="28" t="str">
        <x:v>пюре, суп, запекание, крем, гарнир, соус или десертная разработка с оливковое масло мансанилья</x:v>
      </x:c>
      <x:c r="J419" s="28" t="str">
        <x:v>Средняя</x:v>
      </x:c>
      <x:c r="K419" s="28" t="str">
        <x:v>The Art &amp; Science of Foodpairing.pdf</x:v>
      </x:c>
      <x:c r="L419" s="28" t="str">
        <x:v>The Art &amp; Science of Foodpairing.pdf: 52</x:v>
      </x:c>
    </x:row>
    <x:row r="420" ht="66" customHeight="1">
      <x:c r="A420" s="28" t="str">
        <x:v>VEG-0774</x:v>
      </x:c>
      <x:c r="B420" s="28" t="str">
        <x:v>сельдерей корневой</x:v>
      </x:c>
      <x:c r="C420" s="28" t="str">
        <x:v>пандан</x:v>
      </x:c>
      <x:c r="D420" s="28" t="str">
        <x:v>Прочее</x:v>
      </x:c>
      <x:c r="E420" s="28" t="str">
        <x:v>сенсорная комплементарность</x:v>
      </x:c>
      <x:c r="F420" s="28" t="str">
        <x:v>Сельдерей корневой имеет профиль «землистый, ореховый, сельдерейно-пряный и слегка грибной». Партнёр «пандан»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2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0" s="28" t="str">
        <x:v>быстро окисляется после нарезки; избыток сельдерейных фталидов даёт аптечную ноту</x:v>
      </x:c>
      <x:c r="I420" s="28" t="str">
        <x:v>пюре, суп, запекание, крем, гарнир, соус или десертная разработка с пандан</x:v>
      </x:c>
      <x:c r="J420" s="28" t="str">
        <x:v>Средняя</x:v>
      </x:c>
      <x:c r="K420" s="28" t="str">
        <x:v>The Art &amp; Science of Foodpairing.pdf</x:v>
      </x:c>
      <x:c r="L420" s="28" t="str">
        <x:v>The Art &amp; Science of Foodpairing.pdf: 52</x:v>
      </x:c>
    </x:row>
    <x:row r="421" ht="66" customHeight="1">
      <x:c r="A421" s="28" t="str">
        <x:v>VEG-0775</x:v>
      </x:c>
      <x:c r="B421" s="28" t="str">
        <x:v>сельдерей корневой</x:v>
      </x:c>
      <x:c r="C421" s="28" t="str">
        <x:v>пекинская утка</x:v>
      </x:c>
      <x:c r="D421" s="28" t="str">
        <x:v>Мясо и птица</x:v>
      </x:c>
      <x:c r="E421" s="28" t="str">
        <x:v>умами и солёный контраст</x:v>
      </x:c>
      <x:c r="F421" s="28" t="str">
        <x:v>Сельдерей корневой имеет профиль «землистый, ореховый, сельдерейно-пряный и слегка грибной». Партнёр «пекинская утка»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1" s="28" t="str">
        <x:v>быстро окисляется после нарезки; избыток сельдерейных фталидов даёт аптечную ноту</x:v>
      </x:c>
      <x:c r="I421" s="28" t="str">
        <x:v>пюре, суп, запекание, крем, гарнир, соус или десертная разработка с пекинская утка</x:v>
      </x:c>
      <x:c r="J421" s="28" t="str">
        <x:v>Средняя</x:v>
      </x:c>
      <x:c r="K421" s="28" t="str">
        <x:v>The Art &amp; Science of Foodpairing.pdf</x:v>
      </x:c>
      <x:c r="L421" s="28" t="str">
        <x:v>The Art &amp; Science of Foodpairing.pdf: 52</x:v>
      </x:c>
    </x:row>
    <x:row r="422" ht="66" customHeight="1">
      <x:c r="A422" s="28" t="str">
        <x:v>VEG-0776</x:v>
      </x:c>
      <x:c r="B422" s="28" t="str">
        <x:v>сельдерей корневой</x:v>
      </x:c>
      <x:c r="C422" s="28" t="str">
        <x:v>пюре хрена</x:v>
      </x:c>
      <x:c r="D422" s="28" t="str">
        <x:v>Прочее</x:v>
      </x:c>
      <x:c r="E422" s="28" t="str">
        <x:v>сенсорная комплементарность</x:v>
      </x:c>
      <x:c r="F422" s="28" t="str">
        <x:v>Сельдерей корневой имеет профиль «землистый, ореховый, сельдерейно-пряный и слегка грибной». Партнёр «пюре хрена»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2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2" s="28" t="str">
        <x:v>быстро окисляется после нарезки; избыток сельдерейных фталидов даёт аптечную ноту</x:v>
      </x:c>
      <x:c r="I422" s="28" t="str">
        <x:v>пюре, суп, запекание, крем, гарнир, соус или десертная разработка с пюре хрена</x:v>
      </x:c>
      <x:c r="J422" s="28" t="str">
        <x:v>Средняя</x:v>
      </x:c>
      <x:c r="K422" s="28" t="str">
        <x:v>The Art &amp; Science of Foodpairing.pdf</x:v>
      </x:c>
      <x:c r="L422" s="28" t="str">
        <x:v>The Art &amp; Science of Foodpairing.pdf: 52</x:v>
      </x:c>
    </x:row>
    <x:row r="423" ht="66" customHeight="1">
      <x:c r="A423" s="28" t="str">
        <x:v>VEG-0777</x:v>
      </x:c>
      <x:c r="B423" s="28" t="str">
        <x:v>сельдерей корневой</x:v>
      </x:c>
      <x:c r="C423" s="28" t="str">
        <x:v>редис</x:v>
      </x:c>
      <x:c r="D423" s="28" t="str">
        <x:v>Корнеплоды и крестоцветные</x:v>
      </x:c>
      <x:c r="E423" s="28" t="str">
        <x:v>сенсорная комплементарность</x:v>
      </x:c>
      <x:c r="F423" s="28" t="str">
        <x:v>Сельдерей корневой имеет профиль «землистый, ореховый, сельдерейно-пряный и слегка грибной». Партнёр «редис» относится к группе «Корнеплоды и крестоцветные» и даёт горчичный, зелёный, перечный 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2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3" s="28" t="str">
        <x:v>быстро окисляется после нарезки; избыток сельдерейных фталидов даёт аптечную ноту</x:v>
      </x:c>
      <x:c r="I423" s="28" t="str">
        <x:v>пюре, суп, запекание, крем, гарнир, соус или десертная разработка с редис</x:v>
      </x:c>
      <x:c r="J423" s="28" t="str">
        <x:v>Средняя</x:v>
      </x:c>
      <x:c r="K423" s="28" t="str">
        <x:v>The Art &amp; Science of Foodpairing.pdf</x:v>
      </x:c>
      <x:c r="L423" s="28" t="str">
        <x:v>The Art &amp; Science of Foodpairing.pdf: 52</x:v>
      </x:c>
    </x:row>
    <x:row r="424" ht="66" customHeight="1">
      <x:c r="A424" s="28" t="str">
        <x:v>VEG-0778</x:v>
      </x:c>
      <x:c r="B424" s="28" t="str">
        <x:v>сельдерей корневой</x:v>
      </x:c>
      <x:c r="C424" s="28" t="str">
        <x:v>рис басмати</x:v>
      </x:c>
      <x:c r="D424" s="28" t="str">
        <x:v>Выпечка, крупы, сахара и десерты</x:v>
      </x:c>
      <x:c r="E424" s="28" t="str">
        <x:v>сенсорная комплементарность</x:v>
      </x:c>
      <x:c r="F424" s="28" t="str">
        <x:v>Сельдерей корневой имеет профиль «землистый, ореховый, сельдерейно-пряный и слегка грибной». Партнёр «рис басмати»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42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4" s="28" t="str">
        <x:v>быстро окисляется после нарезки; избыток сельдерейных фталидов даёт аптечную ноту</x:v>
      </x:c>
      <x:c r="I424" s="28" t="str">
        <x:v>пюре, суп, запекание, крем, гарнир, соус или десертная разработка с рис басмати</x:v>
      </x:c>
      <x:c r="J424" s="28" t="str">
        <x:v>Средняя</x:v>
      </x:c>
      <x:c r="K424" s="28" t="str">
        <x:v>The Art &amp; Science of Foodpairing.pdf</x:v>
      </x:c>
      <x:c r="L424" s="28" t="str">
        <x:v>The Art &amp; Science of Foodpairing.pdf: 52</x:v>
      </x:c>
    </x:row>
    <x:row r="425" ht="66" customHeight="1">
      <x:c r="A425" s="28" t="str">
        <x:v>VEG-0779</x:v>
      </x:c>
      <x:c r="B425" s="28" t="str">
        <x:v>сельдерей корневой</x:v>
      </x:c>
      <x:c r="C425" s="28" t="str">
        <x:v>рыба</x:v>
      </x:c>
      <x:c r="D425" s="28" t="str">
        <x:v>Рыба и морепродукты</x:v>
      </x:c>
      <x:c r="E425" s="28" t="str">
        <x:v>умами и солёный контраст</x:v>
      </x:c>
      <x:c r="F425" s="28" t="str">
        <x:v>Сельдерей корневой имеет профиль «землистый, ореховый, сельдерейно-пряный и слегка грибной».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5" s="28" t="str">
        <x:v>быстро окисляется после нарезки; избыток сельдерейных фталидов даёт аптечную ноту</x:v>
      </x:c>
      <x:c r="I425" s="28" t="str">
        <x:v>пюре, суп, запекание, крем, гарнир, соус или десертная разработка с рыба</x:v>
      </x:c>
      <x:c r="J425" s="28" t="str">
        <x:v>Средняя</x:v>
      </x:c>
      <x:c r="K425" s="28" t="str">
        <x:v>The Art &amp; Science of Foodpairing.pdf</x:v>
      </x:c>
      <x:c r="L425" s="28" t="str">
        <x:v>The Art &amp; Science of Foodpairing.pdf: 104</x:v>
      </x:c>
    </x:row>
    <x:row r="426" ht="66" customHeight="1">
      <x:c r="A426" s="28" t="str">
        <x:v>VEG-0780</x:v>
      </x:c>
      <x:c r="B426" s="28" t="str">
        <x:v>сельдерей корневой</x:v>
      </x:c>
      <x:c r="C426" s="28" t="str">
        <x:v>свиная грудинка</x:v>
      </x:c>
      <x:c r="D426" s="28" t="str">
        <x:v>Мясо и птица</x:v>
      </x:c>
      <x:c r="E426" s="28" t="str">
        <x:v>умами и солёный контраст</x:v>
      </x:c>
      <x:c r="F426" s="28" t="str">
        <x:v>Сельдерей корневой имеет профиль «землистый, ореховый, сельдерейно-пряный и слегка грибной». Партнёр «свиная грудинка»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6" s="28" t="str">
        <x:v>быстро окисляется после нарезки; избыток сельдерейных фталидов даёт аптечную ноту</x:v>
      </x:c>
      <x:c r="I426" s="28" t="str">
        <x:v>пюре, суп, запекание, крем, гарнир, соус или десертная разработка с свиная грудинка</x:v>
      </x:c>
      <x:c r="J426" s="28" t="str">
        <x:v>Средняя</x:v>
      </x:c>
      <x:c r="K426" s="28" t="str">
        <x:v>The Art &amp; Science of Foodpairing.pdf</x:v>
      </x:c>
      <x:c r="L426" s="28" t="str">
        <x:v>The Art &amp; Science of Foodpairing.pdf: 52</x:v>
      </x:c>
    </x:row>
    <x:row r="427" ht="66" customHeight="1">
      <x:c r="A427" s="28" t="str">
        <x:v>VEG-0781</x:v>
      </x:c>
      <x:c r="B427" s="28" t="str">
        <x:v>сельдерей корневой</x:v>
      </x:c>
      <x:c r="C427" s="28" t="str">
        <x:v>скат</x:v>
      </x:c>
      <x:c r="D427" s="28" t="str">
        <x:v>Рыба и морепродукты</x:v>
      </x:c>
      <x:c r="E427" s="28" t="str">
        <x:v>умами и солёный контраст</x:v>
      </x:c>
      <x:c r="F427" s="28" t="str">
        <x:v>Сельдерей корневой имеет профиль «землистый, ореховый, сельдерейно-пряный и слегка грибной». Партнёр «скат»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7" s="28" t="str">
        <x:v>быстро окисляется после нарезки; избыток сельдерейных фталидов даёт аптечную ноту</x:v>
      </x:c>
      <x:c r="I427" s="28" t="str">
        <x:v>пюре, суп, запекание, крем, гарнир, соус или десертная разработка с скат</x:v>
      </x:c>
      <x:c r="J427" s="28" t="str">
        <x:v>Средняя</x:v>
      </x:c>
      <x:c r="K427" s="28" t="str">
        <x:v>The Art &amp; Science of Foodpairing.pdf</x:v>
      </x:c>
      <x:c r="L427" s="28" t="str">
        <x:v>The Art &amp; Science of Foodpairing.pdf: 52</x:v>
      </x:c>
    </x:row>
    <x:row r="428" ht="66" customHeight="1">
      <x:c r="A428" s="28" t="str">
        <x:v>VEG-0782</x:v>
      </x:c>
      <x:c r="B428" s="28" t="str">
        <x:v>сельдерей корневой</x:v>
      </x:c>
      <x:c r="C428" s="28" t="str">
        <x:v>сладкая паприка</x:v>
      </x:c>
      <x:c r="D428" s="28" t="str">
        <x:v>Прочее</x:v>
      </x:c>
      <x:c r="E428" s="28" t="str">
        <x:v>сенсорная комплементарность</x:v>
      </x:c>
      <x:c r="F428" s="28" t="str">
        <x:v>Сельдерей корневой имеет профиль «землистый, ореховый, сельдерейно-пряный и слегка грибной». Партнёр «сладкая паприка»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2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8" s="28" t="str">
        <x:v>быстро окисляется после нарезки; избыток сельдерейных фталидов даёт аптечную ноту</x:v>
      </x:c>
      <x:c r="I428" s="28" t="str">
        <x:v>пюре, суп, запекание, крем, гарнир, соус или десертная разработка с сладкая паприка</x:v>
      </x:c>
      <x:c r="J428" s="28" t="str">
        <x:v>Средняя</x:v>
      </x:c>
      <x:c r="K428" s="28" t="str">
        <x:v>The Art &amp; Science of Foodpairing.pdf</x:v>
      </x:c>
      <x:c r="L428" s="28" t="str">
        <x:v>The Art &amp; Science of Foodpairing.pdf: 52</x:v>
      </x:c>
    </x:row>
    <x:row r="429" ht="66" customHeight="1">
      <x:c r="A429" s="28" t="str">
        <x:v>VEG-0783</x:v>
      </x:c>
      <x:c r="B429" s="28" t="str">
        <x:v>сельдерей корневой</x:v>
      </x:c>
      <x:c r="C429" s="28" t="str">
        <x:v>слива</x:v>
      </x:c>
      <x:c r="D429" s="28" t="str">
        <x:v>Фрукты и ягоды</x:v>
      </x:c>
      <x:c r="E429" s="28" t="str">
        <x:v>кислотно-сладкий баланс</x:v>
      </x:c>
      <x:c r="F429" s="28" t="str">
        <x:v>Сельдерей корневой имеет профиль «землистый, ореховый, сельдерейно-пряный и слегка грибной». Партнёр «слива»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42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29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429" s="28" t="str">
        <x:v>пюре, суп, запекание, крем, гарнир, соус или десертная разработка с слива</x:v>
      </x:c>
      <x:c r="J429" s="28" t="str">
        <x:v>Средняя</x:v>
      </x:c>
      <x:c r="K429" s="28" t="str">
        <x:v>The Art &amp; Science of Foodpairing.pdf</x:v>
      </x:c>
      <x:c r="L429" s="28" t="str">
        <x:v>The Art &amp; Science of Foodpairing.pdf: 52</x:v>
      </x:c>
    </x:row>
    <x:row r="430" ht="66" customHeight="1">
      <x:c r="A430" s="28" t="str">
        <x:v>VEG-0784</x:v>
      </x:c>
      <x:c r="B430" s="28" t="str">
        <x:v>сельдерей корневой</x:v>
      </x:c>
      <x:c r="C430" s="28" t="str">
        <x:v>соевые сливки</x:v>
      </x:c>
      <x:c r="D430" s="28" t="str">
        <x:v>Фрукты и ягоды</x:v>
      </x:c>
      <x:c r="E430" s="28" t="str">
        <x:v>кислотно-сладкий баланс</x:v>
      </x:c>
      <x:c r="F430" s="28" t="str">
        <x:v>Сельдерей корневой имеет профиль «землистый, ореховый, сельдерейно-пряный и слегка грибной». Партнёр «соевые сливки»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43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0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430" s="28" t="str">
        <x:v>пюре, суп, запекание, крем, гарнир, соус или десертная разработка с соевые сливки</x:v>
      </x:c>
      <x:c r="J430" s="28" t="str">
        <x:v>Средняя</x:v>
      </x:c>
      <x:c r="K430" s="28" t="str">
        <x:v>The Art &amp; Science of Foodpairing.pdf</x:v>
      </x:c>
      <x:c r="L430" s="28" t="str">
        <x:v>The Art &amp; Science of Foodpairing.pdf: 52</x:v>
      </x:c>
    </x:row>
    <x:row r="431" ht="66" customHeight="1">
      <x:c r="A431" s="28" t="str">
        <x:v>VEG-0785</x:v>
      </x:c>
      <x:c r="B431" s="28" t="str">
        <x:v>сельдерей корневой</x:v>
      </x:c>
      <x:c r="C431" s="28" t="str">
        <x:v>томатильо</x:v>
      </x:c>
      <x:c r="D431" s="28" t="str">
        <x:v>Плодовые и тыквенные овощи</x:v>
      </x:c>
      <x:c r="E431" s="28" t="str">
        <x:v>сенсорная комплементарность</x:v>
      </x:c>
      <x:c r="F431" s="28" t="str">
        <x:v>Сельдерей корневой имеет профиль «землистый, ореховый, сельдерейно-пряный и слегка грибной». Партнёр «томатильо»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3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1" s="28" t="str">
        <x:v>быстро окисляется после нарезки; избыток сельдерейных фталидов даёт аптечную ноту</x:v>
      </x:c>
      <x:c r="I431" s="28" t="str">
        <x:v>пюре, суп, запекание, крем, гарнир, соус или десертная разработка с томатильо</x:v>
      </x:c>
      <x:c r="J431" s="28" t="str">
        <x:v>Средняя</x:v>
      </x:c>
      <x:c r="K431" s="28" t="str">
        <x:v>The Art &amp; Science of Foodpairing.pdf</x:v>
      </x:c>
      <x:c r="L431" s="28" t="str">
        <x:v>The Art &amp; Science of Foodpairing.pdf: 52</x:v>
      </x:c>
    </x:row>
    <x:row r="432" ht="66" customHeight="1">
      <x:c r="A432" s="28" t="str">
        <x:v>VEG-0786</x:v>
      </x:c>
      <x:c r="B432" s="28" t="str">
        <x:v>сельдерей корневой</x:v>
      </x:c>
      <x:c r="C432" s="28" t="str">
        <x:v>фундук</x:v>
      </x:c>
      <x:c r="D432" s="28" t="str">
        <x:v>Орехи и семена</x:v>
      </x:c>
      <x:c r="E432" s="28" t="str">
        <x:v>пересечение ароматических семейств</x:v>
      </x:c>
      <x:c r="F432" s="28" t="str">
        <x:v>Сельдерей корневой имеет профиль «землистый, ореховый, сельдерейно-пряный и слегка грибной».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G43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2" s="28" t="str">
        <x:v>быстро окисляется после нарезки; избыток сельдерейных фталидов даёт аптечную ноту</x:v>
      </x:c>
      <x:c r="I432" s="28" t="str">
        <x:v>пюре, суп, запекание, крем, гарнир, соус или десертная разработка с фундук</x:v>
      </x:c>
      <x:c r="J432" s="28" t="str">
        <x:v>Средняя</x:v>
      </x:c>
      <x:c r="K432" s="28" t="str">
        <x:v>The Art &amp; Science of Foodpairing.pdf</x:v>
      </x:c>
      <x:c r="L432" s="28" t="str">
        <x:v>The Art &amp; Science of Foodpairing.pdf: 52</x:v>
      </x:c>
    </x:row>
    <x:row r="433" ht="66" customHeight="1">
      <x:c r="A433" s="28" t="str">
        <x:v>VEG-0787</x:v>
      </x:c>
      <x:c r="B433" s="28" t="str">
        <x:v>сельдерей корневой</x:v>
      </x:c>
      <x:c r="C433" s="28" t="str">
        <x:v>хамон иберико</x:v>
      </x:c>
      <x:c r="D433" s="28" t="str">
        <x:v>Мясо и птица</x:v>
      </x:c>
      <x:c r="E433" s="28" t="str">
        <x:v>умами и солёный контраст</x:v>
      </x:c>
      <x:c r="F433" s="28" t="str">
        <x:v>Сельдерей корневой имеет профиль «землистый, ореховый, сельдерейно-пряный и слегка грибной».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3" s="28" t="str">
        <x:v>быстро окисляется после нарезки; избыток сельдерейных фталидов даёт аптечную ноту</x:v>
      </x:c>
      <x:c r="I433" s="28" t="str">
        <x:v>пюре, суп, запекание, крем, гарнир, соус или десертная разработка с хамон иберико</x:v>
      </x:c>
      <x:c r="J433" s="28" t="str">
        <x:v>Средняя</x:v>
      </x:c>
      <x:c r="K433" s="28" t="str">
        <x:v>The Art &amp; Science of Foodpairing.pdf</x:v>
      </x:c>
      <x:c r="L433" s="28" t="str">
        <x:v>The Art &amp; Science of Foodpairing.pdf: 278</x:v>
      </x:c>
    </x:row>
    <x:row r="434" ht="66" customHeight="1">
      <x:c r="A434" s="28" t="str">
        <x:v>VEG-0788</x:v>
      </x:c>
      <x:c r="B434" s="28" t="str">
        <x:v>сельдерей корневой</x:v>
      </x:c>
      <x:c r="C434" s="28" t="str">
        <x:v>хлеб</x:v>
      </x:c>
      <x:c r="D434" s="28" t="str">
        <x:v>Выпечка, крупы, сахара и десерты</x:v>
      </x:c>
      <x:c r="E434" s="28" t="str">
        <x:v>сенсорная комплементарность</x:v>
      </x:c>
      <x:c r="F434" s="28" t="str">
        <x:v>Сельдерей корневой имеет профиль «землистый, ореховый, сельдерейно-пряный и слегка грибной».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43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4" s="28" t="str">
        <x:v>быстро окисляется после нарезки; избыток сельдерейных фталидов даёт аптечную ноту</x:v>
      </x:c>
      <x:c r="I434" s="28" t="str">
        <x:v>пюре, суп, запекание, крем, гарнир, соус или десертная разработка с хлеб</x:v>
      </x:c>
      <x:c r="J434" s="28" t="str">
        <x:v>Средняя</x:v>
      </x:c>
      <x:c r="K434" s="28" t="str">
        <x:v>The Art &amp; Science of Foodpairing.pdf</x:v>
      </x:c>
      <x:c r="L434" s="28" t="str">
        <x:v>The Art &amp; Science of Foodpairing.pdf: 52</x:v>
      </x:c>
    </x:row>
    <x:row r="435" ht="66" customHeight="1">
      <x:c r="A435" s="28" t="str">
        <x:v>VEG-0789</x:v>
      </x:c>
      <x:c r="B435" s="28" t="str">
        <x:v>сельдерей корневой</x:v>
      </x:c>
      <x:c r="C435" s="28" t="str">
        <x:v>цедра лимона</x:v>
      </x:c>
      <x:c r="D435" s="28" t="str">
        <x:v>Фрукты и ягоды</x:v>
      </x:c>
      <x:c r="E435" s="28" t="str">
        <x:v>общие характерные молекулы; кислотно-сладкий баланс</x:v>
      </x:c>
      <x:c r="F435" s="28" t="str">
        <x:v>Сельдерей корневой имеет профиль «землистый, ореховый, сельдерейно-пряный и слегка грибной». Партнёр «цедра лимона» относится к группе «Фрукты и ягоды» и даёт кислый, свежий,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43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5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435" s="28" t="str">
        <x:v>пюре, суп, запекание, крем, гарнир, соус или десертная разработка с цедра лимона</x:v>
      </x:c>
      <x:c r="J435" s="28" t="str">
        <x:v>Средняя</x:v>
      </x:c>
      <x:c r="K435" s="28" t="str">
        <x:v>The Art &amp; Science of Foodpairing.pdf</x:v>
      </x:c>
      <x:c r="L435" s="28" t="str">
        <x:v>The Art &amp; Science of Foodpairing.pdf: 52</x:v>
      </x:c>
    </x:row>
    <x:row r="436" ht="66" customHeight="1">
      <x:c r="A436" s="28" t="str">
        <x:v>VEG-0790</x:v>
      </x:c>
      <x:c r="B436" s="28" t="str">
        <x:v>сельдерей корневой</x:v>
      </x:c>
      <x:c r="C436" s="28" t="str">
        <x:v>чеддер</x:v>
      </x:c>
      <x:c r="D436" s="28" t="str">
        <x:v>Прочее</x:v>
      </x:c>
      <x:c r="E436" s="28" t="str">
        <x:v>сенсорная комплементарность</x:v>
      </x:c>
      <x:c r="F436" s="28" t="str">
        <x:v>Сельдерей корневой имеет профиль «землистый, ореховый, сельдерейно-пряный и слегка грибной». Партнёр «чеддер»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3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6" s="28" t="str">
        <x:v>быстро окисляется после нарезки; избыток сельдерейных фталидов даёт аптечную ноту</x:v>
      </x:c>
      <x:c r="I436" s="28" t="str">
        <x:v>пюре, суп, запекание, крем, гарнир, соус или десертная разработка с чеддер</x:v>
      </x:c>
      <x:c r="J436" s="28" t="str">
        <x:v>Высокая</x:v>
      </x:c>
      <x:c r="K436" s="28" t="str">
        <x:v>The Art &amp; Science of Foodpairing.pdf</x:v>
      </x:c>
      <x:c r="L436" s="28" t="str">
        <x:v>The Art &amp; Science of Foodpairing.pdf: 52</x:v>
      </x:c>
    </x:row>
    <x:row r="437" ht="66" customHeight="1">
      <x:c r="A437" s="28" t="str">
        <x:v>VEG-0791</x:v>
      </x:c>
      <x:c r="B437" s="28" t="str">
        <x:v>сельдерей корневой</x:v>
      </x:c>
      <x:c r="C437" s="28" t="str">
        <x:v>черничный уксус</x:v>
      </x:c>
      <x:c r="D437" s="28" t="str">
        <x:v>Ферментированные продукты и соусы</x:v>
      </x:c>
      <x:c r="E437" s="28" t="str">
        <x:v>умами и солёный контраст</x:v>
      </x:c>
      <x:c r="F437" s="28" t="str">
        <x:v>Сельдерей корневой имеет профиль «землистый, ореховый, сельдерейно-пряный и слегка грибной». Партнёр «черничный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7" s="28" t="str">
        <x:v>быстро окисляется после нарезки; избыток сельдерейных фталидов даёт аптечную ноту</x:v>
      </x:c>
      <x:c r="I437" s="28" t="str">
        <x:v>пюре, суп, запекание, крем, гарнир, соус или десертная разработка с черничный уксус</x:v>
      </x:c>
      <x:c r="J437" s="28" t="str">
        <x:v>Средняя</x:v>
      </x:c>
      <x:c r="K437" s="28" t="str">
        <x:v>The Art &amp; Science of Foodpairing.pdf</x:v>
      </x:c>
      <x:c r="L437" s="28" t="str">
        <x:v>The Art &amp; Science of Foodpairing.pdf: 52</x:v>
      </x:c>
    </x:row>
    <x:row r="438" ht="66" customHeight="1">
      <x:c r="A438" s="28" t="str">
        <x:v>VEG-0792</x:v>
      </x:c>
      <x:c r="B438" s="28" t="str">
        <x:v>сельдерей корневой</x:v>
      </x:c>
      <x:c r="C438" s="28" t="str">
        <x:v>чеснок</x:v>
      </x:c>
      <x:c r="D438" s="28" t="str">
        <x:v>Луковые овощи</x:v>
      </x:c>
      <x:c r="E438" s="28" t="str">
        <x:v>сенсорная комплементарность</x:v>
      </x:c>
      <x:c r="F438" s="28" t="str">
        <x:v>Сельдерей корневой имеет профиль «землистый, ореховый, сельдерейно-пряный и слегка грибной». Партнёр «чеснок» относится к группе «Луковые овощи» и даёт резкий сернистый, зелёный и мясной; после запекания — сладкий и ореховый.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3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8" s="28" t="str">
        <x:v>быстро окисляется после нарезки; избыток сельдерейных фталидов даёт аптечную ноту</x:v>
      </x:c>
      <x:c r="I438" s="28" t="str">
        <x:v>пюре, суп, запекание, крем, гарнир, соус или десертная разработка с чеснок</x:v>
      </x:c>
      <x:c r="J438" s="28" t="str">
        <x:v>Средняя</x:v>
      </x:c>
      <x:c r="K438" s="28" t="str">
        <x:v>The Art &amp; Science of Foodpairing.pdf</x:v>
      </x:c>
      <x:c r="L438" s="28" t="str">
        <x:v>The Art &amp; Science of Foodpairing.pdf: 52</x:v>
      </x:c>
    </x:row>
    <x:row r="439" ht="66" customHeight="1">
      <x:c r="A439" s="28" t="str">
        <x:v>VEG-0793</x:v>
      </x:c>
      <x:c r="B439" s="28" t="str">
        <x:v>сельдерей корневой</x:v>
      </x:c>
      <x:c r="C439" s="28" t="str">
        <x:v>чёрная оливка пикваль</x:v>
      </x:c>
      <x:c r="D439" s="28" t="str">
        <x:v>Прочее</x:v>
      </x:c>
      <x:c r="E439" s="28" t="str">
        <x:v>сенсорная комплементарность</x:v>
      </x:c>
      <x:c r="F439" s="28" t="str">
        <x:v>Сельдерей корневой имеет профиль «землистый, ореховый, сельдерейно-пряный и слегка грибной». Партнёр «чёрная оливка пикваль»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3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9" s="28" t="str">
        <x:v>быстро окисляется после нарезки; избыток сельдерейных фталидов даёт аптечную ноту</x:v>
      </x:c>
      <x:c r="I439" s="28" t="str">
        <x:v>пюре, суп, запекание, крем, гарнир, соус или десертная разработка с чёрная оливка пикваль</x:v>
      </x:c>
      <x:c r="J439" s="28" t="str">
        <x:v>Средняя</x:v>
      </x:c>
      <x:c r="K439" s="28" t="str">
        <x:v>The Art &amp; Science of Foodpairing.pdf</x:v>
      </x:c>
      <x:c r="L439" s="28" t="str">
        <x:v>The Art &amp; Science of Foodpairing.pdf: 52</x:v>
      </x:c>
    </x:row>
    <x:row r="440" ht="66" customHeight="1">
      <x:c r="A440" s="28" t="str">
        <x:v>VEG-0794</x:v>
      </x:c>
      <x:c r="B440" s="28" t="str">
        <x:v>сельдерей корневой</x:v>
      </x:c>
      <x:c r="C440" s="28" t="str">
        <x:v>чёрный перец</x:v>
      </x:c>
      <x:c r="D440" s="28" t="str">
        <x:v>Специи</x:v>
      </x:c>
      <x:c r="E440" s="28" t="str">
        <x:v>общие характерные молекулы; пересечение ароматических семейств</x:v>
      </x:c>
      <x:c r="F440" s="28" t="str">
        <x:v>Сельдерей корневой имеет профиль «землистый, ореховый, сельдерейно-пряный и слегка грибной». Партнёр «чёрный перец» относится к группе «Специи» и даёт древесный, пряный, цитрусовый. Вероятный молекулярный мост: лимонен.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44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0" s="28" t="str">
        <x:v>быстро окисляется после нарезки; избыток сельдерейных фталидов даёт аптечную ноту</x:v>
      </x:c>
      <x:c r="I440" s="28" t="str">
        <x:v>пюре, суп, запекание, крем, гарнир, соус или десертная разработка с чёрный перец</x:v>
      </x:c>
      <x:c r="J440" s="28" t="str">
        <x:v>Средняя</x:v>
      </x:c>
      <x:c r="K440" s="28" t="str">
        <x:v>The Art &amp; Science of Foodpairing.pdf</x:v>
      </x:c>
      <x:c r="L440" s="28" t="str">
        <x:v>The Art &amp; Science of Foodpairing.pdf: 274</x:v>
      </x:c>
    </x:row>
    <x:row r="441" ht="66" customHeight="1">
      <x:c r="A441" s="28" t="str">
        <x:v>VEG-0795</x:v>
      </x:c>
      <x:c r="B441" s="28" t="str">
        <x:v>сельдерей корневой</x:v>
      </x:c>
      <x:c r="C441" s="28" t="str">
        <x:v>яблоко</x:v>
      </x:c>
      <x:c r="D441" s="28" t="str">
        <x:v>Фрукты и ягоды</x:v>
      </x:c>
      <x:c r="E441" s="28" t="str">
        <x:v>кислотно-сладкий баланс</x:v>
      </x:c>
      <x:c r="F441" s="28" t="str">
        <x:v>Сельдерей корневой имеет профиль «землистый, ореховый, сельдерейно-пряный и слегка грибной».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44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1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441" s="28" t="str">
        <x:v>пюре, суп, запекание, крем, гарнир, соус или десертная разработка с яблоко</x:v>
      </x:c>
      <x:c r="J441" s="28" t="str">
        <x:v>Средняя</x:v>
      </x:c>
      <x:c r="K441" s="28" t="str">
        <x:v>The Art &amp; Science of Foodpairing.pdf</x:v>
      </x:c>
      <x:c r="L441" s="28" t="str">
        <x:v>The Art &amp; Science of Foodpairing.pdf: 52</x:v>
      </x:c>
    </x:row>
    <x:row r="442" ht="66" customHeight="1">
      <x:c r="A442" s="28" t="str">
        <x:v>VEG-0796</x:v>
      </x:c>
      <x:c r="B442" s="28" t="str">
        <x:v>сельдерей корневой</x:v>
      </x:c>
      <x:c r="C442" s="28" t="str">
        <x:v>яичный желток</x:v>
      </x:c>
      <x:c r="D442" s="28" t="str">
        <x:v>Яйца</x:v>
      </x:c>
      <x:c r="E442" s="28" t="str">
        <x:v>сенсорная комплементарность</x:v>
      </x:c>
      <x:c r="F442" s="28" t="str">
        <x:v>Сельдерей корневой имеет профиль «землистый, ореховый, сельдерейно-пряный и слегка грибной». Партнёр «яичный желток» относится к группе «Яйца» и даёт сливочный,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4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2" s="28" t="str">
        <x:v>быстро окисляется после нарезки; избыток сельдерейных фталидов даёт аптечную ноту</x:v>
      </x:c>
      <x:c r="I442" s="28" t="str">
        <x:v>пюре, суп, запекание, крем, гарнир, соус или десертная разработка с яичный желток</x:v>
      </x:c>
      <x:c r="J442" s="28" t="str">
        <x:v>Средняя</x:v>
      </x:c>
      <x:c r="K442" s="28" t="str">
        <x:v>The Art &amp; Science of Foodpairing.pdf</x:v>
      </x:c>
      <x:c r="L442" s="28" t="str">
        <x:v>The Art &amp; Science of Foodpairing.pdf: 52</x:v>
      </x:c>
    </x:row>
  </x:sheetData>
  <x:conditionalFormatting sqref="J2:J442">
    <x:cfRule type="expression" dxfId="3" priority="1">
      <x:formula>J2="Высокая"</x:formula>
    </x:cfRule>
    <x:cfRule type="expression" dxfId="4" priority="2">
      <x:formula>J2="Средняя"</x:formula>
    </x:cfRule>
    <x:cfRule type="expression" dxfId="5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87fbde0abb46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VEG-0028</x:v>
      </x:c>
      <x:c r="B2" s="28" t="str">
        <x:v>баклажан</x:v>
      </x:c>
      <x:c r="C2" s="28" t="str">
        <x:v>базилик</x:v>
      </x:c>
      <x:c r="D2" s="28" t="str">
        <x:v>Травы, цветы и листья</x:v>
      </x:c>
      <x:c r="E2" s="28" t="str">
        <x:v>пересечение ароматических семейств</x:v>
      </x:c>
      <x:c r="F2" s="28" t="str">
        <x:v>Баклажан имеет профиль «зелёный, землистый, слегка грибной и дымный после жарки».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2" s="28" t="str">
        <x:v>гриль и жарка формируют дымные и жареные ноты; соль и нагрев смягчают горечь. </x:v>
      </x:c>
      <x:c r="H2" s="28" t="str">
        <x:v>избыток масла делает продукт тяжёлым; недоготовленная мякоть остаётся губчатой; длительный нагрев уносит свежие терпены и зелёные альдегиды</x:v>
      </x:c>
      <x:c r="I2" s="28" t="str">
        <x:v>салат, гарнир, суп, соус, маринад, ферментация или напиток с базилик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74</x:v>
      </x:c>
    </x:row>
    <x:row r="3" ht="66" customHeight="1">
      <x:c r="A3" s="28" t="str">
        <x:v>VEG-0029</x:v>
      </x:c>
      <x:c r="B3" s="28" t="str">
        <x:v>баклажан</x:v>
      </x:c>
      <x:c r="C3" s="28" t="str">
        <x:v>баранина</x:v>
      </x:c>
      <x:c r="D3" s="28" t="str">
        <x:v>Мясо и птица</x:v>
      </x:c>
      <x:c r="E3" s="28" t="str">
        <x:v>общие характерные молекулы; пересечение ароматических семейств; умами и солёный контраст</x:v>
      </x:c>
      <x:c r="F3" s="28" t="str">
        <x:v>Баклажан имеет профиль «зелёный, землистый, слегка грибной и дымный после жарки». Партнёр «баранина»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3" s="28" t="str">
        <x:v>гриль и жарка формируют дымные и жареные ноты; соль и нагрев смягчают горечь. </x:v>
      </x:c>
      <x:c r="H3" s="28" t="str">
        <x:v>избыток масла делает продукт тяжёлым; недоготовленная мякоть остаётся губчатой</x:v>
      </x:c>
      <x:c r="I3" s="28" t="str">
        <x:v>салат, гарнир, суп, соус, маринад, ферментация или напиток с баранина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126, 209</x:v>
      </x:c>
    </x:row>
    <x:row r="4" ht="66" customHeight="1">
      <x:c r="A4" s="28" t="str">
        <x:v>VEG-0030</x:v>
      </x:c>
      <x:c r="B4" s="28" t="str">
        <x:v>баклажан</x:v>
      </x:c>
      <x:c r="C4" s="28" t="str">
        <x:v>батат</x:v>
      </x:c>
      <x:c r="D4" s="28" t="str">
        <x:v>Корнеплоды и клубни</x:v>
      </x:c>
      <x:c r="E4" s="28" t="str">
        <x:v>общие характерные молекулы; пересечение ароматических семейств</x:v>
      </x:c>
      <x:c r="F4" s="28" t="str">
        <x:v>Баклажан имеет профиль «зелёный, землистый, слегка грибной и дымный после жарки».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4" s="28" t="str">
        <x:v>гриль и жарка формируют дымные и жареные ноты; соль и нагрев смягчают горечь. </x:v>
      </x:c>
      <x:c r="H4" s="28" t="str">
        <x:v>избыток масла делает продукт тяжёлым; недоготовленная мякоть остаётся губчатой</x:v>
      </x:c>
      <x:c r="I4" s="28" t="str">
        <x:v>салат, гарнир, суп, соус, маринад, ферментация или напиток с батат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119</x:v>
      </x:c>
    </x:row>
    <x:row r="5" ht="66" customHeight="1">
      <x:c r="A5" s="28" t="str">
        <x:v>VEG-0031</x:v>
      </x:c>
      <x:c r="B5" s="28" t="str">
        <x:v>баклажан</x:v>
      </x:c>
      <x:c r="C5" s="28" t="str">
        <x:v>болгарский перец</x:v>
      </x:c>
      <x:c r="D5" s="28" t="str">
        <x:v>Плодовые овощи</x:v>
      </x:c>
      <x:c r="E5" s="28" t="str">
        <x:v>общие характерные молекулы; пересечение ароматических семейств</x:v>
      </x:c>
      <x:c r="F5" s="28" t="str">
        <x:v>Баклажан имеет профиль «зелёный, землистый, слегка грибной и дымный после жарки». Партнёр «болгарский перец» относится к группе «Плодовые овощи» и даёт зелёный, травянистый, фруктовый; у красного — сладкий и жареный. Вероятный молекулярный мост: гексаналь. Совместимость формируется за счёт баланса сладости, кислотности, горечи, умами и текстуры.</x:v>
      </x:c>
      <x:c r="G5" s="28" t="str">
        <x:v>гриль и жарка формируют дымные и жареные ноты; соль и нагрев смягчают горечь. </x:v>
      </x:c>
      <x:c r="H5" s="28" t="str">
        <x:v>избыток масла делает продукт тяжёлым; недоготовленная мякоть остаётся губчатой</x:v>
      </x:c>
      <x:c r="I5" s="28" t="str">
        <x:v>салат, гарнир, суп, соус, маринад, ферментация или напиток с болгарский перец</x:v>
      </x:c>
      <x:c r="J5" s="28" t="str">
        <x:v>Средняя</x:v>
      </x:c>
      <x:c r="K5" s="28" t="str">
        <x:v>Тезариус вкусов (Ники Сегнит)(1).pdf</x:v>
      </x:c>
      <x:c r="L5" s="28" t="str">
        <x:v>Тезариус вкусов (Ники Сегнит)(1).pdf: 209, 545</x:v>
      </x:c>
    </x:row>
    <x:row r="6" ht="66" customHeight="1">
      <x:c r="A6" s="28" t="str">
        <x:v>VEG-0032</x:v>
      </x:c>
      <x:c r="B6" s="28" t="str">
        <x:v>баклажан</x:v>
      </x:c>
      <x:c r="C6" s="28" t="str">
        <x:v>грецкий орех</x:v>
      </x:c>
      <x:c r="D6" s="28" t="str">
        <x:v>Орехи и семена</x:v>
      </x:c>
      <x:c r="E6" s="28" t="str">
        <x:v>общие характерные молекулы; пересечение ароматических семейств</x:v>
      </x:c>
      <x:c r="F6" s="28" t="str">
        <x:v>Баклажан имеет профиль «зелёный, землистый, слегка грибной и дымный после жарки».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6" s="28" t="str">
        <x:v>гриль и жарка формируют дымные и жареные ноты; соль и нагрев смягчают горечь. </x:v>
      </x:c>
      <x:c r="H6" s="28" t="str">
        <x:v>избыток масла делает продукт тяжёлым; недоготовленная мякоть остаётся губчатой</x:v>
      </x:c>
      <x:c r="I6" s="28" t="str">
        <x:v>салат, гарнир, суп, соус, маринад, ферментация или напиток с грецкий орех</x:v>
      </x:c>
      <x:c r="J6" s="28" t="str">
        <x:v>Средняя</x:v>
      </x:c>
      <x:c r="K6" s="28" t="str">
        <x:v>Тезариус вкусов (Ники Сегнит)(1).pdf</x:v>
      </x:c>
      <x:c r="L6" s="28" t="str">
        <x:v>Тезариус вкусов (Ники Сегнит)(1).pdf: 210, 623</x:v>
      </x:c>
    </x:row>
    <x:row r="7" ht="66" customHeight="1">
      <x:c r="A7" s="28" t="str">
        <x:v>VEG-0033</x:v>
      </x:c>
      <x:c r="B7" s="28" t="str">
        <x:v>баклажан</x:v>
      </x:c>
      <x:c r="C7" s="28" t="str">
        <x:v>джин</x:v>
      </x:c>
      <x:c r="D7" s="28" t="str">
        <x:v>Алкогольные напитки</x:v>
      </x:c>
      <x:c r="E7" s="28" t="str">
        <x:v>сенсорная комплементарность</x:v>
      </x:c>
      <x:c r="F7" s="28" t="str">
        <x:v>Баклажан имеет профиль «зелёный, землистый, слегка грибной и дымный после жарки».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" s="28" t="str">
        <x:v>гриль и жарка формируют дымные и жареные ноты; соль и нагрев смягчают горечь. </x:v>
      </x:c>
      <x:c r="H7" s="28" t="str">
        <x:v>избыток масла делает продукт тяжёлым; недоготовленная мякоть остаётся губчатой</x:v>
      </x:c>
      <x:c r="I7" s="28" t="str">
        <x:v>салат, гарнир, суп, соус, маринад, ферментация или напиток с джин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215</x:v>
      </x:c>
    </x:row>
    <x:row r="8" ht="66" customHeight="1">
      <x:c r="A8" s="28" t="str">
        <x:v>VEG-0034</x:v>
      </x:c>
      <x:c r="B8" s="28" t="str">
        <x:v>баклажан</x:v>
      </x:c>
      <x:c r="C8" s="28" t="str">
        <x:v>имбирь</x:v>
      </x:c>
      <x:c r="D8" s="28" t="str">
        <x:v>Специи</x:v>
      </x:c>
      <x:c r="E8" s="28" t="str">
        <x:v>сенсорная комплементарность</x:v>
      </x:c>
      <x:c r="F8" s="28" t="str">
        <x:v>Баклажан имеет профиль «зелёный, землистый, слегка грибной и дымный после жарки».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8" s="28" t="str">
        <x:v>гриль и жарка формируют дымные и жареные ноты; соль и нагрев смягчают горечь. </x:v>
      </x:c>
      <x:c r="H8" s="28" t="str">
        <x:v>избыток масла делает продукт тяжёлым; недоготовленная мякоть остаётся губчатой</x:v>
      </x:c>
      <x:c r="I8" s="28" t="str">
        <x:v>салат, гарнир, суп, соус, маринад, ферментация или напиток с имбирь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210, 813</x:v>
      </x:c>
    </x:row>
    <x:row r="9" ht="66" customHeight="1">
      <x:c r="A9" s="28" t="str">
        <x:v>VEG-0035</x:v>
      </x:c>
      <x:c r="B9" s="28" t="str">
        <x:v>баклажан</x:v>
      </x:c>
      <x:c r="C9" s="28" t="str">
        <x:v>кардамон</x:v>
      </x:c>
      <x:c r="D9" s="28" t="str">
        <x:v>Специи</x:v>
      </x:c>
      <x:c r="E9" s="28" t="str">
        <x:v>сенсорная комплементарность</x:v>
      </x:c>
      <x:c r="F9" s="28" t="str">
        <x:v>Баклажан имеет профиль «зелёный, землистый, слегка грибной и дымный после жарки».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9" s="28" t="str">
        <x:v>гриль и жарка формируют дымные и жареные ноты; соль и нагрев смягчают горечь. </x:v>
      </x:c>
      <x:c r="H9" s="28" t="str">
        <x:v>избыток масла делает продукт тяжёлым; недоготовленная мякоть остаётся губчатой</x:v>
      </x:c>
      <x:c r="I9" s="28" t="str">
        <x:v>салат, гарнир, суп, соус, маринад, ферментация или напиток с кардамон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256</x:v>
      </x:c>
    </x:row>
    <x:row r="10" ht="66" customHeight="1">
      <x:c r="A10" s="28" t="str">
        <x:v>VEG-0036</x:v>
      </x:c>
      <x:c r="B10" s="28" t="str">
        <x:v>баклажан</x:v>
      </x:c>
      <x:c r="C10" s="28" t="str">
        <x:v>козий сыр и молоко</x:v>
      </x:c>
      <x:c r="D10" s="28" t="str">
        <x:v>Молочные продукты и сыры</x:v>
      </x:c>
      <x:c r="E10" s="28" t="str">
        <x:v>жировая матрица</x:v>
      </x:c>
      <x:c r="F10" s="28" t="str">
        <x:v>Баклажан имеет профиль «зелёный, землистый, слегка грибной и дымный после жарки». Партнёр «козий сыр и молоко»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0" s="28" t="str">
        <x:v>гриль и жарка формируют дымные и жареные ноты; соль и нагрев смягчают горечь. </x:v>
      </x:c>
      <x:c r="H10" s="28" t="str">
        <x:v>избыток масла делает продукт тяжёлым; недоготовленная мякоть остаётся губчатой; жир способен приглушить свежую зелёную ароматику</x:v>
      </x:c>
      <x:c r="I10" s="28" t="str">
        <x:v>салат, гарнир, суп, соус, маринад, ферментация или напиток с козий сыр и молоко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200</x:v>
      </x:c>
    </x:row>
    <x:row r="11" ht="66" customHeight="1">
      <x:c r="A11" s="28" t="str">
        <x:v>VEG-0037</x:v>
      </x:c>
      <x:c r="B11" s="28" t="str">
        <x:v>баклажан</x:v>
      </x:c>
      <x:c r="C11" s="28" t="str">
        <x:v>коньяк</x:v>
      </x:c>
      <x:c r="D11" s="28" t="str">
        <x:v>Алкогольные напитки</x:v>
      </x:c>
      <x:c r="E11" s="28" t="str">
        <x:v>сенсорная комплементарность</x:v>
      </x:c>
      <x:c r="F11" s="28" t="str">
        <x:v>Баклажан имеет профиль «зелёный, землистый, слегка грибной и дымный после жарки».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" s="28" t="str">
        <x:v>гриль и жарка формируют дымные и жареные ноты; соль и нагрев смягчают горечь. </x:v>
      </x:c>
      <x:c r="H11" s="28" t="str">
        <x:v>избыток масла делает продукт тяжёлым; недоготовленная мякоть остаётся губчатой</x:v>
      </x:c>
      <x:c r="I11" s="28" t="str">
        <x:v>салат, гарнир, суп, соус, маринад, ферментация или напиток с коньяк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123</x:v>
      </x:c>
    </x:row>
    <x:row r="12" ht="66" customHeight="1">
      <x:c r="A12" s="28" t="str">
        <x:v>VEG-0038</x:v>
      </x:c>
      <x:c r="B12" s="28" t="str">
        <x:v>баклажан</x:v>
      </x:c>
      <x:c r="C12" s="28" t="str">
        <x:v>кунжут, халва и тахини</x:v>
      </x:c>
      <x:c r="D12" s="28" t="str">
        <x:v>Орехи и семена</x:v>
      </x:c>
      <x:c r="E12" s="28" t="str">
        <x:v>общие характерные молекулы; пересечение ароматических семейств</x:v>
      </x:c>
      <x:c r="F12" s="28" t="str">
        <x:v>Баклажан имеет профиль «зелёный, землистый, слегка грибной и дымный после жарки». Партнёр «кунжут, халва и тахини»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2" s="28" t="str">
        <x:v>гриль и жарка формируют дымные и жареные ноты; соль и нагрев смягчают горечь. </x:v>
      </x:c>
      <x:c r="H12" s="28" t="str">
        <x:v>избыток масла делает продукт тяжёлым; недоготовленная мякоть остаётся губчатой</x:v>
      </x:c>
      <x:c r="I12" s="28" t="str">
        <x:v>салат, гарнир, суп, соус, маринад, ферментация или напиток с кунжут, халва и тахини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308</x:v>
      </x:c>
    </x:row>
    <x:row r="13" ht="66" customHeight="1">
      <x:c r="A13" s="28" t="str">
        <x:v>VEG-0039</x:v>
      </x:c>
      <x:c r="B13" s="28" t="str">
        <x:v>баклажан</x:v>
      </x:c>
      <x:c r="C13" s="28" t="str">
        <x:v>маниок</x:v>
      </x:c>
      <x:c r="D13" s="28" t="str">
        <x:v>Прочее</x:v>
      </x:c>
      <x:c r="E13" s="28" t="str">
        <x:v>сенсорная комплементарность</x:v>
      </x:c>
      <x:c r="F13" s="28" t="str">
        <x:v>Баклажан имеет профиль «зелёный, землистый, слегка грибной и дымный после жарки».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" s="28" t="str">
        <x:v>гриль и жарка формируют дымные и жареные ноты; соль и нагрев смягчают горечь. </x:v>
      </x:c>
      <x:c r="H13" s="28" t="str">
        <x:v>избыток масла делает продукт тяжёлым; недоготовленная мякоть остаётся губчатой</x:v>
      </x:c>
      <x:c r="I13" s="28" t="str">
        <x:v>салат, гарнир, суп, соус, маринад, ферментация или напиток с маниок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251</x:v>
      </x:c>
    </x:row>
    <x:row r="14" ht="66" customHeight="1">
      <x:c r="A14" s="28" t="str">
        <x:v>VEG-0040</x:v>
      </x:c>
      <x:c r="B14" s="28" t="str">
        <x:v>баклажан</x:v>
      </x:c>
      <x:c r="C14" s="28" t="str">
        <x:v>мускатный орех</x:v>
      </x:c>
      <x:c r="D14" s="28" t="str">
        <x:v>Рыба и морепродукты</x:v>
      </x:c>
      <x:c r="E14" s="28" t="str">
        <x:v>умами и солёный контраст</x:v>
      </x:c>
      <x:c r="F14" s="28" t="str">
        <x:v>Баклажан имеет профиль «зелёный, землистый, слегка грибной и дымный после жарки».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4" s="28" t="str">
        <x:v>гриль и жарка формируют дымные и жареные ноты; соль и нагрев смягчают горечь. </x:v>
      </x:c>
      <x:c r="H14" s="28" t="str">
        <x:v>избыток масла делает продукт тяжёлым; недоготовленная мякоть остаётся губчатой</x:v>
      </x:c>
      <x:c r="I14" s="28" t="str">
        <x:v>салат, гарнир, суп, соус, маринад, ферментация или напиток с мускатный орех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211, 587</x:v>
      </x:c>
    </x:row>
    <x:row r="15" ht="66" customHeight="1">
      <x:c r="A15" s="28" t="str">
        <x:v>VEG-0041</x:v>
      </x:c>
      <x:c r="B15" s="28" t="str">
        <x:v>баклажан</x:v>
      </x:c>
      <x:c r="C15" s="28" t="str">
        <x:v>мягкий сыр</x:v>
      </x:c>
      <x:c r="D15" s="28" t="str">
        <x:v>Молочные продукты и сыры</x:v>
      </x:c>
      <x:c r="E15" s="28" t="str">
        <x:v>жировая матрица</x:v>
      </x:c>
      <x:c r="F15" s="28" t="str">
        <x:v>Баклажан имеет профиль «зелёный, землистый, слегка грибной и дымный после жарки».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5" s="28" t="str">
        <x:v>гриль и жарка формируют дымные и жареные ноты; соль и нагрев смягчают горечь. </x:v>
      </x:c>
      <x:c r="H15" s="28" t="str">
        <x:v>избыток масла делает продукт тяжёлым; недоготовленная мякоть остаётся губчатой; жир способен приглушить свежую зелёную ароматику</x:v>
      </x:c>
      <x:c r="I15" s="28" t="str">
        <x:v>салат, гарнир, суп, соус, маринад, ферментация или напиток с мягкий сыр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181, 211</x:v>
      </x:c>
    </x:row>
    <x:row r="16" ht="66" customHeight="1">
      <x:c r="A16" s="28" t="str">
        <x:v>VEG-0042</x:v>
      </x:c>
      <x:c r="B16" s="28" t="str">
        <x:v>баклажан</x:v>
      </x:c>
      <x:c r="C16" s="28" t="str">
        <x:v>мясо</x:v>
      </x:c>
      <x:c r="D16" s="28" t="str">
        <x:v>Мясо и птица</x:v>
      </x:c>
      <x:c r="E16" s="28" t="str">
        <x:v>общие характерные молекулы; пересечение ароматических семейств; умами и солёный контраст</x:v>
      </x:c>
      <x:c r="F16" s="28" t="str">
        <x:v>Баклажан имеет профиль «зелёный, землистый, слегка грибной и дымный после жарки».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6" s="28" t="str">
        <x:v>гриль и жарка формируют дымные и жареные ноты; соль и нагрев смягчают горечь. </x:v>
      </x:c>
      <x:c r="H16" s="28" t="str">
        <x:v>избыток масла делает продукт тяжёлым; недоготовленная мякоть остаётся губчатой</x:v>
      </x:c>
      <x:c r="I16" s="28" t="str">
        <x:v>салат, гарнир, суп, соус, маринад, ферментация или напиток с мясо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186</x:v>
      </x:c>
    </x:row>
    <x:row r="17" ht="66" customHeight="1">
      <x:c r="A17" s="28" t="str">
        <x:v>VEG-0043</x:v>
      </x:c>
      <x:c r="B17" s="28" t="str">
        <x:v>баклажан</x:v>
      </x:c>
      <x:c r="C17" s="28" t="str">
        <x:v>оливковое масло</x:v>
      </x:c>
      <x:c r="D17" s="28" t="str">
        <x:v>Масла и жиры</x:v>
      </x:c>
      <x:c r="E17" s="28" t="str">
        <x:v>жировая матрица</x:v>
      </x:c>
      <x:c r="F17" s="28" t="str">
        <x:v>Баклажан имеет профиль «зелёный, землистый, слегка грибной и дымный после жарки».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7" s="28" t="str">
        <x:v>гриль и жарка формируют дымные и жареные ноты; соль и нагрев смягчают горечь. </x:v>
      </x:c>
      <x:c r="H17" s="28" t="str">
        <x:v>избыток масла делает продукт тяжёлым; недоготовленная мякоть остаётся губчатой; жир способен приглушить свежую зелёную ароматику</x:v>
      </x:c>
      <x:c r="I17" s="28" t="str">
        <x:v>салат, гарнир, суп, соус, маринад, ферментация или напиток с оливковое масло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172</x:v>
      </x:c>
    </x:row>
    <x:row r="18" ht="66" customHeight="1">
      <x:c r="A18" s="28" t="str">
        <x:v>VEG-0044</x:v>
      </x:c>
      <x:c r="B18" s="28" t="str">
        <x:v>баклажан</x:v>
      </x:c>
      <x:c r="C18" s="28" t="str">
        <x:v>прошутто</x:v>
      </x:c>
      <x:c r="D18" s="28" t="str">
        <x:v>Мясо и птица</x:v>
      </x:c>
      <x:c r="E18" s="28" t="str">
        <x:v>общие характерные молекулы; пересечение ароматических семейств; умами и солёный контраст</x:v>
      </x:c>
      <x:c r="F18" s="28" t="str">
        <x:v>Баклажан имеет профиль «зелёный, землистый, слегка грибной и дымный после жарки». Партнёр «прошутто»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8" s="28" t="str">
        <x:v>гриль и жарка формируют дымные и жареные ноты; соль и нагрев смягчают горечь. </x:v>
      </x:c>
      <x:c r="H18" s="28" t="str">
        <x:v>избыток масла делает продукт тяжёлым; недоготовленная мякоть остаётся губчатой</x:v>
      </x:c>
      <x:c r="I18" s="28" t="str">
        <x:v>салат, гарнир, суп, соус, маринад, ферментация или напиток с прошутто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211, 454</x:v>
      </x:c>
    </x:row>
    <x:row r="19" ht="66" customHeight="1">
      <x:c r="A19" s="28" t="str">
        <x:v>VEG-0045</x:v>
      </x:c>
      <x:c r="B19" s="28" t="str">
        <x:v>баклажан</x:v>
      </x:c>
      <x:c r="C19" s="28" t="str">
        <x:v>рыба</x:v>
      </x:c>
      <x:c r="D19" s="28" t="str">
        <x:v>Рыба и морепродукты</x:v>
      </x:c>
      <x:c r="E19" s="28" t="str">
        <x:v>умами и солёный контраст</x:v>
      </x:c>
      <x:c r="F19" s="28" t="str">
        <x:v>Баклажан имеет профиль «зелёный, землистый, слегка грибной и дымный после жарки».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9" s="28" t="str">
        <x:v>гриль и жарка формируют дымные и жареные ноты; соль и нагрев смягчают горечь. </x:v>
      </x:c>
      <x:c r="H19" s="28" t="str">
        <x:v>избыток масла делает продукт тяжёлым; недоготовленная мякоть остаётся губчатой</x:v>
      </x:c>
      <x:c r="I19" s="28" t="str">
        <x:v>салат, гарнир, суп, соус, маринад, ферментация или напиток с рыба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104</x:v>
      </x:c>
    </x:row>
    <x:row r="20" ht="66" customHeight="1">
      <x:c r="A20" s="28" t="str">
        <x:v>VEG-0046</x:v>
      </x:c>
      <x:c r="B20" s="28" t="str">
        <x:v>баклажан</x:v>
      </x:c>
      <x:c r="C20" s="28" t="str">
        <x:v>томат</x:v>
      </x:c>
      <x:c r="D20" s="28" t="str">
        <x:v>Плодовые овощи</x:v>
      </x:c>
      <x:c r="E20" s="28" t="str">
        <x:v>общие характерные молекулы; пересечение ароматических семейств</x:v>
      </x:c>
      <x:c r="F20" s="28" t="str">
        <x:v>Баклажан имеет профиль «зелёный, землистый, слегка грибной и дымный после жарки». Партнёр «томат» относится к группе «Плодовые овощи» и даёт зелёный, фруктовый, листовой, сернистый и умами. Вероятный молекулярный мост: гексаналь. Совместимость формируется за счёт баланса сладости, кислотности, горечи, умами и текстуры.</x:v>
      </x:c>
      <x:c r="G20" s="28" t="str">
        <x:v>гриль и жарка формируют дымные и жареные ноты; соль и нагрев смягчают горечь. </x:v>
      </x:c>
      <x:c r="H20" s="28" t="str">
        <x:v>избыток масла делает продукт тяжёлым; недоготовленная мякоть остаётся губчатой</x:v>
      </x:c>
      <x:c r="I20" s="28" t="str">
        <x:v>салат, гарнир, суп, соус, маринад, ферментация или напиток с томат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211, 680</x:v>
      </x:c>
    </x:row>
    <x:row r="21" ht="66" customHeight="1">
      <x:c r="A21" s="28" t="str">
        <x:v>VEG-0047</x:v>
      </x:c>
      <x:c r="B21" s="28" t="str">
        <x:v>баклажан</x:v>
      </x:c>
      <x:c r="C21" s="28" t="str">
        <x:v>чеснок</x:v>
      </x:c>
      <x:c r="D21" s="28" t="str">
        <x:v>Луковые овощи</x:v>
      </x:c>
      <x:c r="E21" s="28" t="str">
        <x:v>пересечение ароматических семейств</x:v>
      </x:c>
      <x:c r="F21" s="28" t="str">
        <x:v>Баклажан имеет профиль «зелёный, землистый, слегка грибной и дымный после жарки».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формируется за счёт баланса сладости, кислотности, горечи, умами и текстуры.</x:v>
      </x:c>
      <x:c r="G21" s="28" t="str">
        <x:v>гриль и жарка формируют дымные и жареные ноты; соль и нагрев смягчают горечь. </x:v>
      </x:c>
      <x:c r="H21" s="28" t="str">
        <x:v>избыток масла делает продукт тяжёлым; недоготовленная мякоть остаётся губчатой</x:v>
      </x:c>
      <x:c r="I21" s="28" t="str">
        <x:v>салат, гарнир, суп, соус, маринад, ферментация или напиток с чеснок</x:v>
      </x:c>
      <x:c r="J21" s="28" t="str">
        <x:v>Высокая</x:v>
      </x:c>
      <x:c r="K21" s="28" t="str">
        <x:v>The Art &amp; Science of Foodpairing.pdf | Тезариус вкусов (Ники Сегнит)(1).pdf</x:v>
      </x:c>
      <x:c r="L21" s="28" t="str">
        <x:v>Тезариус вкусов (Ники Сегнит)(1).pdf: 212, 292; The Art &amp; Science of Foodpairing.pdf: 113</x:v>
      </x:c>
    </x:row>
    <x:row r="22" ht="66" customHeight="1">
      <x:c r="A22" s="28" t="str">
        <x:v>VEG-0048</x:v>
      </x:c>
      <x:c r="B22" s="28" t="str">
        <x:v>баклажан</x:v>
      </x:c>
      <x:c r="C22" s="28" t="str">
        <x:v>чили</x:v>
      </x:c>
      <x:c r="D22" s="28" t="str">
        <x:v>Специи</x:v>
      </x:c>
      <x:c r="E22" s="28" t="str">
        <x:v>сенсорная комплементарность</x:v>
      </x:c>
      <x:c r="F22" s="28" t="str">
        <x:v>Баклажан имеет профиль «зелёный, землистый, слегка грибной и дымный после жарки».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2" s="28" t="str">
        <x:v>гриль и жарка формируют дымные и жареные ноты; соль и нагрев смягчают горечь. </x:v>
      </x:c>
      <x:c r="H22" s="28" t="str">
        <x:v>избыток масла делает продукт тяжёлым; недоготовленная мякоть остаётся губчатой</x:v>
      </x:c>
      <x:c r="I22" s="28" t="str">
        <x:v>салат, гарнир, суп, соус, маринад, ферментация или напиток с чили</x:v>
      </x:c>
      <x:c r="J22" s="28" t="str">
        <x:v>Средняя</x:v>
      </x:c>
      <x:c r="K22" s="28" t="str">
        <x:v>Тезариус вкусов (Ники Сегнит)(1).pdf</x:v>
      </x:c>
      <x:c r="L22" s="28" t="str">
        <x:v>Тезариус вкусов (Ники Сегнит)(1).pdf: 212, 552</x:v>
      </x:c>
    </x:row>
    <x:row r="23" ht="66" customHeight="1">
      <x:c r="A23" s="28" t="str">
        <x:v>VEG-0049</x:v>
      </x:c>
      <x:c r="B23" s="28" t="str">
        <x:v>баклажан</x:v>
      </x:c>
      <x:c r="C23" s="28" t="str">
        <x:v>чоризо</x:v>
      </x:c>
      <x:c r="D23" s="28" t="str">
        <x:v>Прочее</x:v>
      </x:c>
      <x:c r="E23" s="28" t="str">
        <x:v>сенсорная комплементарность</x:v>
      </x:c>
      <x:c r="F23" s="28" t="str">
        <x:v>Баклажан имеет профиль «зелёный, землистый, слегка грибной и дымный после жарки».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" s="28" t="str">
        <x:v>гриль и жарка формируют дымные и жареные ноты; соль и нагрев смягчают горечь. </x:v>
      </x:c>
      <x:c r="H23" s="28" t="str">
        <x:v>избыток масла делает продукт тяжёлым; недоготовленная мякоть остаётся губчатой</x:v>
      </x:c>
      <x:c r="I23" s="28" t="str">
        <x:v>салат, гарнир, суп, соус, маринад, ферментация или напиток с чоризо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288</x:v>
      </x:c>
    </x:row>
    <x:row r="24" ht="66" customHeight="1">
      <x:c r="A24" s="28" t="str">
        <x:v>VEG-0114</x:v>
      </x:c>
      <x:c r="B24" s="28" t="str">
        <x:v>болгарский перец</x:v>
      </x:c>
      <x:c r="C24" s="28" t="str">
        <x:v>абрикос</x:v>
      </x:c>
      <x:c r="D24" s="28" t="str">
        <x:v>Фрукты и ягоды</x:v>
      </x:c>
      <x:c r="E24" s="28" t="str">
        <x:v>общие характерные молекулы; пересечение ароматических семейств; кислотно-сладкий баланс</x:v>
      </x:c>
      <x:c r="F24" s="28" t="str">
        <x:v>Болгарский перец имеет профиль «зелёный, травянистый, фруктовый; у красного — сладкий и жареный». Партнёр «абрикос»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24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I24" s="28" t="str">
        <x:v>сок, кордиал, гаспачо, салат, соус, маринад или коктейльный компонент с абрикос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108</x:v>
      </x:c>
    </x:row>
    <x:row r="25" ht="66" customHeight="1">
      <x:c r="A25" s="28" t="str">
        <x:v>VEG-0115</x:v>
      </x:c>
      <x:c r="B25" s="28" t="str">
        <x:v>болгарский перец</x:v>
      </x:c>
      <x:c r="C25" s="28" t="str">
        <x:v>акациевый мёд</x:v>
      </x:c>
      <x:c r="D25" s="28" t="str">
        <x:v>Выпечка, крупы, сахара и десерты</x:v>
      </x:c>
      <x:c r="E25" s="28" t="str">
        <x:v>пересечение ароматических семейств</x:v>
      </x:c>
      <x:c r="F25" s="28" t="str">
        <x:v>Болгарский перец имеет профиль «зелёный, травянистый, фруктовый; у красного — сладкий и жареный». Партнёр «акациевый 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G2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25" s="28" t="str">
        <x:v>зелёный перец может доминировать метоксипиразином; обугленную кожицу удалять</x:v>
      </x:c>
      <x:c r="I25" s="28" t="str">
        <x:v>сок, кордиал, гаспачо, салат, соус, маринад или коктейльный компонент с акациевый мёд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108</x:v>
      </x:c>
    </x:row>
    <x:row r="26" ht="66" customHeight="1">
      <x:c r="A26" s="28" t="str">
        <x:v>VEG-0116</x:v>
      </x:c>
      <x:c r="B26" s="28" t="str">
        <x:v>болгарский перец</x:v>
      </x:c>
      <x:c r="C26" s="28" t="str">
        <x:v>актинидия</x:v>
      </x:c>
      <x:c r="D26" s="28" t="str">
        <x:v>Прочее</x:v>
      </x:c>
      <x:c r="E26" s="28" t="str">
        <x:v>сенсорная комплементарность</x:v>
      </x:c>
      <x:c r="F26" s="28" t="str">
        <x:v>Болгарский перец имеет профиль «зелёный, травянистый, фруктовый; у красного — сладкий и жареный». Партнёр «актинидия»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26" s="28" t="str">
        <x:v>зелёный перец может доминировать метоксипиразином; обугленную кожицу удалять</x:v>
      </x:c>
      <x:c r="I26" s="28" t="str">
        <x:v>сок, кордиал, гаспачо, салат, соус, маринад или коктейльный компонент с актинидия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108</x:v>
      </x:c>
    </x:row>
    <x:row r="27" ht="66" customHeight="1">
      <x:c r="A27" s="28" t="str">
        <x:v>VEG-0117</x:v>
      </x:c>
      <x:c r="B27" s="28" t="str">
        <x:v>болгарский перец</x:v>
      </x:c>
      <x:c r="C27" s="28" t="str">
        <x:v>базилик</x:v>
      </x:c>
      <x:c r="D27" s="28" t="str">
        <x:v>Травы, цветы и листья</x:v>
      </x:c>
      <x:c r="E27" s="28" t="str">
        <x:v>пересечение ароматических семейств</x:v>
      </x:c>
      <x:c r="F27" s="28" t="str">
        <x:v>Болгарский перец имеет профиль «зелёный, травянистый, фруктовый; у красного — сладкий и жареный».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2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27" s="28" t="str">
        <x:v>зелёный перец может доминировать метоксипиразином; обугленную кожицу удалять; длительный нагрев уносит свежие терпены и зелёные альдегиды</x:v>
      </x:c>
      <x:c r="I27" s="28" t="str">
        <x:v>сок, кордиал, гаспачо, салат, соус, маринад или коктейльный компонент с базилик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74</x:v>
      </x:c>
    </x:row>
    <x:row r="28" ht="66" customHeight="1">
      <x:c r="A28" s="28" t="str">
        <x:v>VEG-0118</x:v>
      </x:c>
      <x:c r="B28" s="28" t="str">
        <x:v>болгарский перец</x:v>
      </x:c>
      <x:c r="C28" s="28" t="str">
        <x:v>банан</x:v>
      </x:c>
      <x:c r="D28" s="28" t="str">
        <x:v>Фрукты и ягоды</x:v>
      </x:c>
      <x:c r="E28" s="28" t="str">
        <x:v>общие характерные молекулы; пересечение ароматических семейств; кислотно-сладкий баланс</x:v>
      </x:c>
      <x:c r="F28" s="28" t="str">
        <x:v>Болгарский перец имеет профиль «зелёный, травянистый, фруктовый; у красного — сладкий и жареный». Партнёр «банан»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28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I28" s="28" t="str">
        <x:v>сок, кордиал, гаспачо, салат, соус, маринад или коктейльный компонент с банан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342</x:v>
      </x:c>
    </x:row>
    <x:row r="29" ht="66" customHeight="1">
      <x:c r="A29" s="28" t="str">
        <x:v>VEG-0119</x:v>
      </x:c>
      <x:c r="B29" s="28" t="str">
        <x:v>болгарский перец</x:v>
      </x:c>
      <x:c r="C29" s="28" t="str">
        <x:v>баранина</x:v>
      </x:c>
      <x:c r="D29" s="28" t="str">
        <x:v>Мясо и птица</x:v>
      </x:c>
      <x:c r="E29" s="28" t="str">
        <x:v>умами и солёный контраст</x:v>
      </x:c>
      <x:c r="F29" s="28" t="str">
        <x:v>Болгарский перец имеет профиль «зелёный, травянистый, фруктовый; у красного — сладкий и жареный».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29" s="28" t="str">
        <x:v>зелёный перец может доминировать метоксипиразином; обугленную кожицу удалять</x:v>
      </x:c>
      <x:c r="I29" s="28" t="str">
        <x:v>сок, кордиал, гаспачо, салат, соус, маринад или коктейльный компонент с баранина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108</x:v>
      </x:c>
    </x:row>
    <x:row r="30" ht="66" customHeight="1">
      <x:c r="A30" s="28" t="str">
        <x:v>VEG-0120</x:v>
      </x:c>
      <x:c r="B30" s="28" t="str">
        <x:v>болгарский перец</x:v>
      </x:c>
      <x:c r="C30" s="28" t="str">
        <x:v>бекон</x:v>
      </x:c>
      <x:c r="D30" s="28" t="str">
        <x:v>Мясо и птица</x:v>
      </x:c>
      <x:c r="E30" s="28" t="str">
        <x:v>умами и солёный контраст</x:v>
      </x:c>
      <x:c r="F30" s="28" t="str">
        <x:v>Болгарский перец имеет профиль «зелёный, травянистый, фруктовый; у красного — сладкий и жареный».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0" s="28" t="str">
        <x:v>зелёный перец может доминировать метоксипиразином; обугленную кожицу удалять</x:v>
      </x:c>
      <x:c r="I30" s="28" t="str">
        <x:v>сок, кордиал, гаспачо, салат, соус, маринад или коктейльный компонент с бекон</x:v>
      </x:c>
      <x:c r="J30" s="28" t="str">
        <x:v>Средняя</x:v>
      </x:c>
      <x:c r="K30" s="28" t="str">
        <x:v>Тезариус вкусов (Ники Сегнит)(1).pdf</x:v>
      </x:c>
      <x:c r="L30" s="28" t="str">
        <x:v>Тезариус вкусов (Ники Сегнит)(1).pdf: 442, 545</x:v>
      </x:c>
    </x:row>
    <x:row r="31" ht="66" customHeight="1">
      <x:c r="A31" s="28" t="str">
        <x:v>VEG-0121</x:v>
      </x:c>
      <x:c r="B31" s="28" t="str">
        <x:v>болгарский перец</x:v>
      </x:c>
      <x:c r="C31" s="28" t="str">
        <x:v>бри</x:v>
      </x:c>
      <x:c r="D31" s="28" t="str">
        <x:v>Прочее</x:v>
      </x:c>
      <x:c r="E31" s="28" t="str">
        <x:v>сенсорная комплементарность</x:v>
      </x:c>
      <x:c r="F31" s="28" t="str">
        <x:v>Болгарский перец имеет профиль «зелёный, травянистый, фруктовый; у красного — сладкий и жареный». Партнёр «бри»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1" s="28" t="str">
        <x:v>зелёный перец может доминировать метоксипиразином; обугленную кожицу удалять</x:v>
      </x:c>
      <x:c r="I31" s="28" t="str">
        <x:v>сок, кордиал, гаспачо, салат, соус, маринад или коктейльный компонент с бри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108</x:v>
      </x:c>
    </x:row>
    <x:row r="32" ht="66" customHeight="1">
      <x:c r="A32" s="28" t="str">
        <x:v>VEG-0122</x:v>
      </x:c>
      <x:c r="B32" s="28" t="str">
        <x:v>болгарский перец</x:v>
      </x:c>
      <x:c r="C32" s="28" t="str">
        <x:v>бриошь</x:v>
      </x:c>
      <x:c r="D32" s="28" t="str">
        <x:v>Прочее</x:v>
      </x:c>
      <x:c r="E32" s="28" t="str">
        <x:v>сенсорная комплементарность</x:v>
      </x:c>
      <x:c r="F32" s="28" t="str">
        <x:v>Болгарский перец имеет профиль «зелёный, травянистый, фруктовый; у красного — сладкий и жареный». Партнёр «бриошь»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2" s="28" t="str">
        <x:v>зелёный перец может доминировать метоксипиразином; обугленную кожицу удалять</x:v>
      </x:c>
      <x:c r="I32" s="28" t="str">
        <x:v>сок, кордиал, гаспачо, салат, соус, маринад или коктейльный компонент с бриошь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108</x:v>
      </x:c>
    </x:row>
    <x:row r="33" ht="66" customHeight="1">
      <x:c r="A33" s="28" t="str">
        <x:v>VEG-0123</x:v>
      </x:c>
      <x:c r="B33" s="28" t="str">
        <x:v>болгарский перец</x:v>
      </x:c>
      <x:c r="C33" s="28" t="str">
        <x:v>вакаме</x:v>
      </x:c>
      <x:c r="D33" s="28" t="str">
        <x:v>Прочее</x:v>
      </x:c>
      <x:c r="E33" s="28" t="str">
        <x:v>сенсорная комплементарность</x:v>
      </x:c>
      <x:c r="F33" s="28" t="str">
        <x:v>Болгарский перец имеет профиль «зелёный, травянистый, фруктовый; у красного — сладкий и жареный». Партнёр «вакаме»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3" s="28" t="str">
        <x:v>зелёный перец может доминировать метоксипиразином; обугленную кожицу удалять</x:v>
      </x:c>
      <x:c r="I33" s="28" t="str">
        <x:v>сок, кордиал, гаспачо, салат, соус, маринад или коктейльный компонент с вакаме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108</x:v>
      </x:c>
    </x:row>
    <x:row r="34" ht="66" customHeight="1">
      <x:c r="A34" s="28" t="str">
        <x:v>VEG-0124</x:v>
      </x:c>
      <x:c r="B34" s="28" t="str">
        <x:v>болгарский перец</x:v>
      </x:c>
      <x:c r="C34" s="28" t="str">
        <x:v>водоросли</x:v>
      </x:c>
      <x:c r="D34" s="28" t="str">
        <x:v>Прочее</x:v>
      </x:c>
      <x:c r="E34" s="28" t="str">
        <x:v>сенсорная комплементарность</x:v>
      </x:c>
      <x:c r="F34" s="28" t="str">
        <x:v>Болгарский перец имеет профиль «зелёный, травянистый, фруктовый; у красного — сладкий и жареный».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4" s="28" t="str">
        <x:v>зелёный перец может доминировать метоксипиразином; обугленную кожицу удалять</x:v>
      </x:c>
      <x:c r="I34" s="28" t="str">
        <x:v>сок, кордиал, гаспачо, салат, соус, маринад или коктейльный компонент с водоросли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267</x:v>
      </x:c>
    </x:row>
    <x:row r="35" ht="66" customHeight="1">
      <x:c r="A35" s="28" t="str">
        <x:v>VEG-0125</x:v>
      </x:c>
      <x:c r="B35" s="28" t="str">
        <x:v>болгарский перец</x:v>
      </x:c>
      <x:c r="C35" s="28" t="str">
        <x:v>восковое яблоко</x:v>
      </x:c>
      <x:c r="D35" s="28" t="str">
        <x:v>Фрукты и ягоды</x:v>
      </x:c>
      <x:c r="E35" s="28" t="str">
        <x:v>общие характерные молекулы; пересечение ароматических семейств; кислотно-сладкий баланс</x:v>
      </x:c>
      <x:c r="F35" s="28" t="str">
        <x:v>Болгарский перец имеет профиль «зелёный, травянистый, фруктовый; у красного — сладкий и жареный». Партнёр «восковое яблоко» относится к группе «Фрукты и ягоды» и даёт зелёный, свежий, фруктовый. Вероятный молекулярный мост: гексаналь.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5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I35" s="28" t="str">
        <x:v>сок, кордиал, гаспачо, салат, соус, маринад или коктейльный компонент с восковое яблоко</x:v>
      </x:c>
      <x:c r="J35" s="28" t="str">
        <x:v>Высокая</x:v>
      </x:c>
      <x:c r="K35" s="28" t="str">
        <x:v>The Art &amp; Science of Foodpairing.pdf</x:v>
      </x:c>
      <x:c r="L35" s="28" t="str">
        <x:v>The Art &amp; Science of Foodpairing.pdf: 108</x:v>
      </x:c>
    </x:row>
    <x:row r="36" ht="66" customHeight="1">
      <x:c r="A36" s="28" t="str">
        <x:v>VEG-0126</x:v>
      </x:c>
      <x:c r="B36" s="28" t="str">
        <x:v>болгарский перец</x:v>
      </x:c>
      <x:c r="C36" s="28" t="str">
        <x:v>говядина</x:v>
      </x:c>
      <x:c r="D36" s="28" t="str">
        <x:v>Мясо и птица</x:v>
      </x:c>
      <x:c r="E36" s="28" t="str">
        <x:v>умами и солёный контраст</x:v>
      </x:c>
      <x:c r="F36" s="28" t="str">
        <x:v>Болгарский перец имеет профиль «зелёный, травянистый, фруктовый; у красного — сладкий и жареный».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6" s="28" t="str">
        <x:v>зелёный перец может доминировать метоксипиразином; обугленную кожицу удалять</x:v>
      </x:c>
      <x:c r="I36" s="28" t="str">
        <x:v>сок, кордиал, гаспачо, салат, соус, маринад или коктейльный компонент с говядина</x:v>
      </x:c>
      <x:c r="J36" s="28" t="str">
        <x:v>Высокая</x:v>
      </x:c>
      <x:c r="K36" s="28" t="str">
        <x:v>The Art &amp; Science of Foodpairing.pdf | Тезариус вкусов (Ники Сегнит)(1).pdf</x:v>
      </x:c>
      <x:c r="L36" s="28" t="str">
        <x:v>Тезариус вкусов (Ники Сегнит)(1).pdf: 106, 546; The Art &amp; Science of Foodpairing.pdf: 108</x:v>
      </x:c>
    </x:row>
    <x:row r="37" ht="66" customHeight="1">
      <x:c r="A37" s="28" t="str">
        <x:v>VEG-0127</x:v>
      </x:c>
      <x:c r="B37" s="28" t="str">
        <x:v>болгарский перец</x:v>
      </x:c>
      <x:c r="C37" s="28" t="str">
        <x:v>голубой сыр</x:v>
      </x:c>
      <x:c r="D37" s="28" t="str">
        <x:v>Молочные продукты и сыры</x:v>
      </x:c>
      <x:c r="E37" s="28" t="str">
        <x:v>жировая матрица</x:v>
      </x:c>
      <x:c r="F37" s="28" t="str">
        <x:v>Болгарский перец имеет профиль «зелёный, травянистый, фруктовый; у красного — сладкий и жареный».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7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I37" s="28" t="str">
        <x:v>сок, кордиал, гаспачо, салат, соус, маринад или коктейльный компонент с голубой сыр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164</x:v>
      </x:c>
    </x:row>
    <x:row r="38" ht="66" customHeight="1">
      <x:c r="A38" s="28" t="str">
        <x:v>VEG-0128</x:v>
      </x:c>
      <x:c r="B38" s="28" t="str">
        <x:v>болгарский перец</x:v>
      </x:c>
      <x:c r="C38" s="28" t="str">
        <x:v>горчичная зелень</x:v>
      </x:c>
      <x:c r="D38" s="28" t="str">
        <x:v>Прочее</x:v>
      </x:c>
      <x:c r="E38" s="28" t="str">
        <x:v>сенсорная комплементарность</x:v>
      </x:c>
      <x:c r="F38" s="28" t="str">
        <x:v>Болгарский перец имеет профиль «зелёный, травянистый, фруктовый; у красного — сладкий и жареный». Партнёр «горчичная зелень»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8" s="28" t="str">
        <x:v>зелёный перец может доминировать метоксипиразином; обугленную кожицу удалять</x:v>
      </x:c>
      <x:c r="I38" s="28" t="str">
        <x:v>сок, кордиал, гаспачо, салат, соус, маринад или коктейльный компонент с горчичная зелень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108</x:v>
      </x:c>
    </x:row>
    <x:row r="39" ht="66" customHeight="1">
      <x:c r="A39" s="28" t="str">
        <x:v>VEG-0129</x:v>
      </x:c>
      <x:c r="B39" s="28" t="str">
        <x:v>болгарский перец</x:v>
      </x:c>
      <x:c r="C39" s="28" t="str">
        <x:v>гребешок</x:v>
      </x:c>
      <x:c r="D39" s="28" t="str">
        <x:v>Рыба и морепродукты</x:v>
      </x:c>
      <x:c r="E39" s="28" t="str">
        <x:v>умами и солёный контраст</x:v>
      </x:c>
      <x:c r="F39" s="28" t="str">
        <x:v>Болгарский перец имеет профиль «зелёный, травянистый, фруктовый; у красного — сладкий и жареный». Партнёр «гребешок»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9" s="28" t="str">
        <x:v>зелёный перец может доминировать метоксипиразином; обугленную кожицу удалять</x:v>
      </x:c>
      <x:c r="I39" s="28" t="str">
        <x:v>сок, кордиал, гаспачо, салат, соус, маринад или коктейльный компонент с гребешок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108</x:v>
      </x:c>
    </x:row>
    <x:row r="40" ht="66" customHeight="1">
      <x:c r="A40" s="28" t="str">
        <x:v>VEG-0130</x:v>
      </x:c>
      <x:c r="B40" s="28" t="str">
        <x:v>болгарский перец</x:v>
      </x:c>
      <x:c r="C40" s="28" t="str">
        <x:v>жареная индейка</x:v>
      </x:c>
      <x:c r="D40" s="28" t="str">
        <x:v>Мясо и птица</x:v>
      </x:c>
      <x:c r="E40" s="28" t="str">
        <x:v>умами и солёный контраст</x:v>
      </x:c>
      <x:c r="F40" s="28" t="str">
        <x:v>Болгарский перец имеет профиль «зелёный, травянистый, фруктовый; у красного — сладкий и жареный». Партнёр «жареная индейка»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0" s="28" t="str">
        <x:v>зелёный перец может доминировать метоксипиразином; обугленную кожицу удалять</x:v>
      </x:c>
      <x:c r="I40" s="28" t="str">
        <x:v>сок, кордиал, гаспачо, салат, соус, маринад или коктейльный компонент с жареная индейка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108</x:v>
      </x:c>
    </x:row>
    <x:row r="41" ht="66" customHeight="1">
      <x:c r="A41" s="28" t="str">
        <x:v>VEG-0131</x:v>
      </x:c>
      <x:c r="B41" s="28" t="str">
        <x:v>болгарский перец</x:v>
      </x:c>
      <x:c r="C41" s="28" t="str">
        <x:v>зелёный чай</x:v>
      </x:c>
      <x:c r="D41" s="28" t="str">
        <x:v>Чай</x:v>
      </x:c>
      <x:c r="E41" s="28" t="str">
        <x:v>пересечение ароматических семейств</x:v>
      </x:c>
      <x:c r="F41" s="28" t="str">
        <x:v>Болгарский перец имеет профиль «зелёный, травянистый, фруктовый; у красного — сладкий и жареный». Партнёр «зелёный 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4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1" s="28" t="str">
        <x:v>зелёный перец может доминировать метоксипиразином; обугленную кожицу удалять</x:v>
      </x:c>
      <x:c r="I41" s="28" t="str">
        <x:v>сок, кордиал, гаспачо, салат, соус, маринад или коктейльный компонент с зелёный чай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108</x:v>
      </x:c>
    </x:row>
    <x:row r="42" ht="66" customHeight="1">
      <x:c r="A42" s="28" t="str">
        <x:v>VEG-0132</x:v>
      </x:c>
      <x:c r="B42" s="28" t="str">
        <x:v>болгарский перец</x:v>
      </x:c>
      <x:c r="C42" s="28" t="str">
        <x:v>камбала</x:v>
      </x:c>
      <x:c r="D42" s="28" t="str">
        <x:v>Прочее</x:v>
      </x:c>
      <x:c r="E42" s="28" t="str">
        <x:v>сенсорная комплементарность</x:v>
      </x:c>
      <x:c r="F42" s="28" t="str">
        <x:v>Болгарский перец имеет профиль «зелёный, травянистый, фруктовый; у красного — сладкий и жареный». Партнёр «камбала»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2" s="28" t="str">
        <x:v>зелёный перец может доминировать метоксипиразином; обугленную кожицу удалять</x:v>
      </x:c>
      <x:c r="I42" s="28" t="str">
        <x:v>сок, кордиал, гаспачо, салат, соус, маринад или коктейльный компонент с камбала</x:v>
      </x:c>
      <x:c r="J42" s="28" t="str">
        <x:v>Высокая</x:v>
      </x:c>
      <x:c r="K42" s="28" t="str">
        <x:v>The Art &amp; Science of Foodpairing.pdf</x:v>
      </x:c>
      <x:c r="L42" s="28" t="str">
        <x:v>The Art &amp; Science of Foodpairing.pdf: 105</x:v>
      </x:c>
    </x:row>
    <x:row r="43" ht="66" customHeight="1">
      <x:c r="A43" s="28" t="str">
        <x:v>VEG-0133</x:v>
      </x:c>
      <x:c r="B43" s="28" t="str">
        <x:v>болгарский перец</x:v>
      </x:c>
      <x:c r="C43" s="28" t="str">
        <x:v>колбаса</x:v>
      </x:c>
      <x:c r="D43" s="28" t="str">
        <x:v>Прочее</x:v>
      </x:c>
      <x:c r="E43" s="28" t="str">
        <x:v>сенсорная комплементарность</x:v>
      </x:c>
      <x:c r="F43" s="28" t="str">
        <x:v>Болгарский перец имеет профиль «зелёный, травянистый, фруктовый; у красного — сладкий и жареный». Партнёр «колбаса»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3" s="28" t="str">
        <x:v>зелёный перец может доминировать метоксипиразином; обугленную кожицу удалять</x:v>
      </x:c>
      <x:c r="I43" s="28" t="str">
        <x:v>сок, кордиал, гаспачо, салат, соус, маринад или коктейльный компонент с колбаса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108</x:v>
      </x:c>
    </x:row>
    <x:row r="44" ht="66" customHeight="1">
      <x:c r="A44" s="28" t="str">
        <x:v>VEG-0134</x:v>
      </x:c>
      <x:c r="B44" s="28" t="str">
        <x:v>болгарский перец</x:v>
      </x:c>
      <x:c r="C44" s="28" t="str">
        <x:v>колумбийский кофе</x:v>
      </x:c>
      <x:c r="D44" s="28" t="str">
        <x:v>Кофе</x:v>
      </x:c>
      <x:c r="E44" s="28" t="str">
        <x:v>сенсорная комплементарность</x:v>
      </x:c>
      <x:c r="F44" s="28" t="str">
        <x:v>Болгарский перец имеет профиль «зелёный, травянистый, фруктовый; у красного — сладкий и жареный». Партнёр «колумбийский 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4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4" s="28" t="str">
        <x:v>зелёный перец может доминировать метоксипиразином; обугленную кожицу удалять; жареная горечь легко маскирует нежный овощной аромат</x:v>
      </x:c>
      <x:c r="I44" s="28" t="str">
        <x:v>сок, кордиал, гаспачо, салат, соус, маринад или коктейльный компонент с колумбийский кофе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108</x:v>
      </x:c>
    </x:row>
    <x:row r="45" ht="66" customHeight="1">
      <x:c r="A45" s="28" t="str">
        <x:v>VEG-0135</x:v>
      </x:c>
      <x:c r="B45" s="28" t="str">
        <x:v>болгарский перец</x:v>
      </x:c>
      <x:c r="C45" s="28" t="str">
        <x:v>кольраби</x:v>
      </x:c>
      <x:c r="D45" s="28" t="str">
        <x:v>Прочее</x:v>
      </x:c>
      <x:c r="E45" s="28" t="str">
        <x:v>сенсорная комплементарность</x:v>
      </x:c>
      <x:c r="F45" s="28" t="str">
        <x:v>Болгарский перец имеет профиль «зелёный, травянистый, фруктовый; у красного — сладкий и жареный». Партнёр «кольраби»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5" s="28" t="str">
        <x:v>зелёный перец может доминировать метоксипиразином; обугленную кожицу удалять</x:v>
      </x:c>
      <x:c r="I45" s="28" t="str">
        <x:v>сок, кордиал, гаспачо, салат, соус, маринад или коктейльный компонент с кольраби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108</x:v>
      </x:c>
    </x:row>
    <x:row r="46" ht="66" customHeight="1">
      <x:c r="A46" s="28" t="str">
        <x:v>VEG-0136</x:v>
      </x:c>
      <x:c r="B46" s="28" t="str">
        <x:v>болгарский перец</x:v>
      </x:c>
      <x:c r="C46" s="28" t="str">
        <x:v>красный болгарский перец</x:v>
      </x:c>
      <x:c r="D46" s="28" t="str">
        <x:v>Плодовые и тыквенные овощи</x:v>
      </x:c>
      <x:c r="E46" s="28" t="str">
        <x:v>общие характерные молекулы; пересечение ароматических семейств</x:v>
      </x:c>
      <x:c r="F46" s="28" t="str">
        <x:v>Болгарский перец имеет профиль «зелёный, травянистый, фруктовый; у красного — сладкий и жареный». Партнёр «красный болгарский перец» относится к группе «Плодовые и тыквенные овощи» и даёт зелёный, фруктовый или водянистый. Вероятный молекулярный мост: эфиры. Совместимость формируется за счёт баланса сладости, кислотности, горечи, умами и текстуры.</x:v>
      </x:c>
      <x:c r="G4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6" s="28" t="str">
        <x:v>зелёный перец может доминировать метоксипиразином; обугленную кожицу удалять</x:v>
      </x:c>
      <x:c r="I46" s="28" t="str">
        <x:v>сок, кордиал, гаспачо, салат, соус, маринад или коктейльный компонент с красный болгарский перец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108</x:v>
      </x:c>
    </x:row>
    <x:row r="47" ht="66" customHeight="1">
      <x:c r="A47" s="28" t="str">
        <x:v>VEG-0137</x:v>
      </x:c>
      <x:c r="B47" s="28" t="str">
        <x:v>болгарский перец</x:v>
      </x:c>
      <x:c r="C47" s="28" t="str">
        <x:v>красный щавель</x:v>
      </x:c>
      <x:c r="D47" s="28" t="str">
        <x:v>Прочее</x:v>
      </x:c>
      <x:c r="E47" s="28" t="str">
        <x:v>сенсорная комплементарность</x:v>
      </x:c>
      <x:c r="F47" s="28" t="str">
        <x:v>Болгарский перец имеет профиль «зелёный, травянистый, фруктовый; у красного — сладкий и жареный». Партнёр «красный щавель»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7" s="28" t="str">
        <x:v>зелёный перец может доминировать метоксипиразином; обугленную кожицу удалять</x:v>
      </x:c>
      <x:c r="I47" s="28" t="str">
        <x:v>сок, кордиал, гаспачо, салат, соус, маринад или коктейльный компонент с красный щавель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108</x:v>
      </x:c>
    </x:row>
    <x:row r="48" ht="66" customHeight="1">
      <x:c r="A48" s="28" t="str">
        <x:v>VEG-0138</x:v>
      </x:c>
      <x:c r="B48" s="28" t="str">
        <x:v>болгарский перец</x:v>
      </x:c>
      <x:c r="C48" s="28" t="str">
        <x:v>лук-порей</x:v>
      </x:c>
      <x:c r="D48" s="28" t="str">
        <x:v>Луковые овощи</x:v>
      </x:c>
      <x:c r="E48" s="28" t="str">
        <x:v>пересечение ароматических семейств</x:v>
      </x:c>
      <x:c r="F48" s="28" t="str">
        <x:v>Болгарский перец имеет профиль «зелёный, травянистый, фруктовый; у красного — сладкий и жареный». Партнёр «лук-порей» относится к группе «Луковые овощи» и даёт сернистый,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4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8" s="28" t="str">
        <x:v>зелёный перец может доминировать метоксипиразином; обугленную кожицу удалять</x:v>
      </x:c>
      <x:c r="I48" s="28" t="str">
        <x:v>сок, кордиал, гаспачо, салат, соус, маринад или коктейльный компонент с лук-порей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108</x:v>
      </x:c>
    </x:row>
    <x:row r="49" ht="66" customHeight="1">
      <x:c r="A49" s="28" t="str">
        <x:v>VEG-0139</x:v>
      </x:c>
      <x:c r="B49" s="28" t="str">
        <x:v>болгарский перец</x:v>
      </x:c>
      <x:c r="C49" s="28" t="str">
        <x:v>манго</x:v>
      </x:c>
      <x:c r="D49" s="28" t="str">
        <x:v>Фрукты и ягоды</x:v>
      </x:c>
      <x:c r="E49" s="28" t="str">
        <x:v>общие характерные молекулы; пересечение ароматических семейств; кислотно-сладкий баланс</x:v>
      </x:c>
      <x:c r="F49" s="28" t="str">
        <x:v>Болгарский перец имеет профиль «зелёный, травянистый, фруктовый; у красного — сладкий и жареный». Партнёр «манго»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4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9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I49" s="28" t="str">
        <x:v>сок, кордиал, гаспачо, салат, соус, маринад или коктейльный компонент с манго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108</x:v>
      </x:c>
    </x:row>
    <x:row r="50" ht="66" customHeight="1">
      <x:c r="A50" s="28" t="str">
        <x:v>VEG-0140</x:v>
      </x:c>
      <x:c r="B50" s="28" t="str">
        <x:v>болгарский перец</x:v>
      </x:c>
      <x:c r="C50" s="28" t="str">
        <x:v>моллюски</x:v>
      </x:c>
      <x:c r="D50" s="28" t="str">
        <x:v>Рыба и морепродукты</x:v>
      </x:c>
      <x:c r="E50" s="28" t="str">
        <x:v>умами и солёный контраст</x:v>
      </x:c>
      <x:c r="F50" s="28" t="str">
        <x:v>Болгарский перец имеет профиль «зелёный, травянистый, фруктовый; у красного — сладкий и жареный».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5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0" s="28" t="str">
        <x:v>зелёный перец может доминировать метоксипиразином; обугленную кожицу удалять</x:v>
      </x:c>
      <x:c r="I50" s="28" t="str">
        <x:v>сок, кордиал, гаспачо, салат, соус, маринад или коктейльный компонент с моллюски</x:v>
      </x:c>
      <x:c r="J50" s="28" t="str">
        <x:v>Высокая</x:v>
      </x:c>
      <x:c r="K50" s="28" t="str">
        <x:v>The Art &amp; Science of Foodpairing.pdf | Тезариус вкусов (Ники Сегнит)(1).pdf</x:v>
      </x:c>
      <x:c r="L50" s="28" t="str">
        <x:v>Тезариус вкусов (Ники Сегнит)(1).pdf: 367, 547; The Art &amp; Science of Foodpairing.pdf: 108</x:v>
      </x:c>
    </x:row>
    <x:row r="51" ht="66" customHeight="1">
      <x:c r="A51" s="28" t="str">
        <x:v>VEG-0141</x:v>
      </x:c>
      <x:c r="B51" s="28" t="str">
        <x:v>болгарский перец</x:v>
      </x:c>
      <x:c r="C51" s="28" t="str">
        <x:v>морской гребешок</x:v>
      </x:c>
      <x:c r="D51" s="28" t="str">
        <x:v>Рыба и морепродукты</x:v>
      </x:c>
      <x:c r="E51" s="28" t="str">
        <x:v>умами и солёный контраст</x:v>
      </x:c>
      <x:c r="F51" s="28" t="str">
        <x:v>Болгарский перец имеет профиль «зелёный, травянистый, фруктовый; у красного — сладкий и жареный». Партнёр «морской гребешок»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5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1" s="28" t="str">
        <x:v>зелёный перец может доминировать метоксипиразином; обугленную кожицу удалять</x:v>
      </x:c>
      <x:c r="I51" s="28" t="str">
        <x:v>сок, кордиал, гаспачо, салат, соус, маринад или коктейльный компонент с морской гребешок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108</x:v>
      </x:c>
    </x:row>
    <x:row r="52" ht="66" customHeight="1">
      <x:c r="A52" s="28" t="str">
        <x:v>VEG-0142</x:v>
      </x:c>
      <x:c r="B52" s="28" t="str">
        <x:v>болгарский перец</x:v>
      </x:c>
      <x:c r="C52" s="28" t="str">
        <x:v>мягкий сыр</x:v>
      </x:c>
      <x:c r="D52" s="28" t="str">
        <x:v>Молочные продукты и сыры</x:v>
      </x:c>
      <x:c r="E52" s="28" t="str">
        <x:v>жировая матрица</x:v>
      </x:c>
      <x:c r="F52" s="28" t="str">
        <x:v>Болгарский перец имеет профиль «зелёный, травянистый, фруктовый; у красного — сладкий и жареный».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5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2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I52" s="28" t="str">
        <x:v>сок, кордиал, гаспачо, салат, соус, маринад или коктейльный компонент с мягкий сыр</x:v>
      </x:c>
      <x:c r="J52" s="28" t="str">
        <x:v>Средняя</x:v>
      </x:c>
      <x:c r="K52" s="28" t="str">
        <x:v>Тезариус вкусов (Ники Сегнит)(1).pdf</x:v>
      </x:c>
      <x:c r="L52" s="28" t="str">
        <x:v>Тезариус вкусов (Ники Сегнит)(1).pdf: 181, 547</x:v>
      </x:c>
    </x:row>
    <x:row r="53" ht="66" customHeight="1">
      <x:c r="A53" s="28" t="str">
        <x:v>VEG-0143</x:v>
      </x:c>
      <x:c r="B53" s="28" t="str">
        <x:v>болгарский перец</x:v>
      </x:c>
      <x:c r="C53" s="28" t="str">
        <x:v>мята</x:v>
      </x:c>
      <x:c r="D53" s="28" t="str">
        <x:v>Травы, цветы и листья</x:v>
      </x:c>
      <x:c r="E53" s="28" t="str">
        <x:v>пересечение ароматических семейств</x:v>
      </x:c>
      <x:c r="F53" s="28" t="str">
        <x:v>Болгарский перец имеет профиль «зелёный, травянистый, фруктовый; у красного — сладкий и жареный».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5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3" s="28" t="str">
        <x:v>зелёный перец может доминировать метоксипиразином; обугленную кожицу удалять; длительный нагрев уносит свежие терпены и зелёные альдегиды</x:v>
      </x:c>
      <x:c r="I53" s="28" t="str">
        <x:v>сок, кордиал, гаспачо, салат, соус, маринад или коктейльный компонент с мята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108</x:v>
      </x:c>
    </x:row>
    <x:row r="54" ht="66" customHeight="1">
      <x:c r="A54" s="28" t="str">
        <x:v>VEG-0144</x:v>
      </x:c>
      <x:c r="B54" s="28" t="str">
        <x:v>болгарский перец</x:v>
      </x:c>
      <x:c r="C54" s="28" t="str">
        <x:v>огурец</x:v>
      </x:c>
      <x:c r="D54" s="28" t="str">
        <x:v>Тыквенные</x:v>
      </x:c>
      <x:c r="E54" s="28" t="str">
        <x:v>общие характерные молекулы; пересечение ароматических семейств</x:v>
      </x:c>
      <x:c r="F54" s="28" t="str">
        <x:v>Болгарский перец имеет профиль «зелёный, травянистый, фруктовый; у красного — сладкий и жареный». Партнёр «огурец» относится к группе «Тыквенные» и даёт зелёный, водянистый, свежий и дынный. Вероятный молекулярный мост: гексаналь. Совместимость формируется за счёт баланса сладости, кислотности, горечи, умами и текстуры.</x:v>
      </x:c>
      <x:c r="G5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4" s="28" t="str">
        <x:v>зелёный перец может доминировать метоксипиразином; обугленную кожицу удалять</x:v>
      </x:c>
      <x:c r="I54" s="28" t="str">
        <x:v>сок, кордиал, гаспачо, салат, соус, маринад или коктейльный компонент с огурец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108</x:v>
      </x:c>
    </x:row>
    <x:row r="55" ht="66" customHeight="1">
      <x:c r="A55" s="28" t="str">
        <x:v>VEG-0145</x:v>
      </x:c>
      <x:c r="B55" s="28" t="str">
        <x:v>болгарский перец</x:v>
      </x:c>
      <x:c r="C55" s="28" t="str">
        <x:v>оливки</x:v>
      </x:c>
      <x:c r="D55" s="28" t="str">
        <x:v>Прочее</x:v>
      </x:c>
      <x:c r="E55" s="28" t="str">
        <x:v>сенсорная комплементарность</x:v>
      </x:c>
      <x:c r="F55" s="28" t="str">
        <x:v>Болгарский перец имеет профиль «зелёный, травянистый, фруктовый; у красного — сладкий и жареный».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5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5" s="28" t="str">
        <x:v>зелёный перец может доминировать метоксипиразином; обугленную кожицу удалять</x:v>
      </x:c>
      <x:c r="I55" s="28" t="str">
        <x:v>сок, кордиал, гаспачо, салат, соус, маринад или коктейльный компонент с оливки</x:v>
      </x:c>
      <x:c r="J55" s="28" t="str">
        <x:v>Средняя</x:v>
      </x:c>
      <x:c r="K55" s="28" t="str">
        <x:v>Тезариус вкусов (Ники Сегнит)(1).pdf</x:v>
      </x:c>
      <x:c r="L55" s="28" t="str">
        <x:v>Тезариус вкусов (Ники Сегнит)(1).pdf: 464, 547</x:v>
      </x:c>
    </x:row>
    <x:row r="56" ht="66" customHeight="1">
      <x:c r="A56" s="28" t="str">
        <x:v>VEG-0146</x:v>
      </x:c>
      <x:c r="B56" s="28" t="str">
        <x:v>болгарский перец</x:v>
      </x:c>
      <x:c r="C56" s="28" t="str">
        <x:v>пюре имбиря</x:v>
      </x:c>
      <x:c r="D56" s="28" t="str">
        <x:v>Специи</x:v>
      </x:c>
      <x:c r="E56" s="28" t="str">
        <x:v>сенсорная комплементарность</x:v>
      </x:c>
      <x:c r="F56" s="28" t="str">
        <x:v>Болгарский перец имеет профиль «зелёный, травянистый, фруктовый; у красного — сладкий и жареный». Партнёр «пюре имбиря»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5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6" s="28" t="str">
        <x:v>зелёный перец может доминировать метоксипиразином; обугленную кожицу удалять</x:v>
      </x:c>
      <x:c r="I56" s="28" t="str">
        <x:v>сок, кордиал, гаспачо, салат, соус, маринад или коктейльный компонент с пюре имбиря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108</x:v>
      </x:c>
    </x:row>
    <x:row r="57" ht="66" customHeight="1">
      <x:c r="A57" s="28" t="str">
        <x:v>VEG-0147</x:v>
      </x:c>
      <x:c r="B57" s="28" t="str">
        <x:v>болгарский перец</x:v>
      </x:c>
      <x:c r="C57" s="28" t="str">
        <x:v>руккола</x:v>
      </x:c>
      <x:c r="D57" s="28" t="str">
        <x:v>Прочее</x:v>
      </x:c>
      <x:c r="E57" s="28" t="str">
        <x:v>сенсорная комплементарность</x:v>
      </x:c>
      <x:c r="F57" s="28" t="str">
        <x:v>Болгарский перец имеет профиль «зелёный, травянистый, фруктовый; у красного — сладкий и жареный». Партнёр «руккола»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5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7" s="28" t="str">
        <x:v>зелёный перец может доминировать метоксипиразином; обугленную кожицу удалять</x:v>
      </x:c>
      <x:c r="I57" s="28" t="str">
        <x:v>сок, кордиал, гаспачо, салат, соус, маринад или коктейльный компонент с руккола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108</x:v>
      </x:c>
    </x:row>
    <x:row r="58" ht="66" customHeight="1">
      <x:c r="A58" s="28" t="str">
        <x:v>VEG-0148</x:v>
      </x:c>
      <x:c r="B58" s="28" t="str">
        <x:v>болгарский перец</x:v>
      </x:c>
      <x:c r="C58" s="28" t="str">
        <x:v>сардина</x:v>
      </x:c>
      <x:c r="D58" s="28" t="str">
        <x:v>Рыба и морепродукты</x:v>
      </x:c>
      <x:c r="E58" s="28" t="str">
        <x:v>умами и солёный контраст</x:v>
      </x:c>
      <x:c r="F58" s="28" t="str">
        <x:v>Болгарский перец имеет профиль «зелёный, травянистый, фруктовый; у красного — сладкий и жареный». Партнёр «сардина»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5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8" s="28" t="str">
        <x:v>зелёный перец может доминировать метоксипиразином; обугленную кожицу удалять</x:v>
      </x:c>
      <x:c r="I58" s="28" t="str">
        <x:v>сок, кордиал, гаспачо, салат, соус, маринад или коктейльный компонент с сардина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108</x:v>
      </x:c>
    </x:row>
    <x:row r="59" ht="66" customHeight="1">
      <x:c r="A59" s="28" t="str">
        <x:v>VEG-0149</x:v>
      </x:c>
      <x:c r="B59" s="28" t="str">
        <x:v>болгарский перец</x:v>
      </x:c>
      <x:c r="C59" s="28" t="str">
        <x:v>сметана</x:v>
      </x:c>
      <x:c r="D59" s="28" t="str">
        <x:v>Молочные продукты и сыры</x:v>
      </x:c>
      <x:c r="E59" s="28" t="str">
        <x:v>жировая матрица</x:v>
      </x:c>
      <x:c r="F59" s="28" t="str">
        <x:v>Болгарский перец имеет профиль «зелёный, травянистый, фруктовый; у красного — сладкий и жареный». Партнёр «сметана» относится к группе «Молочные продукты и сыры» и даёт молочный, сливочный и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5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59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I59" s="28" t="str">
        <x:v>сок, кордиал, гаспачо, салат, соус, маринад или коктейльный компонент с сметана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108</x:v>
      </x:c>
    </x:row>
    <x:row r="60" ht="66" customHeight="1">
      <x:c r="A60" s="28" t="str">
        <x:v>VEG-0150</x:v>
      </x:c>
      <x:c r="B60" s="28" t="str">
        <x:v>болгарский перец</x:v>
      </x:c>
      <x:c r="C60" s="28" t="str">
        <x:v>соевый соус</x:v>
      </x:c>
      <x:c r="D60" s="28" t="str">
        <x:v>Ферментированные продукты и соусы</x:v>
      </x:c>
      <x:c r="E60" s="28" t="str">
        <x:v>общие характерные молекулы; умами и солёный контраст</x:v>
      </x:c>
      <x:c r="F60" s="28" t="str">
        <x:v>Болгарский перец имеет профиль «зелёный, травянистый, фруктовый; у красного — сладкий и жареный». Партнёр «соевый соус» относится к группе «Ферментированные продукты и соусы» и даёт жареный, умами, ферментированный. Вероятный молекулярный мост: эфиры. Умами, соль и нуклеотиды усиливают savoury-профиль, а жарка формирует общую систему пиразинов, фуранов и сернистых молекул.</x:v>
      </x:c>
      <x:c r="G6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0" s="28" t="str">
        <x:v>зелёный перец может доминировать метоксипиразином; обугленную кожицу удалять</x:v>
      </x:c>
      <x:c r="I60" s="28" t="str">
        <x:v>сок, кордиал, гаспачо, салат, соус, маринад или коктейльный компонент с соевый соус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108</x:v>
      </x:c>
    </x:row>
    <x:row r="61" ht="66" customHeight="1">
      <x:c r="A61" s="28" t="str">
        <x:v>VEG-0151</x:v>
      </x:c>
      <x:c r="B61" s="28" t="str">
        <x:v>болгарский перец</x:v>
      </x:c>
      <x:c r="C61" s="28" t="str">
        <x:v>соевый соус сайсикоми</x:v>
      </x:c>
      <x:c r="D61" s="28" t="str">
        <x:v>Ферментированные продукты и соусы</x:v>
      </x:c>
      <x:c r="E61" s="28" t="str">
        <x:v>общие характерные молекулы; умами и солёный контраст</x:v>
      </x:c>
      <x:c r="F61" s="28" t="str">
        <x:v>Болгарский перец имеет профиль «зелёный, травянистый, фруктовый; у красного — сладкий и жареный». Партнёр «соевый соус сайсикоми» относится к группе «Ферментированные продукты и соусы» и даёт жареный, умами, ферментированный. Вероятный молекулярный мост: эфиры. Умами, соль и нуклеотиды усиливают savoury-профиль, а жарка формирует общую систему пиразинов, фуранов и сернистых молекул.</x:v>
      </x:c>
      <x:c r="G6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1" s="28" t="str">
        <x:v>зелёный перец может доминировать метоксипиразином; обугленную кожицу удалять</x:v>
      </x:c>
      <x:c r="I61" s="28" t="str">
        <x:v>сок, кордиал, гаспачо, салат, соус, маринад или коктейльный компонент с соевый соус сайсикоми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108</x:v>
      </x:c>
    </x:row>
    <x:row r="62" ht="66" customHeight="1">
      <x:c r="A62" s="28" t="str">
        <x:v>VEG-0152</x:v>
      </x:c>
      <x:c r="B62" s="28" t="str">
        <x:v>болгарский перец</x:v>
      </x:c>
      <x:c r="C62" s="28" t="str">
        <x:v>соус тукупи</x:v>
      </x:c>
      <x:c r="D62" s="28" t="str">
        <x:v>Прочее</x:v>
      </x:c>
      <x:c r="E62" s="28" t="str">
        <x:v>сенсорная комплементарность</x:v>
      </x:c>
      <x:c r="F62" s="28" t="str">
        <x:v>Болгарский перец имеет профиль «зелёный, травянистый, фруктовый; у красного — сладкий и жареный». Партнёр «соус тукупи»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6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2" s="28" t="str">
        <x:v>зелёный перец может доминировать метоксипиразином; обугленную кожицу удалять</x:v>
      </x:c>
      <x:c r="I62" s="28" t="str">
        <x:v>сок, кордиал, гаспачо, салат, соус, маринад или коктейльный компонент с соус тукупи</x:v>
      </x:c>
      <x:c r="J62" s="28" t="str">
        <x:v>Высокая</x:v>
      </x:c>
      <x:c r="K62" s="28" t="str">
        <x:v>The Art &amp; Science of Foodpairing.pdf</x:v>
      </x:c>
      <x:c r="L62" s="28" t="str">
        <x:v>The Art &amp; Science of Foodpairing.pdf: 250</x:v>
      </x:c>
    </x:row>
    <x:row r="63" ht="66" customHeight="1">
      <x:c r="A63" s="28" t="str">
        <x:v>VEG-0153</x:v>
      </x:c>
      <x:c r="B63" s="28" t="str">
        <x:v>болгарский перец</x:v>
      </x:c>
      <x:c r="C63" s="28" t="str">
        <x:v>стилтон</x:v>
      </x:c>
      <x:c r="D63" s="28" t="str">
        <x:v>Прочее</x:v>
      </x:c>
      <x:c r="E63" s="28" t="str">
        <x:v>сенсорная комплементарность</x:v>
      </x:c>
      <x:c r="F63" s="28" t="str">
        <x:v>Болгарский перец имеет профиль «зелёный, травянистый, фруктовый; у красного — сладкий и жареный». Партнёр «стилтон»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6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3" s="28" t="str">
        <x:v>зелёный перец может доминировать метоксипиразином; обугленную кожицу удалять</x:v>
      </x:c>
      <x:c r="I63" s="28" t="str">
        <x:v>сок, кордиал, гаспачо, салат, соус, маринад или коктейльный компонент с стилтон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108</x:v>
      </x:c>
    </x:row>
    <x:row r="64" ht="66" customHeight="1">
      <x:c r="A64" s="28" t="str">
        <x:v>VEG-0154</x:v>
      </x:c>
      <x:c r="B64" s="28" t="str">
        <x:v>болгарский перец</x:v>
      </x:c>
      <x:c r="C64" s="28" t="str">
        <x:v>телятина</x:v>
      </x:c>
      <x:c r="D64" s="28" t="str">
        <x:v>Прочее</x:v>
      </x:c>
      <x:c r="E64" s="28" t="str">
        <x:v>сенсорная комплементарность</x:v>
      </x:c>
      <x:c r="F64" s="28" t="str">
        <x:v>Болгарский перец имеет профиль «зелёный, травянистый, фруктовый; у красного — сладкий и жареный». Партнёр «телятина»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6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4" s="28" t="str">
        <x:v>зелёный перец может доминировать метоксипиразином; обугленную кожицу удалять</x:v>
      </x:c>
      <x:c r="I64" s="28" t="str">
        <x:v>сок, кордиал, гаспачо, салат, соус, маринад или коктейльный компонент с телятина</x:v>
      </x:c>
      <x:c r="J64" s="28" t="str">
        <x:v>Высокая</x:v>
      </x:c>
      <x:c r="K64" s="28" t="str">
        <x:v>The Art &amp; Science of Foodpairing.pdf</x:v>
      </x:c>
      <x:c r="L64" s="28" t="str">
        <x:v>The Art &amp; Science of Foodpairing.pdf: 108</x:v>
      </x:c>
    </x:row>
    <x:row r="65" ht="66" customHeight="1">
      <x:c r="A65" s="28" t="str">
        <x:v>VEG-0155</x:v>
      </x:c>
      <x:c r="B65" s="28" t="str">
        <x:v>болгарский перец</x:v>
      </x:c>
      <x:c r="C65" s="28" t="str">
        <x:v>телячьи зобные железы</x:v>
      </x:c>
      <x:c r="D65" s="28" t="str">
        <x:v>Прочее</x:v>
      </x:c>
      <x:c r="E65" s="28" t="str">
        <x:v>сенсорная комплементарность</x:v>
      </x:c>
      <x:c r="F65" s="28" t="str">
        <x:v>Болгарский перец имеет профиль «зелёный, травянистый, фруктовый; у красного — сладкий и жареный». Партнёр «телячьи зобные железы»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6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5" s="28" t="str">
        <x:v>зелёный перец может доминировать метоксипиразином; обугленную кожицу удалять</x:v>
      </x:c>
      <x:c r="I65" s="28" t="str">
        <x:v>сок, кордиал, гаспачо, салат, соус, маринад или коктейльный компонент с телячьи зобные железы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108</x:v>
      </x:c>
    </x:row>
    <x:row r="66" ht="66" customHeight="1">
      <x:c r="A66" s="28" t="str">
        <x:v>VEG-0156</x:v>
      </x:c>
      <x:c r="B66" s="28" t="str">
        <x:v>болгарский перец</x:v>
      </x:c>
      <x:c r="C66" s="28" t="str">
        <x:v>томат</x:v>
      </x:c>
      <x:c r="D66" s="28" t="str">
        <x:v>Плодовые овощи</x:v>
      </x:c>
      <x:c r="E66" s="28" t="str">
        <x:v>общие характерные молекулы; пересечение ароматических семейств</x:v>
      </x:c>
      <x:c r="F66" s="28" t="str">
        <x:v>Болгарский перец имеет профиль «зелёный, травянистый, фруктовый; у красного — сладкий и жареный». Партнёр «томат» относится к группе «Плодовые овощи» и даёт зелёный, фруктовый, листовой, сернистый и умами. Вероятный молекулярный мост: гексаналь. Совместимость формируется за счёт баланса сладости, кислотности, горечи, умами и текстуры.</x:v>
      </x:c>
      <x:c r="G6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6" s="28" t="str">
        <x:v>зелёный перец может доминировать метоксипиразином; обугленную кожицу удалять</x:v>
      </x:c>
      <x:c r="I66" s="28" t="str">
        <x:v>сок, кордиал, гаспачо, салат, соус, маринад или коктейльный компонент с томат</x:v>
      </x:c>
      <x:c r="J66" s="28" t="str">
        <x:v>Средняя</x:v>
      </x:c>
      <x:c r="K66" s="28" t="str">
        <x:v>Тезариус вкусов (Ники Сегнит)(1).pdf</x:v>
      </x:c>
      <x:c r="L66" s="28" t="str">
        <x:v>Тезариус вкусов (Ники Сегнит)(1).pdf: 548, 684</x:v>
      </x:c>
    </x:row>
    <x:row r="67" ht="66" customHeight="1">
      <x:c r="A67" s="28" t="str">
        <x:v>VEG-0157</x:v>
      </x:c>
      <x:c r="B67" s="28" t="str">
        <x:v>болгарский перец</x:v>
      </x:c>
      <x:c r="C67" s="28" t="str">
        <x:v>томат черри</x:v>
      </x:c>
      <x:c r="D67" s="28" t="str">
        <x:v>Плодовые и тыквенные овощи</x:v>
      </x:c>
      <x:c r="E67" s="28" t="str">
        <x:v>общие характерные молекулы; пересечение ароматических семейств</x:v>
      </x:c>
      <x:c r="F67" s="28" t="str">
        <x:v>Болгарский перец имеет профиль «зелёный, травянистый, фруктовый; у красного — сладкий и жареный». Партнёр «томат черри» относится к группе «Плодовые и тыквенные овощи» и даёт зелёный, фруктовый или водянистый. Вероятный молекулярный мост: эфиры. Совместимость формируется за счёт баланса сладости, кислотности, горечи, умами и текстуры.</x:v>
      </x:c>
      <x:c r="G6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7" s="28" t="str">
        <x:v>зелёный перец может доминировать метоксипиразином; обугленную кожицу удалять</x:v>
      </x:c>
      <x:c r="I67" s="28" t="str">
        <x:v>сок, кордиал, гаспачо, салат, соус, маринад или коктейльный компонент с томат черри</x:v>
      </x:c>
      <x:c r="J67" s="28" t="str">
        <x:v>Средняя</x:v>
      </x:c>
      <x:c r="K67" s="28" t="str">
        <x:v>The Art &amp; Science of Foodpairing.pdf</x:v>
      </x:c>
      <x:c r="L67" s="28" t="str">
        <x:v>The Art &amp; Science of Foodpairing.pdf: 108</x:v>
      </x:c>
    </x:row>
    <x:row r="68" ht="66" customHeight="1">
      <x:c r="A68" s="28" t="str">
        <x:v>VEG-0158</x:v>
      </x:c>
      <x:c r="B68" s="28" t="str">
        <x:v>болгарский перец</x:v>
      </x:c>
      <x:c r="C68" s="28" t="str">
        <x:v>франкфуртская колбаска</x:v>
      </x:c>
      <x:c r="D68" s="28" t="str">
        <x:v>Прочее</x:v>
      </x:c>
      <x:c r="E68" s="28" t="str">
        <x:v>сенсорная комплементарность</x:v>
      </x:c>
      <x:c r="F68" s="28" t="str">
        <x:v>Болгарский перец имеет профиль «зелёный, травянистый, фруктовый; у красного — сладкий и жареный». Партнёр «франкфуртская колбаска»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6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8" s="28" t="str">
        <x:v>зелёный перец может доминировать метоксипиразином; обугленную кожицу удалять</x:v>
      </x:c>
      <x:c r="I68" s="28" t="str">
        <x:v>сок, кордиал, гаспачо, салат, соус, маринад или коктейльный компонент с франкфуртская колбаска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108</x:v>
      </x:c>
    </x:row>
    <x:row r="69" ht="66" customHeight="1">
      <x:c r="A69" s="28" t="str">
        <x:v>VEG-0159</x:v>
      </x:c>
      <x:c r="B69" s="28" t="str">
        <x:v>болгарский перец</x:v>
      </x:c>
      <x:c r="C69" s="28" t="str">
        <x:v>фундук</x:v>
      </x:c>
      <x:c r="D69" s="28" t="str">
        <x:v>Орехи и семена</x:v>
      </x:c>
      <x:c r="E69" s="28" t="str">
        <x:v>сенсорная комплементарность</x:v>
      </x:c>
      <x:c r="F69" s="28" t="str">
        <x:v>Болгарский перец имеет профиль «зелёный, травянистый, фруктовый; у красного — сладкий и жареный».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6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69" s="28" t="str">
        <x:v>зелёный перец может доминировать метоксипиразином; обугленную кожицу удалять</x:v>
      </x:c>
      <x:c r="I69" s="28" t="str">
        <x:v>сок, кордиал, гаспачо, салат, соус, маринад или коктейльный компонент с фундук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108</x:v>
      </x:c>
    </x:row>
    <x:row r="70" ht="66" customHeight="1">
      <x:c r="A70" s="28" t="str">
        <x:v>VEG-0160</x:v>
      </x:c>
      <x:c r="B70" s="28" t="str">
        <x:v>болгарский перец</x:v>
      </x:c>
      <x:c r="C70" s="28" t="str">
        <x:v>хлеб на закваске</x:v>
      </x:c>
      <x:c r="D70" s="28" t="str">
        <x:v>Выпечка, крупы, сахара и десерты</x:v>
      </x:c>
      <x:c r="E70" s="28" t="str">
        <x:v>сенсорная комплементарность</x:v>
      </x:c>
      <x:c r="F70" s="28" t="str">
        <x:v>Болгарский перец имеет профиль «зелёный, травянистый, фруктовый; у красного — сладкий и жареный». Партнёр «хлеб на закваске»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7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0" s="28" t="str">
        <x:v>зелёный перец может доминировать метоксипиразином; обугленную кожицу удалять</x:v>
      </x:c>
      <x:c r="I70" s="28" t="str">
        <x:v>сок, кордиал, гаспачо, салат, соус, маринад или коктейльный компонент с хлеб на закваске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108</x:v>
      </x:c>
    </x:row>
    <x:row r="71" ht="66" customHeight="1">
      <x:c r="A71" s="28" t="str">
        <x:v>VEG-0161</x:v>
      </x:c>
      <x:c r="B71" s="28" t="str">
        <x:v>болгарский перец</x:v>
      </x:c>
      <x:c r="C71" s="28" t="str">
        <x:v>цыпленок</x:v>
      </x:c>
      <x:c r="D71" s="28" t="str">
        <x:v>Прочее</x:v>
      </x:c>
      <x:c r="E71" s="28" t="str">
        <x:v>сенсорная комплементарность</x:v>
      </x:c>
      <x:c r="F71" s="28" t="str">
        <x:v>Болгарский перец имеет профиль «зелёный, травянистый, фруктовый; у красного — сладкий и жареный».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1" s="28" t="str">
        <x:v>зелёный перец может доминировать метоксипиразином; обугленную кожицу удалять</x:v>
      </x:c>
      <x:c r="I71" s="28" t="str">
        <x:v>сок, кордиал, гаспачо, салат, соус, маринад или коктейльный компонент с цыпленок</x:v>
      </x:c>
      <x:c r="J71" s="28" t="str">
        <x:v>Средняя</x:v>
      </x:c>
      <x:c r="K71" s="28" t="str">
        <x:v>Тезариус вкусов (Ники Сегнит)(1).pdf</x:v>
      </x:c>
      <x:c r="L71" s="28" t="str">
        <x:v>Тезариус вкусов (Ники Сегнит)(1).pdf: 63, 548</x:v>
      </x:c>
    </x:row>
    <x:row r="72" ht="66" customHeight="1">
      <x:c r="A72" s="28" t="str">
        <x:v>VEG-0162</x:v>
      </x:c>
      <x:c r="B72" s="28" t="str">
        <x:v>болгарский перец</x:v>
      </x:c>
      <x:c r="C72" s="28" t="str">
        <x:v>черешня</x:v>
      </x:c>
      <x:c r="D72" s="28" t="str">
        <x:v>Прочее</x:v>
      </x:c>
      <x:c r="E72" s="28" t="str">
        <x:v>сенсорная комплементарность</x:v>
      </x:c>
      <x:c r="F72" s="28" t="str">
        <x:v>Болгарский перец имеет профиль «зелёный, травянистый, фруктовый; у красного — сладкий и жареный». Партнёр «черешня»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2" s="28" t="str">
        <x:v>зелёный перец может доминировать метоксипиразином; обугленную кожицу удалять</x:v>
      </x:c>
      <x:c r="I72" s="28" t="str">
        <x:v>сок, кордиал, гаспачо, салат, соус, маринад или коктейльный компонент с черешня</x:v>
      </x:c>
      <x:c r="J72" s="28" t="str">
        <x:v>Средняя</x:v>
      </x:c>
      <x:c r="K72" s="28" t="str">
        <x:v>The Art &amp; Science of Foodpairing.pdf</x:v>
      </x:c>
      <x:c r="L72" s="28" t="str">
        <x:v>The Art &amp; Science of Foodpairing.pdf: 108</x:v>
      </x:c>
    </x:row>
    <x:row r="73" ht="66" customHeight="1">
      <x:c r="A73" s="28" t="str">
        <x:v>VEG-0163</x:v>
      </x:c>
      <x:c r="B73" s="28" t="str">
        <x:v>болгарский перец</x:v>
      </x:c>
      <x:c r="C73" s="28" t="str">
        <x:v>чиабатта</x:v>
      </x:c>
      <x:c r="D73" s="28" t="str">
        <x:v>Прочее</x:v>
      </x:c>
      <x:c r="E73" s="28" t="str">
        <x:v>сенсорная комплементарность</x:v>
      </x:c>
      <x:c r="F73" s="28" t="str">
        <x:v>Болгарский перец имеет профиль «зелёный, травянистый, фруктовый; у красного — сладкий и жареный».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3" s="28" t="str">
        <x:v>зелёный перец может доминировать метоксипиразином; обугленную кожицу удалять</x:v>
      </x:c>
      <x:c r="I73" s="28" t="str">
        <x:v>сок, кордиал, гаспачо, салат, соус, маринад или коктейльный компонент с чиабатта</x:v>
      </x:c>
      <x:c r="J73" s="28" t="str">
        <x:v>Средняя</x:v>
      </x:c>
      <x:c r="K73" s="28" t="str">
        <x:v>The Art &amp; Science of Foodpairing.pdf</x:v>
      </x:c>
      <x:c r="L73" s="28" t="str">
        <x:v>The Art &amp; Science of Foodpairing.pdf: 108</x:v>
      </x:c>
    </x:row>
    <x:row r="74" ht="66" customHeight="1">
      <x:c r="A74" s="28" t="str">
        <x:v>VEG-0164</x:v>
      </x:c>
      <x:c r="B74" s="28" t="str">
        <x:v>болгарский перец</x:v>
      </x:c>
      <x:c r="C74" s="28" t="str">
        <x:v>чили</x:v>
      </x:c>
      <x:c r="D74" s="28" t="str">
        <x:v>Специи</x:v>
      </x:c>
      <x:c r="E74" s="28" t="str">
        <x:v>сенсорная комплементарность</x:v>
      </x:c>
      <x:c r="F74" s="28" t="str">
        <x:v>Болгарский перец имеет профиль «зелёный, травянистый, фруктовый; у красного — сладкий и жареный».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7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4" s="28" t="str">
        <x:v>зелёный перец может доминировать метоксипиразином; обугленную кожицу удалять</x:v>
      </x:c>
      <x:c r="I74" s="28" t="str">
        <x:v>сок, кордиал, гаспачо, салат, соус, маринад или коктейльный компонент с чили</x:v>
      </x:c>
      <x:c r="J74" s="28" t="str">
        <x:v>Высокая</x:v>
      </x:c>
      <x:c r="K74" s="28" t="str">
        <x:v>The Art &amp; Science of Foodpairing.pdf | Тезариус вкусов (Ники Сегнит)(1).pdf</x:v>
      </x:c>
      <x:c r="L74" s="28" t="str">
        <x:v>Тезариус вкусов (Ники Сегнит)(1).pdf: 548, 553; The Art &amp; Science of Foodpairing.pdf: 94</x:v>
      </x:c>
    </x:row>
    <x:row r="75" ht="66" customHeight="1">
      <x:c r="A75" s="28" t="str">
        <x:v>VEG-0165</x:v>
      </x:c>
      <x:c r="B75" s="28" t="str">
        <x:v>болгарский перец</x:v>
      </x:c>
      <x:c r="C75" s="28" t="str">
        <x:v>чоризо</x:v>
      </x:c>
      <x:c r="D75" s="28" t="str">
        <x:v>Прочее</x:v>
      </x:c>
      <x:c r="E75" s="28" t="str">
        <x:v>сенсорная комплементарность</x:v>
      </x:c>
      <x:c r="F75" s="28" t="str">
        <x:v>Болгарский перец имеет профиль «зелёный, травянистый, фруктовый; у красного — сладкий и жареный».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5" s="28" t="str">
        <x:v>зелёный перец может доминировать метоксипиразином; обугленную кожицу удалять</x:v>
      </x:c>
      <x:c r="I75" s="28" t="str">
        <x:v>сок, кордиал, гаспачо, салат, соус, маринад или коктейльный компонент с чоризо</x:v>
      </x:c>
      <x:c r="J75" s="28" t="str">
        <x:v>Средняя</x:v>
      </x:c>
      <x:c r="K75" s="28" t="str">
        <x:v>The Art &amp; Science of Foodpairing.pdf</x:v>
      </x:c>
      <x:c r="L75" s="28" t="str">
        <x:v>The Art &amp; Science of Foodpairing.pdf: 288</x:v>
      </x:c>
    </x:row>
    <x:row r="76" ht="66" customHeight="1">
      <x:c r="A76" s="28" t="str">
        <x:v>VEG-0166</x:v>
      </x:c>
      <x:c r="B76" s="28" t="str">
        <x:v>болгарский перец</x:v>
      </x:c>
      <x:c r="C76" s="28" t="str">
        <x:v>чёрный перец</x:v>
      </x:c>
      <x:c r="D76" s="28" t="str">
        <x:v>Специи</x:v>
      </x:c>
      <x:c r="E76" s="28" t="str">
        <x:v>общие характерные молекулы</x:v>
      </x:c>
      <x:c r="F76" s="28" t="str">
        <x:v>Болгарский перец имеет профиль «зелёный, травянистый, фруктовый; у красного — сладкий и жареный». Партнёр «чёрный перец» относится к группе «Специи» и даёт древесный, пряный, цитрусовый. Вероятный молекулярный мост: лимонен.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7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6" s="28" t="str">
        <x:v>зелёный перец может доминировать метоксипиразином; обугленную кожицу удалять</x:v>
      </x:c>
      <x:c r="I76" s="28" t="str">
        <x:v>сок, кордиал, гаспачо, салат, соус, маринад или коктейльный компонент с чёрный перец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273</x:v>
      </x:c>
    </x:row>
    <x:row r="77" ht="66" customHeight="1">
      <x:c r="A77" s="28" t="str">
        <x:v>VEG-0167</x:v>
      </x:c>
      <x:c r="B77" s="28" t="str">
        <x:v>болгарский перец</x:v>
      </x:c>
      <x:c r="C77" s="28" t="str">
        <x:v>чёрный чай</x:v>
      </x:c>
      <x:c r="D77" s="28" t="str">
        <x:v>Чай</x:v>
      </x:c>
      <x:c r="E77" s="28" t="str">
        <x:v>пересечение ароматических семейств</x:v>
      </x:c>
      <x:c r="F77" s="28" t="str">
        <x:v>Болгарский перец имеет профиль «зелёный, травянистый, фруктовый; у красного — сладкий и жареный». Партнёр «чёрный 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7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7" s="28" t="str">
        <x:v>зелёный перец может доминировать метоксипиразином; обугленную кожицу удалять</x:v>
      </x:c>
      <x:c r="I77" s="28" t="str">
        <x:v>сок, кордиал, гаспачо, салат, соус, маринад или коктейльный компонент с чёрный чай</x:v>
      </x:c>
      <x:c r="J77" s="28" t="str">
        <x:v>Средняя</x:v>
      </x:c>
      <x:c r="K77" s="28" t="str">
        <x:v>The Art &amp; Science of Foodpairing.pdf</x:v>
      </x:c>
      <x:c r="L77" s="28" t="str">
        <x:v>The Art &amp; Science of Foodpairing.pdf: 108</x:v>
      </x:c>
    </x:row>
    <x:row r="78" ht="66" customHeight="1">
      <x:c r="A78" s="28" t="str">
        <x:v>VEG-0168</x:v>
      </x:c>
      <x:c r="B78" s="28" t="str">
        <x:v>болгарский перец</x:v>
      </x:c>
      <x:c r="C78" s="28" t="str">
        <x:v>эмменталь</x:v>
      </x:c>
      <x:c r="D78" s="28" t="str">
        <x:v>Прочее</x:v>
      </x:c>
      <x:c r="E78" s="28" t="str">
        <x:v>сенсорная комплементарность</x:v>
      </x:c>
      <x:c r="F78" s="28" t="str">
        <x:v>Болгарский перец имеет профиль «зелёный, травянистый, фруктовый; у красного — сладкий и жареный». Партнёр «эмменталь»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8" s="28" t="str">
        <x:v>зелёный перец может доминировать метоксипиразином; обугленную кожицу удалять</x:v>
      </x:c>
      <x:c r="I78" s="28" t="str">
        <x:v>сок, кордиал, гаспачо, салат, соус, маринад или коктейльный компонент с эмменталь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108</x:v>
      </x:c>
    </x:row>
    <x:row r="79" ht="66" customHeight="1">
      <x:c r="A79" s="28" t="str">
        <x:v>VEG-0169</x:v>
      </x:c>
      <x:c r="B79" s="28" t="str">
        <x:v>болгарский перец</x:v>
      </x:c>
      <x:c r="C79" s="28" t="str">
        <x:v>яблочное пюре</x:v>
      </x:c>
      <x:c r="D79" s="28" t="str">
        <x:v>Прочее</x:v>
      </x:c>
      <x:c r="E79" s="28" t="str">
        <x:v>сенсорная комплементарность</x:v>
      </x:c>
      <x:c r="F79" s="28" t="str">
        <x:v>Болгарский перец имеет профиль «зелёный, травянистый, фруктовый; у красного — сладкий и жареный». Партнёр «яблочное пюре»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79" s="28" t="str">
        <x:v>зелёный перец может доминировать метоксипиразином; обугленную кожицу удалять</x:v>
      </x:c>
      <x:c r="I79" s="28" t="str">
        <x:v>сок, кордиал, гаспачо, салат, соус, маринад или коктейльный компонент с яблочное пюре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108</x:v>
      </x:c>
    </x:row>
    <x:row r="80" ht="66" customHeight="1">
      <x:c r="A80" s="28" t="str">
        <x:v>VEG-0170</x:v>
      </x:c>
      <x:c r="B80" s="28" t="str">
        <x:v>болгарский перец</x:v>
      </x:c>
      <x:c r="C80" s="28" t="str">
        <x:v>яйца</x:v>
      </x:c>
      <x:c r="D80" s="28" t="str">
        <x:v>Прочее</x:v>
      </x:c>
      <x:c r="E80" s="28" t="str">
        <x:v>сенсорная комплементарность</x:v>
      </x:c>
      <x:c r="F80" s="28" t="str">
        <x:v>Болгарский перец имеет профиль «зелёный, травянистый, фруктовый; у красного — сладкий и жареный».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0" s="28" t="str">
        <x:v>зелёный перец может доминировать метоксипиразином; обугленную кожицу удалять</x:v>
      </x:c>
      <x:c r="I80" s="28" t="str">
        <x:v>сок, кордиал, гаспачо, салат, соус, маринад или коктейльный компонент с яйца</x:v>
      </x:c>
      <x:c r="J80" s="28" t="str">
        <x:v>Средняя</x:v>
      </x:c>
      <x:c r="K80" s="28" t="str">
        <x:v>Тезариус вкусов (Ники Сегнит)(1).pdf</x:v>
      </x:c>
      <x:c r="L80" s="28" t="str">
        <x:v>Тезариус вкусов (Ники Сегнит)(1).pdf: 351, 548</x:v>
      </x:c>
    </x:row>
    <x:row r="81" ht="66" customHeight="1">
      <x:c r="A81" s="28" t="str">
        <x:v>VEG-0278</x:v>
      </x:c>
      <x:c r="B81" s="28" t="str">
        <x:v>кабачок</x:v>
      </x:c>
      <x:c r="C81" s="28" t="str">
        <x:v>арбуз</x:v>
      </x:c>
      <x:c r="D81" s="28" t="str">
        <x:v>Прочее</x:v>
      </x:c>
      <x:c r="E81" s="28" t="str">
        <x:v>сенсорная комплементарность</x:v>
      </x:c>
      <x:c r="F81" s="28" t="str">
        <x:v>Кабачок имеет профиль «мягкий зелёный, водянистый, ореховый после жарки».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1" s="28" t="str">
        <x:v>гриль и жарка концентрируют вкус и создают ореховые ноты; соль выводит лишнюю воду. </x:v>
      </x:c>
      <x:c r="H81" s="28" t="str">
        <x:v>переготовка даёт водянистую кашу; необычно сильная горечь является основанием продукт не использовать</x:v>
      </x:c>
      <x:c r="I81" s="28" t="str">
        <x:v>салат, гарнир, суп, соус, маринад, ферментация или напиток с арбуз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78</x:v>
      </x:c>
    </x:row>
    <x:row r="82" ht="66" customHeight="1">
      <x:c r="A82" s="28" t="str">
        <x:v>VEG-0279</x:v>
      </x:c>
      <x:c r="B82" s="28" t="str">
        <x:v>кабачок</x:v>
      </x:c>
      <x:c r="C82" s="28" t="str">
        <x:v>манго</x:v>
      </x:c>
      <x:c r="D82" s="28" t="str">
        <x:v>Фрукты и ягоды</x:v>
      </x:c>
      <x:c r="E82" s="28" t="str">
        <x:v>общие характерные молекулы; кислотно-сладкий баланс</x:v>
      </x:c>
      <x:c r="F82" s="28" t="str">
        <x:v>Кабачок имеет профиль «мягкий зелёный, водянистый, ореховый после жарки». Партнёр «манго»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2" s="28" t="str">
        <x:v>гриль и жарка концентрируют вкус и создают ореховые ноты; соль выводит лишнюю воду. </x:v>
      </x:c>
      <x:c r="H82" s="28" t="str">
        <x:v>переготовка даёт водянистую кашу; необычно сильная горечь является основанием продукт не использовать; избыток кислоты или воды может сделать овощной вкус тонким и разрушить сливочную эмульсию</x:v>
      </x:c>
      <x:c r="I82" s="28" t="str">
        <x:v>салат, гарнир, суп, соус, маринад, ферментация или напиток с манго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312</x:v>
      </x:c>
    </x:row>
    <x:row r="83" ht="66" customHeight="1">
      <x:c r="A83" s="28" t="str">
        <x:v>VEG-0280</x:v>
      </x:c>
      <x:c r="B83" s="28" t="str">
        <x:v>кабачок</x:v>
      </x:c>
      <x:c r="C83" s="28" t="str">
        <x:v>фундук</x:v>
      </x:c>
      <x:c r="D83" s="28" t="str">
        <x:v>Орехи и семена</x:v>
      </x:c>
      <x:c r="E83" s="28" t="str">
        <x:v>общие характерные молекулы; пересечение ароматических семейств</x:v>
      </x:c>
      <x:c r="F83" s="28" t="str">
        <x:v>Кабачок имеет профиль «мягкий зелёный, водянистый, ореховый после жарки».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83" s="28" t="str">
        <x:v>гриль и жарка концентрируют вкус и создают ореховые ноты; соль выводит лишнюю воду. </x:v>
      </x:c>
      <x:c r="H83" s="28" t="str">
        <x:v>переготовка даёт водянистую кашу; необычно сильная горечь является основанием продукт не использовать</x:v>
      </x:c>
      <x:c r="I83" s="28" t="str">
        <x:v>салат, гарнир, суп, соус, маринад, ферментация или напиток с фундук</x:v>
      </x:c>
      <x:c r="J83" s="28" t="str">
        <x:v>Высокая</x:v>
      </x:c>
      <x:c r="K83" s="28" t="str">
        <x:v>The Art &amp; Science of Foodpairing.pdf</x:v>
      </x:c>
      <x:c r="L83" s="28" t="str">
        <x:v>The Art &amp; Science of Foodpairing.pdf: 332</x:v>
      </x:c>
    </x:row>
    <x:row r="84" ht="66" customHeight="1">
      <x:c r="A84" s="28" t="str">
        <x:v>VEG-0281</x:v>
      </x:c>
      <x:c r="B84" s="28" t="str">
        <x:v>кабачок</x:v>
      </x:c>
      <x:c r="C84" s="28" t="str">
        <x:v>шоколад</x:v>
      </x:c>
      <x:c r="D84" s="28" t="str">
        <x:v>Какао и шоколад</x:v>
      </x:c>
      <x:c r="E84" s="28" t="str">
        <x:v>общие характерные молекулы; пересечение ароматических семейств</x:v>
      </x:c>
      <x:c r="F84" s="28" t="str">
        <x:v>Кабачок имеет профиль «мягкий зелёный, водянистый, ореховый после жарки».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84" s="28" t="str">
        <x:v>гриль и жарка концентрируют вкус и создают ореховые ноты; соль выводит лишнюю воду. </x:v>
      </x:c>
      <x:c r="H84" s="28" t="str">
        <x:v>переготовка даёт водянистую кашу; необычно сильная горечь является основанием продукт не использовать; жареная горечь легко маскирует нежный овощной аромат</x:v>
      </x:c>
      <x:c r="I84" s="28" t="str">
        <x:v>салат, гарнир, суп, соус, маринад, ферментация или напиток с шоколад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62</x:v>
      </x:c>
    </x:row>
    <x:row r="85" ht="66" customHeight="1">
      <x:c r="A85" s="28" t="str">
        <x:v>VEG-0530</x:v>
      </x:c>
      <x:c r="B85" s="28" t="str">
        <x:v>огурец</x:v>
      </x:c>
      <x:c r="C85" s="28" t="str">
        <x:v>авокадо</x:v>
      </x:c>
      <x:c r="D85" s="28" t="str">
        <x:v>Прочее</x:v>
      </x:c>
      <x:c r="E85" s="28" t="str">
        <x:v>сенсорная комплементарность</x:v>
      </x:c>
      <x:c r="F85" s="28" t="str">
        <x:v>Огурец имеет профиль «зелёный, водянистый, свежий и дынный». Партнёр «авокадо»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85" s="28" t="str">
        <x:v>легко разбавляет вкус; перезрелая кожица и семена дают горечь; сок быстро окисляется</x:v>
      </x:c>
      <x:c r="I85" s="28" t="str">
        <x:v>сок, кордиал, гаспачо, салат, соус, маринад или коктейльный компонент с авокадо</x:v>
      </x:c>
      <x:c r="J85" s="28" t="str">
        <x:v>Высокая</x:v>
      </x:c>
      <x:c r="K85" s="28" t="str">
        <x:v>Таблица сочетания(1).pdf | Тезариус вкусов (Ники Сегнит)(1).pdf</x:v>
      </x:c>
      <x:c r="L85" s="28" t="str">
        <x:v>Таблица сочетания(1).pdf: 2; Тезариус вкусов (Ники Сегнит)(1).pdf: 491, 531</x:v>
      </x:c>
    </x:row>
    <x:row r="86" ht="66" customHeight="1">
      <x:c r="A86" s="28" t="str">
        <x:v>VEG-0531</x:v>
      </x:c>
      <x:c r="B86" s="28" t="str">
        <x:v>огурец</x:v>
      </x:c>
      <x:c r="C86" s="28" t="str">
        <x:v>агава</x:v>
      </x:c>
      <x:c r="D86" s="28" t="str">
        <x:v>Прочее</x:v>
      </x:c>
      <x:c r="E86" s="28" t="str">
        <x:v>сенсорная комплементарность</x:v>
      </x:c>
      <x:c r="F86" s="28" t="str">
        <x:v>Огурец имеет профиль «зелёный, водянистый, свежий и дынный». Партнёр «агава»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86" s="28" t="str">
        <x:v>легко разбавляет вкус; перезрелая кожица и семена дают горечь; сок быстро окисляется</x:v>
      </x:c>
      <x:c r="I86" s="28" t="str">
        <x:v>сок, кордиал, гаспачо, салат, соус, маринад или коктейльный компонент с агава</x:v>
      </x:c>
      <x:c r="J86" s="28" t="str">
        <x:v>Гипотеза / практическая</x:v>
      </x:c>
      <x:c r="K86" s="28" t="str">
        <x:v>Таблица сочетания(1).pdf</x:v>
      </x:c>
      <x:c r="L86" s="28" t="str">
        <x:v>Таблица сочетания(1).pdf: 1, 6</x:v>
      </x:c>
    </x:row>
    <x:row r="87" ht="66" customHeight="1">
      <x:c r="A87" s="28" t="str">
        <x:v>VEG-0532</x:v>
      </x:c>
      <x:c r="B87" s="28" t="str">
        <x:v>огурец</x:v>
      </x:c>
      <x:c r="C87" s="28" t="str">
        <x:v>анис</x:v>
      </x:c>
      <x:c r="D87" s="28" t="str">
        <x:v>Прочее</x:v>
      </x:c>
      <x:c r="E87" s="28" t="str">
        <x:v>сенсорная комплементарность</x:v>
      </x:c>
      <x:c r="F87" s="28" t="str">
        <x:v>Огурец имеет профиль «зелёный, водянистый, свежий и дынный».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87" s="28" t="str">
        <x:v>легко разбавляет вкус; перезрелая кожица и семена дают горечь; сок быстро окисляется</x:v>
      </x:c>
      <x:c r="I87" s="28" t="str">
        <x:v>сок, кордиал, гаспачо, салат, соус, маринад или коктейльный компонент с анис</x:v>
      </x:c>
      <x:c r="J87" s="28" t="str">
        <x:v>Средняя</x:v>
      </x:c>
      <x:c r="K87" s="28" t="str">
        <x:v>Тезариус вкусов (Ники Сегнит)(1).pdf</x:v>
      </x:c>
      <x:c r="L87" s="28" t="str">
        <x:v>Тезариус вкусов (Ники Сегнит)(1).pdf: 486, 491</x:v>
      </x:c>
    </x:row>
    <x:row r="88" ht="66" customHeight="1">
      <x:c r="A88" s="28" t="str">
        <x:v>VEG-0533</x:v>
      </x:c>
      <x:c r="B88" s="28" t="str">
        <x:v>огурец</x:v>
      </x:c>
      <x:c r="C88" s="28" t="str">
        <x:v>апельсин</x:v>
      </x:c>
      <x:c r="D88" s="28" t="str">
        <x:v>Фрукты и ягоды</x:v>
      </x:c>
      <x:c r="E88" s="28" t="str">
        <x:v>кислотно-сладкий баланс</x:v>
      </x:c>
      <x:c r="F88" s="28" t="str">
        <x:v>Огурец имеет профиль «зелёный, водянистый, свежий и дынный».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88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88" s="28" t="str">
        <x:v>сок, кордиал, гаспачо, салат, соус, маринад или коктейльный компонент с апельсин</x:v>
      </x:c>
      <x:c r="J88" s="28" t="str">
        <x:v>Высокая</x:v>
      </x:c>
      <x:c r="K88" s="28" t="str">
        <x:v>The Art &amp; Science of Foodpairing.pdf | Таблица сочетания(1).pdf</x:v>
      </x:c>
      <x:c r="L88" s="28" t="str">
        <x:v>Таблица сочетания(1).pdf: 6; The Art &amp; Science of Foodpairing.pdf: 268</x:v>
      </x:c>
    </x:row>
    <x:row r="89" ht="66" customHeight="1">
      <x:c r="A89" s="28" t="str">
        <x:v>VEG-0534</x:v>
      </x:c>
      <x:c r="B89" s="28" t="str">
        <x:v>огурец</x:v>
      </x:c>
      <x:c r="C89" s="28" t="str">
        <x:v>арахис</x:v>
      </x:c>
      <x:c r="D89" s="28" t="str">
        <x:v>Орехи и семена</x:v>
      </x:c>
      <x:c r="E89" s="28" t="str">
        <x:v>сенсорная комплементарность</x:v>
      </x:c>
      <x:c r="F89" s="28" t="str">
        <x:v>Огурец имеет профиль «зелёный, водянистый, свежий и дынный».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8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89" s="28" t="str">
        <x:v>легко разбавляет вкус; перезрелая кожица и семена дают горечь; сок быстро окисляется</x:v>
      </x:c>
      <x:c r="I89" s="28" t="str">
        <x:v>сок, кордиал, гаспачо, салат, соус, маринад или коктейльный компонент с арахис</x:v>
      </x:c>
      <x:c r="J89" s="28" t="str">
        <x:v>Средняя</x:v>
      </x:c>
      <x:c r="K89" s="28" t="str">
        <x:v>Тезариус вкусов (Ники Сегнит)(1).pdf</x:v>
      </x:c>
      <x:c r="L89" s="28" t="str">
        <x:v>Тезариус вкусов (Ники Сегнит)(1).pdf: 56, 491</x:v>
      </x:c>
    </x:row>
    <x:row r="90" ht="66" customHeight="1">
      <x:c r="A90" s="28" t="str">
        <x:v>VEG-0535</x:v>
      </x:c>
      <x:c r="B90" s="28" t="str">
        <x:v>огурец</x:v>
      </x:c>
      <x:c r="C90" s="28" t="str">
        <x:v>арбуз</x:v>
      </x:c>
      <x:c r="D90" s="28" t="str">
        <x:v>Прочее</x:v>
      </x:c>
      <x:c r="E90" s="28" t="str">
        <x:v>сенсорная комплементарность</x:v>
      </x:c>
      <x:c r="F90" s="28" t="str">
        <x:v>Огурец имеет профиль «зелёный, водянистый, свежий и дынный».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0" s="28" t="str">
        <x:v>легко разбавляет вкус; перезрелая кожица и семена дают горечь; сок быстро окисляется</x:v>
      </x:c>
      <x:c r="I90" s="28" t="str">
        <x:v>сок, кордиал, гаспачо, салат, соус, маринад или коктейльный компонент с арбуз</x:v>
      </x:c>
      <x:c r="J90" s="28" t="str">
        <x:v>Высокая</x:v>
      </x:c>
      <x:c r="K90" s="28" t="str">
        <x:v>Таблица сочетания(1).pdf | Тезариус вкусов (Ники Сегнит)(1).pdf</x:v>
      </x:c>
      <x:c r="L90" s="28" t="str">
        <x:v>Таблица сочетания(1).pdf: 22; Тезариус вкусов (Ники Сегнит)(1).pdf: 491, 660</x:v>
      </x:c>
    </x:row>
    <x:row r="91" ht="66" customHeight="1">
      <x:c r="A91" s="28" t="str">
        <x:v>VEG-0536</x:v>
      </x:c>
      <x:c r="B91" s="28" t="str">
        <x:v>огурец</x:v>
      </x:c>
      <x:c r="C91" s="28" t="str">
        <x:v>базилик</x:v>
      </x:c>
      <x:c r="D91" s="28" t="str">
        <x:v>Травы, цветы и листья</x:v>
      </x:c>
      <x:c r="E91" s="28" t="str">
        <x:v>пересечение ароматических семейств</x:v>
      </x:c>
      <x:c r="F91" s="28" t="str">
        <x:v>Огурец имеет профиль «зелёный, водянистый, свежий и дынный».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9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1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I91" s="28" t="str">
        <x:v>сок, кордиал, гаспачо, салат, соус, маринад или коктейльный компонент с базилик</x:v>
      </x:c>
      <x:c r="J91" s="28" t="str">
        <x:v>Гипотеза / практическая</x:v>
      </x:c>
      <x:c r="K91" s="28" t="str">
        <x:v>Таблица сочетания(1).pdf</x:v>
      </x:c>
      <x:c r="L91" s="28" t="str">
        <x:v>Таблица сочетания(1).pdf: 6</x:v>
      </x:c>
    </x:row>
    <x:row r="92" ht="66" customHeight="1">
      <x:c r="A92" s="28" t="str">
        <x:v>VEG-0537</x:v>
      </x:c>
      <x:c r="B92" s="28" t="str">
        <x:v>огурец</x:v>
      </x:c>
      <x:c r="C92" s="28" t="str">
        <x:v>бальзамический уксус</x:v>
      </x:c>
      <x:c r="D92" s="28" t="str">
        <x:v>Ферментированные продукты и соусы</x:v>
      </x:c>
      <x:c r="E92" s="28" t="str">
        <x:v>умами и солёный контраст</x:v>
      </x:c>
      <x:c r="F92" s="28" t="str">
        <x:v>Огурец имеет профиль «зелёный, водянистый, свежий и дынный».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2" s="28" t="str">
        <x:v>легко разбавляет вкус; перезрелая кожица и семена дают горечь; сок быстро окисляется</x:v>
      </x:c>
      <x:c r="I92" s="28" t="str">
        <x:v>сок, кордиал, гаспачо, салат, соус, маринад или коктейльный компонент с бальзамический уксус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316</x:v>
      </x:c>
    </x:row>
    <x:row r="93" ht="66" customHeight="1">
      <x:c r="A93" s="28" t="str">
        <x:v>VEG-0538</x:v>
      </x:c>
      <x:c r="B93" s="28" t="str">
        <x:v>огурец</x:v>
      </x:c>
      <x:c r="C93" s="28" t="str">
        <x:v>банан</x:v>
      </x:c>
      <x:c r="D93" s="28" t="str">
        <x:v>Фрукты и ягоды</x:v>
      </x:c>
      <x:c r="E93" s="28" t="str">
        <x:v>кислотно-сладкий баланс</x:v>
      </x:c>
      <x:c r="F93" s="28" t="str">
        <x:v>Огурец имеет профиль «зелёный, водянистый, свежий и дынный».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9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3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93" s="28" t="str">
        <x:v>сок, кордиал, гаспачо, салат, соус, маринад или коктейльный компонент с банан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342</x:v>
      </x:c>
    </x:row>
    <x:row r="94" ht="66" customHeight="1">
      <x:c r="A94" s="28" t="str">
        <x:v>VEG-0539</x:v>
      </x:c>
      <x:c r="B94" s="28" t="str">
        <x:v>огурец</x:v>
      </x:c>
      <x:c r="C94" s="28" t="str">
        <x:v>белая рыба</x:v>
      </x:c>
      <x:c r="D94" s="28" t="str">
        <x:v>Рыба и морепродукты</x:v>
      </x:c>
      <x:c r="E94" s="28" t="str">
        <x:v>умами и солёный контраст</x:v>
      </x:c>
      <x:c r="F94" s="28" t="str">
        <x:v>Огурец имеет профиль «зелёный, водянистый, свежий и дынный».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4" s="28" t="str">
        <x:v>легко разбавляет вкус; перезрелая кожица и семена дают горечь; сок быстро окисляется</x:v>
      </x:c>
      <x:c r="I94" s="28" t="str">
        <x:v>сок, кордиал, гаспачо, салат, соус, маринад или коктейльный компонент с белая рыба</x:v>
      </x:c>
      <x:c r="J94" s="28" t="str">
        <x:v>Средняя</x:v>
      </x:c>
      <x:c r="K94" s="28" t="str">
        <x:v>Тезариус вкусов (Ники Сегнит)(1).pdf</x:v>
      </x:c>
      <x:c r="L94" s="28" t="str">
        <x:v>Тезариус вкусов (Ники Сегнит)(1).pdf: 387, 491</x:v>
      </x:c>
    </x:row>
    <x:row r="95" ht="66" customHeight="1">
      <x:c r="A95" s="28" t="str">
        <x:v>VEG-0540</x:v>
      </x:c>
      <x:c r="B95" s="28" t="str">
        <x:v>огурец</x:v>
      </x:c>
      <x:c r="C95" s="28" t="str">
        <x:v>ваниль</x:v>
      </x:c>
      <x:c r="D95" s="28" t="str">
        <x:v>Специи</x:v>
      </x:c>
      <x:c r="E95" s="28" t="str">
        <x:v>сенсорная комплементарность</x:v>
      </x:c>
      <x:c r="F95" s="28" t="str">
        <x:v>Огурец имеет профиль «зелёный, водянистый, свежий и дынный».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9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5" s="28" t="str">
        <x:v>легко разбавляет вкус; перезрелая кожица и семена дают горечь; сок быстро окисляется</x:v>
      </x:c>
      <x:c r="I95" s="28" t="str">
        <x:v>сок, кордиал, гаспачо, салат, соус, маринад или коктейльный компонент с ваниль</x:v>
      </x:c>
      <x:c r="J95" s="28" t="str">
        <x:v>Гипотеза / практическая</x:v>
      </x:c>
      <x:c r="K95" s="28" t="str">
        <x:v>Таблица сочетания(1).pdf</x:v>
      </x:c>
      <x:c r="L95" s="28" t="str">
        <x:v>Таблица сочетания(1).pdf: 21</x:v>
      </x:c>
    </x:row>
    <x:row r="96" ht="66" customHeight="1">
      <x:c r="A96" s="28" t="str">
        <x:v>VEG-0541</x:v>
      </x:c>
      <x:c r="B96" s="28" t="str">
        <x:v>огурец</x:v>
      </x:c>
      <x:c r="C96" s="28" t="str">
        <x:v>водоросли</x:v>
      </x:c>
      <x:c r="D96" s="28" t="str">
        <x:v>Прочее</x:v>
      </x:c>
      <x:c r="E96" s="28" t="str">
        <x:v>сенсорная комплементарность</x:v>
      </x:c>
      <x:c r="F96" s="28" t="str">
        <x:v>Огурец имеет профиль «зелёный, водянистый, свежий и дынный».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6" s="28" t="str">
        <x:v>легко разбавляет вкус; перезрелая кожица и семена дают горечь; сок быстро окисляется</x:v>
      </x:c>
      <x:c r="I96" s="28" t="str">
        <x:v>сок, кордиал, гаспачо, салат, соус, маринад или коктейльный компонент с водоросли</x:v>
      </x:c>
      <x:c r="J96" s="28" t="str">
        <x:v>Высокая</x:v>
      </x:c>
      <x:c r="K96" s="28" t="str">
        <x:v>The Art &amp; Science of Foodpairing.pdf</x:v>
      </x:c>
      <x:c r="L96" s="28" t="str">
        <x:v>The Art &amp; Science of Foodpairing.pdf: 267</x:v>
      </x:c>
    </x:row>
    <x:row r="97" ht="66" customHeight="1">
      <x:c r="A97" s="28" t="str">
        <x:v>VEG-0542</x:v>
      </x:c>
      <x:c r="B97" s="28" t="str">
        <x:v>огурец</x:v>
      </x:c>
      <x:c r="C97" s="28" t="str">
        <x:v>гамбургер</x:v>
      </x:c>
      <x:c r="D97" s="28" t="str">
        <x:v>Прочее</x:v>
      </x:c>
      <x:c r="E97" s="28" t="str">
        <x:v>сенсорная комплементарность</x:v>
      </x:c>
      <x:c r="F97" s="28" t="str">
        <x:v>Огурец имеет профиль «зелёный, водянистый, свежий и дынный». Партнёр «гамбургер»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7" s="28" t="str">
        <x:v>легко разбавляет вкус; перезрелая кожица и семена дают горечь; сок быстро окисляется</x:v>
      </x:c>
      <x:c r="I97" s="28" t="str">
        <x:v>сок, кордиал, гаспачо, салат, соус, маринад или коктейльный компонент с гамбургер</x:v>
      </x:c>
      <x:c r="J97" s="28" t="str">
        <x:v>Средняя</x:v>
      </x:c>
      <x:c r="K97" s="28" t="str">
        <x:v>The Art &amp; Science of Foodpairing.pdf</x:v>
      </x:c>
      <x:c r="L97" s="28" t="str">
        <x:v>The Art &amp; Science of Foodpairing.pdf: 268</x:v>
      </x:c>
    </x:row>
    <x:row r="98" ht="66" customHeight="1">
      <x:c r="A98" s="28" t="str">
        <x:v>VEG-0543</x:v>
      </x:c>
      <x:c r="B98" s="28" t="str">
        <x:v>огурец</x:v>
      </x:c>
      <x:c r="C98" s="28" t="str">
        <x:v>гибискус</x:v>
      </x:c>
      <x:c r="D98" s="28" t="str">
        <x:v>Прочее</x:v>
      </x:c>
      <x:c r="E98" s="28" t="str">
        <x:v>сенсорная комплементарность</x:v>
      </x:c>
      <x:c r="F98" s="28" t="str">
        <x:v>Огурец имеет профиль «зелёный, водянистый, свежий и дынный».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8" s="28" t="str">
        <x:v>легко разбавляет вкус; перезрелая кожица и семена дают горечь; сок быстро окисляется</x:v>
      </x:c>
      <x:c r="I98" s="28" t="str">
        <x:v>сок, кордиал, гаспачо, салат, соус, маринад или коктейльный компонент с гибискус</x:v>
      </x:c>
      <x:c r="J98" s="28" t="str">
        <x:v>Гипотеза / практическая</x:v>
      </x:c>
      <x:c r="K98" s="28" t="str">
        <x:v>Таблица сочетания(1).pdf</x:v>
      </x:c>
      <x:c r="L98" s="28" t="str">
        <x:v>Таблица сочетания(1).pdf: 9</x:v>
      </x:c>
    </x:row>
    <x:row r="99" ht="66" customHeight="1">
      <x:c r="A99" s="28" t="str">
        <x:v>VEG-0544</x:v>
      </x:c>
      <x:c r="B99" s="28" t="str">
        <x:v>огурец</x:v>
      </x:c>
      <x:c r="C99" s="28" t="str">
        <x:v>горчичная зелень</x:v>
      </x:c>
      <x:c r="D99" s="28" t="str">
        <x:v>Прочее</x:v>
      </x:c>
      <x:c r="E99" s="28" t="str">
        <x:v>сенсорная комплементарность</x:v>
      </x:c>
      <x:c r="F99" s="28" t="str">
        <x:v>Огурец имеет профиль «зелёный, водянистый, свежий и дынный». Партнёр «горчичная зелень»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99" s="28" t="str">
        <x:v>легко разбавляет вкус; перезрелая кожица и семена дают горечь; сок быстро окисляется</x:v>
      </x:c>
      <x:c r="I99" s="28" t="str">
        <x:v>сок, кордиал, гаспачо, салат, соус, маринад или коктейльный компонент с горчичная зелень</x:v>
      </x:c>
      <x:c r="J99" s="28" t="str">
        <x:v>Средняя</x:v>
      </x:c>
      <x:c r="K99" s="28" t="str">
        <x:v>The Art &amp; Science of Foodpairing.pdf</x:v>
      </x:c>
      <x:c r="L99" s="28" t="str">
        <x:v>The Art &amp; Science of Foodpairing.pdf: 268</x:v>
      </x:c>
    </x:row>
    <x:row r="100" ht="66" customHeight="1">
      <x:c r="A100" s="28" t="str">
        <x:v>VEG-0545</x:v>
      </x:c>
      <x:c r="B100" s="28" t="str">
        <x:v>огурец</x:v>
      </x:c>
      <x:c r="C100" s="28" t="str">
        <x:v>гранат</x:v>
      </x:c>
      <x:c r="D100" s="28" t="str">
        <x:v>Прочее</x:v>
      </x:c>
      <x:c r="E100" s="28" t="str">
        <x:v>сенсорная комплементарность</x:v>
      </x:c>
      <x:c r="F100" s="28" t="str">
        <x:v>Огурец имеет профиль «зелёный, водянистый, свежий и дынный». Партнёр «гранат»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0" s="28" t="str">
        <x:v>легко разбавляет вкус; перезрелая кожица и семена дают горечь; сок быстро окисляется</x:v>
      </x:c>
      <x:c r="I100" s="28" t="str">
        <x:v>сок, кордиал, гаспачо, салат, соус, маринад или коктейльный компонент с гранат</x:v>
      </x:c>
      <x:c r="J100" s="28" t="str">
        <x:v>Гипотеза / практическая</x:v>
      </x:c>
      <x:c r="K100" s="28" t="str">
        <x:v>Таблица сочетания(1).pdf</x:v>
      </x:c>
      <x:c r="L100" s="28" t="str">
        <x:v>Таблица сочетания(1).pdf: 17</x:v>
      </x:c>
    </x:row>
    <x:row r="101" ht="66" customHeight="1">
      <x:c r="A101" s="28" t="str">
        <x:v>VEG-0546</x:v>
      </x:c>
      <x:c r="B101" s="28" t="str">
        <x:v>огурец</x:v>
      </x:c>
      <x:c r="C101" s="28" t="str">
        <x:v>дыня</x:v>
      </x:c>
      <x:c r="D101" s="28" t="str">
        <x:v>Фрукты и ягоды</x:v>
      </x:c>
      <x:c r="E101" s="28" t="str">
        <x:v>кислотно-сладкий баланс</x:v>
      </x:c>
      <x:c r="F101" s="28" t="str">
        <x:v>Огурец имеет профиль «зелёный, водянистый, свежий и дынный».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0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1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01" s="28" t="str">
        <x:v>сок, кордиал, гаспачо, салат, соус, маринад или коктейльный компонент с дыня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492, 740</x:v>
      </x:c>
    </x:row>
    <x:row r="102" ht="66" customHeight="1">
      <x:c r="A102" s="28" t="str">
        <x:v>VEG-0547</x:v>
      </x:c>
      <x:c r="B102" s="28" t="str">
        <x:v>огурец</x:v>
      </x:c>
      <x:c r="C102" s="28" t="str">
        <x:v>жирная рыба</x:v>
      </x:c>
      <x:c r="D102" s="28" t="str">
        <x:v>Рыба и морепродукты</x:v>
      </x:c>
      <x:c r="E102" s="28" t="str">
        <x:v>умами и солёный контраст</x:v>
      </x:c>
      <x:c r="F102" s="28" t="str">
        <x:v>Огурец имеет профиль «зелёный, водянистый, свежий и дынный».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0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2" s="28" t="str">
        <x:v>легко разбавляет вкус; перезрелая кожица и семена дают горечь; сок быстро окисляется</x:v>
      </x:c>
      <x:c r="I102" s="28" t="str">
        <x:v>сок, кордиал, гаспачо, салат, соус, маринад или коктейльный компонент с жирная рыба</x:v>
      </x:c>
      <x:c r="J102" s="28" t="str">
        <x:v>Средняя</x:v>
      </x:c>
      <x:c r="K102" s="28" t="str">
        <x:v>Тезариус вкусов (Ники Сегнит)(1).pdf</x:v>
      </x:c>
      <x:c r="L102" s="28" t="str">
        <x:v>Тезариус вкусов (Ники Сегнит)(1).pdf: 416, 492</x:v>
      </x:c>
    </x:row>
    <x:row r="103" ht="66" customHeight="1">
      <x:c r="A103" s="28" t="str">
        <x:v>VEG-0548</x:v>
      </x:c>
      <x:c r="B103" s="28" t="str">
        <x:v>огурец</x:v>
      </x:c>
      <x:c r="C103" s="28" t="str">
        <x:v>зира</x:v>
      </x:c>
      <x:c r="D103" s="28" t="str">
        <x:v>Специи</x:v>
      </x:c>
      <x:c r="E103" s="28" t="str">
        <x:v>сенсорная комплементарность</x:v>
      </x:c>
      <x:c r="F103" s="28" t="str">
        <x:v>Огурец имеет профиль «зелёный, водянистый, свежий и дынный». Партнёр «зира» относится к группе «Специи» и даёт жареный, землистый, пряный.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0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3" s="28" t="str">
        <x:v>легко разбавляет вкус; перезрелая кожица и семена дают горечь; сок быстро окисляется</x:v>
      </x:c>
      <x:c r="I103" s="28" t="str">
        <x:v>сок, кордиал, гаспачо, салат, соус, маринад или коктейльный компонент с зира</x:v>
      </x:c>
      <x:c r="J103" s="28" t="str">
        <x:v>Средняя</x:v>
      </x:c>
      <x:c r="K103" s="28" t="str">
        <x:v>Тезариус вкусов (Ники Сегнит)(1).pdf</x:v>
      </x:c>
      <x:c r="L103" s="28" t="str">
        <x:v>Тезариус вкусов (Ники Сегнит)(1).pdf: 218, 492</x:v>
      </x:c>
    </x:row>
    <x:row r="104" ht="66" customHeight="1">
      <x:c r="A104" s="28" t="str">
        <x:v>VEG-0549</x:v>
      </x:c>
      <x:c r="B104" s="28" t="str">
        <x:v>огурец</x:v>
      </x:c>
      <x:c r="C104" s="28" t="str">
        <x:v>имбирь</x:v>
      </x:c>
      <x:c r="D104" s="28" t="str">
        <x:v>Специи</x:v>
      </x:c>
      <x:c r="E104" s="28" t="str">
        <x:v>сенсорная комплементарность</x:v>
      </x:c>
      <x:c r="F104" s="28" t="str">
        <x:v>Огурец имеет профиль «зелёный, водянистый, свежий и дынный».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0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4" s="28" t="str">
        <x:v>легко разбавляет вкус; перезрелая кожица и семена дают горечь; сок быстро окисляется</x:v>
      </x:c>
      <x:c r="I104" s="28" t="str">
        <x:v>сок, кордиал, гаспачо, салат, соус, маринад или коктейльный компонент с имбирь</x:v>
      </x:c>
      <x:c r="J104" s="28" t="str">
        <x:v>Высокая</x:v>
      </x:c>
      <x:c r="K104" s="28" t="str">
        <x:v>The Art &amp; Science of Foodpairing.pdf | Таблица сочетания(1).pdf</x:v>
      </x:c>
      <x:c r="L104" s="28" t="str">
        <x:v>Таблица сочетания(1).pdf: 8; The Art &amp; Science of Foodpairing.pdf: 142</x:v>
      </x:c>
    </x:row>
    <x:row r="105" ht="66" customHeight="1">
      <x:c r="A105" s="28" t="str">
        <x:v>VEG-0550</x:v>
      </x:c>
      <x:c r="B105" s="28" t="str">
        <x:v>огурец</x:v>
      </x:c>
      <x:c r="C105" s="28" t="str">
        <x:v>канталупа</x:v>
      </x:c>
      <x:c r="D105" s="28" t="str">
        <x:v>Прочее</x:v>
      </x:c>
      <x:c r="E105" s="28" t="str">
        <x:v>сенсорная комплементарность</x:v>
      </x:c>
      <x:c r="F105" s="28" t="str">
        <x:v>Огурец имеет профиль «зелёный, водянистый, свежий и дынный». Партнёр «канталупа»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5" s="28" t="str">
        <x:v>легко разбавляет вкус; перезрелая кожица и семена дают горечь; сок быстро окисляется</x:v>
      </x:c>
      <x:c r="I105" s="28" t="str">
        <x:v>сок, кордиал, гаспачо, салат, соус, маринад или коктейльный компонент с канталупа</x:v>
      </x:c>
      <x:c r="J105" s="28" t="str">
        <x:v>Гипотеза / практическая</x:v>
      </x:c>
      <x:c r="K105" s="28" t="str">
        <x:v>Таблица сочетания(1).pdf</x:v>
      </x:c>
      <x:c r="L105" s="28" t="str">
        <x:v>Таблица сочетания(1).pdf: 3</x:v>
      </x:c>
    </x:row>
    <x:row r="106" ht="66" customHeight="1">
      <x:c r="A106" s="28" t="str">
        <x:v>VEG-0551</x:v>
      </x:c>
      <x:c r="B106" s="28" t="str">
        <x:v>огурец</x:v>
      </x:c>
      <x:c r="C106" s="28" t="str">
        <x:v>каперсы</x:v>
      </x:c>
      <x:c r="D106" s="28" t="str">
        <x:v>Прочее</x:v>
      </x:c>
      <x:c r="E106" s="28" t="str">
        <x:v>сенсорная комплементарность</x:v>
      </x:c>
      <x:c r="F106" s="28" t="str">
        <x:v>Огурец имеет профиль «зелёный, водянистый, свежий и дынный».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6" s="28" t="str">
        <x:v>легко разбавляет вкус; перезрелая кожица и семена дают горечь; сок быстро окисляется</x:v>
      </x:c>
      <x:c r="I106" s="28" t="str">
        <x:v>сок, кордиал, гаспачо, салат, соус, маринад или коктейльный компонент с каперсы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270, 492</x:v>
      </x:c>
    </x:row>
    <x:row r="107" ht="66" customHeight="1">
      <x:c r="A107" s="28" t="str">
        <x:v>VEG-0552</x:v>
      </x:c>
      <x:c r="B107" s="28" t="str">
        <x:v>огурец</x:v>
      </x:c>
      <x:c r="C107" s="28" t="str">
        <x:v>кешью</x:v>
      </x:c>
      <x:c r="D107" s="28" t="str">
        <x:v>Прочее</x:v>
      </x:c>
      <x:c r="E107" s="28" t="str">
        <x:v>сенсорная комплементарность</x:v>
      </x:c>
      <x:c r="F107" s="28" t="str">
        <x:v>Огурец имеет профиль «зелёный, водянистый, свежий и дынный». Партнёр «кешью»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7" s="28" t="str">
        <x:v>легко разбавляет вкус; перезрелая кожица и семена дают горечь; сок быстро окисляется</x:v>
      </x:c>
      <x:c r="I107" s="28" t="str">
        <x:v>сок, кордиал, гаспачо, салат, соус, маринад или коктейльный компонент с кешью</x:v>
      </x:c>
      <x:c r="J107" s="28" t="str">
        <x:v>Средняя</x:v>
      </x:c>
      <x:c r="K107" s="28" t="str">
        <x:v>The Art &amp; Science of Foodpairing.pdf</x:v>
      </x:c>
      <x:c r="L107" s="28" t="str">
        <x:v>The Art &amp; Science of Foodpairing.pdf: 268</x:v>
      </x:c>
    </x:row>
    <x:row r="108" ht="66" customHeight="1">
      <x:c r="A108" s="28" t="str">
        <x:v>VEG-0553</x:v>
      </x:c>
      <x:c r="B108" s="28" t="str">
        <x:v>огурец</x:v>
      </x:c>
      <x:c r="C108" s="28" t="str">
        <x:v>киви</x:v>
      </x:c>
      <x:c r="D108" s="28" t="str">
        <x:v>Фрукты и ягоды</x:v>
      </x:c>
      <x:c r="E108" s="28" t="str">
        <x:v>кислотно-сладкий баланс</x:v>
      </x:c>
      <x:c r="F108" s="28" t="str">
        <x:v>Огурец имеет профиль «зелёный, водянистый, свежий и дынный». Партнёр «киви»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0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8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08" s="28" t="str">
        <x:v>сок, кордиал, гаспачо, салат, соус, маринад или коктейльный компонент с киви</x:v>
      </x:c>
      <x:c r="J108" s="28" t="str">
        <x:v>Гипотеза / практическая</x:v>
      </x:c>
      <x:c r="K108" s="28" t="str">
        <x:v>Таблица сочетания(1).pdf</x:v>
      </x:c>
      <x:c r="L108" s="28" t="str">
        <x:v>Таблица сочетания(1).pdf: 10</x:v>
      </x:c>
    </x:row>
    <x:row r="109" ht="66" customHeight="1">
      <x:c r="A109" s="28" t="str">
        <x:v>VEG-0554</x:v>
      </x:c>
      <x:c r="B109" s="28" t="str">
        <x:v>огурец</x:v>
      </x:c>
      <x:c r="C109" s="28" t="str">
        <x:v>клубника</x:v>
      </x:c>
      <x:c r="D109" s="28" t="str">
        <x:v>Фрукты и ягоды</x:v>
      </x:c>
      <x:c r="E109" s="28" t="str">
        <x:v>пересечение ароматических семейств; кислотно-сладкий баланс</x:v>
      </x:c>
      <x:c r="F109" s="28" t="str">
        <x:v>Огурец имеет профиль «зелёный, водянистый, свежий и дынный». Партнёр «клубника» относится к группе «Фрукты и ягоды» и даёт зелёный, карамельный,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0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09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09" s="28" t="str">
        <x:v>сок, кордиал, гаспачо, салат, соус, маринад или коктейльный компонент с клубника</x:v>
      </x:c>
      <x:c r="J109" s="28" t="str">
        <x:v>Высокая</x:v>
      </x:c>
      <x:c r="K109" s="28" t="str">
        <x:v>Таблица сочетания(1).pdf | Тезариус вкусов (Ники Сегнит)(1).pdf</x:v>
      </x:c>
      <x:c r="L109" s="28" t="str">
        <x:v>Таблица сочетания(1).pdf: 6; Тезариус вкусов (Ники Сегнит)(1).pdf: 492, 697</x:v>
      </x:c>
    </x:row>
    <x:row r="110" ht="66" customHeight="1">
      <x:c r="A110" s="28" t="str">
        <x:v>VEG-0555</x:v>
      </x:c>
      <x:c r="B110" s="28" t="str">
        <x:v>огурец</x:v>
      </x:c>
      <x:c r="C110" s="28" t="str">
        <x:v>клюква</x:v>
      </x:c>
      <x:c r="D110" s="28" t="str">
        <x:v>Прочее</x:v>
      </x:c>
      <x:c r="E110" s="28" t="str">
        <x:v>сенсорная комплементарность</x:v>
      </x:c>
      <x:c r="F110" s="28" t="str">
        <x:v>Огурец имеет профиль «зелёный, водянистый, свежий и дынный». Партнёр «клюква»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0" s="28" t="str">
        <x:v>легко разбавляет вкус; перезрелая кожица и семена дают горечь; сок быстро окисляется</x:v>
      </x:c>
      <x:c r="I110" s="28" t="str">
        <x:v>сок, кордиал, гаспачо, салат, соус, маринад или коктейльный компонент с клюква</x:v>
      </x:c>
      <x:c r="J110" s="28" t="str">
        <x:v>Средняя</x:v>
      </x:c>
      <x:c r="K110" s="28" t="str">
        <x:v>The Art &amp; Science of Foodpairing.pdf</x:v>
      </x:c>
      <x:c r="L110" s="28" t="str">
        <x:v>The Art &amp; Science of Foodpairing.pdf: 268</x:v>
      </x:c>
    </x:row>
    <x:row r="111" ht="66" customHeight="1">
      <x:c r="A111" s="28" t="str">
        <x:v>VEG-0556</x:v>
      </x:c>
      <x:c r="B111" s="28" t="str">
        <x:v>огурец</x:v>
      </x:c>
      <x:c r="C111" s="28" t="str">
        <x:v>козий сыр</x:v>
      </x:c>
      <x:c r="D111" s="28" t="str">
        <x:v>Молочные продукты и сыры</x:v>
      </x:c>
      <x:c r="E111" s="28" t="str">
        <x:v>жировая матрица</x:v>
      </x:c>
      <x:c r="F111" s="28" t="str">
        <x:v>Огурец имеет профиль «зелёный, водянистый, свежий и дынный».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1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1" s="28" t="str">
        <x:v>легко разбавляет вкус; перезрелая кожица и семена дают горечь; сок быстро окисляется; жир способен приглушить свежую зелёную ароматику</x:v>
      </x:c>
      <x:c r="I111" s="28" t="str">
        <x:v>сок, кордиал, гаспачо, салат, соус, маринад или коктейльный компонент с козий сыр</x:v>
      </x:c>
      <x:c r="J111" s="28" t="str">
        <x:v>Средняя</x:v>
      </x:c>
      <x:c r="K111" s="28" t="str">
        <x:v>Тезариус вкусов (Ники Сегнит)(1).pdf</x:v>
      </x:c>
      <x:c r="L111" s="28" t="str">
        <x:v>Тезариус вкусов (Ники Сегнит)(1).pdf: 142, 492</x:v>
      </x:c>
    </x:row>
    <x:row r="112" ht="66" customHeight="1">
      <x:c r="A112" s="28" t="str">
        <x:v>VEG-0557</x:v>
      </x:c>
      <x:c r="B112" s="28" t="str">
        <x:v>огурец</x:v>
      </x:c>
      <x:c r="C112" s="28" t="str">
        <x:v>кокос</x:v>
      </x:c>
      <x:c r="D112" s="28" t="str">
        <x:v>Прочее</x:v>
      </x:c>
      <x:c r="E112" s="28" t="str">
        <x:v>сенсорная комплементарность</x:v>
      </x:c>
      <x:c r="F112" s="28" t="str">
        <x:v>Огурец имеет профиль «зелёный, водянистый, свежий и дынный».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2" s="28" t="str">
        <x:v>легко разбавляет вкус; перезрелая кожица и семена дают горечь; сок быстро окисляется</x:v>
      </x:c>
      <x:c r="I112" s="28" t="str">
        <x:v>сок, кордиал, гаспачо, салат, соус, маринад или коктейльный компонент с кокос</x:v>
      </x:c>
      <x:c r="J112" s="28" t="str">
        <x:v>Гипотеза / практическая</x:v>
      </x:c>
      <x:c r="K112" s="28" t="str">
        <x:v>Таблица сочетания(1).pdf</x:v>
      </x:c>
      <x:c r="L112" s="28" t="str">
        <x:v>Таблица сочетания(1).pdf: 5</x:v>
      </x:c>
    </x:row>
    <x:row r="113" ht="66" customHeight="1">
      <x:c r="A113" s="28" t="str">
        <x:v>VEG-0558</x:v>
      </x:c>
      <x:c r="B113" s="28" t="str">
        <x:v>огурец</x:v>
      </x:c>
      <x:c r="C113" s="28" t="str">
        <x:v>кориандр</x:v>
      </x:c>
      <x:c r="D113" s="28" t="str">
        <x:v>Прочее</x:v>
      </x:c>
      <x:c r="E113" s="28" t="str">
        <x:v>сенсорная комплементарность</x:v>
      </x:c>
      <x:c r="F113" s="28" t="str">
        <x:v>Огурец имеет профиль «зелёный, водянистый, свежий и дынный». Партнёр «кориандр»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3" s="28" t="str">
        <x:v>легко разбавляет вкус; перезрелая кожица и семена дают горечь; сок быстро окисляется</x:v>
      </x:c>
      <x:c r="I113" s="28" t="str">
        <x:v>сок, кордиал, гаспачо, салат, соус, маринад или коктейльный компонент с кориандр</x:v>
      </x:c>
      <x:c r="J113" s="28" t="str">
        <x:v>Гипотеза / практическая</x:v>
      </x:c>
      <x:c r="K113" s="28" t="str">
        <x:v>Таблица сочетания(1).pdf</x:v>
      </x:c>
      <x:c r="L113" s="28" t="str">
        <x:v>Таблица сочетания(1).pdf: 6</x:v>
      </x:c>
    </x:row>
    <x:row r="114" ht="66" customHeight="1">
      <x:c r="A114" s="28" t="str">
        <x:v>VEG-0559</x:v>
      </x:c>
      <x:c r="B114" s="28" t="str">
        <x:v>огурец</x:v>
      </x:c>
      <x:c r="C114" s="28" t="str">
        <x:v>лаванда</x:v>
      </x:c>
      <x:c r="D114" s="28" t="str">
        <x:v>Прочее</x:v>
      </x:c>
      <x:c r="E114" s="28" t="str">
        <x:v>сенсорная комплементарность</x:v>
      </x:c>
      <x:c r="F114" s="28" t="str">
        <x:v>Огурец имеет профиль «зелёный, водянистый, свежий и дынный». Партнёр «лаванда»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4" s="28" t="str">
        <x:v>легко разбавляет вкус; перезрелая кожица и семена дают горечь; сок быстро окисляется</x:v>
      </x:c>
      <x:c r="I114" s="28" t="str">
        <x:v>сок, кордиал, гаспачо, салат, соус, маринад или коктейльный компонент с лаванда</x:v>
      </x:c>
      <x:c r="J114" s="28" t="str">
        <x:v>Гипотеза / практическая</x:v>
      </x:c>
      <x:c r="K114" s="28" t="str">
        <x:v>Таблица сочетания(1).pdf</x:v>
      </x:c>
      <x:c r="L114" s="28" t="str">
        <x:v>Таблица сочетания(1).pdf: 11</x:v>
      </x:c>
    </x:row>
    <x:row r="115" ht="66" customHeight="1">
      <x:c r="A115" s="28" t="str">
        <x:v>VEG-0560</x:v>
      </x:c>
      <x:c r="B115" s="28" t="str">
        <x:v>огурец</x:v>
      </x:c>
      <x:c r="C115" s="28" t="str">
        <x:v>лавровый лист и семена кориандра</x:v>
      </x:c>
      <x:c r="D115" s="28" t="str">
        <x:v>Специи</x:v>
      </x:c>
      <x:c r="E115" s="28" t="str">
        <x:v>сенсорная комплементарность</x:v>
      </x:c>
      <x:c r="F115" s="28" t="str">
        <x:v>Огурец имеет профиль «зелёный, водянистый, свежий и дынный». Партнёр «лавровый лист и семена кориандра» относится к группе «Специи» и даёт пряный,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1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5" s="28" t="str">
        <x:v>легко разбавляет вкус; перезрелая кожица и семена дают горечь; сок быстро окисляется</x:v>
      </x:c>
      <x:c r="I115" s="28" t="str">
        <x:v>сок, кордиал, гаспачо, салат, соус, маринад или коктейльный компонент с лавровый лист и семена кориандра</x:v>
      </x:c>
      <x:c r="J115" s="28" t="str">
        <x:v>Средняя</x:v>
      </x:c>
      <x:c r="K115" s="28" t="str">
        <x:v>The Art &amp; Science of Foodpairing.pdf</x:v>
      </x:c>
      <x:c r="L115" s="28" t="str">
        <x:v>The Art &amp; Science of Foodpairing.pdf: 268</x:v>
      </x:c>
    </x:row>
    <x:row r="116" ht="66" customHeight="1">
      <x:c r="A116" s="28" t="str">
        <x:v>VEG-0561</x:v>
      </x:c>
      <x:c r="B116" s="28" t="str">
        <x:v>огурец</x:v>
      </x:c>
      <x:c r="C116" s="28" t="str">
        <x:v>лайм</x:v>
      </x:c>
      <x:c r="D116" s="28" t="str">
        <x:v>Фрукты и ягоды</x:v>
      </x:c>
      <x:c r="E116" s="28" t="str">
        <x:v>пересечение ароматических семейств; кислотно-сладкий баланс</x:v>
      </x:c>
      <x:c r="F116" s="28" t="str">
        <x:v>Огурец имеет профиль «зелёный, водянистый, свежий и дынный». Партнёр «лайм» относится к группе «Фрукты и ягоды» и даёт зелёный, кислый, цитрусовый.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1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6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16" s="28" t="str">
        <x:v>сок, кордиал, гаспачо, салат, соус, маринад или коктейльный компонент с лайм</x:v>
      </x:c>
      <x:c r="J116" s="28" t="str">
        <x:v>Гипотеза / практическая</x:v>
      </x:c>
      <x:c r="K116" s="28" t="str">
        <x:v>Таблица сочетания(1).pdf</x:v>
      </x:c>
      <x:c r="L116" s="28" t="str">
        <x:v>Таблица сочетания(1).pdf: 11</x:v>
      </x:c>
    </x:row>
    <x:row r="117" ht="66" customHeight="1">
      <x:c r="A117" s="28" t="str">
        <x:v>VEG-0562</x:v>
      </x:c>
      <x:c r="B117" s="28" t="str">
        <x:v>огурец</x:v>
      </x:c>
      <x:c r="C117" s="28" t="str">
        <x:v>лемонграсс</x:v>
      </x:c>
      <x:c r="D117" s="28" t="str">
        <x:v>Травы, цветы и листья</x:v>
      </x:c>
      <x:c r="E117" s="28" t="str">
        <x:v>пересечение ароматических семейств</x:v>
      </x:c>
      <x:c r="F117" s="28" t="str">
        <x:v>Огурец имеет профиль «зелёный, водянистый, свежий и дынный». Партнёр «лемонграсс»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1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7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I117" s="28" t="str">
        <x:v>сок, кордиал, гаспачо, салат, соус, маринад или коктейльный компонент с лемонграсс</x:v>
      </x:c>
      <x:c r="J117" s="28" t="str">
        <x:v>Гипотеза / практическая</x:v>
      </x:c>
      <x:c r="K117" s="28" t="str">
        <x:v>Таблица сочетания(1).pdf</x:v>
      </x:c>
      <x:c r="L117" s="28" t="str">
        <x:v>Таблица сочетания(1).pdf: 11</x:v>
      </x:c>
    </x:row>
    <x:row r="118" ht="66" customHeight="1">
      <x:c r="A118" s="28" t="str">
        <x:v>VEG-0563</x:v>
      </x:c>
      <x:c r="B118" s="28" t="str">
        <x:v>огурец</x:v>
      </x:c>
      <x:c r="C118" s="28" t="str">
        <x:v>лимонный тимьян</x:v>
      </x:c>
      <x:c r="D118" s="28" t="str">
        <x:v>Фрукты и ягоды</x:v>
      </x:c>
      <x:c r="E118" s="28" t="str">
        <x:v>пересечение ароматических семейств; кислотно-сладкий баланс</x:v>
      </x:c>
      <x:c r="F118" s="28" t="str">
        <x:v>Огурец имеет профиль «зелёный, водянистый, свежий и дынный». Партнёр «лимонный тимьян» относится к группе «Фрукты и ягоды» и даёт кислый, свежий, цитрусовый. Профили пересекаются в семействах: свежий.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1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8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18" s="28" t="str">
        <x:v>сок, кордиал, гаспачо, салат, соус, маринад или коктейльный компонент с лимонный тимьян</x:v>
      </x:c>
      <x:c r="J118" s="28" t="str">
        <x:v>Гипотеза / практическая</x:v>
      </x:c>
      <x:c r="K118" s="28" t="str">
        <x:v>Таблица сочетания(1).pdf</x:v>
      </x:c>
      <x:c r="L118" s="28" t="str">
        <x:v>Таблица сочетания(1).pdf: 11</x:v>
      </x:c>
    </x:row>
    <x:row r="119" ht="66" customHeight="1">
      <x:c r="A119" s="28" t="str">
        <x:v>VEG-0564</x:v>
      </x:c>
      <x:c r="B119" s="28" t="str">
        <x:v>огурец</x:v>
      </x:c>
      <x:c r="C119" s="28" t="str">
        <x:v>лосось</x:v>
      </x:c>
      <x:c r="D119" s="28" t="str">
        <x:v>Рыба и морепродукты</x:v>
      </x:c>
      <x:c r="E119" s="28" t="str">
        <x:v>умами и солёный контраст</x:v>
      </x:c>
      <x:c r="F119" s="28" t="str">
        <x:v>Огурец имеет профиль «зелёный, водянистый, свежий и дынный».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1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19" s="28" t="str">
        <x:v>легко разбавляет вкус; перезрелая кожица и семена дают горечь; сок быстро окисляется</x:v>
      </x:c>
      <x:c r="I119" s="28" t="str">
        <x:v>сок, кордиал, гаспачо, салат, соус, маринад или коктейльный компонент с лосось</x:v>
      </x:c>
      <x:c r="J119" s="28" t="str">
        <x:v>Средняя</x:v>
      </x:c>
      <x:c r="K119" s="28" t="str">
        <x:v>The Art &amp; Science of Foodpairing.pdf</x:v>
      </x:c>
      <x:c r="L119" s="28" t="str">
        <x:v>The Art &amp; Science of Foodpairing.pdf: 268</x:v>
      </x:c>
    </x:row>
    <x:row r="120" ht="66" customHeight="1">
      <x:c r="A120" s="28" t="str">
        <x:v>VEG-0565</x:v>
      </x:c>
      <x:c r="B120" s="28" t="str">
        <x:v>огурец</x:v>
      </x:c>
      <x:c r="C120" s="28" t="str">
        <x:v>малина</x:v>
      </x:c>
      <x:c r="D120" s="28" t="str">
        <x:v>Фрукты и ягоды</x:v>
      </x:c>
      <x:c r="E120" s="28" t="str">
        <x:v>кислотно-сладкий баланс</x:v>
      </x:c>
      <x:c r="F120" s="28" t="str">
        <x:v>Огурец имеет профиль «зелёный, водянистый, свежий и дынный». Партнёр «малина» относится к группе «Фрукты и ягоды» и даёт цветочный, ягодный.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0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0" s="28" t="str">
        <x:v>сок, кордиал, гаспачо, салат, соус, маринад или коктейльный компонент с малина</x:v>
      </x:c>
      <x:c r="J120" s="28" t="str">
        <x:v>Гипотеза / практическая</x:v>
      </x:c>
      <x:c r="K120" s="28" t="str">
        <x:v>Таблица сочетания(1).pdf</x:v>
      </x:c>
      <x:c r="L120" s="28" t="str">
        <x:v>Таблица сочетания(1).pdf: 6</x:v>
      </x:c>
    </x:row>
    <x:row r="121" ht="66" customHeight="1">
      <x:c r="A121" s="28" t="str">
        <x:v>VEG-0566</x:v>
      </x:c>
      <x:c r="B121" s="28" t="str">
        <x:v>огурец</x:v>
      </x:c>
      <x:c r="C121" s="28" t="str">
        <x:v>манго</x:v>
      </x:c>
      <x:c r="D121" s="28" t="str">
        <x:v>Фрукты и ягоды</x:v>
      </x:c>
      <x:c r="E121" s="28" t="str">
        <x:v>кислотно-сладкий баланс</x:v>
      </x:c>
      <x:c r="F121" s="28" t="str">
        <x:v>Огурец имеет профиль «зелёный, водянистый, свежий и дынный».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1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1" s="28" t="str">
        <x:v>сок, кордиал, гаспачо, салат, соус, маринад или коктейльный компонент с манго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268</x:v>
      </x:c>
    </x:row>
    <x:row r="122" ht="66" customHeight="1">
      <x:c r="A122" s="28" t="str">
        <x:v>VEG-0567</x:v>
      </x:c>
      <x:c r="B122" s="28" t="str">
        <x:v>огурец</x:v>
      </x:c>
      <x:c r="C122" s="28" t="str">
        <x:v>маниок</x:v>
      </x:c>
      <x:c r="D122" s="28" t="str">
        <x:v>Прочее</x:v>
      </x:c>
      <x:c r="E122" s="28" t="str">
        <x:v>сенсорная комплементарность</x:v>
      </x:c>
      <x:c r="F122" s="28" t="str">
        <x:v>Огурец имеет профиль «зелёный, водянистый, свежий и дынный».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2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2" s="28" t="str">
        <x:v>легко разбавляет вкус; перезрелая кожица и семена дают горечь; сок быстро окисляется</x:v>
      </x:c>
      <x:c r="I122" s="28" t="str">
        <x:v>сок, кордиал, гаспачо, салат, соус, маринад или коктейльный компонент с маниок</x:v>
      </x:c>
      <x:c r="J122" s="28" t="str">
        <x:v>Средняя</x:v>
      </x:c>
      <x:c r="K122" s="28" t="str">
        <x:v>The Art &amp; Science of Foodpairing.pdf</x:v>
      </x:c>
      <x:c r="L122" s="28" t="str">
        <x:v>The Art &amp; Science of Foodpairing.pdf: 251</x:v>
      </x:c>
    </x:row>
    <x:row r="123" ht="66" customHeight="1">
      <x:c r="A123" s="28" t="str">
        <x:v>VEG-0568</x:v>
      </x:c>
      <x:c r="B123" s="28" t="str">
        <x:v>огурец</x:v>
      </x:c>
      <x:c r="C123" s="28" t="str">
        <x:v>можжевельник</x:v>
      </x:c>
      <x:c r="D123" s="28" t="str">
        <x:v>Прочее</x:v>
      </x:c>
      <x:c r="E123" s="28" t="str">
        <x:v>сенсорная комплементарность</x:v>
      </x:c>
      <x:c r="F123" s="28" t="str">
        <x:v>Огурец имеет профиль «зелёный, водянистый, свежий и дынный». Партнёр «можжевельник»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2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3" s="28" t="str">
        <x:v>легко разбавляет вкус; перезрелая кожица и семена дают горечь; сок быстро окисляется</x:v>
      </x:c>
      <x:c r="I123" s="28" t="str">
        <x:v>сок, кордиал, гаспачо, салат, соус, маринад или коктейльный компонент с можжевельник</x:v>
      </x:c>
      <x:c r="J123" s="28" t="str">
        <x:v>Гипотеза / практическая</x:v>
      </x:c>
      <x:c r="K123" s="28" t="str">
        <x:v>Таблица сочетания(1).pdf</x:v>
      </x:c>
      <x:c r="L123" s="28" t="str">
        <x:v>Таблица сочетания(1).pdf: 6</x:v>
      </x:c>
    </x:row>
    <x:row r="124" ht="66" customHeight="1">
      <x:c r="A124" s="28" t="str">
        <x:v>VEG-0569</x:v>
      </x:c>
      <x:c r="B124" s="28" t="str">
        <x:v>огурец</x:v>
      </x:c>
      <x:c r="C124" s="28" t="str">
        <x:v>моллюски</x:v>
      </x:c>
      <x:c r="D124" s="28" t="str">
        <x:v>Рыба и морепродукты</x:v>
      </x:c>
      <x:c r="E124" s="28" t="str">
        <x:v>умами и солёный контраст</x:v>
      </x:c>
      <x:c r="F124" s="28" t="str">
        <x:v>Огурец имеет профиль «зелёный, водянистый, свежий и дынный».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4" s="28" t="str">
        <x:v>легко разбавляет вкус; перезрелая кожица и семена дают горечь; сок быстро окисляется</x:v>
      </x:c>
      <x:c r="I124" s="28" t="str">
        <x:v>сок, кордиал, гаспачо, салат, соус, маринад или коктейльный компонент с моллюски</x:v>
      </x:c>
      <x:c r="J124" s="28" t="str">
        <x:v>Средняя</x:v>
      </x:c>
      <x:c r="K124" s="28" t="str">
        <x:v>Тезариус вкусов (Ники Сегнит)(1).pdf</x:v>
      </x:c>
      <x:c r="L124" s="28" t="str">
        <x:v>Тезариус вкусов (Ники Сегнит)(1).pdf: 374, 493</x:v>
      </x:c>
    </x:row>
    <x:row r="125" ht="66" customHeight="1">
      <x:c r="A125" s="28" t="str">
        <x:v>VEG-0570</x:v>
      </x:c>
      <x:c r="B125" s="28" t="str">
        <x:v>огурец</x:v>
      </x:c>
      <x:c r="C125" s="28" t="str">
        <x:v>мята</x:v>
      </x:c>
      <x:c r="D125" s="28" t="str">
        <x:v>Травы, цветы и листья</x:v>
      </x:c>
      <x:c r="E125" s="28" t="str">
        <x:v>пересечение ароматических семейств</x:v>
      </x:c>
      <x:c r="F125" s="28" t="str">
        <x:v>Огурец имеет профиль «зелёный, водянистый, свежий и дынный».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2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5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I125" s="28" t="str">
        <x:v>сок, кордиал, гаспачо, салат, соус, маринад или коктейльный компонент с мята</x:v>
      </x:c>
      <x:c r="J125" s="28" t="str">
        <x:v>Высокая</x:v>
      </x:c>
      <x:c r="K125" s="28" t="str">
        <x:v>Таблица сочетания(1).pdf | Тезариус вкусов (Ники Сегнит)(1).pdf</x:v>
      </x:c>
      <x:c r="L125" s="28" t="str">
        <x:v>Таблица сочетания(1).pdf: 6, 13; Тезариус вкусов (Ники Сегнит)(1).pdf: 495, 869</x:v>
      </x:c>
    </x:row>
    <x:row r="126" ht="66" customHeight="1">
      <x:c r="A126" s="28" t="str">
        <x:v>VEG-0571</x:v>
      </x:c>
      <x:c r="B126" s="28" t="str">
        <x:v>огурец</x:v>
      </x:c>
      <x:c r="C126" s="28" t="str">
        <x:v>мёд</x:v>
      </x:c>
      <x:c r="D126" s="28" t="str">
        <x:v>Выпечка, крупы, сахара и десерты</x:v>
      </x:c>
      <x:c r="E126" s="28" t="str">
        <x:v>сенсорная комплементарность</x:v>
      </x:c>
      <x:c r="F126" s="28" t="str">
        <x:v>Огурец имеет профиль «зелёный, водянистый, свежий и дынный». Партнёр «мёд»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2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6" s="28" t="str">
        <x:v>легко разбавляет вкус; перезрелая кожица и семена дают горечь; сок быстро окисляется</x:v>
      </x:c>
      <x:c r="I126" s="28" t="str">
        <x:v>сок, кордиал, гаспачо, салат, соус, маринад или коктейльный компонент с мёд</x:v>
      </x:c>
      <x:c r="J126" s="28" t="str">
        <x:v>Гипотеза / практическая</x:v>
      </x:c>
      <x:c r="K126" s="28" t="str">
        <x:v>Таблица сочетания(1).pdf</x:v>
      </x:c>
      <x:c r="L126" s="28" t="str">
        <x:v>Таблица сочетания(1).pdf: 6, 9</x:v>
      </x:c>
    </x:row>
    <x:row r="127" ht="66" customHeight="1">
      <x:c r="A127" s="28" t="str">
        <x:v>VEG-0572</x:v>
      </x:c>
      <x:c r="B127" s="28" t="str">
        <x:v>огурец</x:v>
      </x:c>
      <x:c r="C127" s="28" t="str">
        <x:v>одуванчик</x:v>
      </x:c>
      <x:c r="D127" s="28" t="str">
        <x:v>Прочее</x:v>
      </x:c>
      <x:c r="E127" s="28" t="str">
        <x:v>сенсорная комплементарность</x:v>
      </x:c>
      <x:c r="F127" s="28" t="str">
        <x:v>Огурец имеет профиль «зелёный, водянистый, свежий и дынный». Партнёр «одуванчик»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2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7" s="28" t="str">
        <x:v>легко разбавляет вкус; перезрелая кожица и семена дают горечь; сок быстро окисляется</x:v>
      </x:c>
      <x:c r="I127" s="28" t="str">
        <x:v>сок, кордиал, гаспачо, салат, соус, маринад или коктейльный компонент с одуванчик</x:v>
      </x:c>
      <x:c r="J127" s="28" t="str">
        <x:v>Гипотеза / практическая</x:v>
      </x:c>
      <x:c r="K127" s="28" t="str">
        <x:v>Таблица сочетания(1).pdf</x:v>
      </x:c>
      <x:c r="L127" s="28" t="str">
        <x:v>Таблица сочетания(1).pdf: 6</x:v>
      </x:c>
    </x:row>
    <x:row r="128" ht="66" customHeight="1">
      <x:c r="A128" s="28" t="str">
        <x:v>VEG-0573</x:v>
      </x:c>
      <x:c r="B128" s="28" t="str">
        <x:v>огурец</x:v>
      </x:c>
      <x:c r="C128" s="28" t="str">
        <x:v>ревень</x:v>
      </x:c>
      <x:c r="D128" s="28" t="str">
        <x:v>Фрукты и ягоды</x:v>
      </x:c>
      <x:c r="E128" s="28" t="str">
        <x:v>кислотно-сладкий баланс</x:v>
      </x:c>
      <x:c r="F128" s="28" t="str">
        <x:v>Огурец имеет профиль «зелёный, водянистый, свежий и дынный». Партнёр «ревень»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8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8" s="28" t="str">
        <x:v>сок, кордиал, гаспачо, салат, соус, маринад или коктейльный компонент с ревень</x:v>
      </x:c>
      <x:c r="J128" s="28" t="str">
        <x:v>Высокая</x:v>
      </x:c>
      <x:c r="K128" s="28" t="str">
        <x:v>Таблица сочетания(1).pdf | Тезариус вкусов (Ники Сегнит)(1).pdf</x:v>
      </x:c>
      <x:c r="L128" s="28" t="str">
        <x:v>Таблица сочетания(1).pdf: 6, 19; Тезариус вкусов (Ники Сегнит)(1).pdf: 495, 676</x:v>
      </x:c>
    </x:row>
    <x:row r="129" ht="66" customHeight="1">
      <x:c r="A129" s="28" t="str">
        <x:v>VEG-0574</x:v>
      </x:c>
      <x:c r="B129" s="28" t="str">
        <x:v>огурец</x:v>
      </x:c>
      <x:c r="C129" s="28" t="str">
        <x:v>роза</x:v>
      </x:c>
      <x:c r="D129" s="28" t="str">
        <x:v>Травы, цветы и листья</x:v>
      </x:c>
      <x:c r="E129" s="28" t="str">
        <x:v>пересечение ароматических семейств</x:v>
      </x:c>
      <x:c r="F129" s="28" t="str">
        <x:v>Огурец имеет профиль «зелёный, водянистый, свежий и дынный». Партнёр «роза»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2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9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I129" s="28" t="str">
        <x:v>сок, кордиал, гаспачо, салат, соус, маринад или коктейльный компонент с роза</x:v>
      </x:c>
      <x:c r="J129" s="28" t="str">
        <x:v>Высокая</x:v>
      </x:c>
      <x:c r="K129" s="28" t="str">
        <x:v>Таблица сочетания(1).pdf | Тезариус вкусов (Ники Сегнит)(1).pdf</x:v>
      </x:c>
      <x:c r="L129" s="28" t="str">
        <x:v>Таблица сочетания(1).pdf: 19; Тезариус вкусов (Ники Сегнит)(1).pdf: 495, 900</x:v>
      </x:c>
    </x:row>
    <x:row r="130" ht="66" customHeight="1">
      <x:c r="A130" s="28" t="str">
        <x:v>VEG-0575</x:v>
      </x:c>
      <x:c r="B130" s="28" t="str">
        <x:v>огурец</x:v>
      </x:c>
      <x:c r="C130" s="28" t="str">
        <x:v>розмарин</x:v>
      </x:c>
      <x:c r="D130" s="28" t="str">
        <x:v>Травы, цветы и листья</x:v>
      </x:c>
      <x:c r="E130" s="28" t="str">
        <x:v>сенсорная комплементарность</x:v>
      </x:c>
      <x:c r="F130" s="28" t="str">
        <x:v>Огурец имеет профиль «зелёный, водянистый, свежий и дынный».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3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0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I130" s="28" t="str">
        <x:v>сок, кордиал, гаспачо, салат, соус, маринад или коктейльный компонент с розмарин</x:v>
      </x:c>
      <x:c r="J130" s="28" t="str">
        <x:v>Гипотеза / практическая</x:v>
      </x:c>
      <x:c r="K130" s="28" t="str">
        <x:v>Таблица сочетания(1).pdf</x:v>
      </x:c>
      <x:c r="L130" s="28" t="str">
        <x:v>Таблица сочетания(1).pdf: 6, 19</x:v>
      </x:c>
    </x:row>
    <x:row r="131" ht="66" customHeight="1">
      <x:c r="A131" s="28" t="str">
        <x:v>VEG-0576</x:v>
      </x:c>
      <x:c r="B131" s="28" t="str">
        <x:v>огурец</x:v>
      </x:c>
      <x:c r="C131" s="28" t="str">
        <x:v>рыба</x:v>
      </x:c>
      <x:c r="D131" s="28" t="str">
        <x:v>Рыба и морепродукты</x:v>
      </x:c>
      <x:c r="E131" s="28" t="str">
        <x:v>умами и солёный контраст</x:v>
      </x:c>
      <x:c r="F131" s="28" t="str">
        <x:v>Огурец имеет профиль «зелёный, водянистый, свежий и дынный».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1" s="28" t="str">
        <x:v>легко разбавляет вкус; перезрелая кожица и семена дают горечь; сок быстро окисляется</x:v>
      </x:c>
      <x:c r="I131" s="28" t="str">
        <x:v>сок, кордиал, гаспачо, салат, соус, маринад или коктейльный компонент с рыба</x:v>
      </x:c>
      <x:c r="J131" s="28" t="str">
        <x:v>Средняя</x:v>
      </x:c>
      <x:c r="K131" s="28" t="str">
        <x:v>The Art &amp; Science of Foodpairing.pdf</x:v>
      </x:c>
      <x:c r="L131" s="28" t="str">
        <x:v>The Art &amp; Science of Foodpairing.pdf: 104</x:v>
      </x:c>
    </x:row>
    <x:row r="132" ht="66" customHeight="1">
      <x:c r="A132" s="28" t="str">
        <x:v>VEG-0577</x:v>
      </x:c>
      <x:c r="B132" s="28" t="str">
        <x:v>огурец</x:v>
      </x:c>
      <x:c r="C132" s="28" t="str">
        <x:v>салат и огурец</x:v>
      </x:c>
      <x:c r="D132" s="28" t="str">
        <x:v>Плодовые и тыквенные овощи</x:v>
      </x:c>
      <x:c r="E132" s="28" t="str">
        <x:v>пересечение ароматических семейств</x:v>
      </x:c>
      <x:c r="F132" s="28" t="str">
        <x:v>Огурец имеет профиль «зелёный, водянистый, свежий и дынный». Партнёр «салат и огурец» относится к группе «Плодовые и тыквенные овощи» и даёт зелёный, фруктовый или водянистый. Профили пересекаются в семействах: водянистый, зелёный. Совместимость формируется за счёт баланса сладости, кислотности, горечи, умами и текстуры.</x:v>
      </x:c>
      <x:c r="G13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2" s="28" t="str">
        <x:v>легко разбавляет вкус; перезрелая кожица и семена дают горечь; сок быстро окисляется</x:v>
      </x:c>
      <x:c r="I132" s="28" t="str">
        <x:v>сок, кордиал, гаспачо, салат, соус, маринад или коктейльный компонент с салат и огурец</x:v>
      </x:c>
      <x:c r="J132" s="28" t="str">
        <x:v>Средняя</x:v>
      </x:c>
      <x:c r="K132" s="28" t="str">
        <x:v>The Art &amp; Science of Foodpairing.pdf</x:v>
      </x:c>
      <x:c r="L132" s="28" t="str">
        <x:v>The Art &amp; Science of Foodpairing.pdf: 268</x:v>
      </x:c>
    </x:row>
    <x:row r="133" ht="66" customHeight="1">
      <x:c r="A133" s="28" t="str">
        <x:v>VEG-0578</x:v>
      </x:c>
      <x:c r="B133" s="28" t="str">
        <x:v>огурец</x:v>
      </x:c>
      <x:c r="C133" s="28" t="str">
        <x:v>свинина</x:v>
      </x:c>
      <x:c r="D133" s="28" t="str">
        <x:v>Мясо и птица</x:v>
      </x:c>
      <x:c r="E133" s="28" t="str">
        <x:v>умами и солёный контраст</x:v>
      </x:c>
      <x:c r="F133" s="28" t="str">
        <x:v>Огурец имеет профиль «зелёный, водянистый, свежий и дынный».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3" s="28" t="str">
        <x:v>легко разбавляет вкус; перезрелая кожица и семена дают горечь; сок быстро окисляется</x:v>
      </x:c>
      <x:c r="I133" s="28" t="str">
        <x:v>сок, кордиал, гаспачо, салат, соус, маринад или коктейльный компонент с свинина</x:v>
      </x:c>
      <x:c r="J133" s="28" t="str">
        <x:v>Средняя</x:v>
      </x:c>
      <x:c r="K133" s="28" t="str">
        <x:v>Тезариус вкусов (Ники Сегнит)(1).pdf</x:v>
      </x:c>
      <x:c r="L133" s="28" t="str">
        <x:v>Тезариус вкусов (Ники Сегнит)(1).pdf: 86, 496</x:v>
      </x:c>
    </x:row>
    <x:row r="134" ht="66" customHeight="1">
      <x:c r="A134" s="28" t="str">
        <x:v>VEG-0579</x:v>
      </x:c>
      <x:c r="B134" s="28" t="str">
        <x:v>огурец</x:v>
      </x:c>
      <x:c r="C134" s="28" t="str">
        <x:v>соус тартар</x:v>
      </x:c>
      <x:c r="D134" s="28" t="str">
        <x:v>Прочее</x:v>
      </x:c>
      <x:c r="E134" s="28" t="str">
        <x:v>сенсорная комплементарность</x:v>
      </x:c>
      <x:c r="F134" s="28" t="str">
        <x:v>Огурец имеет профиль «зелёный, водянистый, свежий и дынный». Партнёр «соус тартар»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4" s="28" t="str">
        <x:v>легко разбавляет вкус; перезрелая кожица и семена дают горечь; сок быстро окисляется</x:v>
      </x:c>
      <x:c r="I134" s="28" t="str">
        <x:v>сок, кордиал, гаспачо, салат, соус, маринад или коктейльный компонент с соус тартар</x:v>
      </x:c>
      <x:c r="J134" s="28" t="str">
        <x:v>Средняя</x:v>
      </x:c>
      <x:c r="K134" s="28" t="str">
        <x:v>The Art &amp; Science of Foodpairing.pdf</x:v>
      </x:c>
      <x:c r="L134" s="28" t="str">
        <x:v>The Art &amp; Science of Foodpairing.pdf: 268</x:v>
      </x:c>
    </x:row>
    <x:row r="135" ht="66" customHeight="1">
      <x:c r="A135" s="28" t="str">
        <x:v>VEG-0580</x:v>
      </x:c>
      <x:c r="B135" s="28" t="str">
        <x:v>огурец</x:v>
      </x:c>
      <x:c r="C135" s="28" t="str">
        <x:v>сыр</x:v>
      </x:c>
      <x:c r="D135" s="28" t="str">
        <x:v>Молочные продукты и сыры</x:v>
      </x:c>
      <x:c r="E135" s="28" t="str">
        <x:v>жировая матрица</x:v>
      </x:c>
      <x:c r="F135" s="28" t="str">
        <x:v>Огурец имеет профиль «зелёный, водянистый, свежий и дынный».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3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5" s="28" t="str">
        <x:v>легко разбавляет вкус; перезрелая кожица и семена дают горечь; сок быстро окисляется; жир способен приглушить свежую зелёную ароматику</x:v>
      </x:c>
      <x:c r="I135" s="28" t="str">
        <x:v>сок, кордиал, гаспачо, салат, соус, маринад или коктейльный компонент с сыр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268</x:v>
      </x:c>
    </x:row>
    <x:row r="136" ht="66" customHeight="1">
      <x:c r="A136" s="28" t="str">
        <x:v>VEG-0581</x:v>
      </x:c>
      <x:c r="B136" s="28" t="str">
        <x:v>огурец</x:v>
      </x:c>
      <x:c r="C136" s="28" t="str">
        <x:v>телячьи зобные железы</x:v>
      </x:c>
      <x:c r="D136" s="28" t="str">
        <x:v>Прочее</x:v>
      </x:c>
      <x:c r="E136" s="28" t="str">
        <x:v>сенсорная комплементарность</x:v>
      </x:c>
      <x:c r="F136" s="28" t="str">
        <x:v>Огурец имеет профиль «зелёный, водянистый, свежий и дынный». Партнёр «телячьи зобные железы»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6" s="28" t="str">
        <x:v>легко разбавляет вкус; перезрелая кожица и семена дают горечь; сок быстро окисляется</x:v>
      </x:c>
      <x:c r="I136" s="28" t="str">
        <x:v>сок, кордиал, гаспачо, салат, соус, маринад или коктейльный компонент с телячьи зобные железы</x:v>
      </x:c>
      <x:c r="J136" s="28" t="str">
        <x:v>Средняя</x:v>
      </x:c>
      <x:c r="K136" s="28" t="str">
        <x:v>The Art &amp; Science of Foodpairing.pdf</x:v>
      </x:c>
      <x:c r="L136" s="28" t="str">
        <x:v>The Art &amp; Science of Foodpairing.pdf: 268</x:v>
      </x:c>
    </x:row>
    <x:row r="137" ht="66" customHeight="1">
      <x:c r="A137" s="28" t="str">
        <x:v>VEG-0582</x:v>
      </x:c>
      <x:c r="B137" s="28" t="str">
        <x:v>огурец</x:v>
      </x:c>
      <x:c r="C137" s="28" t="str">
        <x:v>тимьян</x:v>
      </x:c>
      <x:c r="D137" s="28" t="str">
        <x:v>Травы, цветы и листья</x:v>
      </x:c>
      <x:c r="E137" s="28" t="str">
        <x:v>пересечение ароматических семейств</x:v>
      </x:c>
      <x:c r="F137" s="28" t="str">
        <x:v>Огурец имеет профиль «зелёный, водянистый, свежий и дынный». Партнёр «тимьян» относится к группе «Травы, цветы и листья» и даёт древесный, зелёный, фенольный.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3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7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I137" s="28" t="str">
        <x:v>сок, кордиал, гаспачо, салат, соус, маринад или коктейльный компонент с тимьян</x:v>
      </x:c>
      <x:c r="J137" s="28" t="str">
        <x:v>Гипотеза / практическая</x:v>
      </x:c>
      <x:c r="K137" s="28" t="str">
        <x:v>Таблица сочетания(1).pdf</x:v>
      </x:c>
      <x:c r="L137" s="28" t="str">
        <x:v>Таблица сочетания(1).pdf: 6, 21</x:v>
      </x:c>
    </x:row>
    <x:row r="138" ht="66" customHeight="1">
      <x:c r="A138" s="28" t="str">
        <x:v>VEG-0583</x:v>
      </x:c>
      <x:c r="B138" s="28" t="str">
        <x:v>огурец</x:v>
      </x:c>
      <x:c r="C138" s="28" t="str">
        <x:v>треска</x:v>
      </x:c>
      <x:c r="D138" s="28" t="str">
        <x:v>Рыба и морепродукты</x:v>
      </x:c>
      <x:c r="E138" s="28" t="str">
        <x:v>умами и солёный контраст</x:v>
      </x:c>
      <x:c r="F138" s="28" t="str">
        <x:v>Огурец имеет профиль «зелёный, водянистый, свежий и дынный».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8" s="28" t="str">
        <x:v>легко разбавляет вкус; перезрелая кожица и семена дают горечь; сок быстро окисляется</x:v>
      </x:c>
      <x:c r="I138" s="28" t="str">
        <x:v>сок, кордиал, гаспачо, салат, соус, маринад или коктейльный компонент с треска</x:v>
      </x:c>
      <x:c r="J138" s="28" t="str">
        <x:v>Средняя</x:v>
      </x:c>
      <x:c r="K138" s="28" t="str">
        <x:v>The Art &amp; Science of Foodpairing.pdf</x:v>
      </x:c>
      <x:c r="L138" s="28" t="str">
        <x:v>The Art &amp; Science of Foodpairing.pdf: 268</x:v>
      </x:c>
    </x:row>
    <x:row r="139" ht="66" customHeight="1">
      <x:c r="A139" s="28" t="str">
        <x:v>VEG-0584</x:v>
      </x:c>
      <x:c r="B139" s="28" t="str">
        <x:v>огурец</x:v>
      </x:c>
      <x:c r="C139" s="28" t="str">
        <x:v>укроп</x:v>
      </x:c>
      <x:c r="D139" s="28" t="str">
        <x:v>Травы, цветы и листья</x:v>
      </x:c>
      <x:c r="E139" s="28" t="str">
        <x:v>пересечение ароматических семейств</x:v>
      </x:c>
      <x:c r="F139" s="28" t="str">
        <x:v>Огурец имеет профиль «зелёный, водянистый, свежий и дынный». Партнёр «укроп» относится к группе «Травы, цветы и листья» и даёт анисовый, зелёный.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3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9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I139" s="28" t="str">
        <x:v>сок, кордиал, гаспачо, салат, соус, маринад или коктейльный компонент с укроп</x:v>
      </x:c>
      <x:c r="J139" s="28" t="str">
        <x:v>Высокая</x:v>
      </x:c>
      <x:c r="K139" s="28" t="str">
        <x:v>Таблица сочетания(1).pdf | Тезариус вкусов (Ники Сегнит)(1).pdf</x:v>
      </x:c>
      <x:c r="L139" s="28" t="str">
        <x:v>Таблица сочетания(1).pdf: 6, 7; Тезариус вкусов (Ники Сегнит)(1).pdf: 497, 504</x:v>
      </x:c>
    </x:row>
    <x:row r="140" ht="66" customHeight="1">
      <x:c r="A140" s="28" t="str">
        <x:v>VEG-0585</x:v>
      </x:c>
      <x:c r="B140" s="28" t="str">
        <x:v>огурец</x:v>
      </x:c>
      <x:c r="C140" s="28" t="str">
        <x:v>фенхель</x:v>
      </x:c>
      <x:c r="D140" s="28" t="str">
        <x:v>Стеблевые овощи</x:v>
      </x:c>
      <x:c r="E140" s="28" t="str">
        <x:v>пересечение ароматических семейств</x:v>
      </x:c>
      <x:c r="F140" s="28" t="str">
        <x:v>Огурец имеет профиль «зелёный, водянистый, свежий и дынный». Партнёр «фенхель» относится к группе «Стеблевые овощи» и даёт анисовый, зелёный, свежий и сладковатый.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14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40" s="28" t="str">
        <x:v>легко разбавляет вкус; перезрелая кожица и семена дают горечь; сок быстро окисляется</x:v>
      </x:c>
      <x:c r="I140" s="28" t="str">
        <x:v>сок, кордиал, гаспачо, салат, соус, маринад или коктейльный компонент с фенхель</x:v>
      </x:c>
      <x:c r="J140" s="28" t="str">
        <x:v>Гипотеза / практическая</x:v>
      </x:c>
      <x:c r="K140" s="28" t="str">
        <x:v>Таблица сочетания(1).pdf</x:v>
      </x:c>
      <x:c r="L140" s="28" t="str">
        <x:v>Таблица сочетания(1).pdf: 8</x:v>
      </x:c>
    </x:row>
    <x:row r="141" ht="66" customHeight="1">
      <x:c r="A141" s="28" t="str">
        <x:v>VEG-0586</x:v>
      </x:c>
      <x:c r="B141" s="28" t="str">
        <x:v>огурец</x:v>
      </x:c>
      <x:c r="C141" s="28" t="str">
        <x:v>хумус</x:v>
      </x:c>
      <x:c r="D141" s="28" t="str">
        <x:v>Прочее</x:v>
      </x:c>
      <x:c r="E141" s="28" t="str">
        <x:v>сенсорная комплементарность</x:v>
      </x:c>
      <x:c r="F141" s="28" t="str">
        <x:v>Огурец имеет профиль «зелёный, водянистый, свежий и дынный». Партнёр «хумус»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41" s="28" t="str">
        <x:v>легко разбавляет вкус; перезрелая кожица и семена дают горечь; сок быстро окисляется</x:v>
      </x:c>
      <x:c r="I141" s="28" t="str">
        <x:v>сок, кордиал, гаспачо, салат, соус, маринад или коктейльный компонент с хумус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268</x:v>
      </x:c>
    </x:row>
    <x:row r="142" ht="66" customHeight="1">
      <x:c r="A142" s="28" t="str">
        <x:v>VEG-0587</x:v>
      </x:c>
      <x:c r="B142" s="28" t="str">
        <x:v>огурец</x:v>
      </x:c>
      <x:c r="C142" s="28" t="str">
        <x:v>цветы</x:v>
      </x:c>
      <x:c r="D142" s="28" t="str">
        <x:v>Прочее</x:v>
      </x:c>
      <x:c r="E142" s="28" t="str">
        <x:v>сенсорная комплементарность</x:v>
      </x:c>
      <x:c r="F142" s="28" t="str">
        <x:v>Огурец имеет профиль «зелёный, водянистый, свежий и дынный». Партнёр «цветы»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42" s="28" t="str">
        <x:v>легко разбавляет вкус; перезрелая кожица и семена дают горечь; сок быстро окисляется</x:v>
      </x:c>
      <x:c r="I142" s="28" t="str">
        <x:v>сок, кордиал, гаспачо, салат, соус, маринад или коктейльный компонент с цветы</x:v>
      </x:c>
      <x:c r="J142" s="28" t="str">
        <x:v>Гипотеза / практическая</x:v>
      </x:c>
      <x:c r="K142" s="28" t="str">
        <x:v>Таблица сочетания(1).pdf</x:v>
      </x:c>
      <x:c r="L142" s="28" t="str">
        <x:v>Таблица сочетания(1).pdf: 6</x:v>
      </x:c>
    </x:row>
    <x:row r="143" ht="66" customHeight="1">
      <x:c r="A143" s="28" t="str">
        <x:v>VEG-0588</x:v>
      </x:c>
      <x:c r="B143" s="28" t="str">
        <x:v>огурец</x:v>
      </x:c>
      <x:c r="C143" s="28" t="str">
        <x:v>цитрусовые</x:v>
      </x:c>
      <x:c r="D143" s="28" t="str">
        <x:v>Прочее</x:v>
      </x:c>
      <x:c r="E143" s="28" t="str">
        <x:v>сенсорная комплементарность</x:v>
      </x:c>
      <x:c r="F143" s="28" t="str">
        <x:v>Огурец имеет профиль «зелёный, водянистый, свежий и дынный». Партнёр «цитрусовые»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43" s="28" t="str">
        <x:v>легко разбавляет вкус; перезрелая кожица и семена дают горечь; сок быстро окисляется</x:v>
      </x:c>
      <x:c r="I143" s="28" t="str">
        <x:v>сок, кордиал, гаспачо, салат, соус, маринад или коктейльный компонент с цитрусовые</x:v>
      </x:c>
      <x:c r="J143" s="28" t="str">
        <x:v>Гипотеза / практическая</x:v>
      </x:c>
      <x:c r="K143" s="28" t="str">
        <x:v>Таблица сочетания(1).pdf</x:v>
      </x:c>
      <x:c r="L143" s="28" t="str">
        <x:v>Таблица сочетания(1).pdf: 6</x:v>
      </x:c>
    </x:row>
    <x:row r="144" ht="66" customHeight="1">
      <x:c r="A144" s="28" t="str">
        <x:v>VEG-0589</x:v>
      </x:c>
      <x:c r="B144" s="28" t="str">
        <x:v>огурец</x:v>
      </x:c>
      <x:c r="C144" s="28" t="str">
        <x:v>чёрный перец</x:v>
      </x:c>
      <x:c r="D144" s="28" t="str">
        <x:v>Специи</x:v>
      </x:c>
      <x:c r="E144" s="28" t="str">
        <x:v>сенсорная комплементарность</x:v>
      </x:c>
      <x:c r="F144" s="28" t="str">
        <x:v>Огурец имеет профиль «зелёный, водянистый, свежий и дынный».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4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44" s="28" t="str">
        <x:v>легко разбавляет вкус; перезрелая кожица и семена дают горечь; сок быстро окисляется</x:v>
      </x:c>
      <x:c r="I144" s="28" t="str">
        <x:v>сок, кордиал, гаспачо, салат, соус, маринад или коктейльный компонент с чёрный перец</x:v>
      </x:c>
      <x:c r="J144" s="28" t="str">
        <x:v>Гипотеза / практическая</x:v>
      </x:c>
      <x:c r="K144" s="28" t="str">
        <x:v>Таблица сочетания(1).pdf</x:v>
      </x:c>
      <x:c r="L144" s="28" t="str">
        <x:v>Таблица сочетания(1).pdf: 6</x:v>
      </x:c>
    </x:row>
    <x:row r="145" ht="66" customHeight="1">
      <x:c r="A145" s="28" t="str">
        <x:v>VEG-0590</x:v>
      </x:c>
      <x:c r="B145" s="28" t="str">
        <x:v>огурец</x:v>
      </x:c>
      <x:c r="C145" s="28" t="str">
        <x:v>шалфей</x:v>
      </x:c>
      <x:c r="D145" s="28" t="str">
        <x:v>Травы, цветы и листья</x:v>
      </x:c>
      <x:c r="E145" s="28" t="str">
        <x:v>сенсорная комплементарность</x:v>
      </x:c>
      <x:c r="F145" s="28" t="str">
        <x:v>Огурец имеет профиль «зелёный, водянистый, свежий и дынный».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4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45" s="28" t="str">
        <x:v>легко разбавляет вкус; перезрелая кожица и семена дают горечь; сок быстро окисляется; длительный нагрев уносит свежие терпены и зелёные альдегиды</x:v>
      </x:c>
      <x:c r="I145" s="28" t="str">
        <x:v>сок, кордиал, гаспачо, салат, соус, маринад или коктейльный компонент с шалфей</x:v>
      </x:c>
      <x:c r="J145" s="28" t="str">
        <x:v>Гипотеза / практическая</x:v>
      </x:c>
      <x:c r="K145" s="28" t="str">
        <x:v>Таблица сочетания(1).pdf</x:v>
      </x:c>
      <x:c r="L145" s="28" t="str">
        <x:v>Таблица сочетания(1).pdf: 6, 20</x:v>
      </x:c>
    </x:row>
    <x:row r="146" ht="66" customHeight="1">
      <x:c r="A146" s="28" t="str">
        <x:v>VEG-0591</x:v>
      </x:c>
      <x:c r="B146" s="28" t="str">
        <x:v>огурец</x:v>
      </x:c>
      <x:c r="C146" s="28" t="str">
        <x:v>яблоко</x:v>
      </x:c>
      <x:c r="D146" s="28" t="str">
        <x:v>Фрукты и ягоды</x:v>
      </x:c>
      <x:c r="E146" s="28" t="str">
        <x:v>общие характерные молекулы; пересечение ароматических семейств; кислотно-сладкий баланс</x:v>
      </x:c>
      <x:c r="F146" s="28" t="str">
        <x:v>Огурец имеет профиль «зелёный, водянистый, свежий и дынный». Партнёр «яблоко» относится к группе «Фрукты и ягоды» и даёт зелёный, свежий, фруктовый. Вероятный молекулярный мост: гексаналь.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46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46" s="28" t="str">
        <x:v>сок, кордиал, гаспачо, салат, соус, маринад или коктейльный компонент с яблоко</x:v>
      </x:c>
      <x:c r="J146" s="28" t="str">
        <x:v>Гипотеза / практическая</x:v>
      </x:c>
      <x:c r="K146" s="28" t="str">
        <x:v>Таблица сочетания(1).pdf</x:v>
      </x:c>
      <x:c r="L146" s="28" t="str">
        <x:v>Таблица сочетания(1).pdf: 6</x:v>
      </x:c>
    </x:row>
    <x:row r="147" ht="66" customHeight="1">
      <x:c r="A147" s="28" t="str">
        <x:v>VEG-0592</x:v>
      </x:c>
      <x:c r="B147" s="28" t="str">
        <x:v>огурец</x:v>
      </x:c>
      <x:c r="C147" s="28" t="str">
        <x:v>ягоды можжевельника</x:v>
      </x:c>
      <x:c r="D147" s="28" t="str">
        <x:v>Фрукты и ягоды</x:v>
      </x:c>
      <x:c r="E147" s="28" t="str">
        <x:v>кислотно-сладкий баланс</x:v>
      </x:c>
      <x:c r="F147" s="28" t="str">
        <x:v>Огурец имеет профиль «зелёный, водянистый, свежий и дынный». Партнёр «ягоды можжевельника»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47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47" s="28" t="str">
        <x:v>сок, кордиал, гаспачо, салат, соус, маринад или коктейльный компонент с ягоды можжевельника</x:v>
      </x:c>
      <x:c r="J147" s="28" t="str">
        <x:v>Гипотеза / практическая</x:v>
      </x:c>
      <x:c r="K147" s="28" t="str">
        <x:v>Таблица сочетания(1).pdf</x:v>
      </x:c>
      <x:c r="L147" s="28" t="str">
        <x:v>Таблица сочетания(1).pdf: 10</x:v>
      </x:c>
    </x:row>
    <x:row r="148" ht="66" customHeight="1">
      <x:c r="A148" s="28" t="str">
        <x:v>VEG-0822</x:v>
      </x:c>
      <x:c r="B148" s="28" t="str">
        <x:v>томат</x:v>
      </x:c>
      <x:c r="C148" s="28" t="str">
        <x:v>абрикос</x:v>
      </x:c>
      <x:c r="D148" s="28" t="str">
        <x:v>Фрукты и ягоды</x:v>
      </x:c>
      <x:c r="E148" s="28" t="str">
        <x:v>пересечение ароматических семейств; кислотно-сладкий баланс</x:v>
      </x:c>
      <x:c r="F148" s="28" t="str">
        <x:v>Томат имеет профиль «зелёный, фруктовый, листовой, сернистый и умами». Партнёр «абрикос» относится к группе «Фрукты и ягоды» и даёт фруктовый, цветочный и свежий.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48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48" s="28" t="str">
        <x:v>сок, кордиал, гаспачо, салат, соус, маринад или коктейльный компонент с абрикос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161</x:v>
      </x:c>
    </x:row>
    <x:row r="149" ht="66" customHeight="1">
      <x:c r="A149" s="28" t="str">
        <x:v>VEG-0823</x:v>
      </x:c>
      <x:c r="B149" s="28" t="str">
        <x:v>томат</x:v>
      </x:c>
      <x:c r="C149" s="28" t="str">
        <x:v>авокадо</x:v>
      </x:c>
      <x:c r="D149" s="28" t="str">
        <x:v>Прочее</x:v>
      </x:c>
      <x:c r="E149" s="28" t="str">
        <x:v>сенсорная комплементарность</x:v>
      </x:c>
      <x:c r="F149" s="28" t="str">
        <x:v>Томат имеет профиль «зелёный, фруктовый, листовой, сернистый и умами». Партнёр «авокадо»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49" s="28" t="str">
        <x:v>незрелые плоды слишком зелёные; длительное кипячение стирает свежесть; кислота влияет на молочные эмульсии</x:v>
      </x:c>
      <x:c r="I149" s="28" t="str">
        <x:v>сок, кордиал, гаспачо, салат, соус, маринад или коктейльный компонент с авокадо</x:v>
      </x:c>
      <x:c r="J149" s="28" t="str">
        <x:v>Средняя</x:v>
      </x:c>
      <x:c r="K149" s="28" t="str">
        <x:v>Тезариус вкусов (Ники Сегнит)(1).pdf</x:v>
      </x:c>
      <x:c r="L149" s="28" t="str">
        <x:v>Тезариус вкусов (Ники Сегнит)(1).pdf: 531, 679</x:v>
      </x:c>
    </x:row>
    <x:row r="150" ht="66" customHeight="1">
      <x:c r="A150" s="28" t="str">
        <x:v>VEG-0824</x:v>
      </x:c>
      <x:c r="B150" s="28" t="str">
        <x:v>томат</x:v>
      </x:c>
      <x:c r="C150" s="28" t="str">
        <x:v>анис</x:v>
      </x:c>
      <x:c r="D150" s="28" t="str">
        <x:v>Прочее</x:v>
      </x:c>
      <x:c r="E150" s="28" t="str">
        <x:v>сенсорная комплементарность</x:v>
      </x:c>
      <x:c r="F150" s="28" t="str">
        <x:v>Томат имеет профиль «зелёный, фруктовый, листовой, сернистый и умами».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0" s="28" t="str">
        <x:v>незрелые плоды слишком зелёные; длительное кипячение стирает свежесть; кислота влияет на молочные эмульсии</x:v>
      </x:c>
      <x:c r="I150" s="28" t="str">
        <x:v>сок, кордиал, гаспачо, салат, соус, маринад или коктейльный компонент с анис</x:v>
      </x:c>
      <x:c r="J150" s="28" t="str">
        <x:v>Средняя</x:v>
      </x:c>
      <x:c r="K150" s="28" t="str">
        <x:v>Тезариус вкусов (Ники Сегнит)(1).pdf</x:v>
      </x:c>
      <x:c r="L150" s="28" t="str">
        <x:v>Тезариус вкусов (Ники Сегнит)(1).pdf: 487, 679</x:v>
      </x:c>
    </x:row>
    <x:row r="151" ht="66" customHeight="1">
      <x:c r="A151" s="28" t="str">
        <x:v>VEG-0825</x:v>
      </x:c>
      <x:c r="B151" s="28" t="str">
        <x:v>томат</x:v>
      </x:c>
      <x:c r="C151" s="28" t="str">
        <x:v>анчоусы</x:v>
      </x:c>
      <x:c r="D151" s="28" t="str">
        <x:v>Рыба и морепродукты</x:v>
      </x:c>
      <x:c r="E151" s="28" t="str">
        <x:v>пересечение ароматических семейств; умами и солёный контраст</x:v>
      </x:c>
      <x:c r="F151" s="28" t="str">
        <x:v>Томат имеет профиль «зелёный, фруктовый, листовой, сернистый и умами». Партнёр «анчоусы»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5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1" s="28" t="str">
        <x:v>незрелые плоды слишком зелёные; длительное кипячение стирает свежесть; кислота влияет на молочные эмульсии</x:v>
      </x:c>
      <x:c r="I151" s="28" t="str">
        <x:v>сок, кордиал, гаспачо, салат, соус, маринад или коктейльный компонент с анчоусы</x:v>
      </x:c>
      <x:c r="J151" s="28" t="str">
        <x:v>Средняя</x:v>
      </x:c>
      <x:c r="K151" s="28" t="str">
        <x:v>Тезариус вкусов (Ники Сегнит)(1).pdf</x:v>
      </x:c>
      <x:c r="L151" s="28" t="str">
        <x:v>Тезариус вкусов (Ники Сегнит)(1).pdf: 430, 680</x:v>
      </x:c>
    </x:row>
    <x:row r="152" ht="66" customHeight="1">
      <x:c r="A152" s="28" t="str">
        <x:v>VEG-0826</x:v>
      </x:c>
      <x:c r="B152" s="28" t="str">
        <x:v>томат</x:v>
      </x:c>
      <x:c r="C152" s="28" t="str">
        <x:v>арак</x:v>
      </x:c>
      <x:c r="D152" s="28" t="str">
        <x:v>Прочее</x:v>
      </x:c>
      <x:c r="E152" s="28" t="str">
        <x:v>сенсорная комплементарность</x:v>
      </x:c>
      <x:c r="F152" s="28" t="str">
        <x:v>Томат имеет профиль «зелёный, фруктовый, листовой, сернистый и умами». Партнёр «арак»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2" s="28" t="str">
        <x:v>незрелые плоды слишком зелёные; длительное кипячение стирает свежесть; кислота влияет на молочные эмульсии</x:v>
      </x:c>
      <x:c r="I152" s="28" t="str">
        <x:v>сок, кордиал, гаспачо, салат, соус, маринад или коктейльный компонент с арак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161</x:v>
      </x:c>
    </x:row>
    <x:row r="153" ht="66" customHeight="1">
      <x:c r="A153" s="28" t="str">
        <x:v>VEG-0827</x:v>
      </x:c>
      <x:c r="B153" s="28" t="str">
        <x:v>томат</x:v>
      </x:c>
      <x:c r="C153" s="28" t="str">
        <x:v>арахис</x:v>
      </x:c>
      <x:c r="D153" s="28" t="str">
        <x:v>Орехи и семена</x:v>
      </x:c>
      <x:c r="E153" s="28" t="str">
        <x:v>сенсорная комплементарность</x:v>
      </x:c>
      <x:c r="F153" s="28" t="str">
        <x:v>Томат имеет профиль «зелёный, фруктовый, листовой, сернистый и умами».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5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3" s="28" t="str">
        <x:v>незрелые плоды слишком зелёные; длительное кипячение стирает свежесть; кислота влияет на молочные эмульсии</x:v>
      </x:c>
      <x:c r="I153" s="28" t="str">
        <x:v>сок, кордиал, гаспачо, салат, соус, маринад или коктейльный компонент с арахис</x:v>
      </x:c>
      <x:c r="J153" s="28" t="str">
        <x:v>Средняя</x:v>
      </x:c>
      <x:c r="K153" s="28" t="str">
        <x:v>Тезариус вкусов (Ники Сегнит)(1).pdf</x:v>
      </x:c>
      <x:c r="L153" s="28" t="str">
        <x:v>Тезариус вкусов (Ники Сегнит)(1).pdf: 56, 680</x:v>
      </x:c>
    </x:row>
    <x:row r="154" ht="66" customHeight="1">
      <x:c r="A154" s="28" t="str">
        <x:v>VEG-0828</x:v>
      </x:c>
      <x:c r="B154" s="28" t="str">
        <x:v>томат</x:v>
      </x:c>
      <x:c r="C154" s="28" t="str">
        <x:v>арбуз</x:v>
      </x:c>
      <x:c r="D154" s="28" t="str">
        <x:v>Прочее</x:v>
      </x:c>
      <x:c r="E154" s="28" t="str">
        <x:v>сенсорная комплементарность</x:v>
      </x:c>
      <x:c r="F154" s="28" t="str">
        <x:v>Томат имеет профиль «зелёный, фруктовый, листовой, сернистый и умами».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4" s="28" t="str">
        <x:v>незрелые плоды слишком зелёные; длительное кипячение стирает свежесть; кислота влияет на молочные эмульсии</x:v>
      </x:c>
      <x:c r="I154" s="28" t="str">
        <x:v>сок, кордиал, гаспачо, салат, соус, маринад или коктейльный компонент с арбуз</x:v>
      </x:c>
      <x:c r="J154" s="28" t="str">
        <x:v>Средняя</x:v>
      </x:c>
      <x:c r="K154" s="28" t="str">
        <x:v>Тезариус вкусов (Ники Сегнит)(1).pdf</x:v>
      </x:c>
      <x:c r="L154" s="28" t="str">
        <x:v>Тезариус вкусов (Ники Сегнит)(1).pdf: 661, 680</x:v>
      </x:c>
    </x:row>
    <x:row r="155" ht="66" customHeight="1">
      <x:c r="A155" s="28" t="str">
        <x:v>VEG-0829</x:v>
      </x:c>
      <x:c r="B155" s="28" t="str">
        <x:v>томат</x:v>
      </x:c>
      <x:c r="C155" s="28" t="str">
        <x:v>базилик</x:v>
      </x:c>
      <x:c r="D155" s="28" t="str">
        <x:v>Травы, цветы и листья</x:v>
      </x:c>
      <x:c r="E155" s="28" t="str">
        <x:v>пересечение ароматических семейств</x:v>
      </x:c>
      <x:c r="F155" s="28" t="str">
        <x:v>Томат имеет профиль «зелёный, фруктовый, листовой, сернистый и умами».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5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5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I155" s="28" t="str">
        <x:v>сок, кордиал, гаспачо, салат, соус, маринад или коктейльный компонент с базилик</x:v>
      </x:c>
      <x:c r="J155" s="28" t="str">
        <x:v>Высокая</x:v>
      </x:c>
      <x:c r="K155" s="28" t="str">
        <x:v>The Art &amp; Science of Foodpairing.pdf | Таблица сочетания(1).pdf | Тезариус вкусов (Ники Сегнит)(1).pdf</x:v>
      </x:c>
      <x:c r="L155" s="28" t="str">
        <x:v>Таблица сочетания(1).pdf: 21; Тезариус вкусов (Ники Сегнит)(1).pdf: 569, 680; The Art &amp; Science of Foodpairing.pdf: 74</x:v>
      </x:c>
    </x:row>
    <x:row r="156" ht="66" customHeight="1">
      <x:c r="A156" s="28" t="str">
        <x:v>VEG-0830</x:v>
      </x:c>
      <x:c r="B156" s="28" t="str">
        <x:v>томат</x:v>
      </x:c>
      <x:c r="C156" s="28" t="str">
        <x:v>баранина</x:v>
      </x:c>
      <x:c r="D156" s="28" t="str">
        <x:v>Мясо и птица</x:v>
      </x:c>
      <x:c r="E156" s="28" t="str">
        <x:v>пересечение ароматических семейств; умами и солёный контраст</x:v>
      </x:c>
      <x:c r="F156" s="28" t="str">
        <x:v>Томат имеет профиль «зелёный, фруктовый, листовой, сернистый и умами». Партнёр «баранина»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5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6" s="28" t="str">
        <x:v>незрелые плоды слишком зелёные; длительное кипячение стирает свежесть; кислота влияет на молочные эмульсии</x:v>
      </x:c>
      <x:c r="I156" s="28" t="str">
        <x:v>сок, кордиал, гаспачо, салат, соус, маринад или коктейльный компонент с баранина</x:v>
      </x:c>
      <x:c r="J156" s="28" t="str">
        <x:v>Высокая</x:v>
      </x:c>
      <x:c r="K156" s="28" t="str">
        <x:v>The Art &amp; Science of Foodpairing.pdf | Тезариус вкусов (Ники Сегнит)(1).pdf</x:v>
      </x:c>
      <x:c r="L156" s="28" t="str">
        <x:v>Тезариус вкусов (Ники Сегнит)(1).pdf: 133, 681; The Art &amp; Science of Foodpairing.pdf: 161</x:v>
      </x:c>
    </x:row>
    <x:row r="157" ht="66" customHeight="1">
      <x:c r="A157" s="28" t="str">
        <x:v>VEG-0831</x:v>
      </x:c>
      <x:c r="B157" s="28" t="str">
        <x:v>томат</x:v>
      </x:c>
      <x:c r="C157" s="28" t="str">
        <x:v>бекон</x:v>
      </x:c>
      <x:c r="D157" s="28" t="str">
        <x:v>Мясо и птица</x:v>
      </x:c>
      <x:c r="E157" s="28" t="str">
        <x:v>пересечение ароматических семейств; умами и солёный контраст</x:v>
      </x:c>
      <x:c r="F157" s="28" t="str">
        <x:v>Томат имеет профиль «зелёный, фруктовый, листовой, сернистый и умами». Партнёр «бекон» относится к группе «Мясо и птица» и даёт дымный, жареный,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5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7" s="28" t="str">
        <x:v>незрелые плоды слишком зелёные; длительное кипячение стирает свежесть; кислота влияет на молочные эмульсии</x:v>
      </x:c>
      <x:c r="I157" s="28" t="str">
        <x:v>сок, кордиал, гаспачо, салат, соус, маринад или коктейльный компонент с бекон</x:v>
      </x:c>
      <x:c r="J157" s="28" t="str">
        <x:v>Высокая</x:v>
      </x:c>
      <x:c r="K157" s="28" t="str">
        <x:v>The Art &amp; Science of Foodpairing.pdf | Тезариус вкусов (Ники Сегнит)(1).pdf</x:v>
      </x:c>
      <x:c r="L157" s="28" t="str">
        <x:v>Тезариус вкусов (Ники Сегнит)(1).pdf: 449, 682; The Art &amp; Science of Foodpairing.pdf: 161</x:v>
      </x:c>
    </x:row>
    <x:row r="158" ht="66" customHeight="1">
      <x:c r="A158" s="28" t="str">
        <x:v>VEG-0832</x:v>
      </x:c>
      <x:c r="B158" s="28" t="str">
        <x:v>томат</x:v>
      </x:c>
      <x:c r="C158" s="28" t="str">
        <x:v>белая рыба</x:v>
      </x:c>
      <x:c r="D158" s="28" t="str">
        <x:v>Рыба и морепродукты</x:v>
      </x:c>
      <x:c r="E158" s="28" t="str">
        <x:v>пересечение ароматических семейств; умами и солёный контраст</x:v>
      </x:c>
      <x:c r="F158" s="28" t="str">
        <x:v>Томат имеет профиль «зелёный, фруктовый, листовой, сернистый и умами».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5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8" s="28" t="str">
        <x:v>незрелые плоды слишком зелёные; длительное кипячение стирает свежесть; кислота влияет на молочные эмульсии</x:v>
      </x:c>
      <x:c r="I158" s="28" t="str">
        <x:v>сок, кордиал, гаспачо, салат, соус, маринад или коктейльный компонент с белая рыба</x:v>
      </x:c>
      <x:c r="J158" s="28" t="str">
        <x:v>Средняя</x:v>
      </x:c>
      <x:c r="K158" s="28" t="str">
        <x:v>Тезариус вкусов (Ники Сегнит)(1).pdf</x:v>
      </x:c>
      <x:c r="L158" s="28" t="str">
        <x:v>Тезариус вкусов (Ники Сегнит)(1).pdf: 391, 684</x:v>
      </x:c>
    </x:row>
    <x:row r="159" ht="66" customHeight="1">
      <x:c r="A159" s="28" t="str">
        <x:v>VEG-0833</x:v>
      </x:c>
      <x:c r="B159" s="28" t="str">
        <x:v>томат</x:v>
      </x:c>
      <x:c r="C159" s="28" t="str">
        <x:v>бергамот</x:v>
      </x:c>
      <x:c r="D159" s="28" t="str">
        <x:v>Прочее</x:v>
      </x:c>
      <x:c r="E159" s="28" t="str">
        <x:v>сенсорная комплементарность</x:v>
      </x:c>
      <x:c r="F159" s="28" t="str">
        <x:v>Томат имеет профиль «зелёный, фруктовый, листовой, сернистый и умами». Партнёр «бергамот»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59" s="28" t="str">
        <x:v>незрелые плоды слишком зелёные; длительное кипячение стирает свежесть; кислота влияет на молочные эмульсии</x:v>
      </x:c>
      <x:c r="I159" s="28" t="str">
        <x:v>сок, кордиал, гаспачо, салат, соус, маринад или коктейльный компонент с бергамот</x:v>
      </x:c>
      <x:c r="J159" s="28" t="str">
        <x:v>Средняя</x:v>
      </x:c>
      <x:c r="K159" s="28" t="str">
        <x:v>The Art &amp; Science of Foodpairing.pdf</x:v>
      </x:c>
      <x:c r="L159" s="28" t="str">
        <x:v>The Art &amp; Science of Foodpairing.pdf: 161</x:v>
      </x:c>
    </x:row>
    <x:row r="160" ht="66" customHeight="1">
      <x:c r="A160" s="28" t="str">
        <x:v>VEG-0834</x:v>
      </x:c>
      <x:c r="B160" s="28" t="str">
        <x:v>томат</x:v>
      </x:c>
      <x:c r="C160" s="28" t="str">
        <x:v>бобы</x:v>
      </x:c>
      <x:c r="D160" s="28" t="str">
        <x:v>Бобовые</x:v>
      </x:c>
      <x:c r="E160" s="28" t="str">
        <x:v>пересечение ароматических семейств</x:v>
      </x:c>
      <x:c r="F160" s="28" t="str">
        <x:v>Томат имеет профиль «зелёный, фруктовый, листовой, сернистый и умами». Партнёр «бобы» относится к группе «Бобовые» и даёт зелёный, бобовый и крахмалистый.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16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0" s="28" t="str">
        <x:v>незрелые плоды слишком зелёные; длительное кипячение стирает свежесть; кислота влияет на молочные эмульсии</x:v>
      </x:c>
      <x:c r="I160" s="28" t="str">
        <x:v>сок, кордиал, гаспачо, салат, соус, маринад или коктейльный компонент с бобы</x:v>
      </x:c>
      <x:c r="J160" s="28" t="str">
        <x:v>Средняя</x:v>
      </x:c>
      <x:c r="K160" s="28" t="str">
        <x:v>The Art &amp; Science of Foodpairing.pdf</x:v>
      </x:c>
      <x:c r="L160" s="28" t="str">
        <x:v>The Art &amp; Science of Foodpairing.pdf: 161</x:v>
      </x:c>
    </x:row>
    <x:row r="161" ht="66" customHeight="1">
      <x:c r="A161" s="28" t="str">
        <x:v>VEG-0835</x:v>
      </x:c>
      <x:c r="B161" s="28" t="str">
        <x:v>томат</x:v>
      </x:c>
      <x:c r="C161" s="28" t="str">
        <x:v>ваниль</x:v>
      </x:c>
      <x:c r="D161" s="28" t="str">
        <x:v>Специи</x:v>
      </x:c>
      <x:c r="E161" s="28" t="str">
        <x:v>сенсорная комплементарность</x:v>
      </x:c>
      <x:c r="F161" s="28" t="str">
        <x:v>Томат имеет профиль «зелёный, фруктовый, листовой, сернистый и умами».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6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1" s="28" t="str">
        <x:v>незрелые плоды слишком зелёные; длительное кипячение стирает свежесть; кислота влияет на молочные эмульсии</x:v>
      </x:c>
      <x:c r="I161" s="28" t="str">
        <x:v>сок, кордиал, гаспачо, салат, соус, маринад или коктейльный компонент с ваниль</x:v>
      </x:c>
      <x:c r="J161" s="28" t="str">
        <x:v>Средняя</x:v>
      </x:c>
      <x:c r="K161" s="28" t="str">
        <x:v>Тезариус вкусов (Ники Сегнит)(1).pdf</x:v>
      </x:c>
      <x:c r="L161" s="28" t="str">
        <x:v>Тезариус вкусов (Ники Сегнит)(1).pdf: 685, 919</x:v>
      </x:c>
    </x:row>
    <x:row r="162" ht="66" customHeight="1">
      <x:c r="A162" s="28" t="str">
        <x:v>VEG-0836</x:v>
      </x:c>
      <x:c r="B162" s="28" t="str">
        <x:v>томат</x:v>
      </x:c>
      <x:c r="C162" s="28" t="str">
        <x:v>вишня</x:v>
      </x:c>
      <x:c r="D162" s="28" t="str">
        <x:v>Фрукты и ягоды</x:v>
      </x:c>
      <x:c r="E162" s="28" t="str">
        <x:v>пересечение ароматических семейств; кислотно-сладкий баланс</x:v>
      </x:c>
      <x:c r="F162" s="28" t="str">
        <x:v>Томат имеет профиль «зелёный, фруктовый, листовой, сернистый и умами». Партнёр «вишня» относится к группе «Фрукты и ягоды» и даёт миндальный, фруктовый.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6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2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62" s="28" t="str">
        <x:v>сок, кордиал, гаспачо, салат, соус, маринад или коктейльный компонент с вишня</x:v>
      </x:c>
      <x:c r="J162" s="28" t="str">
        <x:v>Средняя</x:v>
      </x:c>
      <x:c r="K162" s="28" t="str">
        <x:v>The Art &amp; Science of Foodpairing.pdf</x:v>
      </x:c>
      <x:c r="L162" s="28" t="str">
        <x:v>The Art &amp; Science of Foodpairing.pdf: 161</x:v>
      </x:c>
    </x:row>
    <x:row r="163" ht="66" customHeight="1">
      <x:c r="A163" s="28" t="str">
        <x:v>VEG-0837</x:v>
      </x:c>
      <x:c r="B163" s="28" t="str">
        <x:v>томат</x:v>
      </x:c>
      <x:c r="C163" s="28" t="str">
        <x:v>гвоздика</x:v>
      </x:c>
      <x:c r="D163" s="28" t="str">
        <x:v>Специи</x:v>
      </x:c>
      <x:c r="E163" s="28" t="str">
        <x:v>сенсорная комплементарность</x:v>
      </x:c>
      <x:c r="F163" s="28" t="str">
        <x:v>Томат имеет профиль «зелёный, фруктовый, листовой, сернистый и умами».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6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3" s="28" t="str">
        <x:v>незрелые плоды слишком зелёные; длительное кипячение стирает свежесть; кислота влияет на молочные эмульсии</x:v>
      </x:c>
      <x:c r="I163" s="28" t="str">
        <x:v>сок, кордиал, гаспачо, салат, соус, маринад или коктейльный компонент с гвоздика</x:v>
      </x:c>
      <x:c r="J163" s="28" t="str">
        <x:v>Средняя</x:v>
      </x:c>
      <x:c r="K163" s="28" t="str">
        <x:v>Тезариус вкусов (Ники Сегнит)(1).pdf</x:v>
      </x:c>
      <x:c r="L163" s="28" t="str">
        <x:v>Тезариус вкусов (Ники Сегнит)(1).pdf: 585, 685</x:v>
      </x:c>
    </x:row>
    <x:row r="164" ht="66" customHeight="1">
      <x:c r="A164" s="28" t="str">
        <x:v>VEG-0838</x:v>
      </x:c>
      <x:c r="B164" s="28" t="str">
        <x:v>томат</x:v>
      </x:c>
      <x:c r="C164" s="28" t="str">
        <x:v>гибискус</x:v>
      </x:c>
      <x:c r="D164" s="28" t="str">
        <x:v>Прочее</x:v>
      </x:c>
      <x:c r="E164" s="28" t="str">
        <x:v>сенсорная комплементарность</x:v>
      </x:c>
      <x:c r="F164" s="28" t="str">
        <x:v>Томат имеет профиль «зелёный, фруктовый, листовой, сернистый и умами».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4" s="28" t="str">
        <x:v>незрелые плоды слишком зелёные; длительное кипячение стирает свежесть; кислота влияет на молочные эмульсии</x:v>
      </x:c>
      <x:c r="I164" s="28" t="str">
        <x:v>сок, кордиал, гаспачо, салат, соус, маринад или коктейльный компонент с гибискус</x:v>
      </x:c>
      <x:c r="J164" s="28" t="str">
        <x:v>Средняя</x:v>
      </x:c>
      <x:c r="K164" s="28" t="str">
        <x:v>The Art &amp; Science of Foodpairing.pdf</x:v>
      </x:c>
      <x:c r="L164" s="28" t="str">
        <x:v>The Art &amp; Science of Foodpairing.pdf: 161</x:v>
      </x:c>
    </x:row>
    <x:row r="165" ht="66" customHeight="1">
      <x:c r="A165" s="28" t="str">
        <x:v>VEG-0839</x:v>
      </x:c>
      <x:c r="B165" s="28" t="str">
        <x:v>томат</x:v>
      </x:c>
      <x:c r="C165" s="28" t="str">
        <x:v>говядина</x:v>
      </x:c>
      <x:c r="D165" s="28" t="str">
        <x:v>Мясо и птица</x:v>
      </x:c>
      <x:c r="E165" s="28" t="str">
        <x:v>пересечение ароматических семейств; умами и солёный контраст</x:v>
      </x:c>
      <x:c r="F165" s="28" t="str">
        <x:v>Томат имеет профиль «зелёный, фруктовый, листовой, сернистый и умами». Партнёр «говядина»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6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5" s="28" t="str">
        <x:v>незрелые плоды слишком зелёные; длительное кипячение стирает свежесть; кислота влияет на молочные эмульсии</x:v>
      </x:c>
      <x:c r="I165" s="28" t="str">
        <x:v>сок, кордиал, гаспачо, салат, соус, маринад или коктейльный компонент с говядина</x:v>
      </x:c>
      <x:c r="J165" s="28" t="str">
        <x:v>Средняя</x:v>
      </x:c>
      <x:c r="K165" s="28" t="str">
        <x:v>Тезариус вкусов (Ники Сегнит)(1).pdf</x:v>
      </x:c>
      <x:c r="L165" s="28" t="str">
        <x:v>Тезариус вкусов (Ники Сегнит)(1).pdf: 118, 685</x:v>
      </x:c>
    </x:row>
    <x:row r="166" ht="66" customHeight="1">
      <x:c r="A166" s="28" t="str">
        <x:v>VEG-0840</x:v>
      </x:c>
      <x:c r="B166" s="28" t="str">
        <x:v>томат</x:v>
      </x:c>
      <x:c r="C166" s="28" t="str">
        <x:v>говядина сухой выдержки</x:v>
      </x:c>
      <x:c r="D166" s="28" t="str">
        <x:v>Мясо и птица</x:v>
      </x:c>
      <x:c r="E166" s="28" t="str">
        <x:v>пересечение ароматических семейств; умами и солёный контраст</x:v>
      </x:c>
      <x:c r="F166" s="28" t="str">
        <x:v>Томат имеет профиль «зелёный, фруктовый, листовой, сернистый и умами». Партнёр «говядина сухой выдержки»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6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6" s="28" t="str">
        <x:v>незрелые плоды слишком зелёные; длительное кипячение стирает свежесть; кислота влияет на молочные эмульсии</x:v>
      </x:c>
      <x:c r="I166" s="28" t="str">
        <x:v>сок, кордиал, гаспачо, салат, соус, маринад или коктейльный компонент с говядина сухой выдержки</x:v>
      </x:c>
      <x:c r="J166" s="28" t="str">
        <x:v>Средняя</x:v>
      </x:c>
      <x:c r="K166" s="28" t="str">
        <x:v>The Art &amp; Science of Foodpairing.pdf</x:v>
      </x:c>
      <x:c r="L166" s="28" t="str">
        <x:v>The Art &amp; Science of Foodpairing.pdf: 161</x:v>
      </x:c>
    </x:row>
    <x:row r="167" ht="66" customHeight="1">
      <x:c r="A167" s="28" t="str">
        <x:v>VEG-0841</x:v>
      </x:c>
      <x:c r="B167" s="28" t="str">
        <x:v>томат</x:v>
      </x:c>
      <x:c r="C167" s="28" t="str">
        <x:v>голубика</x:v>
      </x:c>
      <x:c r="D167" s="28" t="str">
        <x:v>Прочее</x:v>
      </x:c>
      <x:c r="E167" s="28" t="str">
        <x:v>сенсорная комплементарность</x:v>
      </x:c>
      <x:c r="F167" s="28" t="str">
        <x:v>Томат имеет профиль «зелёный, фруктовый, листовой, сернистый и умами». Партнёр «голубика»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7" s="28" t="str">
        <x:v>незрелые плоды слишком зелёные; длительное кипячение стирает свежесть; кислота влияет на молочные эмульсии</x:v>
      </x:c>
      <x:c r="I167" s="28" t="str">
        <x:v>сок, кордиал, гаспачо, салат, соус, маринад или коктейльный компонент с голубика</x:v>
      </x:c>
      <x:c r="J167" s="28" t="str">
        <x:v>Средняя</x:v>
      </x:c>
      <x:c r="K167" s="28" t="str">
        <x:v>The Art &amp; Science of Foodpairing.pdf</x:v>
      </x:c>
      <x:c r="L167" s="28" t="str">
        <x:v>The Art &amp; Science of Foodpairing.pdf: 204</x:v>
      </x:c>
    </x:row>
    <x:row r="168" ht="66" customHeight="1">
      <x:c r="A168" s="28" t="str">
        <x:v>VEG-0842</x:v>
      </x:c>
      <x:c r="B168" s="28" t="str">
        <x:v>томат</x:v>
      </x:c>
      <x:c r="C168" s="28" t="str">
        <x:v>грейпфрут</x:v>
      </x:c>
      <x:c r="D168" s="28" t="str">
        <x:v>Фрукты и ягоды</x:v>
      </x:c>
      <x:c r="E168" s="28" t="str">
        <x:v>пересечение ароматических семейств; кислотно-сладкий баланс</x:v>
      </x:c>
      <x:c r="F168" s="28" t="str">
        <x:v>Томат имеет профиль «зелёный, фруктовый, листовой, сернистый и умами». Партнёр «грейпфрут» относится к группе «Фрукты и ягоды» и даёт горький, сернистый, цитрусовый. Профили пересекаются в семействах: сернистый.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6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8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68" s="28" t="str">
        <x:v>сок, кордиал, гаспачо, салат, соус, маринад или коктейльный компонент с грейпфрут</x:v>
      </x:c>
      <x:c r="J168" s="28" t="str">
        <x:v>Средняя</x:v>
      </x:c>
      <x:c r="K168" s="28" t="str">
        <x:v>The Art &amp; Science of Foodpairing.pdf</x:v>
      </x:c>
      <x:c r="L168" s="28" t="str">
        <x:v>The Art &amp; Science of Foodpairing.pdf: 161</x:v>
      </x:c>
    </x:row>
    <x:row r="169" ht="66" customHeight="1">
      <x:c r="A169" s="28" t="str">
        <x:v>VEG-0843</x:v>
      </x:c>
      <x:c r="B169" s="28" t="str">
        <x:v>томат</x:v>
      </x:c>
      <x:c r="C169" s="28" t="str">
        <x:v>душистый перец</x:v>
      </x:c>
      <x:c r="D169" s="28" t="str">
        <x:v>Специи</x:v>
      </x:c>
      <x:c r="E169" s="28" t="str">
        <x:v>сенсорная комплементарность</x:v>
      </x:c>
      <x:c r="F169" s="28" t="str">
        <x:v>Томат имеет профиль «зелёный, фруктовый, листовой, сернистый и умами». Партнёр «душистый перец»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6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69" s="28" t="str">
        <x:v>незрелые плоды слишком зелёные; длительное кипячение стирает свежесть; кислота влияет на молочные эмульсии</x:v>
      </x:c>
      <x:c r="I169" s="28" t="str">
        <x:v>сок, кордиал, гаспачо, салат, соус, маринад или коктейльный компонент с душистый перец</x:v>
      </x:c>
      <x:c r="J169" s="28" t="str">
        <x:v>Средняя</x:v>
      </x:c>
      <x:c r="K169" s="28" t="str">
        <x:v>The Art &amp; Science of Foodpairing.pdf</x:v>
      </x:c>
      <x:c r="L169" s="28" t="str">
        <x:v>The Art &amp; Science of Foodpairing.pdf: 161</x:v>
      </x:c>
    </x:row>
    <x:row r="170" ht="66" customHeight="1">
      <x:c r="A170" s="28" t="str">
        <x:v>VEG-0844</x:v>
      </x:c>
      <x:c r="B170" s="28" t="str">
        <x:v>томат</x:v>
      </x:c>
      <x:c r="C170" s="28" t="str">
        <x:v>жасмин</x:v>
      </x:c>
      <x:c r="D170" s="28" t="str">
        <x:v>Травы, цветы и листья</x:v>
      </x:c>
      <x:c r="E170" s="28" t="str">
        <x:v>пересечение ароматических семейств</x:v>
      </x:c>
      <x:c r="F170" s="28" t="str">
        <x:v>Томат имеет профиль «зелёный, фруктовый, листовой, сернистый и умами». Партнёр «жасмин»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7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0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I170" s="28" t="str">
        <x:v>сок, кордиал, гаспачо, салат, соус, маринад или коктейльный компонент с жасмин</x:v>
      </x:c>
      <x:c r="J170" s="28" t="str">
        <x:v>Средняя</x:v>
      </x:c>
      <x:c r="K170" s="28" t="str">
        <x:v>The Art &amp; Science of Foodpairing.pdf</x:v>
      </x:c>
      <x:c r="L170" s="28" t="str">
        <x:v>The Art &amp; Science of Foodpairing.pdf: 161</x:v>
      </x:c>
    </x:row>
    <x:row r="171" ht="66" customHeight="1">
      <x:c r="A171" s="28" t="str">
        <x:v>VEG-0845</x:v>
      </x:c>
      <x:c r="B171" s="28" t="str">
        <x:v>томат</x:v>
      </x:c>
      <x:c r="C171" s="28" t="str">
        <x:v>имбирь</x:v>
      </x:c>
      <x:c r="D171" s="28" t="str">
        <x:v>Специи</x:v>
      </x:c>
      <x:c r="E171" s="28" t="str">
        <x:v>сенсорная комплементарность</x:v>
      </x:c>
      <x:c r="F171" s="28" t="str">
        <x:v>Томат имеет профиль «зелёный, фруктовый, листовой, сернистый и умами».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7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1" s="28" t="str">
        <x:v>незрелые плоды слишком зелёные; длительное кипячение стирает свежесть; кислота влияет на молочные эмульсии</x:v>
      </x:c>
      <x:c r="I171" s="28" t="str">
        <x:v>сок, кордиал, гаспачо, салат, соус, маринад или коктейльный компонент с имбирь</x:v>
      </x:c>
      <x:c r="J171" s="28" t="str">
        <x:v>Высокая</x:v>
      </x:c>
      <x:c r="K171" s="28" t="str">
        <x:v>The Art &amp; Science of Foodpairing.pdf | Тезариус вкусов (Ники Сегнит)(1).pdf</x:v>
      </x:c>
      <x:c r="L171" s="28" t="str">
        <x:v>Тезариус вкусов (Ники Сегнит)(1).pdf: 685, 820; The Art &amp; Science of Foodpairing.pdf: 161</x:v>
      </x:c>
    </x:row>
    <x:row r="172" ht="66" customHeight="1">
      <x:c r="A172" s="28" t="str">
        <x:v>VEG-0846</x:v>
      </x:c>
      <x:c r="B172" s="28" t="str">
        <x:v>томат</x:v>
      </x:c>
      <x:c r="C172" s="28" t="str">
        <x:v>йогурт</x:v>
      </x:c>
      <x:c r="D172" s="28" t="str">
        <x:v>Плодовые и тыквенные овощи</x:v>
      </x:c>
      <x:c r="E172" s="28" t="str">
        <x:v>пересечение ароматических семейств</x:v>
      </x:c>
      <x:c r="F172" s="28" t="str">
        <x:v>Томат имеет профиль «зелёный, фруктовый, листовой, сернистый и умами». Партнёр «йогурт»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G17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2" s="28" t="str">
        <x:v>незрелые плоды слишком зелёные; длительное кипячение стирает свежесть; кислота влияет на молочные эмульсии</x:v>
      </x:c>
      <x:c r="I172" s="28" t="str">
        <x:v>сок, кордиал, гаспачо, салат, соус, маринад или коктейльный компонент с йогурт</x:v>
      </x:c>
      <x:c r="J172" s="28" t="str">
        <x:v>Средняя</x:v>
      </x:c>
      <x:c r="K172" s="28" t="str">
        <x:v>The Art &amp; Science of Foodpairing.pdf</x:v>
      </x:c>
      <x:c r="L172" s="28" t="str">
        <x:v>The Art &amp; Science of Foodpairing.pdf: 161</x:v>
      </x:c>
    </x:row>
    <x:row r="173" ht="66" customHeight="1">
      <x:c r="A173" s="28" t="str">
        <x:v>VEG-0847</x:v>
      </x:c>
      <x:c r="B173" s="28" t="str">
        <x:v>томат</x:v>
      </x:c>
      <x:c r="C173" s="28" t="str">
        <x:v>камамбер</x:v>
      </x:c>
      <x:c r="D173" s="28" t="str">
        <x:v>Прочее</x:v>
      </x:c>
      <x:c r="E173" s="28" t="str">
        <x:v>сенсорная комплементарность</x:v>
      </x:c>
      <x:c r="F173" s="28" t="str">
        <x:v>Томат имеет профиль «зелёный, фруктовый, листовой, сернистый и умами». Партнёр «камамбер»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7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3" s="28" t="str">
        <x:v>незрелые плоды слишком зелёные; длительное кипячение стирает свежесть; кислота влияет на молочные эмульсии</x:v>
      </x:c>
      <x:c r="I173" s="28" t="str">
        <x:v>сок, кордиал, гаспачо, салат, соус, маринад или коктейльный компонент с камамбер</x:v>
      </x:c>
      <x:c r="J173" s="28" t="str">
        <x:v>Средняя</x:v>
      </x:c>
      <x:c r="K173" s="28" t="str">
        <x:v>The Art &amp; Science of Foodpairing.pdf</x:v>
      </x:c>
      <x:c r="L173" s="28" t="str">
        <x:v>The Art &amp; Science of Foodpairing.pdf: 161</x:v>
      </x:c>
    </x:row>
    <x:row r="174" ht="66" customHeight="1">
      <x:c r="A174" s="28" t="str">
        <x:v>VEG-0848</x:v>
      </x:c>
      <x:c r="B174" s="28" t="str">
        <x:v>томат</x:v>
      </x:c>
      <x:c r="C174" s="28" t="str">
        <x:v>каперсы</x:v>
      </x:c>
      <x:c r="D174" s="28" t="str">
        <x:v>Прочее</x:v>
      </x:c>
      <x:c r="E174" s="28" t="str">
        <x:v>сенсорная комплементарность</x:v>
      </x:c>
      <x:c r="F174" s="28" t="str">
        <x:v>Томат имеет профиль «зелёный, фруктовый, листовой, сернистый и умами».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7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4" s="28" t="str">
        <x:v>незрелые плоды слишком зелёные; длительное кипячение стирает свежесть; кислота влияет на молочные эмульсии</x:v>
      </x:c>
      <x:c r="I174" s="28" t="str">
        <x:v>сок, кордиал, гаспачо, салат, соус, маринад или коктейльный компонент с каперсы</x:v>
      </x:c>
      <x:c r="J174" s="28" t="str">
        <x:v>Средняя</x:v>
      </x:c>
      <x:c r="K174" s="28" t="str">
        <x:v>Тезариус вкусов (Ники Сегнит)(1).pdf</x:v>
      </x:c>
      <x:c r="L174" s="28" t="str">
        <x:v>Тезариус вкусов (Ники Сегнит)(1).pdf: 271, 685</x:v>
      </x:c>
    </x:row>
    <x:row r="175" ht="66" customHeight="1">
      <x:c r="A175" s="28" t="str">
        <x:v>VEG-0849</x:v>
      </x:c>
      <x:c r="B175" s="28" t="str">
        <x:v>томат</x:v>
      </x:c>
      <x:c r="C175" s="28" t="str">
        <x:v>кардамон</x:v>
      </x:c>
      <x:c r="D175" s="28" t="str">
        <x:v>Специи</x:v>
      </x:c>
      <x:c r="E175" s="28" t="str">
        <x:v>сенсорная комплементарность</x:v>
      </x:c>
      <x:c r="F175" s="28" t="str">
        <x:v>Томат имеет профиль «зелёный, фруктовый, листовой, сернистый и умами».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7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5" s="28" t="str">
        <x:v>незрелые плоды слишком зелёные; длительное кипячение стирает свежесть; кислота влияет на молочные эмульсии</x:v>
      </x:c>
      <x:c r="I175" s="28" t="str">
        <x:v>сок, кордиал, гаспачо, салат, соус, маринад или коктейльный компонент с кардамон</x:v>
      </x:c>
      <x:c r="J175" s="28" t="str">
        <x:v>Средняя</x:v>
      </x:c>
      <x:c r="K175" s="28" t="str">
        <x:v>The Art &amp; Science of Foodpairing.pdf</x:v>
      </x:c>
      <x:c r="L175" s="28" t="str">
        <x:v>The Art &amp; Science of Foodpairing.pdf: 161</x:v>
      </x:c>
    </x:row>
    <x:row r="176" ht="66" customHeight="1">
      <x:c r="A176" s="28" t="str">
        <x:v>VEG-0850</x:v>
      </x:c>
      <x:c r="B176" s="28" t="str">
        <x:v>томат</x:v>
      </x:c>
      <x:c r="C176" s="28" t="str">
        <x:v>кефаль</x:v>
      </x:c>
      <x:c r="D176" s="28" t="str">
        <x:v>Рыба и морепродукты</x:v>
      </x:c>
      <x:c r="E176" s="28" t="str">
        <x:v>пересечение ароматических семейств; умами и солёный контраст</x:v>
      </x:c>
      <x:c r="F176" s="28" t="str">
        <x:v>Томат имеет профиль «зелёный, фруктовый, листовой, сернистый и умами». Партнёр «кефаль»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7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6" s="28" t="str">
        <x:v>незрелые плоды слишком зелёные; длительное кипячение стирает свежесть; кислота влияет на молочные эмульсии</x:v>
      </x:c>
      <x:c r="I176" s="28" t="str">
        <x:v>сок, кордиал, гаспачо, салат, соус, маринад или коктейльный компонент с кефаль</x:v>
      </x:c>
      <x:c r="J176" s="28" t="str">
        <x:v>Высокая</x:v>
      </x:c>
      <x:c r="K176" s="28" t="str">
        <x:v>The Art &amp; Science of Foodpairing.pdf</x:v>
      </x:c>
      <x:c r="L176" s="28" t="str">
        <x:v>The Art &amp; Science of Foodpairing.pdf: 70</x:v>
      </x:c>
    </x:row>
    <x:row r="177" ht="66" customHeight="1">
      <x:c r="A177" s="28" t="str">
        <x:v>VEG-0851</x:v>
      </x:c>
      <x:c r="B177" s="28" t="str">
        <x:v>томат</x:v>
      </x:c>
      <x:c r="C177" s="28" t="str">
        <x:v>кешью</x:v>
      </x:c>
      <x:c r="D177" s="28" t="str">
        <x:v>Прочее</x:v>
      </x:c>
      <x:c r="E177" s="28" t="str">
        <x:v>сенсорная комплементарность</x:v>
      </x:c>
      <x:c r="F177" s="28" t="str">
        <x:v>Томат имеет профиль «зелёный, фруктовый, листовой, сернистый и умами». Партнёр «кешью»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7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7" s="28" t="str">
        <x:v>незрелые плоды слишком зелёные; длительное кипячение стирает свежесть; кислота влияет на молочные эмульсии</x:v>
      </x:c>
      <x:c r="I177" s="28" t="str">
        <x:v>сок, кордиал, гаспачо, салат, соус, маринад или коктейльный компонент с кешью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161</x:v>
      </x:c>
    </x:row>
    <x:row r="178" ht="66" customHeight="1">
      <x:c r="A178" s="28" t="str">
        <x:v>VEG-0852</x:v>
      </x:c>
      <x:c r="B178" s="28" t="str">
        <x:v>томат</x:v>
      </x:c>
      <x:c r="C178" s="28" t="str">
        <x:v>клубника</x:v>
      </x:c>
      <x:c r="D178" s="28" t="str">
        <x:v>Фрукты и ягоды</x:v>
      </x:c>
      <x:c r="E178" s="28" t="str">
        <x:v>пересечение ароматических семейств; кислотно-сладкий баланс</x:v>
      </x:c>
      <x:c r="F178" s="28" t="str">
        <x:v>Томат имеет профиль «зелёный, фруктовый, листовой, сернистый и умами». Партнёр «клубника» относится к группе «Фрукты и ягоды» и даёт зелёный, карамельный, фруктовый. Профили пересекаются в семействах: зелёный,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7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8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78" s="28" t="str">
        <x:v>сок, кордиал, гаспачо, салат, соус, маринад или коктейльный компонент с клубника</x:v>
      </x:c>
      <x:c r="J178" s="28" t="str">
        <x:v>Высокая</x:v>
      </x:c>
      <x:c r="K178" s="28" t="str">
        <x:v>Таблица сочетания(1).pdf | Тезариус вкусов (Ники Сегнит)(1).pdf</x:v>
      </x:c>
      <x:c r="L178" s="28" t="str">
        <x:v>Таблица сочетания(1).pdf: 21; Тезариус вкусов (Ники Сегнит)(1).pdf: 686, 698</x:v>
      </x:c>
    </x:row>
    <x:row r="179" ht="66" customHeight="1">
      <x:c r="A179" s="28" t="str">
        <x:v>VEG-0853</x:v>
      </x:c>
      <x:c r="B179" s="28" t="str">
        <x:v>томат</x:v>
      </x:c>
      <x:c r="C179" s="28" t="str">
        <x:v>коньяк</x:v>
      </x:c>
      <x:c r="D179" s="28" t="str">
        <x:v>Алкогольные напитки</x:v>
      </x:c>
      <x:c r="E179" s="28" t="str">
        <x:v>пересечение ароматических семейств</x:v>
      </x:c>
      <x:c r="F179" s="28" t="str">
        <x:v>Томат имеет профиль «зелёный, фруктовый, листовой, сернистый и умами». Партнёр «коньяк» относится к группе «Алкогольные напитки» и даёт спиртовой, фруктовый или древесный. Профили пересекаются в семействах: фруктовый. Совместимость формируется за счёт баланса сладости, кислотности, горечи, умами и текстуры.</x:v>
      </x:c>
      <x:c r="G17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79" s="28" t="str">
        <x:v>незрелые плоды слишком зелёные; длительное кипячение стирает свежесть; кислота влияет на молочные эмульсии</x:v>
      </x:c>
      <x:c r="I179" s="28" t="str">
        <x:v>сок, кордиал, гаспачо, салат, соус, маринад или коктейльный компонент с коньяк</x:v>
      </x:c>
      <x:c r="J179" s="28" t="str">
        <x:v>Средняя</x:v>
      </x:c>
      <x:c r="K179" s="28" t="str">
        <x:v>The Art &amp; Science of Foodpairing.pdf</x:v>
      </x:c>
      <x:c r="L179" s="28" t="str">
        <x:v>The Art &amp; Science of Foodpairing.pdf: 123</x:v>
      </x:c>
    </x:row>
    <x:row r="180" ht="66" customHeight="1">
      <x:c r="A180" s="28" t="str">
        <x:v>VEG-0854</x:v>
      </x:c>
      <x:c r="B180" s="28" t="str">
        <x:v>томат</x:v>
      </x:c>
      <x:c r="C180" s="28" t="str">
        <x:v>корица</x:v>
      </x:c>
      <x:c r="D180" s="28" t="str">
        <x:v>Специи</x:v>
      </x:c>
      <x:c r="E180" s="28" t="str">
        <x:v>сенсорная комплементарность</x:v>
      </x:c>
      <x:c r="F180" s="28" t="str">
        <x:v>Томат имеет профиль «зелёный, фруктовый, листовой, сернистый и умами».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8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0" s="28" t="str">
        <x:v>незрелые плоды слишком зелёные; длительное кипячение стирает свежесть; кислота влияет на молочные эмульсии</x:v>
      </x:c>
      <x:c r="I180" s="28" t="str">
        <x:v>сок, кордиал, гаспачо, салат, соус, маринад или коктейльный компонент с корица</x:v>
      </x:c>
      <x:c r="J180" s="28" t="str">
        <x:v>Высокая</x:v>
      </x:c>
      <x:c r="K180" s="28" t="str">
        <x:v>Таблица сочетания(1).pdf | Тезариус вкусов (Ники Сегнит)(1).pdf</x:v>
      </x:c>
      <x:c r="L180" s="28" t="str">
        <x:v>Таблица сочетания(1).pdf: 21; Тезариус вкусов (Ники Сегнит)(1).pdf: 580, 686</x:v>
      </x:c>
    </x:row>
    <x:row r="181" ht="66" customHeight="1">
      <x:c r="A181" s="28" t="str">
        <x:v>VEG-0855</x:v>
      </x:c>
      <x:c r="B181" s="28" t="str">
        <x:v>томат</x:v>
      </x:c>
      <x:c r="C181" s="28" t="str">
        <x:v>кофе</x:v>
      </x:c>
      <x:c r="D181" s="28" t="str">
        <x:v>Кофе</x:v>
      </x:c>
      <x:c r="E181" s="28" t="str">
        <x:v>сенсорная комплементарность</x:v>
      </x:c>
      <x:c r="F181" s="28" t="str">
        <x:v>Томат имеет профиль «зелёный, фруктовый, листовой, сернистый и умами».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8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1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I181" s="28" t="str">
        <x:v>сок, кордиал, гаспачо, салат, соус, маринад или коктейльный компонент с кофе</x:v>
      </x:c>
      <x:c r="J181" s="28" t="str">
        <x:v>Средняя</x:v>
      </x:c>
      <x:c r="K181" s="28" t="str">
        <x:v>The Art &amp; Science of Foodpairing.pdf</x:v>
      </x:c>
      <x:c r="L181" s="28" t="str">
        <x:v>The Art &amp; Science of Foodpairing.pdf: 297</x:v>
      </x:c>
    </x:row>
    <x:row r="182" ht="66" customHeight="1">
      <x:c r="A182" s="28" t="str">
        <x:v>VEG-0856</x:v>
      </x:c>
      <x:c r="B182" s="28" t="str">
        <x:v>томат</x:v>
      </x:c>
      <x:c r="C182" s="28" t="str">
        <x:v>кочуджан</x:v>
      </x:c>
      <x:c r="D182" s="28" t="str">
        <x:v>Прочее</x:v>
      </x:c>
      <x:c r="E182" s="28" t="str">
        <x:v>сенсорная комплементарность</x:v>
      </x:c>
      <x:c r="F182" s="28" t="str">
        <x:v>Томат имеет профиль «зелёный, фруктовый, листовой, сернистый и умами». Партнёр «кочуджан»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2" s="28" t="str">
        <x:v>незрелые плоды слишком зелёные; длительное кипячение стирает свежесть; кислота влияет на молочные эмульсии</x:v>
      </x:c>
      <x:c r="I182" s="28" t="str">
        <x:v>сок, кордиал, гаспачо, салат, соус, маринад или коктейльный компонент с кочуджан</x:v>
      </x:c>
      <x:c r="J182" s="28" t="str">
        <x:v>Средняя</x:v>
      </x:c>
      <x:c r="K182" s="28" t="str">
        <x:v>The Art &amp; Science of Foodpairing.pdf</x:v>
      </x:c>
      <x:c r="L182" s="28" t="str">
        <x:v>The Art &amp; Science of Foodpairing.pdf: 161</x:v>
      </x:c>
    </x:row>
    <x:row r="183" ht="66" customHeight="1">
      <x:c r="A183" s="28" t="str">
        <x:v>VEG-0857</x:v>
      </x:c>
      <x:c r="B183" s="28" t="str">
        <x:v>томат</x:v>
      </x:c>
      <x:c r="C183" s="28" t="str">
        <x:v>краб</x:v>
      </x:c>
      <x:c r="D183" s="28" t="str">
        <x:v>Рыба и морепродукты</x:v>
      </x:c>
      <x:c r="E183" s="28" t="str">
        <x:v>пересечение ароматических семейств; умами и солёный контраст</x:v>
      </x:c>
      <x:c r="F183" s="28" t="str">
        <x:v>Томат имеет профиль «зелёный, фруктовый, листовой, сернистый и умами». Партнёр «краб»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8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3" s="28" t="str">
        <x:v>незрелые плоды слишком зелёные; длительное кипячение стирает свежесть; кислота влияет на молочные эмульсии</x:v>
      </x:c>
      <x:c r="I183" s="28" t="str">
        <x:v>сок, кордиал, гаспачо, салат, соус, маринад или коктейльный компонент с краб</x:v>
      </x:c>
      <x:c r="J183" s="28" t="str">
        <x:v>Средняя</x:v>
      </x:c>
      <x:c r="K183" s="28" t="str">
        <x:v>The Art &amp; Science of Foodpairing.pdf</x:v>
      </x:c>
      <x:c r="L183" s="28" t="str">
        <x:v>The Art &amp; Science of Foodpairing.pdf: 161</x:v>
      </x:c>
    </x:row>
    <x:row r="184" ht="66" customHeight="1">
      <x:c r="A184" s="28" t="str">
        <x:v>VEG-0858</x:v>
      </x:c>
      <x:c r="B184" s="28" t="str">
        <x:v>томат</x:v>
      </x:c>
      <x:c r="C184" s="28" t="str">
        <x:v>курица</x:v>
      </x:c>
      <x:c r="D184" s="28" t="str">
        <x:v>Мясо и птица</x:v>
      </x:c>
      <x:c r="E184" s="28" t="str">
        <x:v>пересечение ароматических семейств; умами и солёный контраст</x:v>
      </x:c>
      <x:c r="F184" s="28" t="str">
        <x:v>Томат имеет профиль «зелёный, фруктовый, листовой, сернистый и умами». Партнёр «курица»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8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4" s="28" t="str">
        <x:v>незрелые плоды слишком зелёные; длительное кипячение стирает свежесть; кислота влияет на молочные эмульсии</x:v>
      </x:c>
      <x:c r="I184" s="28" t="str">
        <x:v>сок, кордиал, гаспачо, салат, соус, маринад или коктейльный компонент с курица</x:v>
      </x:c>
      <x:c r="J184" s="28" t="str">
        <x:v>Средняя</x:v>
      </x:c>
      <x:c r="K184" s="28" t="str">
        <x:v>The Art &amp; Science of Foodpairing.pdf</x:v>
      </x:c>
      <x:c r="L184" s="28" t="str">
        <x:v>The Art &amp; Science of Foodpairing.pdf: 161</x:v>
      </x:c>
    </x:row>
    <x:row r="185" ht="66" customHeight="1">
      <x:c r="A185" s="28" t="str">
        <x:v>VEG-0859</x:v>
      </x:c>
      <x:c r="B185" s="28" t="str">
        <x:v>томат</x:v>
      </x:c>
      <x:c r="C185" s="28" t="str">
        <x:v>лайм</x:v>
      </x:c>
      <x:c r="D185" s="28" t="str">
        <x:v>Фрукты и ягоды</x:v>
      </x:c>
      <x:c r="E185" s="28" t="str">
        <x:v>пересечение ароматических семейств; кислотно-сладкий баланс</x:v>
      </x:c>
      <x:c r="F185" s="28" t="str">
        <x:v>Томат имеет профиль «зелёный, фруктовый, листовой, сернистый и умами». Партнёр «лайм» относится к группе «Фрукты и ягоды» и даёт зелёный, кислый, цитрусовый.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8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5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85" s="28" t="str">
        <x:v>сок, кордиал, гаспачо, салат, соус, маринад или коктейльный компонент с лайм</x:v>
      </x:c>
      <x:c r="J185" s="28" t="str">
        <x:v>Средняя</x:v>
      </x:c>
      <x:c r="K185" s="28" t="str">
        <x:v>Тезариус вкусов (Ники Сегнит)(1).pdf</x:v>
      </x:c>
      <x:c r="L185" s="28" t="str">
        <x:v>Тезариус вкусов (Ники Сегнит)(1).pdf: 686, 796</x:v>
      </x:c>
    </x:row>
    <x:row r="186" ht="66" customHeight="1">
      <x:c r="A186" s="28" t="str">
        <x:v>VEG-0860</x:v>
      </x:c>
      <x:c r="B186" s="28" t="str">
        <x:v>томат</x:v>
      </x:c>
      <x:c r="C186" s="28" t="str">
        <x:v>лимон</x:v>
      </x:c>
      <x:c r="D186" s="28" t="str">
        <x:v>Фрукты и ягоды</x:v>
      </x:c>
      <x:c r="E186" s="28" t="str">
        <x:v>кислотно-сладкий баланс</x:v>
      </x:c>
      <x:c r="F186" s="28" t="str">
        <x:v>Томат имеет профиль «зелёный, фруктовый, листовой, сернистый и умами».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8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6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86" s="28" t="str">
        <x:v>сок, кордиал, гаспачо, салат, соус, маринад или коктейльный компонент с лимон</x:v>
      </x:c>
      <x:c r="J186" s="28" t="str">
        <x:v>Высокая</x:v>
      </x:c>
      <x:c r="K186" s="28" t="str">
        <x:v>Таблица сочетания(1).pdf | Тезариус вкусов (Ники Сегнит)(1).pdf</x:v>
      </x:c>
      <x:c r="L186" s="28" t="str">
        <x:v>Таблица сочетания(1).pdf: 21; Тезариус вкусов (Ники Сегнит)(1).pdf: 686, 809</x:v>
      </x:c>
    </x:row>
    <x:row r="187" ht="66" customHeight="1">
      <x:c r="A187" s="28" t="str">
        <x:v>VEG-0861</x:v>
      </x:c>
      <x:c r="B187" s="28" t="str">
        <x:v>томат</x:v>
      </x:c>
      <x:c r="C187" s="28" t="str">
        <x:v>лимонный мирт</x:v>
      </x:c>
      <x:c r="D187" s="28" t="str">
        <x:v>Фрукты и ягоды</x:v>
      </x:c>
      <x:c r="E187" s="28" t="str">
        <x:v>кислотно-сладкий баланс</x:v>
      </x:c>
      <x:c r="F187" s="28" t="str">
        <x:v>Томат имеет профиль «зелёный, фруктовый, листовой, сернистый и умами». Партнёр «лимонный мирт»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8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7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87" s="28" t="str">
        <x:v>сок, кордиал, гаспачо, салат, соус, маринад или коктейльный компонент с лимонный мирт</x:v>
      </x:c>
      <x:c r="J187" s="28" t="str">
        <x:v>Средняя</x:v>
      </x:c>
      <x:c r="K187" s="28" t="str">
        <x:v>The Art &amp; Science of Foodpairing.pdf</x:v>
      </x:c>
      <x:c r="L187" s="28" t="str">
        <x:v>The Art &amp; Science of Foodpairing.pdf: 161</x:v>
      </x:c>
    </x:row>
    <x:row r="188" ht="66" customHeight="1">
      <x:c r="A188" s="28" t="str">
        <x:v>VEG-0862</x:v>
      </x:c>
      <x:c r="B188" s="28" t="str">
        <x:v>томат</x:v>
      </x:c>
      <x:c r="C188" s="28" t="str">
        <x:v>лист настурции</x:v>
      </x:c>
      <x:c r="D188" s="28" t="str">
        <x:v>Прочее</x:v>
      </x:c>
      <x:c r="E188" s="28" t="str">
        <x:v>сенсорная комплементарность</x:v>
      </x:c>
      <x:c r="F188" s="28" t="str">
        <x:v>Томат имеет профиль «зелёный, фруктовый, листовой, сернистый и умами». Партнёр «лист настурции»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8" s="28" t="str">
        <x:v>незрелые плоды слишком зелёные; длительное кипячение стирает свежесть; кислота влияет на молочные эмульсии</x:v>
      </x:c>
      <x:c r="I188" s="28" t="str">
        <x:v>сок, кордиал, гаспачо, салат, соус, маринад или коктейльный компонент с лист настурции</x:v>
      </x:c>
      <x:c r="J188" s="28" t="str">
        <x:v>Высокая</x:v>
      </x:c>
      <x:c r="K188" s="28" t="str">
        <x:v>The Art &amp; Science of Foodpairing.pdf</x:v>
      </x:c>
      <x:c r="L188" s="28" t="str">
        <x:v>The Art &amp; Science of Foodpairing.pdf: 160, 161</x:v>
      </x:c>
    </x:row>
    <x:row r="189" ht="66" customHeight="1">
      <x:c r="A189" s="28" t="str">
        <x:v>VEG-0863</x:v>
      </x:c>
      <x:c r="B189" s="28" t="str">
        <x:v>томат</x:v>
      </x:c>
      <x:c r="C189" s="28" t="str">
        <x:v>листья кориандра</x:v>
      </x:c>
      <x:c r="D189" s="28" t="str">
        <x:v>Травы, цветы и листья</x:v>
      </x:c>
      <x:c r="E189" s="28" t="str">
        <x:v>пересечение ароматических семейств</x:v>
      </x:c>
      <x:c r="F189" s="28" t="str">
        <x:v>Томат имеет профиль «зелёный, фруктовый, листовой, сернистый и умами».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8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89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I189" s="28" t="str">
        <x:v>сок, кордиал, гаспачо, салат, соус, маринад или коктейльный компонент с листья кориандра</x:v>
      </x:c>
      <x:c r="J189" s="28" t="str">
        <x:v>Высокая</x:v>
      </x:c>
      <x:c r="K189" s="28" t="str">
        <x:v>The Art &amp; Science of Foodpairing.pdf | Тезариус вкусов (Ники Сегнит)(1).pdf</x:v>
      </x:c>
      <x:c r="L189" s="28" t="str">
        <x:v>Тезариус вкусов (Ники Сегнит)(1).pdf: 686; The Art &amp; Science of Foodpairing.pdf: 161</x:v>
      </x:c>
    </x:row>
    <x:row r="190" ht="66" customHeight="1">
      <x:c r="A190" s="28" t="str">
        <x:v>VEG-0864</x:v>
      </x:c>
      <x:c r="B190" s="28" t="str">
        <x:v>томат</x:v>
      </x:c>
      <x:c r="C190" s="28" t="str">
        <x:v>манго</x:v>
      </x:c>
      <x:c r="D190" s="28" t="str">
        <x:v>Фрукты и ягоды</x:v>
      </x:c>
      <x:c r="E190" s="28" t="str">
        <x:v>пересечение ароматических семейств; кислотно-сладкий баланс</x:v>
      </x:c>
      <x:c r="F190" s="28" t="str">
        <x:v>Томат имеет профиль «зелёный, фруктовый, листовой, сернистый и умами». Партнёр «манго» относится к группе «Фрукты и ягоды» и даёт фруктовый, цветочный и свежий.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0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90" s="28" t="str">
        <x:v>сок, кордиал, гаспачо, салат, соус, маринад или коктейльный компонент с манго</x:v>
      </x:c>
      <x:c r="J190" s="28" t="str">
        <x:v>Высокая</x:v>
      </x:c>
      <x:c r="K190" s="28" t="str">
        <x:v>The Art &amp; Science of Foodpairing.pdf</x:v>
      </x:c>
      <x:c r="L190" s="28" t="str">
        <x:v>The Art &amp; Science of Foodpairing.pdf: 161, 312</x:v>
      </x:c>
    </x:row>
    <x:row r="191" ht="66" customHeight="1">
      <x:c r="A191" s="28" t="str">
        <x:v>VEG-0865</x:v>
      </x:c>
      <x:c r="B191" s="28" t="str">
        <x:v>томат</x:v>
      </x:c>
      <x:c r="C191" s="28" t="str">
        <x:v>маниок</x:v>
      </x:c>
      <x:c r="D191" s="28" t="str">
        <x:v>Прочее</x:v>
      </x:c>
      <x:c r="E191" s="28" t="str">
        <x:v>сенсорная комплементарность</x:v>
      </x:c>
      <x:c r="F191" s="28" t="str">
        <x:v>Томат имеет профиль «зелёный, фруктовый, листовой, сернистый и умами».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1" s="28" t="str">
        <x:v>незрелые плоды слишком зелёные; длительное кипячение стирает свежесть; кислота влияет на молочные эмульсии</x:v>
      </x:c>
      <x:c r="I191" s="28" t="str">
        <x:v>сок, кордиал, гаспачо, салат, соус, маринад или коктейльный компонент с маниок</x:v>
      </x:c>
      <x:c r="J191" s="28" t="str">
        <x:v>Средняя</x:v>
      </x:c>
      <x:c r="K191" s="28" t="str">
        <x:v>The Art &amp; Science of Foodpairing.pdf</x:v>
      </x:c>
      <x:c r="L191" s="28" t="str">
        <x:v>The Art &amp; Science of Foodpairing.pdf: 251</x:v>
      </x:c>
    </x:row>
    <x:row r="192" ht="66" customHeight="1">
      <x:c r="A192" s="28" t="str">
        <x:v>VEG-0866</x:v>
      </x:c>
      <x:c r="B192" s="28" t="str">
        <x:v>томат</x:v>
      </x:c>
      <x:c r="C192" s="28" t="str">
        <x:v>микрозелень шисо</x:v>
      </x:c>
      <x:c r="D192" s="28" t="str">
        <x:v>Прочее</x:v>
      </x:c>
      <x:c r="E192" s="28" t="str">
        <x:v>сенсорная комплементарность</x:v>
      </x:c>
      <x:c r="F192" s="28" t="str">
        <x:v>Томат имеет профиль «зелёный, фруктовый, листовой, сернистый и умами». Партнёр «микрозелень шисо»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2" s="28" t="str">
        <x:v>незрелые плоды слишком зелёные; длительное кипячение стирает свежесть; кислота влияет на молочные эмульсии</x:v>
      </x:c>
      <x:c r="I192" s="28" t="str">
        <x:v>сок, кордиал, гаспачо, салат, соус, маринад или коктейльный компонент с микрозелень шисо</x:v>
      </x:c>
      <x:c r="J192" s="28" t="str">
        <x:v>Средняя</x:v>
      </x:c>
      <x:c r="K192" s="28" t="str">
        <x:v>The Art &amp; Science of Foodpairing.pdf</x:v>
      </x:c>
      <x:c r="L192" s="28" t="str">
        <x:v>The Art &amp; Science of Foodpairing.pdf: 161</x:v>
      </x:c>
    </x:row>
    <x:row r="193" ht="66" customHeight="1">
      <x:c r="A193" s="28" t="str">
        <x:v>VEG-0867</x:v>
      </x:c>
      <x:c r="B193" s="28" t="str">
        <x:v>томат</x:v>
      </x:c>
      <x:c r="C193" s="28" t="str">
        <x:v>моллюски</x:v>
      </x:c>
      <x:c r="D193" s="28" t="str">
        <x:v>Рыба и морепродукты</x:v>
      </x:c>
      <x:c r="E193" s="28" t="str">
        <x:v>пересечение ароматических семейств; умами и солёный контраст</x:v>
      </x:c>
      <x:c r="F193" s="28" t="str">
        <x:v>Томат имеет профиль «зелёный, фруктовый, листовой, сернистый и умами».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9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3" s="28" t="str">
        <x:v>незрелые плоды слишком зелёные; длительное кипячение стирает свежесть; кислота влияет на молочные эмульсии</x:v>
      </x:c>
      <x:c r="I193" s="28" t="str">
        <x:v>сок, кордиал, гаспачо, салат, соус, маринад или коктейльный компонент с моллюски</x:v>
      </x:c>
      <x:c r="J193" s="28" t="str">
        <x:v>Средняя</x:v>
      </x:c>
      <x:c r="K193" s="28" t="str">
        <x:v>Тезариус вкусов (Ники Сегнит)(1).pdf</x:v>
      </x:c>
      <x:c r="L193" s="28" t="str">
        <x:v>Тезариус вкусов (Ники Сегнит)(1).pdf: 377, 687</x:v>
      </x:c>
    </x:row>
    <x:row r="194" ht="66" customHeight="1">
      <x:c r="A194" s="28" t="str">
        <x:v>VEG-0868</x:v>
      </x:c>
      <x:c r="B194" s="28" t="str">
        <x:v>томат</x:v>
      </x:c>
      <x:c r="C194" s="28" t="str">
        <x:v>молочный шоколад</x:v>
      </x:c>
      <x:c r="D194" s="28" t="str">
        <x:v>Какао и шоколад</x:v>
      </x:c>
      <x:c r="E194" s="28" t="str">
        <x:v>сенсорная комплементарность</x:v>
      </x:c>
      <x:c r="F194" s="28" t="str">
        <x:v>Томат имеет профиль «зелёный, фруктовый, листовой, сернистый и умами». Партнёр «молочный 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9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4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I194" s="28" t="str">
        <x:v>сок, кордиал, гаспачо, салат, соус, маринад или коктейльный компонент с молочный шоколад</x:v>
      </x:c>
      <x:c r="J194" s="28" t="str">
        <x:v>Средняя</x:v>
      </x:c>
      <x:c r="K194" s="28" t="str">
        <x:v>The Art &amp; Science of Foodpairing.pdf</x:v>
      </x:c>
      <x:c r="L194" s="28" t="str">
        <x:v>The Art &amp; Science of Foodpairing.pdf: 161</x:v>
      </x:c>
    </x:row>
    <x:row r="195" ht="66" customHeight="1">
      <x:c r="A195" s="28" t="str">
        <x:v>VEG-0869</x:v>
      </x:c>
      <x:c r="B195" s="28" t="str">
        <x:v>томат</x:v>
      </x:c>
      <x:c r="C195" s="28" t="str">
        <x:v>морковь</x:v>
      </x:c>
      <x:c r="D195" s="28" t="str">
        <x:v>Корнеплоды</x:v>
      </x:c>
      <x:c r="E195" s="28" t="str">
        <x:v>общие характерные молекулы</x:v>
      </x:c>
      <x:c r="F195" s="28" t="str">
        <x:v>Томат имеет профиль «зелёный, фруктовый, листовой, сернистый и умами». Партнёр «морковь» относится к группе «Корнеплоды» и даёт сладкий, землистый, древесный и слегка цитрусовый. Вероятный молекулярный мост: β-ионон. Совместимость формируется за счёт баланса сладости, кислотности, горечи, умами и текстуры.</x:v>
      </x:c>
      <x:c r="G19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5" s="28" t="str">
        <x:v>незрелые плоды слишком зелёные; длительное кипячение стирает свежесть; кислота влияет на молочные эмульсии</x:v>
      </x:c>
      <x:c r="I195" s="28" t="str">
        <x:v>сок, кордиал, гаспачо, салат, соус, маринад или коктейльный компонент с морковь</x:v>
      </x:c>
      <x:c r="J195" s="28" t="str">
        <x:v>Гипотеза / практическая</x:v>
      </x:c>
      <x:c r="K195" s="28" t="str">
        <x:v>Таблица сочетания(1).pdf</x:v>
      </x:c>
      <x:c r="L195" s="28" t="str">
        <x:v>Таблица сочетания(1).pdf: 4</x:v>
      </x:c>
    </x:row>
    <x:row r="196" ht="66" customHeight="1">
      <x:c r="A196" s="28" t="str">
        <x:v>VEG-0870</x:v>
      </x:c>
      <x:c r="B196" s="28" t="str">
        <x:v>томат</x:v>
      </x:c>
      <x:c r="C196" s="28" t="str">
        <x:v>моцарелла буйволицы</x:v>
      </x:c>
      <x:c r="D196" s="28" t="str">
        <x:v>Прочее</x:v>
      </x:c>
      <x:c r="E196" s="28" t="str">
        <x:v>сенсорная комплементарность</x:v>
      </x:c>
      <x:c r="F196" s="28" t="str">
        <x:v>Томат имеет профиль «зелёный, фруктовый, листовой, сернистый и умами». Партнёр «моцарелла буйволицы»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6" s="28" t="str">
        <x:v>незрелые плоды слишком зелёные; длительное кипячение стирает свежесть; кислота влияет на молочные эмульсии</x:v>
      </x:c>
      <x:c r="I196" s="28" t="str">
        <x:v>сок, кордиал, гаспачо, салат, соус, маринад или коктейльный компонент с моцарелла буйволицы</x:v>
      </x:c>
      <x:c r="J196" s="28" t="str">
        <x:v>Средняя</x:v>
      </x:c>
      <x:c r="K196" s="28" t="str">
        <x:v>The Art &amp; Science of Foodpairing.pdf</x:v>
      </x:c>
      <x:c r="L196" s="28" t="str">
        <x:v>The Art &amp; Science of Foodpairing.pdf: 161</x:v>
      </x:c>
    </x:row>
    <x:row r="197" ht="66" customHeight="1">
      <x:c r="A197" s="28" t="str">
        <x:v>VEG-0871</x:v>
      </x:c>
      <x:c r="B197" s="28" t="str">
        <x:v>томат</x:v>
      </x:c>
      <x:c r="C197" s="28" t="str">
        <x:v>муравьи саува</x:v>
      </x:c>
      <x:c r="D197" s="28" t="str">
        <x:v>Прочее</x:v>
      </x:c>
      <x:c r="E197" s="28" t="str">
        <x:v>сенсорная комплементарность</x:v>
      </x:c>
      <x:c r="F197" s="28" t="str">
        <x:v>Томат имеет профиль «зелёный, фруктовый, листовой, сернистый и умами». Партнёр «муравьи саува»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7" s="28" t="str">
        <x:v>незрелые плоды слишком зелёные; длительное кипячение стирает свежесть; кислота влияет на молочные эмульсии</x:v>
      </x:c>
      <x:c r="I197" s="28" t="str">
        <x:v>сок, кордиал, гаспачо, салат, соус, маринад или коктейльный компонент с муравьи саува</x:v>
      </x:c>
      <x:c r="J197" s="28" t="str">
        <x:v>Средняя</x:v>
      </x:c>
      <x:c r="K197" s="28" t="str">
        <x:v>The Art &amp; Science of Foodpairing.pdf</x:v>
      </x:c>
      <x:c r="L197" s="28" t="str">
        <x:v>The Art &amp; Science of Foodpairing.pdf: 147, 161</x:v>
      </x:c>
    </x:row>
    <x:row r="198" ht="66" customHeight="1">
      <x:c r="A198" s="28" t="str">
        <x:v>VEG-0872</x:v>
      </x:c>
      <x:c r="B198" s="28" t="str">
        <x:v>томат</x:v>
      </x:c>
      <x:c r="C198" s="28" t="str">
        <x:v>мускатный орех</x:v>
      </x:c>
      <x:c r="D198" s="28" t="str">
        <x:v>Рыба и морепродукты</x:v>
      </x:c>
      <x:c r="E198" s="28" t="str">
        <x:v>умами и солёный контраст</x:v>
      </x:c>
      <x:c r="F198" s="28" t="str">
        <x:v>Томат имеет профиль «зелёный, фруктовый, листовой, сернистый и умами».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9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8" s="28" t="str">
        <x:v>незрелые плоды слишком зелёные; длительное кипячение стирает свежесть; кислота влияет на молочные эмульсии</x:v>
      </x:c>
      <x:c r="I198" s="28" t="str">
        <x:v>сок, кордиал, гаспачо, салат, соус, маринад или коктейльный компонент с мускатный орех</x:v>
      </x:c>
      <x:c r="J198" s="28" t="str">
        <x:v>Средняя</x:v>
      </x:c>
      <x:c r="K198" s="28" t="str">
        <x:v>Тезариус вкусов (Ники Сегнит)(1).pdf</x:v>
      </x:c>
      <x:c r="L198" s="28" t="str">
        <x:v>Тезариус вкусов (Ники Сегнит)(1).pdf: 590, 688</x:v>
      </x:c>
    </x:row>
    <x:row r="199" ht="66" customHeight="1">
      <x:c r="A199" s="28" t="str">
        <x:v>VEG-0873</x:v>
      </x:c>
      <x:c r="B199" s="28" t="str">
        <x:v>томат</x:v>
      </x:c>
      <x:c r="C199" s="28" t="str">
        <x:v>мягкий сыр</x:v>
      </x:c>
      <x:c r="D199" s="28" t="str">
        <x:v>Молочные продукты и сыры</x:v>
      </x:c>
      <x:c r="E199" s="28" t="str">
        <x:v>пересечение ароматических семейств; жировая матрица</x:v>
      </x:c>
      <x:c r="F199" s="28" t="str">
        <x:v>Томат имеет профиль «зелёный, фруктовый, листовой, сернистый и умами».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9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9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I199" s="28" t="str">
        <x:v>сок, кордиал, гаспачо, салат, соус, маринад или коктейльный компонент с мягкий сыр</x:v>
      </x:c>
      <x:c r="J199" s="28" t="str">
        <x:v>Средняя</x:v>
      </x:c>
      <x:c r="K199" s="28" t="str">
        <x:v>Тезариус вкусов (Ники Сегнит)(1).pdf</x:v>
      </x:c>
      <x:c r="L199" s="28" t="str">
        <x:v>Тезариус вкусов (Ники Сегнит)(1).pdf: 187, 689</x:v>
      </x:c>
    </x:row>
    <x:row r="200" ht="66" customHeight="1">
      <x:c r="A200" s="28" t="str">
        <x:v>VEG-0874</x:v>
      </x:c>
      <x:c r="B200" s="28" t="str">
        <x:v>томат</x:v>
      </x:c>
      <x:c r="C200" s="28" t="str">
        <x:v>мясо</x:v>
      </x:c>
      <x:c r="D200" s="28" t="str">
        <x:v>Мясо и птица</x:v>
      </x:c>
      <x:c r="E200" s="28" t="str">
        <x:v>пересечение ароматических семейств; умами и солёный контраст</x:v>
      </x:c>
      <x:c r="F200" s="28" t="str">
        <x:v>Томат имеет профиль «зелёный, фруктовый, листовой, сернистый и умами». Партнёр «мясо» относится к группе «Мясо и птица» и даёт жареный, жирный,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20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0" s="28" t="str">
        <x:v>незрелые плоды слишком зелёные; длительное кипячение стирает свежесть; кислота влияет на молочные эмульсии</x:v>
      </x:c>
      <x:c r="I200" s="28" t="str">
        <x:v>сок, кордиал, гаспачо, салат, соус, маринад или коктейльный компонент с мясо</x:v>
      </x:c>
      <x:c r="J200" s="28" t="str">
        <x:v>Средняя</x:v>
      </x:c>
      <x:c r="K200" s="28" t="str">
        <x:v>The Art &amp; Science of Foodpairing.pdf</x:v>
      </x:c>
      <x:c r="L200" s="28" t="str">
        <x:v>The Art &amp; Science of Foodpairing.pdf: 186</x:v>
      </x:c>
    </x:row>
    <x:row r="201" ht="66" customHeight="1">
      <x:c r="A201" s="28" t="str">
        <x:v>VEG-0875</x:v>
      </x:c>
      <x:c r="B201" s="28" t="str">
        <x:v>томат</x:v>
      </x:c>
      <x:c r="C201" s="28" t="str">
        <x:v>мята</x:v>
      </x:c>
      <x:c r="D201" s="28" t="str">
        <x:v>Травы, цветы и листья</x:v>
      </x:c>
      <x:c r="E201" s="28" t="str">
        <x:v>пересечение ароматических семейств</x:v>
      </x:c>
      <x:c r="F201" s="28" t="str">
        <x:v>Томат имеет профиль «зелёный, фруктовый, листовой, сернистый и умами».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20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1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I201" s="28" t="str">
        <x:v>сок, кордиал, гаспачо, салат, соус, маринад или коктейльный компонент с мята</x:v>
      </x:c>
      <x:c r="J201" s="28" t="str">
        <x:v>Средняя</x:v>
      </x:c>
      <x:c r="K201" s="28" t="str">
        <x:v>The Art &amp; Science of Foodpairing.pdf</x:v>
      </x:c>
      <x:c r="L201" s="28" t="str">
        <x:v>The Art &amp; Science of Foodpairing.pdf: 161</x:v>
      </x:c>
    </x:row>
    <x:row r="202" ht="66" customHeight="1">
      <x:c r="A202" s="28" t="str">
        <x:v>VEG-0876</x:v>
      </x:c>
      <x:c r="B202" s="28" t="str">
        <x:v>томат</x:v>
      </x:c>
      <x:c r="C202" s="28" t="str">
        <x:v>овощной бульон</x:v>
      </x:c>
      <x:c r="D202" s="28" t="str">
        <x:v>Прочее</x:v>
      </x:c>
      <x:c r="E202" s="28" t="str">
        <x:v>сенсорная комплементарность</x:v>
      </x:c>
      <x:c r="F202" s="28" t="str">
        <x:v>Томат имеет профиль «зелёный, фруктовый, листовой, сернистый и умами». Партнёр «овощной бульон»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0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2" s="28" t="str">
        <x:v>незрелые плоды слишком зелёные; длительное кипячение стирает свежесть; кислота влияет на молочные эмульсии</x:v>
      </x:c>
      <x:c r="I202" s="28" t="str">
        <x:v>сок, кордиал, гаспачо, салат, соус, маринад или коктейльный компонент с овощной бульон</x:v>
      </x:c>
      <x:c r="J202" s="28" t="str">
        <x:v>Средняя</x:v>
      </x:c>
      <x:c r="K202" s="28" t="str">
        <x:v>The Art &amp; Science of Foodpairing.pdf</x:v>
      </x:c>
      <x:c r="L202" s="28" t="str">
        <x:v>The Art &amp; Science of Foodpairing.pdf: 161</x:v>
      </x:c>
    </x:row>
    <x:row r="203" ht="66" customHeight="1">
      <x:c r="A203" s="28" t="str">
        <x:v>VEG-0877</x:v>
      </x:c>
      <x:c r="B203" s="28" t="str">
        <x:v>томат</x:v>
      </x:c>
      <x:c r="C203" s="28" t="str">
        <x:v>огурец</x:v>
      </x:c>
      <x:c r="D203" s="28" t="str">
        <x:v>Тыквенные</x:v>
      </x:c>
      <x:c r="E203" s="28" t="str">
        <x:v>общие характерные молекулы; пересечение ароматических семейств</x:v>
      </x:c>
      <x:c r="F203" s="28" t="str">
        <x:v>Томат имеет профиль «зелёный, фруктовый, листовой, сернистый и умами». Партнёр «огурец» относится к группе «Тыквенные» и даёт зелёный, водянистый, свежий и дынный. Вероятный молекулярный мост: гексаналь. Совместимость формируется за счёт баланса сладости, кислотности, горечи, умами и текстуры.</x:v>
      </x:c>
      <x:c r="G20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3" s="28" t="str">
        <x:v>незрелые плоды слишком зелёные; длительное кипячение стирает свежесть; кислота влияет на молочные эмульсии</x:v>
      </x:c>
      <x:c r="I203" s="28" t="str">
        <x:v>сок, кордиал, гаспачо, салат, соус, маринад или коктейльный компонент с огурец</x:v>
      </x:c>
      <x:c r="J203" s="28" t="str">
        <x:v>Средняя</x:v>
      </x:c>
      <x:c r="K203" s="28" t="str">
        <x:v>Тезариус вкусов (Ники Сегнит)(1).pdf</x:v>
      </x:c>
      <x:c r="L203" s="28" t="str">
        <x:v>Тезариус вкусов (Ники Сегнит)(1).pdf: 497, 689</x:v>
      </x:c>
    </x:row>
    <x:row r="204" ht="66" customHeight="1">
      <x:c r="A204" s="28" t="str">
        <x:v>VEG-0878</x:v>
      </x:c>
      <x:c r="B204" s="28" t="str">
        <x:v>томат</x:v>
      </x:c>
      <x:c r="C204" s="28" t="str">
        <x:v>оливки</x:v>
      </x:c>
      <x:c r="D204" s="28" t="str">
        <x:v>Прочее</x:v>
      </x:c>
      <x:c r="E204" s="28" t="str">
        <x:v>сенсорная комплементарность</x:v>
      </x:c>
      <x:c r="F204" s="28" t="str">
        <x:v>Томат имеет профиль «зелёный, фруктовый, листовой, сернистый и умами».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0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4" s="28" t="str">
        <x:v>незрелые плоды слишком зелёные; длительное кипячение стирает свежесть; кислота влияет на молочные эмульсии</x:v>
      </x:c>
      <x:c r="I204" s="28" t="str">
        <x:v>сок, кордиал, гаспачо, салат, соус, маринад или коктейльный компонент с оливки</x:v>
      </x:c>
      <x:c r="J204" s="28" t="str">
        <x:v>Средняя</x:v>
      </x:c>
      <x:c r="K204" s="28" t="str">
        <x:v>Тезариус вкусов (Ники Сегнит)(1).pdf</x:v>
      </x:c>
      <x:c r="L204" s="28" t="str">
        <x:v>Тезариус вкусов (Ники Сегнит)(1).pdf: 470, 689</x:v>
      </x:c>
    </x:row>
    <x:row r="205" ht="66" customHeight="1">
      <x:c r="A205" s="28" t="str">
        <x:v>VEG-0879</x:v>
      </x:c>
      <x:c r="B205" s="28" t="str">
        <x:v>томат</x:v>
      </x:c>
      <x:c r="C205" s="28" t="str">
        <x:v>оливковое масло пикваль</x:v>
      </x:c>
      <x:c r="D205" s="28" t="str">
        <x:v>Масла и жиры</x:v>
      </x:c>
      <x:c r="E205" s="28" t="str">
        <x:v>жировая матрица</x:v>
      </x:c>
      <x:c r="F205" s="28" t="str">
        <x:v>Томат имеет профиль «зелёный, фруктовый, листовой, сернистый и умами».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0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5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I205" s="28" t="str">
        <x:v>сок, кордиал, гаспачо, салат, соус, маринад или коктейльный компонент с оливковое масло пикваль</x:v>
      </x:c>
      <x:c r="J205" s="28" t="str">
        <x:v>Средняя</x:v>
      </x:c>
      <x:c r="K205" s="28" t="str">
        <x:v>The Art &amp; Science of Foodpairing.pdf</x:v>
      </x:c>
      <x:c r="L205" s="28" t="str">
        <x:v>The Art &amp; Science of Foodpairing.pdf: 161</x:v>
      </x:c>
    </x:row>
    <x:row r="206" ht="66" customHeight="1">
      <x:c r="A206" s="28" t="str">
        <x:v>VEG-0880</x:v>
      </x:c>
      <x:c r="B206" s="28" t="str">
        <x:v>томат</x:v>
      </x:c>
      <x:c r="C206" s="28" t="str">
        <x:v>папайя</x:v>
      </x:c>
      <x:c r="D206" s="28" t="str">
        <x:v>Прочее</x:v>
      </x:c>
      <x:c r="E206" s="28" t="str">
        <x:v>сенсорная комплементарность</x:v>
      </x:c>
      <x:c r="F206" s="28" t="str">
        <x:v>Томат имеет профиль «зелёный, фруктовый, листовой, сернистый и умами». Партнёр «папайя»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0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6" s="28" t="str">
        <x:v>незрелые плоды слишком зелёные; длительное кипячение стирает свежесть; кислота влияет на молочные эмульсии</x:v>
      </x:c>
      <x:c r="I206" s="28" t="str">
        <x:v>сок, кордиал, гаспачо, салат, соус, маринад или коктейльный компонент с папайя</x:v>
      </x:c>
      <x:c r="J206" s="28" t="str">
        <x:v>Средняя</x:v>
      </x:c>
      <x:c r="K206" s="28" t="str">
        <x:v>The Art &amp; Science of Foodpairing.pdf</x:v>
      </x:c>
      <x:c r="L206" s="28" t="str">
        <x:v>The Art &amp; Science of Foodpairing.pdf: 161</x:v>
      </x:c>
    </x:row>
    <x:row r="207" ht="66" customHeight="1">
      <x:c r="A207" s="28" t="str">
        <x:v>VEG-0881</x:v>
      </x:c>
      <x:c r="B207" s="28" t="str">
        <x:v>томат</x:v>
      </x:c>
      <x:c r="C207" s="28" t="str">
        <x:v>паста карри мадрас</x:v>
      </x:c>
      <x:c r="D207" s="28" t="str">
        <x:v>Выпечка, крупы, сахара и десерты</x:v>
      </x:c>
      <x:c r="E207" s="28" t="str">
        <x:v>сенсорная комплементарность</x:v>
      </x:c>
      <x:c r="F207" s="28" t="str">
        <x:v>Томат имеет профиль «зелёный, фруктовый, листовой, сернистый и умами». Партнёр «паста карри мадрас»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7" s="28" t="str">
        <x:v>незрелые плоды слишком зелёные; длительное кипячение стирает свежесть; кислота влияет на молочные эмульсии</x:v>
      </x:c>
      <x:c r="I207" s="28" t="str">
        <x:v>сок, кордиал, гаспачо, салат, соус, маринад или коктейльный компонент с паста карри мадрас</x:v>
      </x:c>
      <x:c r="J207" s="28" t="str">
        <x:v>Средняя</x:v>
      </x:c>
      <x:c r="K207" s="28" t="str">
        <x:v>The Art &amp; Science of Foodpairing.pdf</x:v>
      </x:c>
      <x:c r="L207" s="28" t="str">
        <x:v>The Art &amp; Science of Foodpairing.pdf: 161</x:v>
      </x:c>
    </x:row>
    <x:row r="208" ht="66" customHeight="1">
      <x:c r="A208" s="28" t="str">
        <x:v>VEG-0882</x:v>
      </x:c>
      <x:c r="B208" s="28" t="str">
        <x:v>томат</x:v>
      </x:c>
      <x:c r="C208" s="28" t="str">
        <x:v>паста тикка масала</x:v>
      </x:c>
      <x:c r="D208" s="28" t="str">
        <x:v>Выпечка, крупы, сахара и десерты</x:v>
      </x:c>
      <x:c r="E208" s="28" t="str">
        <x:v>сенсорная комплементарность</x:v>
      </x:c>
      <x:c r="F208" s="28" t="str">
        <x:v>Томат имеет профиль «зелёный, фруктовый, листовой, сернистый и умами». Партнёр «паста тикка масала»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8" s="28" t="str">
        <x:v>незрелые плоды слишком зелёные; длительное кипячение стирает свежесть; кислота влияет на молочные эмульсии</x:v>
      </x:c>
      <x:c r="I208" s="28" t="str">
        <x:v>сок, кордиал, гаспачо, салат, соус, маринад или коктейльный компонент с паста тикка масала</x:v>
      </x:c>
      <x:c r="J208" s="28" t="str">
        <x:v>Средняя</x:v>
      </x:c>
      <x:c r="K208" s="28" t="str">
        <x:v>The Art &amp; Science of Foodpairing.pdf</x:v>
      </x:c>
      <x:c r="L208" s="28" t="str">
        <x:v>The Art &amp; Science of Foodpairing.pdf: 161</x:v>
      </x:c>
    </x:row>
    <x:row r="209" ht="66" customHeight="1">
      <x:c r="A209" s="28" t="str">
        <x:v>VEG-0883</x:v>
      </x:c>
      <x:c r="B209" s="28" t="str">
        <x:v>томат</x:v>
      </x:c>
      <x:c r="C209" s="28" t="str">
        <x:v>пекан</x:v>
      </x:c>
      <x:c r="D209" s="28" t="str">
        <x:v>Прочее</x:v>
      </x:c>
      <x:c r="E209" s="28" t="str">
        <x:v>сенсорная комплементарность</x:v>
      </x:c>
      <x:c r="F209" s="28" t="str">
        <x:v>Томат имеет профиль «зелёный, фруктовый, листовой, сернистый и умами». Партнёр «пекан»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0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9" s="28" t="str">
        <x:v>незрелые плоды слишком зелёные; длительное кипячение стирает свежесть; кислота влияет на молочные эмульсии</x:v>
      </x:c>
      <x:c r="I209" s="28" t="str">
        <x:v>сок, кордиал, гаспачо, салат, соус, маринад или коктейльный компонент с пекан</x:v>
      </x:c>
      <x:c r="J209" s="28" t="str">
        <x:v>Средняя</x:v>
      </x:c>
      <x:c r="K209" s="28" t="str">
        <x:v>The Art &amp; Science of Foodpairing.pdf</x:v>
      </x:c>
      <x:c r="L209" s="28" t="str">
        <x:v>The Art &amp; Science of Foodpairing.pdf: 161</x:v>
      </x:c>
    </x:row>
    <x:row r="210" ht="66" customHeight="1">
      <x:c r="A210" s="28" t="str">
        <x:v>VEG-0884</x:v>
      </x:c>
      <x:c r="B210" s="28" t="str">
        <x:v>томат</x:v>
      </x:c>
      <x:c r="C210" s="28" t="str">
        <x:v>перец</x:v>
      </x:c>
      <x:c r="D210" s="28" t="str">
        <x:v>Прочее</x:v>
      </x:c>
      <x:c r="E210" s="28" t="str">
        <x:v>сенсорная комплементарность</x:v>
      </x:c>
      <x:c r="F210" s="28" t="str">
        <x:v>Томат имеет профиль «зелёный, фруктовый, листовой, сернистый и умами». Партнёр «перец»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1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0" s="28" t="str">
        <x:v>незрелые плоды слишком зелёные; длительное кипячение стирает свежесть; кислота влияет на молочные эмульсии</x:v>
      </x:c>
      <x:c r="I210" s="28" t="str">
        <x:v>сок, кордиал, гаспачо, салат, соус, маринад или коктейльный компонент с перец</x:v>
      </x:c>
      <x:c r="J210" s="28" t="str">
        <x:v>Гипотеза / практическая</x:v>
      </x:c>
      <x:c r="K210" s="28" t="str">
        <x:v>Таблица сочетания(1).pdf</x:v>
      </x:c>
      <x:c r="L210" s="28" t="str">
        <x:v>Таблица сочетания(1).pdf: 16</x:v>
      </x:c>
    </x:row>
    <x:row r="211" ht="66" customHeight="1">
      <x:c r="A211" s="28" t="str">
        <x:v>VEG-0885</x:v>
      </x:c>
      <x:c r="B211" s="28" t="str">
        <x:v>томат</x:v>
      </x:c>
      <x:c r="C211" s="28" t="str">
        <x:v>прошутто</x:v>
      </x:c>
      <x:c r="D211" s="28" t="str">
        <x:v>Мясо и птица</x:v>
      </x:c>
      <x:c r="E211" s="28" t="str">
        <x:v>пересечение ароматических семейств; умами и солёный контраст</x:v>
      </x:c>
      <x:c r="F211" s="28" t="str">
        <x:v>Томат имеет профиль «зелёный, фруктовый, листовой, сернистый и умами». Партнёр «прошутто»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21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1" s="28" t="str">
        <x:v>незрелые плоды слишком зелёные; длительное кипячение стирает свежесть; кислота влияет на молочные эмульсии</x:v>
      </x:c>
      <x:c r="I211" s="28" t="str">
        <x:v>сок, кордиал, гаспачо, салат, соус, маринад или коктейльный компонент с прошутто</x:v>
      </x:c>
      <x:c r="J211" s="28" t="str">
        <x:v>Средняя</x:v>
      </x:c>
      <x:c r="K211" s="28" t="str">
        <x:v>Тезариус вкусов (Ники Сегнит)(1).pdf</x:v>
      </x:c>
      <x:c r="L211" s="28" t="str">
        <x:v>Тезариус вкусов (Ники Сегнит)(1).pdf: 460, 689</x:v>
      </x:c>
    </x:row>
    <x:row r="212" ht="66" customHeight="1">
      <x:c r="A212" s="28" t="str">
        <x:v>VEG-0886</x:v>
      </x:c>
      <x:c r="B212" s="28" t="str">
        <x:v>томат</x:v>
      </x:c>
      <x:c r="C212" s="28" t="str">
        <x:v>рапсовое масло</x:v>
      </x:c>
      <x:c r="D212" s="28" t="str">
        <x:v>Масла и жиры</x:v>
      </x:c>
      <x:c r="E212" s="28" t="str">
        <x:v>жировая матрица</x:v>
      </x:c>
      <x:c r="F212" s="28" t="str">
        <x:v>Томат имеет профиль «зелёный, фруктовый, листовой, сернистый и умами». Партнёр «рапсовое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1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2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I212" s="28" t="str">
        <x:v>сок, кордиал, гаспачо, салат, соус, маринад или коктейльный компонент с рапсовое масло</x:v>
      </x:c>
      <x:c r="J212" s="28" t="str">
        <x:v>Средняя</x:v>
      </x:c>
      <x:c r="K212" s="28" t="str">
        <x:v>The Art &amp; Science of Foodpairing.pdf</x:v>
      </x:c>
      <x:c r="L212" s="28" t="str">
        <x:v>The Art &amp; Science of Foodpairing.pdf: 161</x:v>
      </x:c>
    </x:row>
    <x:row r="213" ht="66" customHeight="1">
      <x:c r="A213" s="28" t="str">
        <x:v>VEG-0887</x:v>
      </x:c>
      <x:c r="B213" s="28" t="str">
        <x:v>томат</x:v>
      </x:c>
      <x:c r="C213" s="28" t="str">
        <x:v>рапсовый мёд</x:v>
      </x:c>
      <x:c r="D213" s="28" t="str">
        <x:v>Выпечка, крупы, сахара и десерты</x:v>
      </x:c>
      <x:c r="E213" s="28" t="str">
        <x:v>сенсорная комплементарность</x:v>
      </x:c>
      <x:c r="F213" s="28" t="str">
        <x:v>Томат имеет профиль «зелёный, фруктовый, листовой, сернистый и умами». Партнёр «рапсовый 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1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3" s="28" t="str">
        <x:v>незрелые плоды слишком зелёные; длительное кипячение стирает свежесть; кислота влияет на молочные эмульсии</x:v>
      </x:c>
      <x:c r="I213" s="28" t="str">
        <x:v>сок, кордиал, гаспачо, салат, соус, маринад или коктейльный компонент с рапсовый мёд</x:v>
      </x:c>
      <x:c r="J213" s="28" t="str">
        <x:v>Средняя</x:v>
      </x:c>
      <x:c r="K213" s="28" t="str">
        <x:v>The Art &amp; Science of Foodpairing.pdf</x:v>
      </x:c>
      <x:c r="L213" s="28" t="str">
        <x:v>The Art &amp; Science of Foodpairing.pdf: 161</x:v>
      </x:c>
    </x:row>
    <x:row r="214" ht="66" customHeight="1">
      <x:c r="A214" s="28" t="str">
        <x:v>VEG-0888</x:v>
      </x:c>
      <x:c r="B214" s="28" t="str">
        <x:v>томат</x:v>
      </x:c>
      <x:c r="C214" s="28" t="str">
        <x:v>свинина</x:v>
      </x:c>
      <x:c r="D214" s="28" t="str">
        <x:v>Мясо и птица</x:v>
      </x:c>
      <x:c r="E214" s="28" t="str">
        <x:v>пересечение ароматических семейств; умами и солёный контраст</x:v>
      </x:c>
      <x:c r="F214" s="28" t="str">
        <x:v>Томат имеет профиль «зелёный, фруктовый, листовой, сернистый и умами». Партнёр «свинина»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21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4" s="28" t="str">
        <x:v>незрелые плоды слишком зелёные; длительное кипячение стирает свежесть; кислота влияет на молочные эмульсии</x:v>
      </x:c>
      <x:c r="I214" s="28" t="str">
        <x:v>сок, кордиал, гаспачо, салат, соус, маринад или коктейльный компонент с свинина</x:v>
      </x:c>
      <x:c r="J214" s="28" t="str">
        <x:v>Средняя</x:v>
      </x:c>
      <x:c r="K214" s="28" t="str">
        <x:v>Тезариус вкусов (Ники Сегнит)(1).pdf</x:v>
      </x:c>
      <x:c r="L214" s="28" t="str">
        <x:v>Тезариус вкусов (Ники Сегнит)(1).pdf: 87, 689</x:v>
      </x:c>
    </x:row>
    <x:row r="215" ht="66" customHeight="1">
      <x:c r="A215" s="28" t="str">
        <x:v>VEG-0889</x:v>
      </x:c>
      <x:c r="B215" s="28" t="str">
        <x:v>томат</x:v>
      </x:c>
      <x:c r="C215" s="28" t="str">
        <x:v>сибас</x:v>
      </x:c>
      <x:c r="D215" s="28" t="str">
        <x:v>Рыба и морепродукты</x:v>
      </x:c>
      <x:c r="E215" s="28" t="str">
        <x:v>пересечение ароматических семейств; умами и солёный контраст</x:v>
      </x:c>
      <x:c r="F215" s="28" t="str">
        <x:v>Томат имеет профиль «зелёный, фруктовый, листовой, сернистый и умами». Партнёр «сибас»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21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5" s="28" t="str">
        <x:v>незрелые плоды слишком зелёные; длительное кипячение стирает свежесть; кислота влияет на молочные эмульсии</x:v>
      </x:c>
      <x:c r="I215" s="28" t="str">
        <x:v>сок, кордиал, гаспачо, салат, соус, маринад или коктейльный компонент с сибас</x:v>
      </x:c>
      <x:c r="J215" s="28" t="str">
        <x:v>Средняя</x:v>
      </x:c>
      <x:c r="K215" s="28" t="str">
        <x:v>The Art &amp; Science of Foodpairing.pdf</x:v>
      </x:c>
      <x:c r="L215" s="28" t="str">
        <x:v>The Art &amp; Science of Foodpairing.pdf: 161</x:v>
      </x:c>
    </x:row>
    <x:row r="216" ht="66" customHeight="1">
      <x:c r="A216" s="28" t="str">
        <x:v>VEG-0890</x:v>
      </x:c>
      <x:c r="B216" s="28" t="str">
        <x:v>томат</x:v>
      </x:c>
      <x:c r="C216" s="28" t="str">
        <x:v>скумбрия</x:v>
      </x:c>
      <x:c r="D216" s="28" t="str">
        <x:v>Прочее</x:v>
      </x:c>
      <x:c r="E216" s="28" t="str">
        <x:v>сенсорная комплементарность</x:v>
      </x:c>
      <x:c r="F216" s="28" t="str">
        <x:v>Томат имеет профиль «зелёный, фруктовый, листовой, сернистый и умами». Партнёр «скумбрия»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1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6" s="28" t="str">
        <x:v>незрелые плоды слишком зелёные; длительное кипячение стирает свежесть; кислота влияет на молочные эмульсии</x:v>
      </x:c>
      <x:c r="I216" s="28" t="str">
        <x:v>сок, кордиал, гаспачо, салат, соус, маринад или коктейльный компонент с скумбрия</x:v>
      </x:c>
      <x:c r="J216" s="28" t="str">
        <x:v>Средняя</x:v>
      </x:c>
      <x:c r="K216" s="28" t="str">
        <x:v>The Art &amp; Science of Foodpairing.pdf</x:v>
      </x:c>
      <x:c r="L216" s="28" t="str">
        <x:v>The Art &amp; Science of Foodpairing.pdf: 161</x:v>
      </x:c>
    </x:row>
    <x:row r="217" ht="66" customHeight="1">
      <x:c r="A217" s="28" t="str">
        <x:v>VEG-0891</x:v>
      </x:c>
      <x:c r="B217" s="28" t="str">
        <x:v>томат</x:v>
      </x:c>
      <x:c r="C217" s="28" t="str">
        <x:v>совиньон блан</x:v>
      </x:c>
      <x:c r="D217" s="28" t="str">
        <x:v>Прочее</x:v>
      </x:c>
      <x:c r="E217" s="28" t="str">
        <x:v>сенсорная комплементарность</x:v>
      </x:c>
      <x:c r="F217" s="28" t="str">
        <x:v>Томат имеет профиль «зелёный, фруктовый, листовой, сернистый и умами». Партнёр «совиньон блан»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1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7" s="28" t="str">
        <x:v>незрелые плоды слишком зелёные; длительное кипячение стирает свежесть; кислота влияет на молочные эмульсии</x:v>
      </x:c>
      <x:c r="I217" s="28" t="str">
        <x:v>сок, кордиал, гаспачо, салат, соус, маринад или коктейльный компонент с совиньон блан</x:v>
      </x:c>
      <x:c r="J217" s="28" t="str">
        <x:v>Высокая</x:v>
      </x:c>
      <x:c r="K217" s="28" t="str">
        <x:v>The Art &amp; Science of Foodpairing.pdf</x:v>
      </x:c>
      <x:c r="L217" s="28" t="str">
        <x:v>The Art &amp; Science of Foodpairing.pdf: 157</x:v>
      </x:c>
    </x:row>
    <x:row r="218" ht="66" customHeight="1">
      <x:c r="A218" s="28" t="str">
        <x:v>VEG-0892</x:v>
      </x:c>
      <x:c r="B218" s="28" t="str">
        <x:v>томат</x:v>
      </x:c>
      <x:c r="C218" s="28" t="str">
        <x:v>солод</x:v>
      </x:c>
      <x:c r="D218" s="28" t="str">
        <x:v>Прочее</x:v>
      </x:c>
      <x:c r="E218" s="28" t="str">
        <x:v>сенсорная комплементарность</x:v>
      </x:c>
      <x:c r="F218" s="28" t="str">
        <x:v>Томат имеет профиль «зелёный, фруктовый, листовой, сернистый и умами». Партнёр «солод»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1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8" s="28" t="str">
        <x:v>незрелые плоды слишком зелёные; длительное кипячение стирает свежесть; кислота влияет на молочные эмульсии</x:v>
      </x:c>
      <x:c r="I218" s="28" t="str">
        <x:v>сок, кордиал, гаспачо, салат, соус, маринад или коктейльный компонент с солод</x:v>
      </x:c>
      <x:c r="J218" s="28" t="str">
        <x:v>Средняя</x:v>
      </x:c>
      <x:c r="K218" s="28" t="str">
        <x:v>The Art &amp; Science of Foodpairing.pdf</x:v>
      </x:c>
      <x:c r="L218" s="28" t="str">
        <x:v>The Art &amp; Science of Foodpairing.pdf: 161</x:v>
      </x:c>
    </x:row>
    <x:row r="219" ht="66" customHeight="1">
      <x:c r="A219" s="28" t="str">
        <x:v>VEG-0893</x:v>
      </x:c>
      <x:c r="B219" s="28" t="str">
        <x:v>томат</x:v>
      </x:c>
      <x:c r="C219" s="28" t="str">
        <x:v>соус чили</x:v>
      </x:c>
      <x:c r="D219" s="28" t="str">
        <x:v>Специи</x:v>
      </x:c>
      <x:c r="E219" s="28" t="str">
        <x:v>сенсорная комплементарность</x:v>
      </x:c>
      <x:c r="F219" s="28" t="str">
        <x:v>Томат имеет профиль «зелёный, фруктовый, листовой, сернистый и умами». Партнёр «соус 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1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19" s="28" t="str">
        <x:v>незрелые плоды слишком зелёные; длительное кипячение стирает свежесть; кислота влияет на молочные эмульсии</x:v>
      </x:c>
      <x:c r="I219" s="28" t="str">
        <x:v>сок, кордиал, гаспачо, салат, соус, маринад или коктейльный компонент с соус чили</x:v>
      </x:c>
      <x:c r="J219" s="28" t="str">
        <x:v>Средняя</x:v>
      </x:c>
      <x:c r="K219" s="28" t="str">
        <x:v>The Art &amp; Science of Foodpairing.pdf</x:v>
      </x:c>
      <x:c r="L219" s="28" t="str">
        <x:v>The Art &amp; Science of Foodpairing.pdf: 161</x:v>
      </x:c>
    </x:row>
    <x:row r="220" ht="66" customHeight="1">
      <x:c r="A220" s="28" t="str">
        <x:v>VEG-0894</x:v>
      </x:c>
      <x:c r="B220" s="28" t="str">
        <x:v>томат</x:v>
      </x:c>
      <x:c r="C220" s="28" t="str">
        <x:v>стилтон</x:v>
      </x:c>
      <x:c r="D220" s="28" t="str">
        <x:v>Прочее</x:v>
      </x:c>
      <x:c r="E220" s="28" t="str">
        <x:v>сенсорная комплементарность</x:v>
      </x:c>
      <x:c r="F220" s="28" t="str">
        <x:v>Томат имеет профиль «зелёный, фруктовый, листовой, сернистый и умами». Партнёр «стилтон»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2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0" s="28" t="str">
        <x:v>незрелые плоды слишком зелёные; длительное кипячение стирает свежесть; кислота влияет на молочные эмульсии</x:v>
      </x:c>
      <x:c r="I220" s="28" t="str">
        <x:v>сок, кордиал, гаспачо, салат, соус, маринад или коктейльный компонент с стилтон</x:v>
      </x:c>
      <x:c r="J220" s="28" t="str">
        <x:v>Средняя</x:v>
      </x:c>
      <x:c r="K220" s="28" t="str">
        <x:v>The Art &amp; Science of Foodpairing.pdf</x:v>
      </x:c>
      <x:c r="L220" s="28" t="str">
        <x:v>The Art &amp; Science of Foodpairing.pdf: 161</x:v>
      </x:c>
    </x:row>
    <x:row r="221" ht="66" customHeight="1">
      <x:c r="A221" s="28" t="str">
        <x:v>VEG-0895</x:v>
      </x:c>
      <x:c r="B221" s="28" t="str">
        <x:v>томат</x:v>
      </x:c>
      <x:c r="C221" s="28" t="str">
        <x:v>сычуаньский перец</x:v>
      </x:c>
      <x:c r="D221" s="28" t="str">
        <x:v>Специи</x:v>
      </x:c>
      <x:c r="E221" s="28" t="str">
        <x:v>сенсорная комплементарность</x:v>
      </x:c>
      <x:c r="F221" s="28" t="str">
        <x:v>Томат имеет профиль «зелёный, фруктовый, листовой, сернистый и умами». Партнёр «сычуаньский перец»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2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1" s="28" t="str">
        <x:v>незрелые плоды слишком зелёные; длительное кипячение стирает свежесть; кислота влияет на молочные эмульсии</x:v>
      </x:c>
      <x:c r="I221" s="28" t="str">
        <x:v>сок, кордиал, гаспачо, салат, соус, маринад или коктейльный компонент с сычуаньский перец</x:v>
      </x:c>
      <x:c r="J221" s="28" t="str">
        <x:v>Средняя</x:v>
      </x:c>
      <x:c r="K221" s="28" t="str">
        <x:v>The Art &amp; Science of Foodpairing.pdf</x:v>
      </x:c>
      <x:c r="L221" s="28" t="str">
        <x:v>The Art &amp; Science of Foodpairing.pdf: 161</x:v>
      </x:c>
    </x:row>
    <x:row r="222" ht="66" customHeight="1">
      <x:c r="A222" s="28" t="str">
        <x:v>VEG-0896</x:v>
      </x:c>
      <x:c r="B222" s="28" t="str">
        <x:v>томат</x:v>
      </x:c>
      <x:c r="C222" s="28" t="str">
        <x:v>твердый сыр</x:v>
      </x:c>
      <x:c r="D222" s="28" t="str">
        <x:v>Молочные продукты и сыры</x:v>
      </x:c>
      <x:c r="E222" s="28" t="str">
        <x:v>пересечение ароматических семейств; жировая матрица</x:v>
      </x:c>
      <x:c r="F222" s="28" t="str">
        <x:v>Томат имеет профиль «зелёный, фруктовый, листовой, сернистый и умами». Партнёр «твердый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2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2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I222" s="28" t="str">
        <x:v>сок, кордиал, гаспачо, салат, соус, маринад или коктейльный компонент с твердый сыр</x:v>
      </x:c>
      <x:c r="J222" s="28" t="str">
        <x:v>Средняя</x:v>
      </x:c>
      <x:c r="K222" s="28" t="str">
        <x:v>Тезариус вкусов (Ники Сегнит)(1).pdf</x:v>
      </x:c>
      <x:c r="L222" s="28" t="str">
        <x:v>Тезариус вкусов (Ники Сегнит)(1).pdf: 176, 690</x:v>
      </x:c>
    </x:row>
    <x:row r="223" ht="66" customHeight="1">
      <x:c r="A223" s="28" t="str">
        <x:v>VEG-0897</x:v>
      </x:c>
      <x:c r="B223" s="28" t="str">
        <x:v>томат</x:v>
      </x:c>
      <x:c r="C223" s="28" t="str">
        <x:v>тимьян</x:v>
      </x:c>
      <x:c r="D223" s="28" t="str">
        <x:v>Травы, цветы и листья</x:v>
      </x:c>
      <x:c r="E223" s="28" t="str">
        <x:v>пересечение ароматических семейств</x:v>
      </x:c>
      <x:c r="F223" s="28" t="str">
        <x:v>Томат имеет профиль «зелёный, фруктовый, листовой, сернистый и умами». Партнёр «тимьян» относится к группе «Травы, цветы и листья» и даёт древесный, зелёный, фенольный.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22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3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I223" s="28" t="str">
        <x:v>сок, кордиал, гаспачо, салат, соус, маринад или коктейльный компонент с тимьян</x:v>
      </x:c>
      <x:c r="J223" s="28" t="str">
        <x:v>Средняя</x:v>
      </x:c>
      <x:c r="K223" s="28" t="str">
        <x:v>Тезариус вкусов (Ники Сегнит)(1).pdf</x:v>
      </x:c>
      <x:c r="L223" s="28" t="str">
        <x:v>Тезариус вкусов (Ники Сегнит)(1).pdf: 690, 861</x:v>
      </x:c>
    </x:row>
    <x:row r="224" ht="66" customHeight="1">
      <x:c r="A224" s="28" t="str">
        <x:v>VEG-0898</x:v>
      </x:c>
      <x:c r="B224" s="28" t="str">
        <x:v>томат</x:v>
      </x:c>
      <x:c r="C224" s="28" t="str">
        <x:v>томатный сок</x:v>
      </x:c>
      <x:c r="D224" s="28" t="str">
        <x:v>Плодовые и тыквенные овощи</x:v>
      </x:c>
      <x:c r="E224" s="28" t="str">
        <x:v>пересечение ароматических семейств</x:v>
      </x:c>
      <x:c r="F224" s="28" t="str">
        <x:v>Томат имеет профиль «зелёный, фруктовый, листовой, сернистый и умами». Партнёр «томатный сок»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G22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4" s="28" t="str">
        <x:v>незрелые плоды слишком зелёные; длительное кипячение стирает свежесть; кислота влияет на молочные эмульсии</x:v>
      </x:c>
      <x:c r="I224" s="28" t="str">
        <x:v>сок, кордиал, гаспачо, салат, соус, маринад или коктейльный компонент с томатный сок</x:v>
      </x:c>
      <x:c r="J224" s="28" t="str">
        <x:v>Средняя</x:v>
      </x:c>
      <x:c r="K224" s="28" t="str">
        <x:v>The Art &amp; Science of Foodpairing.pdf</x:v>
      </x:c>
      <x:c r="L224" s="28" t="str">
        <x:v>The Art &amp; Science of Foodpairing.pdf: 161</x:v>
      </x:c>
    </x:row>
    <x:row r="225" ht="66" customHeight="1">
      <x:c r="A225" s="28" t="str">
        <x:v>VEG-0899</x:v>
      </x:c>
      <x:c r="B225" s="28" t="str">
        <x:v>томат</x:v>
      </x:c>
      <x:c r="C225" s="28" t="str">
        <x:v>трипл-сек</x:v>
      </x:c>
      <x:c r="D225" s="28" t="str">
        <x:v>Прочее</x:v>
      </x:c>
      <x:c r="E225" s="28" t="str">
        <x:v>сенсорная комплементарность</x:v>
      </x:c>
      <x:c r="F225" s="28" t="str">
        <x:v>Томат имеет профиль «зелёный, фруктовый, листовой, сернистый и умами». Партнёр «трипл-сек»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2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5" s="28" t="str">
        <x:v>незрелые плоды слишком зелёные; длительное кипячение стирает свежесть; кислота влияет на молочные эмульсии</x:v>
      </x:c>
      <x:c r="I225" s="28" t="str">
        <x:v>сок, кордиал, гаспачо, салат, соус, маринад или коктейльный компонент с трипл-сек</x:v>
      </x:c>
      <x:c r="J225" s="28" t="str">
        <x:v>Средняя</x:v>
      </x:c>
      <x:c r="K225" s="28" t="str">
        <x:v>The Art &amp; Science of Foodpairing.pdf</x:v>
      </x:c>
      <x:c r="L225" s="28" t="str">
        <x:v>The Art &amp; Science of Foodpairing.pdf: 161</x:v>
      </x:c>
    </x:row>
    <x:row r="226" ht="66" customHeight="1">
      <x:c r="A226" s="28" t="str">
        <x:v>VEG-0900</x:v>
      </x:c>
      <x:c r="B226" s="28" t="str">
        <x:v>томат</x:v>
      </x:c>
      <x:c r="C226" s="28" t="str">
        <x:v>тёмный шоколад</x:v>
      </x:c>
      <x:c r="D226" s="28" t="str">
        <x:v>Какао и шоколад</x:v>
      </x:c>
      <x:c r="E226" s="28" t="str">
        <x:v>сенсорная комплементарность</x:v>
      </x:c>
      <x:c r="F226" s="28" t="str">
        <x:v>Томат имеет профиль «зелёный, фруктовый, листовой, сернистый и умами». Партнёр «тёмный 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2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6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I226" s="28" t="str">
        <x:v>сок, кордиал, гаспачо, салат, соус, маринад или коктейльный компонент с тёмный шоколад</x:v>
      </x:c>
      <x:c r="J226" s="28" t="str">
        <x:v>Средняя</x:v>
      </x:c>
      <x:c r="K226" s="28" t="str">
        <x:v>The Art &amp; Science of Foodpairing.pdf</x:v>
      </x:c>
      <x:c r="L226" s="28" t="str">
        <x:v>The Art &amp; Science of Foodpairing.pdf: 161</x:v>
      </x:c>
    </x:row>
    <x:row r="227" ht="66" customHeight="1">
      <x:c r="A227" s="28" t="str">
        <x:v>VEG-0901</x:v>
      </x:c>
      <x:c r="B227" s="28" t="str">
        <x:v>томат</x:v>
      </x:c>
      <x:c r="C227" s="28" t="str">
        <x:v>фонио</x:v>
      </x:c>
      <x:c r="D227" s="28" t="str">
        <x:v>Прочее</x:v>
      </x:c>
      <x:c r="E227" s="28" t="str">
        <x:v>сенсорная комплементарность</x:v>
      </x:c>
      <x:c r="F227" s="28" t="str">
        <x:v>Томат имеет профиль «зелёный, фруктовый, листовой, сернистый и умами». Партнёр «фонио»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2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7" s="28" t="str">
        <x:v>незрелые плоды слишком зелёные; длительное кипячение стирает свежесть; кислота влияет на молочные эмульсии</x:v>
      </x:c>
      <x:c r="I227" s="28" t="str">
        <x:v>сок, кордиал, гаспачо, салат, соус, маринад или коктейльный компонент с фонио</x:v>
      </x:c>
      <x:c r="J227" s="28" t="str">
        <x:v>Средняя</x:v>
      </x:c>
      <x:c r="K227" s="28" t="str">
        <x:v>The Art &amp; Science of Foodpairing.pdf</x:v>
      </x:c>
      <x:c r="L227" s="28" t="str">
        <x:v>The Art &amp; Science of Foodpairing.pdf: 161</x:v>
      </x:c>
    </x:row>
    <x:row r="228" ht="66" customHeight="1">
      <x:c r="A228" s="28" t="str">
        <x:v>VEG-0902</x:v>
      </x:c>
      <x:c r="B228" s="28" t="str">
        <x:v>томат</x:v>
      </x:c>
      <x:c r="C228" s="28" t="str">
        <x:v>фундук</x:v>
      </x:c>
      <x:c r="D228" s="28" t="str">
        <x:v>Орехи и семена</x:v>
      </x:c>
      <x:c r="E228" s="28" t="str">
        <x:v>сенсорная комплементарность</x:v>
      </x:c>
      <x:c r="F228" s="28" t="str">
        <x:v>Томат имеет профиль «зелёный, фруктовый, листовой, сернистый и умами».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2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8" s="28" t="str">
        <x:v>незрелые плоды слишком зелёные; длительное кипячение стирает свежесть; кислота влияет на молочные эмульсии</x:v>
      </x:c>
      <x:c r="I228" s="28" t="str">
        <x:v>сок, кордиал, гаспачо, салат, соус, маринад или коктейльный компонент с фундук</x:v>
      </x:c>
      <x:c r="J228" s="28" t="str">
        <x:v>Средняя</x:v>
      </x:c>
      <x:c r="K228" s="28" t="str">
        <x:v>The Art &amp; Science of Foodpairing.pdf</x:v>
      </x:c>
      <x:c r="L228" s="28" t="str">
        <x:v>The Art &amp; Science of Foodpairing.pdf: 332</x:v>
      </x:c>
    </x:row>
    <x:row r="229" ht="66" customHeight="1">
      <x:c r="A229" s="28" t="str">
        <x:v>VEG-0903</x:v>
      </x:c>
      <x:c r="B229" s="28" t="str">
        <x:v>томат</x:v>
      </x:c>
      <x:c r="C229" s="28" t="str">
        <x:v>хрен</x:v>
      </x:c>
      <x:c r="D229" s="28" t="str">
        <x:v>Прочее</x:v>
      </x:c>
      <x:c r="E229" s="28" t="str">
        <x:v>сенсорная комплементарность</x:v>
      </x:c>
      <x:c r="F229" s="28" t="str">
        <x:v>Томат имеет профиль «зелёный, фруктовый, листовой, сернистый и умами».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2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29" s="28" t="str">
        <x:v>незрелые плоды слишком зелёные; длительное кипячение стирает свежесть; кислота влияет на молочные эмульсии</x:v>
      </x:c>
      <x:c r="I229" s="28" t="str">
        <x:v>сок, кордиал, гаспачо, салат, соус, маринад или коктейльный компонент с хрен</x:v>
      </x:c>
      <x:c r="J229" s="28" t="str">
        <x:v>Средняя</x:v>
      </x:c>
      <x:c r="K229" s="28" t="str">
        <x:v>Тезариус вкусов (Ники Сегнит)(1).pdf</x:v>
      </x:c>
      <x:c r="L229" s="28" t="str">
        <x:v>Тезариус вкусов (Ники Сегнит)(1).pdf: 275, 690</x:v>
      </x:c>
    </x:row>
    <x:row r="230" ht="66" customHeight="1">
      <x:c r="A230" s="28" t="str">
        <x:v>VEG-0904</x:v>
      </x:c>
      <x:c r="B230" s="28" t="str">
        <x:v>томат</x:v>
      </x:c>
      <x:c r="C230" s="28" t="str">
        <x:v>хурма</x:v>
      </x:c>
      <x:c r="D230" s="28" t="str">
        <x:v>Прочее</x:v>
      </x:c>
      <x:c r="E230" s="28" t="str">
        <x:v>сенсорная комплементарность</x:v>
      </x:c>
      <x:c r="F230" s="28" t="str">
        <x:v>Томат имеет профиль «зелёный, фруктовый, листовой, сернистый и умами». Партнёр «хурма»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0" s="28" t="str">
        <x:v>незрелые плоды слишком зелёные; длительное кипячение стирает свежесть; кислота влияет на молочные эмульсии</x:v>
      </x:c>
      <x:c r="I230" s="28" t="str">
        <x:v>сок, кордиал, гаспачо, салат, соус, маринад или коктейльный компонент с хурма</x:v>
      </x:c>
      <x:c r="J230" s="28" t="str">
        <x:v>Высокая</x:v>
      </x:c>
      <x:c r="K230" s="28" t="str">
        <x:v>The Art &amp; Science of Foodpairing.pdf</x:v>
      </x:c>
      <x:c r="L230" s="28" t="str">
        <x:v>The Art &amp; Science of Foodpairing.pdf: 160</x:v>
      </x:c>
    </x:row>
    <x:row r="231" ht="66" customHeight="1">
      <x:c r="A231" s="28" t="str">
        <x:v>VEG-0905</x:v>
      </x:c>
      <x:c r="B231" s="28" t="str">
        <x:v>томат</x:v>
      </x:c>
      <x:c r="C231" s="28" t="str">
        <x:v>цыпленок</x:v>
      </x:c>
      <x:c r="D231" s="28" t="str">
        <x:v>Прочее</x:v>
      </x:c>
      <x:c r="E231" s="28" t="str">
        <x:v>сенсорная комплементарность</x:v>
      </x:c>
      <x:c r="F231" s="28" t="str">
        <x:v>Томат имеет профиль «зелёный, фруктовый, листовой, сернистый и умами».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1" s="28" t="str">
        <x:v>незрелые плоды слишком зелёные; длительное кипячение стирает свежесть; кислота влияет на молочные эмульсии</x:v>
      </x:c>
      <x:c r="I231" s="28" t="str">
        <x:v>сок, кордиал, гаспачо, салат, соус, маринад или коктейльный компонент с цыпленок</x:v>
      </x:c>
      <x:c r="J231" s="28" t="str">
        <x:v>Средняя</x:v>
      </x:c>
      <x:c r="K231" s="28" t="str">
        <x:v>Тезариус вкусов (Ники Сегнит)(1).pdf</x:v>
      </x:c>
      <x:c r="L231" s="28" t="str">
        <x:v>Тезариус вкусов (Ники Сегнит)(1).pdf: 73, 690</x:v>
      </x:c>
    </x:row>
    <x:row r="232" ht="66" customHeight="1">
      <x:c r="A232" s="28" t="str">
        <x:v>VEG-0906</x:v>
      </x:c>
      <x:c r="B232" s="28" t="str">
        <x:v>томат</x:v>
      </x:c>
      <x:c r="C232" s="28" t="str">
        <x:v>черешня</x:v>
      </x:c>
      <x:c r="D232" s="28" t="str">
        <x:v>Прочее</x:v>
      </x:c>
      <x:c r="E232" s="28" t="str">
        <x:v>сенсорная комплементарность</x:v>
      </x:c>
      <x:c r="F232" s="28" t="str">
        <x:v>Томат имеет профиль «зелёный, фруктовый, листовой, сернистый и умами». Партнёр «черешня»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2" s="28" t="str">
        <x:v>незрелые плоды слишком зелёные; длительное кипячение стирает свежесть; кислота влияет на молочные эмульсии</x:v>
      </x:c>
      <x:c r="I232" s="28" t="str">
        <x:v>сок, кордиал, гаспачо, салат, соус, маринад или коктейльный компонент с черешня</x:v>
      </x:c>
      <x:c r="J232" s="28" t="str">
        <x:v>Средняя</x:v>
      </x:c>
      <x:c r="K232" s="28" t="str">
        <x:v>The Art &amp; Science of Foodpairing.pdf</x:v>
      </x:c>
      <x:c r="L232" s="28" t="str">
        <x:v>The Art &amp; Science of Foodpairing.pdf: 161</x:v>
      </x:c>
    </x:row>
    <x:row r="233" ht="66" customHeight="1">
      <x:c r="A233" s="28" t="str">
        <x:v>VEG-0907</x:v>
      </x:c>
      <x:c r="B233" s="28" t="str">
        <x:v>томат</x:v>
      </x:c>
      <x:c r="C233" s="28" t="str">
        <x:v>чили</x:v>
      </x:c>
      <x:c r="D233" s="28" t="str">
        <x:v>Специи</x:v>
      </x:c>
      <x:c r="E233" s="28" t="str">
        <x:v>сенсорная комплементарность</x:v>
      </x:c>
      <x:c r="F233" s="28" t="str">
        <x:v>Томат имеет профиль «зелёный, фруктовый, листовой, сернистый и умами».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3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3" s="28" t="str">
        <x:v>незрелые плоды слишком зелёные; длительное кипячение стирает свежесть; кислота влияет на молочные эмульсии</x:v>
      </x:c>
      <x:c r="I233" s="28" t="str">
        <x:v>сок, кордиал, гаспачо, салат, соус, маринад или коктейльный компонент с чили</x:v>
      </x:c>
      <x:c r="J233" s="28" t="str">
        <x:v>Средняя</x:v>
      </x:c>
      <x:c r="K233" s="28" t="str">
        <x:v>Тезариус вкусов (Ники Сегнит)(1).pdf</x:v>
      </x:c>
      <x:c r="L233" s="28" t="str">
        <x:v>Тезариус вкусов (Ники Сегнит)(1).pdf: 559, 691</x:v>
      </x:c>
    </x:row>
    <x:row r="234" ht="66" customHeight="1">
      <x:c r="A234" s="28" t="str">
        <x:v>VEG-0908</x:v>
      </x:c>
      <x:c r="B234" s="28" t="str">
        <x:v>томат</x:v>
      </x:c>
      <x:c r="C234" s="28" t="str">
        <x:v>чёрный перец</x:v>
      </x:c>
      <x:c r="D234" s="28" t="str">
        <x:v>Специи</x:v>
      </x:c>
      <x:c r="E234" s="28" t="str">
        <x:v>сенсорная комплементарность</x:v>
      </x:c>
      <x:c r="F234" s="28" t="str">
        <x:v>Томат имеет профиль «зелёный, фруктовый, листовой, сернистый и умами».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3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4" s="28" t="str">
        <x:v>незрелые плоды слишком зелёные; длительное кипячение стирает свежесть; кислота влияет на молочные эмульсии</x:v>
      </x:c>
      <x:c r="I234" s="28" t="str">
        <x:v>сок, кордиал, гаспачо, салат, соус, маринад или коктейльный компонент с чёрный перец</x:v>
      </x:c>
      <x:c r="J234" s="28" t="str">
        <x:v>Высокая</x:v>
      </x:c>
      <x:c r="K234" s="28" t="str">
        <x:v>The Art &amp; Science of Foodpairing.pdf | Таблица сочетания(1).pdf</x:v>
      </x:c>
      <x:c r="L234" s="28" t="str">
        <x:v>Таблица сочетания(1).pdf: 21; The Art &amp; Science of Foodpairing.pdf: 273</x:v>
      </x:c>
    </x:row>
    <x:row r="235" ht="66" customHeight="1">
      <x:c r="A235" s="28" t="str">
        <x:v>VEG-0909</x:v>
      </x:c>
      <x:c r="B235" s="28" t="str">
        <x:v>томат</x:v>
      </x:c>
      <x:c r="C235" s="28" t="str">
        <x:v>шалфей</x:v>
      </x:c>
      <x:c r="D235" s="28" t="str">
        <x:v>Травы, цветы и листья</x:v>
      </x:c>
      <x:c r="E235" s="28" t="str">
        <x:v>сенсорная комплементарность</x:v>
      </x:c>
      <x:c r="F235" s="28" t="str">
        <x:v>Томат имеет профиль «зелёный, фруктовый, листовой, сернистый и умами».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3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5" s="28" t="str">
        <x:v>незрелые плоды слишком зелёные; длительное кипячение стирает свежесть; кислота влияет на молочные эмульсии; длительный нагрев уносит свежие терпены и зелёные альдегиды</x:v>
      </x:c>
      <x:c r="I235" s="28" t="str">
        <x:v>сок, кордиал, гаспачо, салат, соус, маринад или коктейльный компонент с шалфей</x:v>
      </x:c>
      <x:c r="J235" s="28" t="str">
        <x:v>Средняя</x:v>
      </x:c>
      <x:c r="K235" s="28" t="str">
        <x:v>Тезариус вкусов (Ники Сегнит)(1).pdf</x:v>
      </x:c>
      <x:c r="L235" s="28" t="str">
        <x:v>Тезариус вкусов (Ники Сегнит)(1).pdf: 691, 846</x:v>
      </x:c>
    </x:row>
    <x:row r="236" ht="66" customHeight="1">
      <x:c r="A236" s="28" t="str">
        <x:v>VEG-0910</x:v>
      </x:c>
      <x:c r="B236" s="28" t="str">
        <x:v>томат</x:v>
      </x:c>
      <x:c r="C236" s="28" t="str">
        <x:v>шелковица</x:v>
      </x:c>
      <x:c r="D236" s="28" t="str">
        <x:v>Прочее</x:v>
      </x:c>
      <x:c r="E236" s="28" t="str">
        <x:v>сенсорная комплементарность</x:v>
      </x:c>
      <x:c r="F236" s="28" t="str">
        <x:v>Томат имеет профиль «зелёный, фруктовый, листовой, сернистый и умами». Партнёр «шелковица»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6" s="28" t="str">
        <x:v>незрелые плоды слишком зелёные; длительное кипячение стирает свежесть; кислота влияет на молочные эмульсии</x:v>
      </x:c>
      <x:c r="I236" s="28" t="str">
        <x:v>сок, кордиал, гаспачо, салат, соус, маринад или коктейльный компонент с шелковица</x:v>
      </x:c>
      <x:c r="J236" s="28" t="str">
        <x:v>Средняя</x:v>
      </x:c>
      <x:c r="K236" s="28" t="str">
        <x:v>The Art &amp; Science of Foodpairing.pdf</x:v>
      </x:c>
      <x:c r="L236" s="28" t="str">
        <x:v>The Art &amp; Science of Foodpairing.pdf: 161</x:v>
      </x:c>
    </x:row>
    <x:row r="237" ht="66" customHeight="1">
      <x:c r="A237" s="28" t="str">
        <x:v>VEG-0911</x:v>
      </x:c>
      <x:c r="B237" s="28" t="str">
        <x:v>томат</x:v>
      </x:c>
      <x:c r="C237" s="28" t="str">
        <x:v>шиповник</x:v>
      </x:c>
      <x:c r="D237" s="28" t="str">
        <x:v>Прочее</x:v>
      </x:c>
      <x:c r="E237" s="28" t="str">
        <x:v>сенсорная комплементарность</x:v>
      </x:c>
      <x:c r="F237" s="28" t="str">
        <x:v>Томат имеет профиль «зелёный, фруктовый, листовой, сернистый и умами». Партнёр «шиповник»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7" s="28" t="str">
        <x:v>незрелые плоды слишком зелёные; длительное кипячение стирает свежесть; кислота влияет на молочные эмульсии</x:v>
      </x:c>
      <x:c r="I237" s="28" t="str">
        <x:v>сок, кордиал, гаспачо, салат, соус, маринад или коктейльный компонент с шиповник</x:v>
      </x:c>
      <x:c r="J237" s="28" t="str">
        <x:v>Средняя</x:v>
      </x:c>
      <x:c r="K237" s="28" t="str">
        <x:v>The Art &amp; Science of Foodpairing.pdf</x:v>
      </x:c>
      <x:c r="L237" s="28" t="str">
        <x:v>The Art &amp; Science of Foodpairing.pdf: 161</x:v>
      </x:c>
    </x:row>
    <x:row r="238" ht="66" customHeight="1">
      <x:c r="A238" s="28" t="str">
        <x:v>VEG-0912</x:v>
      </x:c>
      <x:c r="B238" s="28" t="str">
        <x:v>томат</x:v>
      </x:c>
      <x:c r="C238" s="28" t="str">
        <x:v>шоколад</x:v>
      </x:c>
      <x:c r="D238" s="28" t="str">
        <x:v>Какао и шоколад</x:v>
      </x:c>
      <x:c r="E238" s="28" t="str">
        <x:v>сенсорная комплементарность</x:v>
      </x:c>
      <x:c r="F238" s="28" t="str">
        <x:v>Томат имеет профиль «зелёный, фруктовый, листовой, сернистый и умами».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3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8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I238" s="28" t="str">
        <x:v>сок, кордиал, гаспачо, салат, соус, маринад или коктейльный компонент с шоколад</x:v>
      </x:c>
      <x:c r="J238" s="28" t="str">
        <x:v>Высокая</x:v>
      </x:c>
      <x:c r="K238" s="28" t="str">
        <x:v>The Art &amp; Science of Foodpairing.pdf | Тезариус вкусов (Ники Сегнит)(1).pdf</x:v>
      </x:c>
      <x:c r="L238" s="28" t="str">
        <x:v>Тезариус вкусов (Ники Сегнит)(1).pdf: 35, 691; The Art &amp; Science of Foodpairing.pdf: 62</x:v>
      </x:c>
    </x:row>
    <x:row r="239" ht="66" customHeight="1">
      <x:c r="A239" s="28" t="str">
        <x:v>VEG-0913</x:v>
      </x:c>
      <x:c r="B239" s="28" t="str">
        <x:v>томат</x:v>
      </x:c>
      <x:c r="C239" s="28" t="str">
        <x:v>яйца</x:v>
      </x:c>
      <x:c r="D239" s="28" t="str">
        <x:v>Прочее</x:v>
      </x:c>
      <x:c r="E239" s="28" t="str">
        <x:v>сенсорная комплементарность</x:v>
      </x:c>
      <x:c r="F239" s="28" t="str">
        <x:v>Томат имеет профиль «зелёный, фруктовый, листовой, сернистый и умами».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39" s="28" t="str">
        <x:v>незрелые плоды слишком зелёные; длительное кипячение стирает свежесть; кислота влияет на молочные эмульсии</x:v>
      </x:c>
      <x:c r="I239" s="28" t="str">
        <x:v>сок, кордиал, гаспачо, салат, соус, маринад или коктейльный компонент с яйца</x:v>
      </x:c>
      <x:c r="J239" s="28" t="str">
        <x:v>Средняя</x:v>
      </x:c>
      <x:c r="K239" s="28" t="str">
        <x:v>Тезариус вкусов (Ники Сегнит)(1).pdf</x:v>
      </x:c>
      <x:c r="L239" s="28" t="str">
        <x:v>Тезариус вкусов (Ники Сегнит)(1).pdf: 360, 691</x:v>
      </x:c>
    </x:row>
    <x:row r="240" ht="66" customHeight="1">
      <x:c r="A240" s="28" t="str">
        <x:v>VEG-0914</x:v>
      </x:c>
      <x:c r="B240" s="28" t="str">
        <x:v>тыква</x:v>
      </x:c>
      <x:c r="C240" s="28" t="str">
        <x:v>банан</x:v>
      </x:c>
      <x:c r="D240" s="28" t="str">
        <x:v>Фрукты и ягоды</x:v>
      </x:c>
      <x:c r="E240" s="28" t="str">
        <x:v>кислотно-сладкий баланс</x:v>
      </x:c>
      <x:c r="F240" s="28" t="str">
        <x:v>Тыква имеет профиль «сладкий, крахмалистый, ореховый и слегка цветочный».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40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0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40" s="28" t="str">
        <x:v>пюре, суп, запекание, крем, гарнир, соус или десертная разработка с банан</x:v>
      </x:c>
      <x:c r="J240" s="28" t="str">
        <x:v>Средняя</x:v>
      </x:c>
      <x:c r="K240" s="28" t="str">
        <x:v>The Art &amp; Science of Foodpairing.pdf</x:v>
      </x:c>
      <x:c r="L240" s="28" t="str">
        <x:v>The Art &amp; Science of Foodpairing.pdf: 342</x:v>
      </x:c>
    </x:row>
    <x:row r="241" ht="66" customHeight="1">
      <x:c r="A241" s="28" t="str">
        <x:v>VEG-0915</x:v>
      </x:c>
      <x:c r="B241" s="28" t="str">
        <x:v>тыква</x:v>
      </x:c>
      <x:c r="C241" s="28" t="str">
        <x:v>ваниль</x:v>
      </x:c>
      <x:c r="D241" s="28" t="str">
        <x:v>Специи</x:v>
      </x:c>
      <x:c r="E241" s="28" t="str">
        <x:v>сенсорная комплементарность</x:v>
      </x:c>
      <x:c r="F241" s="28" t="str">
        <x:v>Тыква имеет профиль «сладкий, крахмалистый, ореховый и слегка цветочный».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41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1" s="28" t="str">
        <x:v>водянистые сорта размывают вкус; сильная сладость требует кислоты, соли или горечи</x:v>
      </x:c>
      <x:c r="I241" s="28" t="str">
        <x:v>пюре, суп, запекание, крем, гарнир, соус или десертная разработка с ваниль</x:v>
      </x:c>
      <x:c r="J241" s="28" t="str">
        <x:v>Гипотеза / практическая</x:v>
      </x:c>
      <x:c r="K241" s="28" t="str">
        <x:v>Таблица сочетания(1).pdf</x:v>
      </x:c>
      <x:c r="L241" s="28" t="str">
        <x:v>Таблица сочетания(1).pdf: 18</x:v>
      </x:c>
    </x:row>
    <x:row r="242" ht="66" customHeight="1">
      <x:c r="A242" s="28" t="str">
        <x:v>VEG-0916</x:v>
      </x:c>
      <x:c r="B242" s="28" t="str">
        <x:v>тыква</x:v>
      </x:c>
      <x:c r="C242" s="28" t="str">
        <x:v>водоросли</x:v>
      </x:c>
      <x:c r="D242" s="28" t="str">
        <x:v>Прочее</x:v>
      </x:c>
      <x:c r="E242" s="28" t="str">
        <x:v>сенсорная комплементарность</x:v>
      </x:c>
      <x:c r="F242" s="28" t="str">
        <x:v>Тыква имеет профиль «сладкий, крахмалистый, ореховый и слегка цветочный».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42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2" s="28" t="str">
        <x:v>водянистые сорта размывают вкус; сильная сладость требует кислоты, соли или горечи</x:v>
      </x:c>
      <x:c r="I242" s="28" t="str">
        <x:v>пюре, суп, запекание, крем, гарнир, соус или десертная разработка с водоросли</x:v>
      </x:c>
      <x:c r="J242" s="28" t="str">
        <x:v>Средняя</x:v>
      </x:c>
      <x:c r="K242" s="28" t="str">
        <x:v>The Art &amp; Science of Foodpairing.pdf</x:v>
      </x:c>
      <x:c r="L242" s="28" t="str">
        <x:v>The Art &amp; Science of Foodpairing.pdf: 267</x:v>
      </x:c>
    </x:row>
    <x:row r="243" ht="66" customHeight="1">
      <x:c r="A243" s="28" t="str">
        <x:v>VEG-0917</x:v>
      </x:c>
      <x:c r="B243" s="28" t="str">
        <x:v>тыква</x:v>
      </x:c>
      <x:c r="C243" s="28" t="str">
        <x:v>гвоздика</x:v>
      </x:c>
      <x:c r="D243" s="28" t="str">
        <x:v>Специи</x:v>
      </x:c>
      <x:c r="E243" s="28" t="str">
        <x:v>сенсорная комплементарность</x:v>
      </x:c>
      <x:c r="F243" s="28" t="str">
        <x:v>Тыква имеет профиль «сладкий, крахмалистый, ореховый и слегка цветочный».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43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3" s="28" t="str">
        <x:v>водянистые сорта размывают вкус; сильная сладость требует кислоты, соли или горечи</x:v>
      </x:c>
      <x:c r="I243" s="28" t="str">
        <x:v>пюре, суп, запекание, крем, гарнир, соус или десертная разработка с гвоздика</x:v>
      </x:c>
      <x:c r="J243" s="28" t="str">
        <x:v>Гипотеза / практическая</x:v>
      </x:c>
      <x:c r="K243" s="28" t="str">
        <x:v>Таблица сочетания(1).pdf</x:v>
      </x:c>
      <x:c r="L243" s="28" t="str">
        <x:v>Таблица сочетания(1).pdf: 18</x:v>
      </x:c>
    </x:row>
    <x:row r="244" ht="66" customHeight="1">
      <x:c r="A244" s="28" t="str">
        <x:v>VEG-0918</x:v>
      </x:c>
      <x:c r="B244" s="28" t="str">
        <x:v>тыква</x:v>
      </x:c>
      <x:c r="C244" s="28" t="str">
        <x:v>голубой сыр</x:v>
      </x:c>
      <x:c r="D244" s="28" t="str">
        <x:v>Молочные продукты и сыры</x:v>
      </x:c>
      <x:c r="E244" s="28" t="str">
        <x:v>жировая матрица</x:v>
      </x:c>
      <x:c r="F244" s="28" t="str">
        <x:v>Тыква имеет профиль «сладкий, крахмалистый, ореховый и слегка цветочный».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44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4" s="28" t="str">
        <x:v>водянистые сорта размывают вкус; сильная сладость требует кислоты, соли или горечи; жир способен приглушить свежую зелёную ароматику</x:v>
      </x:c>
      <x:c r="I244" s="28" t="str">
        <x:v>пюре, суп, запекание, крем, гарнир, соус или десертная разработка с голубой сыр</x:v>
      </x:c>
      <x:c r="J244" s="28" t="str">
        <x:v>Средняя</x:v>
      </x:c>
      <x:c r="K244" s="28" t="str">
        <x:v>The Art &amp; Science of Foodpairing.pdf</x:v>
      </x:c>
      <x:c r="L244" s="28" t="str">
        <x:v>The Art &amp; Science of Foodpairing.pdf: 164</x:v>
      </x:c>
    </x:row>
    <x:row r="245" ht="66" customHeight="1">
      <x:c r="A245" s="28" t="str">
        <x:v>VEG-0919</x:v>
      </x:c>
      <x:c r="B245" s="28" t="str">
        <x:v>тыква</x:v>
      </x:c>
      <x:c r="C245" s="28" t="str">
        <x:v>гранат</x:v>
      </x:c>
      <x:c r="D245" s="28" t="str">
        <x:v>Прочее</x:v>
      </x:c>
      <x:c r="E245" s="28" t="str">
        <x:v>сенсорная комплементарность</x:v>
      </x:c>
      <x:c r="F245" s="28" t="str">
        <x:v>Тыква имеет профиль «сладкий, крахмалистый, ореховый и слегка цветочный». Партнёр «гранат»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45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5" s="28" t="str">
        <x:v>водянистые сорта размывают вкус; сильная сладость требует кислоты, соли или горечи</x:v>
      </x:c>
      <x:c r="I245" s="28" t="str">
        <x:v>пюре, суп, запекание, крем, гарнир, соус или десертная разработка с гранат</x:v>
      </x:c>
      <x:c r="J245" s="28" t="str">
        <x:v>Гипотеза / практическая</x:v>
      </x:c>
      <x:c r="K245" s="28" t="str">
        <x:v>Таблица сочетания(1).pdf</x:v>
      </x:c>
      <x:c r="L245" s="28" t="str">
        <x:v>Таблица сочетания(1).pdf: 18</x:v>
      </x:c>
    </x:row>
    <x:row r="246" ht="66" customHeight="1">
      <x:c r="A246" s="28" t="str">
        <x:v>VEG-0920</x:v>
      </x:c>
      <x:c r="B246" s="28" t="str">
        <x:v>тыква</x:v>
      </x:c>
      <x:c r="C246" s="28" t="str">
        <x:v>душистый перец</x:v>
      </x:c>
      <x:c r="D246" s="28" t="str">
        <x:v>Специи</x:v>
      </x:c>
      <x:c r="E246" s="28" t="str">
        <x:v>сенсорная комплементарность</x:v>
      </x:c>
      <x:c r="F246" s="28" t="str">
        <x:v>Тыква имеет профиль «сладкий, крахмалистый, ореховый и слегка цветочный». Партнёр «душистый перец»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46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6" s="28" t="str">
        <x:v>водянистые сорта размывают вкус; сильная сладость требует кислоты, соли или горечи</x:v>
      </x:c>
      <x:c r="I246" s="28" t="str">
        <x:v>пюре, суп, запекание, крем, гарнир, соус или десертная разработка с душистый перец</x:v>
      </x:c>
      <x:c r="J246" s="28" t="str">
        <x:v>Гипотеза / практическая</x:v>
      </x:c>
      <x:c r="K246" s="28" t="str">
        <x:v>Таблица сочетания(1).pdf</x:v>
      </x:c>
      <x:c r="L246" s="28" t="str">
        <x:v>Таблица сочетания(1).pdf: 18</x:v>
      </x:c>
    </x:row>
    <x:row r="247" ht="66" customHeight="1">
      <x:c r="A247" s="28" t="str">
        <x:v>VEG-0921</x:v>
      </x:c>
      <x:c r="B247" s="28" t="str">
        <x:v>тыква</x:v>
      </x:c>
      <x:c r="C247" s="28" t="str">
        <x:v>имбирь</x:v>
      </x:c>
      <x:c r="D247" s="28" t="str">
        <x:v>Специи</x:v>
      </x:c>
      <x:c r="E247" s="28" t="str">
        <x:v>сенсорная комплементарность</x:v>
      </x:c>
      <x:c r="F247" s="28" t="str">
        <x:v>Тыква имеет профиль «сладкий, крахмалистый, ореховый и слегка цветочный».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47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7" s="28" t="str">
        <x:v>водянистые сорта размывают вкус; сильная сладость требует кислоты, соли или горечи</x:v>
      </x:c>
      <x:c r="I247" s="28" t="str">
        <x:v>пюре, суп, запекание, крем, гарнир, соус или десертная разработка с имбирь</x:v>
      </x:c>
      <x:c r="J247" s="28" t="str">
        <x:v>Высокая</x:v>
      </x:c>
      <x:c r="K247" s="28" t="str">
        <x:v>The Art &amp; Science of Foodpairing.pdf | Таблица сочетания(1).pdf</x:v>
      </x:c>
      <x:c r="L247" s="28" t="str">
        <x:v>Таблица сочетания(1).pdf: 18; The Art &amp; Science of Foodpairing.pdf: 142</x:v>
      </x:c>
    </x:row>
    <x:row r="248" ht="66" customHeight="1">
      <x:c r="A248" s="28" t="str">
        <x:v>VEG-0922</x:v>
      </x:c>
      <x:c r="B248" s="28" t="str">
        <x:v>тыква</x:v>
      </x:c>
      <x:c r="C248" s="28" t="str">
        <x:v>карамель</x:v>
      </x:c>
      <x:c r="D248" s="28" t="str">
        <x:v>Выпечка, крупы, сахара и десерты</x:v>
      </x:c>
      <x:c r="E248" s="28" t="str">
        <x:v>общие характерные молекулы; пересечение ароматических семейств</x:v>
      </x:c>
      <x:c r="F248" s="28" t="str">
        <x:v>Тыква имеет профиль «сладкий, крахмалистый, ореховый и слегка цветочный». Партнёр «карамель» относится к группе «Выпечка, крупы, сахара и десерты» и даёт жареный, карамельный, сладкий.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48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8" s="28" t="str">
        <x:v>водянистые сорта размывают вкус; сильная сладость требует кислоты, соли или горечи</x:v>
      </x:c>
      <x:c r="I248" s="28" t="str">
        <x:v>пюре, суп, запекание, крем, гарнир, соус или десертная разработка с карамель</x:v>
      </x:c>
      <x:c r="J248" s="28" t="str">
        <x:v>Гипотеза / практическая</x:v>
      </x:c>
      <x:c r="K248" s="28" t="str">
        <x:v>Таблица сочетания(1).pdf</x:v>
      </x:c>
      <x:c r="L248" s="28" t="str">
        <x:v>Таблица сочетания(1).pdf: 18</x:v>
      </x:c>
    </x:row>
    <x:row r="249" ht="66" customHeight="1">
      <x:c r="A249" s="28" t="str">
        <x:v>VEG-0923</x:v>
      </x:c>
      <x:c r="B249" s="28" t="str">
        <x:v>тыква</x:v>
      </x:c>
      <x:c r="C249" s="28" t="str">
        <x:v>кардамон</x:v>
      </x:c>
      <x:c r="D249" s="28" t="str">
        <x:v>Специи</x:v>
      </x:c>
      <x:c r="E249" s="28" t="str">
        <x:v>сенсорная комплементарность</x:v>
      </x:c>
      <x:c r="F249" s="28" t="str">
        <x:v>Тыква имеет профиль «сладкий, крахмалистый, ореховый и слегка цветочный».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49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49" s="28" t="str">
        <x:v>водянистые сорта размывают вкус; сильная сладость требует кислоты, соли или горечи</x:v>
      </x:c>
      <x:c r="I249" s="28" t="str">
        <x:v>пюре, суп, запекание, крем, гарнир, соус или десертная разработка с кардамон</x:v>
      </x:c>
      <x:c r="J249" s="28" t="str">
        <x:v>Гипотеза / практическая</x:v>
      </x:c>
      <x:c r="K249" s="28" t="str">
        <x:v>Таблица сочетания(1).pdf</x:v>
      </x:c>
      <x:c r="L249" s="28" t="str">
        <x:v>Таблица сочетания(1).pdf: 18</x:v>
      </x:c>
    </x:row>
    <x:row r="250" ht="66" customHeight="1">
      <x:c r="A250" s="28" t="str">
        <x:v>VEG-0924</x:v>
      </x:c>
      <x:c r="B250" s="28" t="str">
        <x:v>тыква</x:v>
      </x:c>
      <x:c r="C250" s="28" t="str">
        <x:v>клубника</x:v>
      </x:c>
      <x:c r="D250" s="28" t="str">
        <x:v>Фрукты и ягоды</x:v>
      </x:c>
      <x:c r="E250" s="28" t="str">
        <x:v>кислотно-сладкий баланс</x:v>
      </x:c>
      <x:c r="F250" s="28" t="str">
        <x:v>Тыква имеет профиль «сладкий, крахмалистый, ореховый и слегка цветочный».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50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0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50" s="28" t="str">
        <x:v>пюре, суп, запекание, крем, гарнир, соус или десертная разработка с клубника</x:v>
      </x:c>
      <x:c r="J250" s="28" t="str">
        <x:v>Гипотеза / практическая</x:v>
      </x:c>
      <x:c r="K250" s="28" t="str">
        <x:v>Таблица сочетания(1).pdf</x:v>
      </x:c>
      <x:c r="L250" s="28" t="str">
        <x:v>Таблица сочетания(1).pdf: 18</x:v>
      </x:c>
    </x:row>
    <x:row r="251" ht="66" customHeight="1">
      <x:c r="A251" s="28" t="str">
        <x:v>VEG-0925</x:v>
      </x:c>
      <x:c r="B251" s="28" t="str">
        <x:v>тыква</x:v>
      </x:c>
      <x:c r="C251" s="28" t="str">
        <x:v>клюква</x:v>
      </x:c>
      <x:c r="D251" s="28" t="str">
        <x:v>Прочее</x:v>
      </x:c>
      <x:c r="E251" s="28" t="str">
        <x:v>сенсорная комплементарность</x:v>
      </x:c>
      <x:c r="F251" s="28" t="str">
        <x:v>Тыква имеет профиль «сладкий, крахмалистый, ореховый и слегка цветочный». Партнёр «клюква»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51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1" s="28" t="str">
        <x:v>водянистые сорта размывают вкус; сильная сладость требует кислоты, соли или горечи</x:v>
      </x:c>
      <x:c r="I251" s="28" t="str">
        <x:v>пюре, суп, запекание, крем, гарнир, соус или десертная разработка с клюква</x:v>
      </x:c>
      <x:c r="J251" s="28" t="str">
        <x:v>Гипотеза / практическая</x:v>
      </x:c>
      <x:c r="K251" s="28" t="str">
        <x:v>Таблица сочетания(1).pdf</x:v>
      </x:c>
      <x:c r="L251" s="28" t="str">
        <x:v>Таблица сочетания(1).pdf: 6, 18</x:v>
      </x:c>
    </x:row>
    <x:row r="252" ht="66" customHeight="1">
      <x:c r="A252" s="28" t="str">
        <x:v>VEG-0926</x:v>
      </x:c>
      <x:c r="B252" s="28" t="str">
        <x:v>тыква</x:v>
      </x:c>
      <x:c r="C252" s="28" t="str">
        <x:v>корица</x:v>
      </x:c>
      <x:c r="D252" s="28" t="str">
        <x:v>Специи</x:v>
      </x:c>
      <x:c r="E252" s="28" t="str">
        <x:v>пересечение ароматических семейств</x:v>
      </x:c>
      <x:c r="F252" s="28" t="str">
        <x:v>Тыква имеет профиль «сладкий, крахмалистый, ореховый и слегка цветочный».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52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2" s="28" t="str">
        <x:v>водянистые сорта размывают вкус; сильная сладость требует кислоты, соли или горечи</x:v>
      </x:c>
      <x:c r="I252" s="28" t="str">
        <x:v>пюре, суп, запекание, крем, гарнир, соус или десертная разработка с корица</x:v>
      </x:c>
      <x:c r="J252" s="28" t="str">
        <x:v>Гипотеза / практическая</x:v>
      </x:c>
      <x:c r="K252" s="28" t="str">
        <x:v>Таблица сочетания(1).pdf</x:v>
      </x:c>
      <x:c r="L252" s="28" t="str">
        <x:v>Таблица сочетания(1).pdf: 18</x:v>
      </x:c>
    </x:row>
    <x:row r="253" ht="66" customHeight="1">
      <x:c r="A253" s="28" t="str">
        <x:v>VEG-0927</x:v>
      </x:c>
      <x:c r="B253" s="28" t="str">
        <x:v>тыква</x:v>
      </x:c>
      <x:c r="C253" s="28" t="str">
        <x:v>кофе</x:v>
      </x:c>
      <x:c r="D253" s="28" t="str">
        <x:v>Кофе</x:v>
      </x:c>
      <x:c r="E253" s="28" t="str">
        <x:v>общие характерные молекулы; пересечение ароматических семейств</x:v>
      </x:c>
      <x:c r="F253" s="28" t="str">
        <x:v>Тыква имеет профиль «сладкий, крахмалистый, ореховый и слегка цветочный». Партнёр «кофе» относится к группе «Кофе» и даёт жареный, карамельный, ореховый.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53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3" s="28" t="str">
        <x:v>водянистые сорта размывают вкус; сильная сладость требует кислоты, соли или горечи; жареная горечь легко маскирует нежный овощной аромат</x:v>
      </x:c>
      <x:c r="I253" s="28" t="str">
        <x:v>пюре, суп, запекание, крем, гарнир, соус или десертная разработка с кофе</x:v>
      </x:c>
      <x:c r="J253" s="28" t="str">
        <x:v>Высокая</x:v>
      </x:c>
      <x:c r="K253" s="28" t="str">
        <x:v>The Art &amp; Science of Foodpairing.pdf | Таблица сочетания(1).pdf</x:v>
      </x:c>
      <x:c r="L253" s="28" t="str">
        <x:v>Таблица сочетания(1).pdf: 6, 18; The Art &amp; Science of Foodpairing.pdf: 297</x:v>
      </x:c>
    </x:row>
    <x:row r="254" ht="66" customHeight="1">
      <x:c r="A254" s="28" t="str">
        <x:v>VEG-0928</x:v>
      </x:c>
      <x:c r="B254" s="28" t="str">
        <x:v>тыква</x:v>
      </x:c>
      <x:c r="C254" s="28" t="str">
        <x:v>кумкват</x:v>
      </x:c>
      <x:c r="D254" s="28" t="str">
        <x:v>Прочее</x:v>
      </x:c>
      <x:c r="E254" s="28" t="str">
        <x:v>сенсорная комплементарность</x:v>
      </x:c>
      <x:c r="F254" s="28" t="str">
        <x:v>Тыква имеет профиль «сладкий, крахмалистый, ореховый и слегка цветочный». Партнёр «кумкват»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54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4" s="28" t="str">
        <x:v>водянистые сорта размывают вкус; сильная сладость требует кислоты, соли или горечи</x:v>
      </x:c>
      <x:c r="I254" s="28" t="str">
        <x:v>пюре, суп, запекание, крем, гарнир, соус или десертная разработка с кумкват</x:v>
      </x:c>
      <x:c r="J254" s="28" t="str">
        <x:v>Гипотеза / практическая</x:v>
      </x:c>
      <x:c r="K254" s="28" t="str">
        <x:v>Таблица сочетания(1).pdf</x:v>
      </x:c>
      <x:c r="L254" s="28" t="str">
        <x:v>Таблица сочетания(1).pdf: 11</x:v>
      </x:c>
    </x:row>
    <x:row r="255" ht="66" customHeight="1">
      <x:c r="A255" s="28" t="str">
        <x:v>VEG-0929</x:v>
      </x:c>
      <x:c r="B255" s="28" t="str">
        <x:v>тыква</x:v>
      </x:c>
      <x:c r="C255" s="28" t="str">
        <x:v>мускатный орех</x:v>
      </x:c>
      <x:c r="D255" s="28" t="str">
        <x:v>Рыба и морепродукты</x:v>
      </x:c>
      <x:c r="E255" s="28" t="str">
        <x:v>пересечение ароматических семейств; умами и солёный контраст</x:v>
      </x:c>
      <x:c r="F255" s="28" t="str">
        <x:v>Тыква имеет профиль «сладкий, крахмалистый, ореховый и слегка цветочный».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55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5" s="28" t="str">
        <x:v>водянистые сорта размывают вкус; сильная сладость требует кислоты, соли или горечи</x:v>
      </x:c>
      <x:c r="I255" s="28" t="str">
        <x:v>пюре, суп, запекание, крем, гарнир, соус или десертная разработка с мускатный орех</x:v>
      </x:c>
      <x:c r="J255" s="28" t="str">
        <x:v>Гипотеза / практическая</x:v>
      </x:c>
      <x:c r="K255" s="28" t="str">
        <x:v>Таблица сочетания(1).pdf</x:v>
      </x:c>
      <x:c r="L255" s="28" t="str">
        <x:v>Таблица сочетания(1).pdf: 18</x:v>
      </x:c>
    </x:row>
    <x:row r="256" ht="66" customHeight="1">
      <x:c r="A256" s="28" t="str">
        <x:v>VEG-0930</x:v>
      </x:c>
      <x:c r="B256" s="28" t="str">
        <x:v>тыква</x:v>
      </x:c>
      <x:c r="C256" s="28" t="str">
        <x:v>мясо</x:v>
      </x:c>
      <x:c r="D256" s="28" t="str">
        <x:v>Мясо и птица</x:v>
      </x:c>
      <x:c r="E256" s="28" t="str">
        <x:v>общие характерные молекулы; умами и солёный контраст</x:v>
      </x:c>
      <x:c r="F256" s="28" t="str">
        <x:v>Тыква имеет профиль «сладкий, крахмалистый, ореховый и слегка цветочный».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56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6" s="28" t="str">
        <x:v>водянистые сорта размывают вкус; сильная сладость требует кислоты, соли или горечи</x:v>
      </x:c>
      <x:c r="I256" s="28" t="str">
        <x:v>пюре, суп, запекание, крем, гарнир, соус или десертная разработка с мясо</x:v>
      </x:c>
      <x:c r="J256" s="28" t="str">
        <x:v>Средняя</x:v>
      </x:c>
      <x:c r="K256" s="28" t="str">
        <x:v>The Art &amp; Science of Foodpairing.pdf</x:v>
      </x:c>
      <x:c r="L256" s="28" t="str">
        <x:v>The Art &amp; Science of Foodpairing.pdf: 186</x:v>
      </x:c>
    </x:row>
    <x:row r="257" ht="66" customHeight="1">
      <x:c r="A257" s="28" t="str">
        <x:v>VEG-0931</x:v>
      </x:c>
      <x:c r="B257" s="28" t="str">
        <x:v>тыква</x:v>
      </x:c>
      <x:c r="C257" s="28" t="str">
        <x:v>мёд</x:v>
      </x:c>
      <x:c r="D257" s="28" t="str">
        <x:v>Выпечка, крупы, сахара и десерты</x:v>
      </x:c>
      <x:c r="E257" s="28" t="str">
        <x:v>общие характерные молекулы; пересечение ароматических семейств</x:v>
      </x:c>
      <x:c r="F257" s="28" t="str">
        <x:v>Тыква имеет профиль «сладкий, крахмалистый, ореховый и слегка цветочный». Партнёр «мёд» относится к группе «Выпечка, крупы, сахара и десерты» и даёт медовый, сладкий, цветочный. Вероятный молекулярный мост: норизопреноиды.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57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7" s="28" t="str">
        <x:v>водянистые сорта размывают вкус; сильная сладость требует кислоты, соли или горечи</x:v>
      </x:c>
      <x:c r="I257" s="28" t="str">
        <x:v>пюре, суп, запекание, крем, гарнир, соус или десертная разработка с мёд</x:v>
      </x:c>
      <x:c r="J257" s="28" t="str">
        <x:v>Гипотеза / практическая</x:v>
      </x:c>
      <x:c r="K257" s="28" t="str">
        <x:v>Таблица сочетания(1).pdf</x:v>
      </x:c>
      <x:c r="L257" s="28" t="str">
        <x:v>Таблица сочетания(1).pdf: 18</x:v>
      </x:c>
    </x:row>
    <x:row r="258" ht="66" customHeight="1">
      <x:c r="A258" s="28" t="str">
        <x:v>VEG-0932</x:v>
      </x:c>
      <x:c r="B258" s="28" t="str">
        <x:v>тыква</x:v>
      </x:c>
      <x:c r="C258" s="28" t="str">
        <x:v>розмарин</x:v>
      </x:c>
      <x:c r="D258" s="28" t="str">
        <x:v>Травы, цветы и листья</x:v>
      </x:c>
      <x:c r="E258" s="28" t="str">
        <x:v>сенсорная комплементарность</x:v>
      </x:c>
      <x:c r="F258" s="28" t="str">
        <x:v>Тыква имеет профиль «сладкий, крахмалистый, ореховый и слегка цветочный».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58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8" s="28" t="str">
        <x:v>водянистые сорта размывают вкус; сильная сладость требует кислоты, соли или горечи; длительный нагрев уносит свежие терпены и зелёные альдегиды</x:v>
      </x:c>
      <x:c r="I258" s="28" t="str">
        <x:v>пюре, суп, запекание, крем, гарнир, соус или десертная разработка с розмарин</x:v>
      </x:c>
      <x:c r="J258" s="28" t="str">
        <x:v>Гипотеза / практическая</x:v>
      </x:c>
      <x:c r="K258" s="28" t="str">
        <x:v>Таблица сочетания(1).pdf</x:v>
      </x:c>
      <x:c r="L258" s="28" t="str">
        <x:v>Таблица сочетания(1).pdf: 18</x:v>
      </x:c>
    </x:row>
    <x:row r="259" ht="66" customHeight="1">
      <x:c r="A259" s="28" t="str">
        <x:v>VEG-0933</x:v>
      </x:c>
      <x:c r="B259" s="28" t="str">
        <x:v>тыква</x:v>
      </x:c>
      <x:c r="C259" s="28" t="str">
        <x:v>рыба</x:v>
      </x:c>
      <x:c r="D259" s="28" t="str">
        <x:v>Рыба и морепродукты</x:v>
      </x:c>
      <x:c r="E259" s="28" t="str">
        <x:v>умами и солёный контраст</x:v>
      </x:c>
      <x:c r="F259" s="28" t="str">
        <x:v>Тыква имеет профиль «сладкий, крахмалистый, ореховый и слегка цветочный».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59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59" s="28" t="str">
        <x:v>водянистые сорта размывают вкус; сильная сладость требует кислоты, соли или горечи</x:v>
      </x:c>
      <x:c r="I259" s="28" t="str">
        <x:v>пюре, суп, запекание, крем, гарнир, соус или десертная разработка с рыба</x:v>
      </x:c>
      <x:c r="J259" s="28" t="str">
        <x:v>Средняя</x:v>
      </x:c>
      <x:c r="K259" s="28" t="str">
        <x:v>The Art &amp; Science of Foodpairing.pdf</x:v>
      </x:c>
      <x:c r="L259" s="28" t="str">
        <x:v>The Art &amp; Science of Foodpairing.pdf: 104</x:v>
      </x:c>
    </x:row>
    <x:row r="260" ht="66" customHeight="1">
      <x:c r="A260" s="28" t="str">
        <x:v>VEG-0934</x:v>
      </x:c>
      <x:c r="B260" s="28" t="str">
        <x:v>тыква</x:v>
      </x:c>
      <x:c r="C260" s="28" t="str">
        <x:v>соевый соус</x:v>
      </x:c>
      <x:c r="D260" s="28" t="str">
        <x:v>Ферментированные продукты и соусы</x:v>
      </x:c>
      <x:c r="E260" s="28" t="str">
        <x:v>общие характерные молекулы; умами и солёный контраст</x:v>
      </x:c>
      <x:c r="F260" s="28" t="str">
        <x:v>Тыква имеет профиль «сладкий, крахмалистый, ореховый и слегка цветочный». Партнёр «соевый соус» относится к группе «Ферментированные продукты и соусы» и даёт жареный, умами, ферментированный. Вероятный молекулярный мост: пиразины, фураны.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60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60" s="28" t="str">
        <x:v>водянистые сорта размывают вкус; сильная сладость требует кислоты, соли или горечи</x:v>
      </x:c>
      <x:c r="I260" s="28" t="str">
        <x:v>пюре, суп, запекание, крем, гарнир, соус или десертная разработка с соевый соус</x:v>
      </x:c>
      <x:c r="J260" s="28" t="str">
        <x:v>Средняя</x:v>
      </x:c>
      <x:c r="K260" s="28" t="str">
        <x:v>The Art &amp; Science of Foodpairing.pdf</x:v>
      </x:c>
      <x:c r="L260" s="28" t="str">
        <x:v>The Art &amp; Science of Foodpairing.pdf: 300</x:v>
      </x:c>
    </x:row>
    <x:row r="261" ht="66" customHeight="1">
      <x:c r="A261" s="28" t="str">
        <x:v>VEG-0935</x:v>
      </x:c>
      <x:c r="B261" s="28" t="str">
        <x:v>тыква</x:v>
      </x:c>
      <x:c r="C261" s="28" t="str">
        <x:v>тимьян</x:v>
      </x:c>
      <x:c r="D261" s="28" t="str">
        <x:v>Травы, цветы и листья</x:v>
      </x:c>
      <x:c r="E261" s="28" t="str">
        <x:v>сенсорная комплементарность</x:v>
      </x:c>
      <x:c r="F261" s="28" t="str">
        <x:v>Тыква имеет профиль «сладкий, крахмалистый, ореховый и слегка цветочный».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61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61" s="28" t="str">
        <x:v>водянистые сорта размывают вкус; сильная сладость требует кислоты, соли или горечи; длительный нагрев уносит свежие терпены и зелёные альдегиды</x:v>
      </x:c>
      <x:c r="I261" s="28" t="str">
        <x:v>пюре, суп, запекание, крем, гарнир, соус или десертная разработка с тимьян</x:v>
      </x:c>
      <x:c r="J261" s="28" t="str">
        <x:v>Гипотеза / практическая</x:v>
      </x:c>
      <x:c r="K261" s="28" t="str">
        <x:v>Таблица сочетания(1).pdf</x:v>
      </x:c>
      <x:c r="L261" s="28" t="str">
        <x:v>Таблица сочетания(1).pdf: 18</x:v>
      </x:c>
    </x:row>
    <x:row r="262" ht="66" customHeight="1">
      <x:c r="A262" s="28" t="str">
        <x:v>VEG-0936</x:v>
      </x:c>
      <x:c r="B262" s="28" t="str">
        <x:v>тыква</x:v>
      </x:c>
      <x:c r="C262" s="28" t="str">
        <x:v>фундук</x:v>
      </x:c>
      <x:c r="D262" s="28" t="str">
        <x:v>Орехи и семена</x:v>
      </x:c>
      <x:c r="E262" s="28" t="str">
        <x:v>общие характерные молекулы; пересечение ароматических семейств</x:v>
      </x:c>
      <x:c r="F262" s="28" t="str">
        <x:v>Тыква имеет профиль «сладкий, крахмалистый, ореховый и слегка цветочный».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62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62" s="28" t="str">
        <x:v>водянистые сорта размывают вкус; сильная сладость требует кислоты, соли или горечи</x:v>
      </x:c>
      <x:c r="I262" s="28" t="str">
        <x:v>пюре, суп, запекание, крем, гарнир, соус или десертная разработка с фундук</x:v>
      </x:c>
      <x:c r="J262" s="28" t="str">
        <x:v>Средняя</x:v>
      </x:c>
      <x:c r="K262" s="28" t="str">
        <x:v>The Art &amp; Science of Foodpairing.pdf</x:v>
      </x:c>
      <x:c r="L262" s="28" t="str">
        <x:v>The Art &amp; Science of Foodpairing.pdf: 332</x:v>
      </x:c>
    </x:row>
    <x:row r="263" ht="66" customHeight="1">
      <x:c r="A263" s="28" t="str">
        <x:v>VEG-0937</x:v>
      </x:c>
      <x:c r="B263" s="28" t="str">
        <x:v>тыква</x:v>
      </x:c>
      <x:c r="C263" s="28" t="str">
        <x:v>чили</x:v>
      </x:c>
      <x:c r="D263" s="28" t="str">
        <x:v>Специи</x:v>
      </x:c>
      <x:c r="E263" s="28" t="str">
        <x:v>сенсорная комплементарность</x:v>
      </x:c>
      <x:c r="F263" s="28" t="str">
        <x:v>Тыква имеет профиль «сладкий, крахмалистый, ореховый и слегка цветочный».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63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63" s="28" t="str">
        <x:v>водянистые сорта размывают вкус; сильная сладость требует кислоты, соли или горечи</x:v>
      </x:c>
      <x:c r="I263" s="28" t="str">
        <x:v>пюре, суп, запекание, крем, гарнир, соус или десертная разработка с чили</x:v>
      </x:c>
      <x:c r="J263" s="28" t="str">
        <x:v>Средняя</x:v>
      </x:c>
      <x:c r="K263" s="28" t="str">
        <x:v>The Art &amp; Science of Foodpairing.pdf</x:v>
      </x:c>
      <x:c r="L263" s="28" t="str">
        <x:v>The Art &amp; Science of Foodpairing.pdf: 94</x:v>
      </x:c>
    </x:row>
    <x:row r="264" ht="66" customHeight="1">
      <x:c r="A264" s="28" t="str">
        <x:v>VEG-0938</x:v>
      </x:c>
      <x:c r="B264" s="28" t="str">
        <x:v>тыква</x:v>
      </x:c>
      <x:c r="C264" s="28" t="str">
        <x:v>чоризо</x:v>
      </x:c>
      <x:c r="D264" s="28" t="str">
        <x:v>Прочее</x:v>
      </x:c>
      <x:c r="E264" s="28" t="str">
        <x:v>сенсорная комплементарность</x:v>
      </x:c>
      <x:c r="F264" s="28" t="str">
        <x:v>Тыква имеет профиль «сладкий, крахмалистый, ореховый и слегка цветочный».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64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64" s="28" t="str">
        <x:v>водянистые сорта размывают вкус; сильная сладость требует кислоты, соли или горечи</x:v>
      </x:c>
      <x:c r="I264" s="28" t="str">
        <x:v>пюре, суп, запекание, крем, гарнир, соус или десертная разработка с чоризо</x:v>
      </x:c>
      <x:c r="J264" s="28" t="str">
        <x:v>Средняя</x:v>
      </x:c>
      <x:c r="K264" s="28" t="str">
        <x:v>The Art &amp; Science of Foodpairing.pdf</x:v>
      </x:c>
      <x:c r="L264" s="28" t="str">
        <x:v>The Art &amp; Science of Foodpairing.pdf: 288</x:v>
      </x:c>
    </x:row>
    <x:row r="265" ht="66" customHeight="1">
      <x:c r="A265" s="28" t="str">
        <x:v>VEG-0939</x:v>
      </x:c>
      <x:c r="B265" s="28" t="str">
        <x:v>тыква</x:v>
      </x:c>
      <x:c r="C265" s="28" t="str">
        <x:v>шалфей</x:v>
      </x:c>
      <x:c r="D265" s="28" t="str">
        <x:v>Травы, цветы и листья</x:v>
      </x:c>
      <x:c r="E265" s="28" t="str">
        <x:v>сенсорная комплементарность</x:v>
      </x:c>
      <x:c r="F265" s="28" t="str">
        <x:v>Тыква имеет профиль «сладкий, крахмалистый, ореховый и слегка цветочный».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65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65" s="28" t="str">
        <x:v>водянистые сорта размывают вкус; сильная сладость требует кислоты, соли или горечи; длительный нагрев уносит свежие терпены и зелёные альдегиды</x:v>
      </x:c>
      <x:c r="I265" s="28" t="str">
        <x:v>пюре, суп, запекание, крем, гарнир, соус или десертная разработка с шалфей</x:v>
      </x:c>
      <x:c r="J265" s="28" t="str">
        <x:v>Гипотеза / практическая</x:v>
      </x:c>
      <x:c r="K265" s="28" t="str">
        <x:v>Таблица сочетания(1).pdf</x:v>
      </x:c>
      <x:c r="L265" s="28" t="str">
        <x:v>Таблица сочетания(1).pdf: 18</x:v>
      </x:c>
    </x:row>
    <x:row r="266" ht="66" customHeight="1">
      <x:c r="A266" s="28" t="str">
        <x:v>VEG-0940</x:v>
      </x:c>
      <x:c r="B266" s="28" t="str">
        <x:v>тыква</x:v>
      </x:c>
      <x:c r="C266" s="28" t="str">
        <x:v>шоколад</x:v>
      </x:c>
      <x:c r="D266" s="28" t="str">
        <x:v>Какао и шоколад</x:v>
      </x:c>
      <x:c r="E266" s="28" t="str">
        <x:v>общие характерные молекулы</x:v>
      </x:c>
      <x:c r="F266" s="28" t="str">
        <x:v>Тыква имеет профиль «сладкий, крахмалистый, ореховый и слегка цветочный». Партнёр «шоколад» относится к группе «Какао и шоколад» и даёт жареный, какаовый, карамельный.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66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66" s="28" t="str">
        <x:v>водянистые сорта размывают вкус; сильная сладость требует кислоты, соли или горечи; жареная горечь легко маскирует нежный овощной аромат</x:v>
      </x:c>
      <x:c r="I266" s="28" t="str">
        <x:v>пюре, суп, запекание, крем, гарнир, соус или десертная разработка с шоколад</x:v>
      </x:c>
      <x:c r="J266" s="28" t="str">
        <x:v>Гипотеза / практическая</x:v>
      </x:c>
      <x:c r="K266" s="28" t="str">
        <x:v>Таблица сочетания(1).pdf</x:v>
      </x:c>
      <x:c r="L266" s="28" t="str">
        <x:v>Таблица сочетания(1).pdf: 18</x:v>
      </x:c>
    </x:row>
    <x:row r="267" ht="66" customHeight="1">
      <x:c r="A267" s="28" t="str">
        <x:v>VEG-0941</x:v>
      </x:c>
      <x:c r="B267" s="28" t="str">
        <x:v>тыква</x:v>
      </x:c>
      <x:c r="C267" s="28" t="str">
        <x:v>яблоко</x:v>
      </x:c>
      <x:c r="D267" s="28" t="str">
        <x:v>Фрукты и ягоды</x:v>
      </x:c>
      <x:c r="E267" s="28" t="str">
        <x:v>кислотно-сладкий баланс</x:v>
      </x:c>
      <x:c r="F267" s="28" t="str">
        <x:v>Тыква имеет профиль «сладкий, крахмалистый, ореховый и слегка цветочный».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67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67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67" s="28" t="str">
        <x:v>пюре, суп, запекание, крем, гарнир, соус или десертная разработка с яблоко</x:v>
      </x:c>
      <x:c r="J267" s="28" t="str">
        <x:v>Гипотеза / практическая</x:v>
      </x:c>
      <x:c r="K267" s="28" t="str">
        <x:v>Таблица сочетания(1).pdf</x:v>
      </x:c>
      <x:c r="L267" s="28" t="str">
        <x:v>Таблица сочетания(1).pdf: 1, 18</x:v>
      </x:c>
    </x:row>
    <x:row r="268" ht="66" customHeight="1">
      <x:c r="A268" s="28" t="str">
        <x:v>VEG-0942</x:v>
      </x:c>
      <x:c r="B268" s="28" t="str">
        <x:v>тыква баттернат</x:v>
      </x:c>
      <x:c r="C268" s="28" t="str">
        <x:v>бекон</x:v>
      </x:c>
      <x:c r="D268" s="28" t="str">
        <x:v>Мясо и птица</x:v>
      </x:c>
      <x:c r="E268" s="28" t="str">
        <x:v>умами и солёный контраст</x:v>
      </x:c>
      <x:c r="F268" s="28" t="str">
        <x:v>Тыква баттернат имеет профиль «сладкий, сливочный, ореховый и карамельный».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68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68" s="28" t="str">
        <x:v>может стать приторной и тяжёлой без кислоты или специй; не использовать недозрелый плод</x:v>
      </x:c>
      <x:c r="I268" s="28" t="str">
        <x:v>пюре, суп, запекание, крем, гарнир, соус или десертная разработка с бекон</x:v>
      </x:c>
      <x:c r="J268" s="28" t="str">
        <x:v>Средняя</x:v>
      </x:c>
      <x:c r="K268" s="28" t="str">
        <x:v>Тезариус вкусов (Ники Сегнит)(1).pdf</x:v>
      </x:c>
      <x:c r="L268" s="28" t="str">
        <x:v>Тезариус вкусов (Ники Сегнит)(1).pdf: 449, 609</x:v>
      </x:c>
    </x:row>
    <x:row r="269" ht="66" customHeight="1">
      <x:c r="A269" s="28" t="str">
        <x:v>VEG-0943</x:v>
      </x:c>
      <x:c r="B269" s="28" t="str">
        <x:v>тыква баттернат</x:v>
      </x:c>
      <x:c r="C269" s="28" t="str">
        <x:v>голубой сыр</x:v>
      </x:c>
      <x:c r="D269" s="28" t="str">
        <x:v>Молочные продукты и сыры</x:v>
      </x:c>
      <x:c r="E269" s="28" t="str">
        <x:v>жировая матрица</x:v>
      </x:c>
      <x:c r="F269" s="28" t="str">
        <x:v>Тыква баттернат имеет профиль «сладкий, сливочный, ореховый и карамельный».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69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69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I269" s="28" t="str">
        <x:v>пюре, суп, запекание, крем, гарнир, соус или десертная разработка с голубой сыр</x:v>
      </x:c>
      <x:c r="J269" s="28" t="str">
        <x:v>Высокая</x:v>
      </x:c>
      <x:c r="K269" s="28" t="str">
        <x:v>The Art &amp; Science of Foodpairing.pdf | Тезариус вкусов (Ники Сегнит)(1).pdf</x:v>
      </x:c>
      <x:c r="L269" s="28" t="str">
        <x:v>Тезариус вкусов (Ники Сегнит)(1).pdf: 160, 610; The Art &amp; Science of Foodpairing.pdf: 165</x:v>
      </x:c>
    </x:row>
    <x:row r="270" ht="66" customHeight="1">
      <x:c r="A270" s="28" t="str">
        <x:v>VEG-0944</x:v>
      </x:c>
      <x:c r="B270" s="28" t="str">
        <x:v>тыква баттернат</x:v>
      </x:c>
      <x:c r="C270" s="28" t="str">
        <x:v>груша</x:v>
      </x:c>
      <x:c r="D270" s="28" t="str">
        <x:v>Фрукты и ягоды</x:v>
      </x:c>
      <x:c r="E270" s="28" t="str">
        <x:v>пересечение ароматических семейств; кислотно-сладкий баланс</x:v>
      </x:c>
      <x:c r="F270" s="28" t="str">
        <x:v>Тыква баттернат имеет профиль «сладкий, сливочный, ореховый и карамельный».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70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0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I270" s="28" t="str">
        <x:v>пюре, суп, запекание, крем, гарнир, соус или десертная разработка с груша</x:v>
      </x:c>
      <x:c r="J270" s="28" t="str">
        <x:v>Средняя</x:v>
      </x:c>
      <x:c r="K270" s="28" t="str">
        <x:v>The Art &amp; Science of Foodpairing.pdf</x:v>
      </x:c>
      <x:c r="L270" s="28" t="str">
        <x:v>The Art &amp; Science of Foodpairing.pdf: 350</x:v>
      </x:c>
    </x:row>
    <x:row r="271" ht="66" customHeight="1">
      <x:c r="A271" s="28" t="str">
        <x:v>VEG-0945</x:v>
      </x:c>
      <x:c r="B271" s="28" t="str">
        <x:v>тыква баттернат</x:v>
      </x:c>
      <x:c r="C271" s="28" t="str">
        <x:v>жасмин</x:v>
      </x:c>
      <x:c r="D271" s="28" t="str">
        <x:v>Травы, цветы и листья</x:v>
      </x:c>
      <x:c r="E271" s="28" t="str">
        <x:v>сенсорная комплементарность</x:v>
      </x:c>
      <x:c r="F271" s="28" t="str">
        <x:v>Тыква баттернат имеет профиль «сладкий, сливочный, ореховый и карамельный».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71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1" s="28" t="str">
        <x:v>может стать приторной и тяжёлой без кислоты или специй; не использовать недозрелый плод; длительный нагрев уносит свежие терпены и зелёные альдегиды</x:v>
      </x:c>
      <x:c r="I271" s="28" t="str">
        <x:v>пюре, суп, запекание, крем, гарнир, соус или десертная разработка с жасмин</x:v>
      </x:c>
      <x:c r="J271" s="28" t="str">
        <x:v>Средняя</x:v>
      </x:c>
      <x:c r="K271" s="28" t="str">
        <x:v>The Art &amp; Science of Foodpairing.pdf</x:v>
      </x:c>
      <x:c r="L271" s="28" t="str">
        <x:v>The Art &amp; Science of Foodpairing.pdf: 210</x:v>
      </x:c>
    </x:row>
    <x:row r="272" ht="66" customHeight="1">
      <x:c r="A272" s="28" t="str">
        <x:v>VEG-0946</x:v>
      </x:c>
      <x:c r="B272" s="28" t="str">
        <x:v>тыква баттернат</x:v>
      </x:c>
      <x:c r="C272" s="28" t="str">
        <x:v>имбирь</x:v>
      </x:c>
      <x:c r="D272" s="28" t="str">
        <x:v>Специи</x:v>
      </x:c>
      <x:c r="E272" s="28" t="str">
        <x:v>сенсорная комплементарность</x:v>
      </x:c>
      <x:c r="F272" s="28" t="str">
        <x:v>Тыква баттернат имеет профиль «сладкий, сливочный, ореховый и карамельный».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72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2" s="28" t="str">
        <x:v>может стать приторной и тяжёлой без кислоты или специй; не использовать недозрелый плод</x:v>
      </x:c>
      <x:c r="I272" s="28" t="str">
        <x:v>пюре, суп, запекание, крем, гарнир, соус или десертная разработка с имбирь</x:v>
      </x:c>
      <x:c r="J272" s="28" t="str">
        <x:v>Средняя</x:v>
      </x:c>
      <x:c r="K272" s="28" t="str">
        <x:v>Тезариус вкусов (Ники Сегнит)(1).pdf</x:v>
      </x:c>
      <x:c r="L272" s="28" t="str">
        <x:v>Тезариус вкусов (Ники Сегнит)(1).pdf: 610, 820</x:v>
      </x:c>
    </x:row>
    <x:row r="273" ht="66" customHeight="1">
      <x:c r="A273" s="28" t="str">
        <x:v>VEG-0947</x:v>
      </x:c>
      <x:c r="B273" s="28" t="str">
        <x:v>тыква баттернат</x:v>
      </x:c>
      <x:c r="C273" s="28" t="str">
        <x:v>каштаны</x:v>
      </x:c>
      <x:c r="D273" s="28" t="str">
        <x:v>Орехи и семена</x:v>
      </x:c>
      <x:c r="E273" s="28" t="str">
        <x:v>общие характерные молекулы; пересечение ароматических семейств</x:v>
      </x:c>
      <x:c r="F273" s="28" t="str">
        <x:v>Тыква баттернат имеет профиль «сладкий, сливочный, ореховый и карамельный». Партнёр «каштаны»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73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3" s="28" t="str">
        <x:v>может стать приторной и тяжёлой без кислоты или специй; не использовать недозрелый плод</x:v>
      </x:c>
      <x:c r="I273" s="28" t="str">
        <x:v>пюре, суп, запекание, крем, гарнир, соус или десертная разработка с каштаны</x:v>
      </x:c>
      <x:c r="J273" s="28" t="str">
        <x:v>Средняя</x:v>
      </x:c>
      <x:c r="K273" s="28" t="str">
        <x:v>Тезариус вкусов (Ники Сегнит)(1).pdf</x:v>
      </x:c>
      <x:c r="L273" s="28" t="str">
        <x:v>Тезариус вкусов (Ники Сегнит)(1).pdf: 610, 620</x:v>
      </x:c>
    </x:row>
    <x:row r="274" ht="66" customHeight="1">
      <x:c r="A274" s="28" t="str">
        <x:v>VEG-0948</x:v>
      </x:c>
      <x:c r="B274" s="28" t="str">
        <x:v>тыква баттернат</x:v>
      </x:c>
      <x:c r="C274" s="28" t="str">
        <x:v>козий сыр</x:v>
      </x:c>
      <x:c r="D274" s="28" t="str">
        <x:v>Молочные продукты и сыры</x:v>
      </x:c>
      <x:c r="E274" s="28" t="str">
        <x:v>жировая матрица</x:v>
      </x:c>
      <x:c r="F274" s="28" t="str">
        <x:v>Тыква баттернат имеет профиль «сладкий, сливочный, ореховый и карамельный».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74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4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I274" s="28" t="str">
        <x:v>пюре, суп, запекание, крем, гарнир, соус или десертная разработка с козий сыр</x:v>
      </x:c>
      <x:c r="J274" s="28" t="str">
        <x:v>Средняя</x:v>
      </x:c>
      <x:c r="K274" s="28" t="str">
        <x:v>Тезариус вкусов (Ники Сегнит)(1).pdf</x:v>
      </x:c>
      <x:c r="L274" s="28" t="str">
        <x:v>Тезариус вкусов (Ники Сегнит)(1).pdf: 143, 610</x:v>
      </x:c>
    </x:row>
    <x:row r="275" ht="66" customHeight="1">
      <x:c r="A275" s="28" t="str">
        <x:v>VEG-0949</x:v>
      </x:c>
      <x:c r="B275" s="28" t="str">
        <x:v>тыква баттернат</x:v>
      </x:c>
      <x:c r="C275" s="28" t="str">
        <x:v>козий сыр и молоко</x:v>
      </x:c>
      <x:c r="D275" s="28" t="str">
        <x:v>Молочные продукты и сыры</x:v>
      </x:c>
      <x:c r="E275" s="28" t="str">
        <x:v>жировая матрица</x:v>
      </x:c>
      <x:c r="F275" s="28" t="str">
        <x:v>Тыква баттернат имеет профиль «сладкий, сливочный, ореховый и карамельный». Партнёр «козий сыр и молоко»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75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5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I275" s="28" t="str">
        <x:v>пюре, суп, запекание, крем, гарнир, соус или десертная разработка с козий сыр и молоко</x:v>
      </x:c>
      <x:c r="J275" s="28" t="str">
        <x:v>Средняя</x:v>
      </x:c>
      <x:c r="K275" s="28" t="str">
        <x:v>The Art &amp; Science of Foodpairing.pdf</x:v>
      </x:c>
      <x:c r="L275" s="28" t="str">
        <x:v>The Art &amp; Science of Foodpairing.pdf: 200</x:v>
      </x:c>
    </x:row>
    <x:row r="276" ht="66" customHeight="1">
      <x:c r="A276" s="28" t="str">
        <x:v>VEG-0950</x:v>
      </x:c>
      <x:c r="B276" s="28" t="str">
        <x:v>тыква баттернат</x:v>
      </x:c>
      <x:c r="C276" s="28" t="str">
        <x:v>кокос</x:v>
      </x:c>
      <x:c r="D276" s="28" t="str">
        <x:v>Прочее</x:v>
      </x:c>
      <x:c r="E276" s="28" t="str">
        <x:v>общие характерные молекулы; пересечение ароматических семейств</x:v>
      </x:c>
      <x:c r="F276" s="28" t="str">
        <x:v>Тыква баттернат имеет профиль «сладкий, сливочный, ореховый и карамельный». Партнёр «кокос» относится к группе «Прочее» и даёт лактонный, сливочный. Вероятный молекулярный мост: лактоны.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76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6" s="28" t="str">
        <x:v>может стать приторной и тяжёлой без кислоты или специй; не использовать недозрелый плод</x:v>
      </x:c>
      <x:c r="I276" s="28" t="str">
        <x:v>пюре, суп, запекание, крем, гарнир, соус или десертная разработка с кокос</x:v>
      </x:c>
      <x:c r="J276" s="28" t="str">
        <x:v>Средняя</x:v>
      </x:c>
      <x:c r="K276" s="28" t="str">
        <x:v>The Art &amp; Science of Foodpairing.pdf</x:v>
      </x:c>
      <x:c r="L276" s="28" t="str">
        <x:v>The Art &amp; Science of Foodpairing.pdf: 135</x:v>
      </x:c>
    </x:row>
    <x:row r="277" ht="66" customHeight="1">
      <x:c r="A277" s="28" t="str">
        <x:v>VEG-0951</x:v>
      </x:c>
      <x:c r="B277" s="28" t="str">
        <x:v>тыква баттернат</x:v>
      </x:c>
      <x:c r="C277" s="28" t="str">
        <x:v>корица</x:v>
      </x:c>
      <x:c r="D277" s="28" t="str">
        <x:v>Специи</x:v>
      </x:c>
      <x:c r="E277" s="28" t="str">
        <x:v>пересечение ароматических семейств</x:v>
      </x:c>
      <x:c r="F277" s="28" t="str">
        <x:v>Тыква баттернат имеет профиль «сладкий, сливочный, ореховый и карамельный».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77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7" s="28" t="str">
        <x:v>может стать приторной и тяжёлой без кислоты или специй; не использовать недозрелый плод</x:v>
      </x:c>
      <x:c r="I277" s="28" t="str">
        <x:v>пюре, суп, запекание, крем, гарнир, соус или десертная разработка с корица</x:v>
      </x:c>
      <x:c r="J277" s="28" t="str">
        <x:v>Средняя</x:v>
      </x:c>
      <x:c r="K277" s="28" t="str">
        <x:v>Тезариус вкусов (Ники Сегнит)(1).pdf</x:v>
      </x:c>
      <x:c r="L277" s="28" t="str">
        <x:v>Тезариус вкусов (Ники Сегнит)(1).pdf: 580, 611</x:v>
      </x:c>
    </x:row>
    <x:row r="278" ht="66" customHeight="1">
      <x:c r="A278" s="28" t="str">
        <x:v>VEG-0952</x:v>
      </x:c>
      <x:c r="B278" s="28" t="str">
        <x:v>тыква баттернат</x:v>
      </x:c>
      <x:c r="C278" s="28" t="str">
        <x:v>корица и кассия</x:v>
      </x:c>
      <x:c r="D278" s="28" t="str">
        <x:v>Специи</x:v>
      </x:c>
      <x:c r="E278" s="28" t="str">
        <x:v>пересечение ароматических семейств</x:v>
      </x:c>
      <x:c r="F278" s="28" t="str">
        <x:v>Тыква баттернат имеет профиль «сладкий, сливочный, ореховый и карамельный».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78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8" s="28" t="str">
        <x:v>может стать приторной и тяжёлой без кислоты или специй; не использовать недозрелый плод</x:v>
      </x:c>
      <x:c r="I278" s="28" t="str">
        <x:v>пюре, суп, запекание, крем, гарнир, соус или десертная разработка с корица и кассия</x:v>
      </x:c>
      <x:c r="J278" s="28" t="str">
        <x:v>Средняя</x:v>
      </x:c>
      <x:c r="K278" s="28" t="str">
        <x:v>The Art &amp; Science of Foodpairing.pdf</x:v>
      </x:c>
      <x:c r="L278" s="28" t="str">
        <x:v>The Art &amp; Science of Foodpairing.pdf: 130</x:v>
      </x:c>
    </x:row>
    <x:row r="279" ht="66" customHeight="1">
      <x:c r="A279" s="28" t="str">
        <x:v>VEG-0953</x:v>
      </x:c>
      <x:c r="B279" s="28" t="str">
        <x:v>тыква баттернат</x:v>
      </x:c>
      <x:c r="C279" s="28" t="str">
        <x:v>кунжут, халва и тахини</x:v>
      </x:c>
      <x:c r="D279" s="28" t="str">
        <x:v>Орехи и семена</x:v>
      </x:c>
      <x:c r="E279" s="28" t="str">
        <x:v>общие характерные молекулы; пересечение ароматических семейств</x:v>
      </x:c>
      <x:c r="F279" s="28" t="str">
        <x:v>Тыква баттернат имеет профиль «сладкий, сливочный, ореховый и карамельный». Партнёр «кунжут, халва и тахини»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79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79" s="28" t="str">
        <x:v>может стать приторной и тяжёлой без кислоты или специй; не использовать недозрелый плод</x:v>
      </x:c>
      <x:c r="I279" s="28" t="str">
        <x:v>пюре, суп, запекание, крем, гарнир, соус или десертная разработка с кунжут, халва и тахини</x:v>
      </x:c>
      <x:c r="J279" s="28" t="str">
        <x:v>Средняя</x:v>
      </x:c>
      <x:c r="K279" s="28" t="str">
        <x:v>The Art &amp; Science of Foodpairing.pdf</x:v>
      </x:c>
      <x:c r="L279" s="28" t="str">
        <x:v>The Art &amp; Science of Foodpairing.pdf: 308</x:v>
      </x:c>
    </x:row>
    <x:row r="280" ht="66" customHeight="1">
      <x:c r="A280" s="28" t="str">
        <x:v>VEG-0954</x:v>
      </x:c>
      <x:c r="B280" s="28" t="str">
        <x:v>тыква баттернат</x:v>
      </x:c>
      <x:c r="C280" s="28" t="str">
        <x:v>лайм</x:v>
      </x:c>
      <x:c r="D280" s="28" t="str">
        <x:v>Фрукты и ягоды</x:v>
      </x:c>
      <x:c r="E280" s="28" t="str">
        <x:v>кислотно-сладкий баланс</x:v>
      </x:c>
      <x:c r="F280" s="28" t="str">
        <x:v>Тыква баттернат имеет профиль «сладкий, сливочный, ореховый и карамельный». Партнёр «лайм» относится к группе «Фрукты и ягоды» и даёт зелёный, кислый,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80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0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I280" s="28" t="str">
        <x:v>пюре, суп, запекание, крем, гарнир, соус или десертная разработка с лайм</x:v>
      </x:c>
      <x:c r="J280" s="28" t="str">
        <x:v>Средняя</x:v>
      </x:c>
      <x:c r="K280" s="28" t="str">
        <x:v>Тезариус вкусов (Ники Сегнит)(1).pdf</x:v>
      </x:c>
      <x:c r="L280" s="28" t="str">
        <x:v>Тезариус вкусов (Ники Сегнит)(1).pdf: 611, 797</x:v>
      </x:c>
    </x:row>
    <x:row r="281" ht="66" customHeight="1">
      <x:c r="A281" s="28" t="str">
        <x:v>VEG-0955</x:v>
      </x:c>
      <x:c r="B281" s="28" t="str">
        <x:v>тыква баттернат</x:v>
      </x:c>
      <x:c r="C281" s="28" t="str">
        <x:v>миндаль</x:v>
      </x:c>
      <x:c r="D281" s="28" t="str">
        <x:v>Орехи и семена</x:v>
      </x:c>
      <x:c r="E281" s="28" t="str">
        <x:v>пересечение ароматических семейств</x:v>
      </x:c>
      <x:c r="F281" s="28" t="str">
        <x:v>Тыква баттернат имеет профиль «сладкий, сливочный, ореховый и карамельный». Партнёр «миндаль» относится к группе «Орехи и семена» и даёт жареный, миндальный,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81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1" s="28" t="str">
        <x:v>может стать приторной и тяжёлой без кислоты или специй; не использовать недозрелый плод</x:v>
      </x:c>
      <x:c r="I281" s="28" t="str">
        <x:v>пюре, суп, запекание, крем, гарнир, соус или десертная разработка с миндаль</x:v>
      </x:c>
      <x:c r="J281" s="28" t="str">
        <x:v>Средняя</x:v>
      </x:c>
      <x:c r="K281" s="28" t="str">
        <x:v>Тезариус вкусов (Ники Сегнит)(1).pdf</x:v>
      </x:c>
      <x:c r="L281" s="28" t="str">
        <x:v>Тезариус вкусов (Ники Сегнит)(1).pdf: 611, 648</x:v>
      </x:c>
    </x:row>
    <x:row r="282" ht="66" customHeight="1">
      <x:c r="A282" s="28" t="str">
        <x:v>VEG-0956</x:v>
      </x:c>
      <x:c r="B282" s="28" t="str">
        <x:v>тыква баттернат</x:v>
      </x:c>
      <x:c r="C282" s="28" t="str">
        <x:v>моллюски</x:v>
      </x:c>
      <x:c r="D282" s="28" t="str">
        <x:v>Рыба и морепродукты</x:v>
      </x:c>
      <x:c r="E282" s="28" t="str">
        <x:v>умами и солёный контраст</x:v>
      </x:c>
      <x:c r="F282" s="28" t="str">
        <x:v>Тыква баттернат имеет профиль «сладкий, сливочный, ореховый и карамельный».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82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2" s="28" t="str">
        <x:v>может стать приторной и тяжёлой без кислоты или специй; не использовать недозрелый плод</x:v>
      </x:c>
      <x:c r="I282" s="28" t="str">
        <x:v>пюре, суп, запекание, крем, гарнир, соус или десертная разработка с моллюски</x:v>
      </x:c>
      <x:c r="J282" s="28" t="str">
        <x:v>Средняя</x:v>
      </x:c>
      <x:c r="K282" s="28" t="str">
        <x:v>Тезариус вкусов (Ники Сегнит)(1).pdf</x:v>
      </x:c>
      <x:c r="L282" s="28" t="str">
        <x:v>Тезариус вкусов (Ники Сегнит)(1).pdf: 377, 612</x:v>
      </x:c>
    </x:row>
    <x:row r="283" ht="66" customHeight="1">
      <x:c r="A283" s="28" t="str">
        <x:v>VEG-0957</x:v>
      </x:c>
      <x:c r="B283" s="28" t="str">
        <x:v>тыква баттернат</x:v>
      </x:c>
      <x:c r="C283" s="28" t="str">
        <x:v>мускатный орех</x:v>
      </x:c>
      <x:c r="D283" s="28" t="str">
        <x:v>Рыба и морепродукты</x:v>
      </x:c>
      <x:c r="E283" s="28" t="str">
        <x:v>пересечение ароматических семейств; умами и солёный контраст</x:v>
      </x:c>
      <x:c r="F283" s="28" t="str">
        <x:v>Тыква баттернат имеет профиль «сладкий, сливочный, ореховый и карамельный».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83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3" s="28" t="str">
        <x:v>может стать приторной и тяжёлой без кислоты или специй; не использовать недозрелый плод</x:v>
      </x:c>
      <x:c r="I283" s="28" t="str">
        <x:v>пюре, суп, запекание, крем, гарнир, соус или десертная разработка с мускатный орех</x:v>
      </x:c>
      <x:c r="J283" s="28" t="str">
        <x:v>Средняя</x:v>
      </x:c>
      <x:c r="K283" s="28" t="str">
        <x:v>Тезариус вкусов (Ники Сегнит)(1).pdf</x:v>
      </x:c>
      <x:c r="L283" s="28" t="str">
        <x:v>Тезариус вкусов (Ники Сегнит)(1).pdf: 591, 612</x:v>
      </x:c>
    </x:row>
    <x:row r="284" ht="66" customHeight="1">
      <x:c r="A284" s="28" t="str">
        <x:v>VEG-0958</x:v>
      </x:c>
      <x:c r="B284" s="28" t="str">
        <x:v>тыква баттернат</x:v>
      </x:c>
      <x:c r="C284" s="28" t="str">
        <x:v>розмарин</x:v>
      </x:c>
      <x:c r="D284" s="28" t="str">
        <x:v>Травы, цветы и листья</x:v>
      </x:c>
      <x:c r="E284" s="28" t="str">
        <x:v>сенсорная комплементарность</x:v>
      </x:c>
      <x:c r="F284" s="28" t="str">
        <x:v>Тыква баттернат имеет профиль «сладкий, сливочный, ореховый и карамельный».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84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4" s="28" t="str">
        <x:v>может стать приторной и тяжёлой без кислоты или специй; не использовать недозрелый плод; длительный нагрев уносит свежие терпены и зелёные альдегиды</x:v>
      </x:c>
      <x:c r="I284" s="28" t="str">
        <x:v>пюре, суп, запекание, крем, гарнир, соус или десертная разработка с розмарин</x:v>
      </x:c>
      <x:c r="J284" s="28" t="str">
        <x:v>Средняя</x:v>
      </x:c>
      <x:c r="K284" s="28" t="str">
        <x:v>Тезариус вкусов (Ники Сегнит)(1).pdf</x:v>
      </x:c>
      <x:c r="L284" s="28" t="str">
        <x:v>Тезариус вкусов (Ники Сегнит)(1).pdf: 491, 612, 840</x:v>
      </x:c>
    </x:row>
    <x:row r="285" ht="66" customHeight="1">
      <x:c r="A285" s="28" t="str">
        <x:v>VEG-0959</x:v>
      </x:c>
      <x:c r="B285" s="28" t="str">
        <x:v>тыква баттернат</x:v>
      </x:c>
      <x:c r="C285" s="28" t="str">
        <x:v>свинина</x:v>
      </x:c>
      <x:c r="D285" s="28" t="str">
        <x:v>Мясо и птица</x:v>
      </x:c>
      <x:c r="E285" s="28" t="str">
        <x:v>умами и солёный контраст</x:v>
      </x:c>
      <x:c r="F285" s="28" t="str">
        <x:v>Тыква баттернат имеет профиль «сладкий, сливочный, ореховый и карамельный».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85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5" s="28" t="str">
        <x:v>может стать приторной и тяжёлой без кислоты или специй; не использовать недозрелый плод</x:v>
      </x:c>
      <x:c r="I285" s="28" t="str">
        <x:v>пюре, суп, запекание, крем, гарнир, соус или десертная разработка с свинина</x:v>
      </x:c>
      <x:c r="J285" s="28" t="str">
        <x:v>Средняя</x:v>
      </x:c>
      <x:c r="K285" s="28" t="str">
        <x:v>Тезариус вкусов (Ники Сегнит)(1).pdf</x:v>
      </x:c>
      <x:c r="L285" s="28" t="str">
        <x:v>Тезариус вкусов (Ники Сегнит)(1).pdf: 88, 613</x:v>
      </x:c>
    </x:row>
    <x:row r="286" ht="66" customHeight="1">
      <x:c r="A286" s="28" t="str">
        <x:v>VEG-0960</x:v>
      </x:c>
      <x:c r="B286" s="28" t="str">
        <x:v>тыква баттернат</x:v>
      </x:c>
      <x:c r="C286" s="28" t="str">
        <x:v>см. также имбирь</x:v>
      </x:c>
      <x:c r="D286" s="28" t="str">
        <x:v>Специи</x:v>
      </x:c>
      <x:c r="E286" s="28" t="str">
        <x:v>сенсорная комплементарность</x:v>
      </x:c>
      <x:c r="F286" s="28" t="str">
        <x:v>Тыква баттернат имеет профиль «сладкий, сливочный, ореховый и карамельный». Партнёр «см. также 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86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6" s="28" t="str">
        <x:v>может стать приторной и тяжёлой без кислоты или специй; не использовать недозрелый плод</x:v>
      </x:c>
      <x:c r="I286" s="28" t="str">
        <x:v>пюре, суп, запекание, крем, гарнир, соус или десертная разработка с см. также имбирь</x:v>
      </x:c>
      <x:c r="J286" s="28" t="str">
        <x:v>Средняя</x:v>
      </x:c>
      <x:c r="K286" s="28" t="str">
        <x:v>Тезариус вкусов (Ники Сегнит)(1).pdf</x:v>
      </x:c>
      <x:c r="L286" s="28" t="str">
        <x:v>Тезариус вкусов (Ники Сегнит)(1).pdf: 580</x:v>
      </x:c>
    </x:row>
    <x:row r="287" ht="66" customHeight="1">
      <x:c r="A287" s="28" t="str">
        <x:v>VEG-0961</x:v>
      </x:c>
      <x:c r="B287" s="28" t="str">
        <x:v>тыква баттернат</x:v>
      </x:c>
      <x:c r="C287" s="28" t="str">
        <x:v>трюфель</x:v>
      </x:c>
      <x:c r="D287" s="28" t="str">
        <x:v>Грибы</x:v>
      </x:c>
      <x:c r="E287" s="28" t="str">
        <x:v>умами и солёный контраст</x:v>
      </x:c>
      <x:c r="F287" s="28" t="str">
        <x:v>Тыква баттернат имеет профиль «сладкий, сливочный, ореховый и карамельный».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87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7" s="28" t="str">
        <x:v>может стать приторной и тяжёлой без кислоты или специй; не использовать недозрелый плод</x:v>
      </x:c>
      <x:c r="I287" s="28" t="str">
        <x:v>пюре, суп, запекание, крем, гарнир, соус или десертная разработка с трюфель</x:v>
      </x:c>
      <x:c r="J287" s="28" t="str">
        <x:v>Средняя</x:v>
      </x:c>
      <x:c r="K287" s="28" t="str">
        <x:v>The Art &amp; Science of Foodpairing.pdf</x:v>
      </x:c>
      <x:c r="L287" s="28" t="str">
        <x:v>The Art &amp; Science of Foodpairing.pdf: 192</x:v>
      </x:c>
    </x:row>
    <x:row r="288" ht="66" customHeight="1">
      <x:c r="A288" s="28" t="str">
        <x:v>VEG-0962</x:v>
      </x:c>
      <x:c r="B288" s="28" t="str">
        <x:v>тыква баттернат</x:v>
      </x:c>
      <x:c r="C288" s="28" t="str">
        <x:v>фундук</x:v>
      </x:c>
      <x:c r="D288" s="28" t="str">
        <x:v>Орехи и семена</x:v>
      </x:c>
      <x:c r="E288" s="28" t="str">
        <x:v>пересечение ароматических семейств</x:v>
      </x:c>
      <x:c r="F288" s="28" t="str">
        <x:v>Тыква баттернат имеет профиль «сладкий, сливочный, ореховый и карамельный».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88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8" s="28" t="str">
        <x:v>может стать приторной и тяжёлой без кислоты или специй; не использовать недозрелый плод</x:v>
      </x:c>
      <x:c r="I288" s="28" t="str">
        <x:v>пюре, суп, запекание, крем, гарнир, соус или десертная разработка с фундук</x:v>
      </x:c>
      <x:c r="J288" s="28" t="str">
        <x:v>Средняя</x:v>
      </x:c>
      <x:c r="K288" s="28" t="str">
        <x:v>The Art &amp; Science of Foodpairing.pdf</x:v>
      </x:c>
      <x:c r="L288" s="28" t="str">
        <x:v>The Art &amp; Science of Foodpairing.pdf: 332</x:v>
      </x:c>
    </x:row>
    <x:row r="289" ht="66" customHeight="1">
      <x:c r="A289" s="28" t="str">
        <x:v>VEG-0963</x:v>
      </x:c>
      <x:c r="B289" s="28" t="str">
        <x:v>тыква баттернат</x:v>
      </x:c>
      <x:c r="C289" s="28" t="str">
        <x:v>хамон иберико</x:v>
      </x:c>
      <x:c r="D289" s="28" t="str">
        <x:v>Мясо и птица</x:v>
      </x:c>
      <x:c r="E289" s="28" t="str">
        <x:v>умами и солёный контраст</x:v>
      </x:c>
      <x:c r="F289" s="28" t="str">
        <x:v>Тыква баттернат имеет профиль «сладкий, сливочный, ореховый и карамельный».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89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89" s="28" t="str">
        <x:v>может стать приторной и тяжёлой без кислоты или специй; не использовать недозрелый плод</x:v>
      </x:c>
      <x:c r="I289" s="28" t="str">
        <x:v>пюре, суп, запекание, крем, гарнир, соус или десертная разработка с хамон иберико</x:v>
      </x:c>
      <x:c r="J289" s="28" t="str">
        <x:v>Средняя</x:v>
      </x:c>
      <x:c r="K289" s="28" t="str">
        <x:v>The Art &amp; Science of Foodpairing.pdf</x:v>
      </x:c>
      <x:c r="L289" s="28" t="str">
        <x:v>The Art &amp; Science of Foodpairing.pdf: 278</x:v>
      </x:c>
    </x:row>
    <x:row r="290" ht="66" customHeight="1">
      <x:c r="A290" s="28" t="str">
        <x:v>VEG-0964</x:v>
      </x:c>
      <x:c r="B290" s="28" t="str">
        <x:v>тыква баттернат</x:v>
      </x:c>
      <x:c r="C290" s="28" t="str">
        <x:v>чили</x:v>
      </x:c>
      <x:c r="D290" s="28" t="str">
        <x:v>Специи</x:v>
      </x:c>
      <x:c r="E290" s="28" t="str">
        <x:v>сенсорная комплементарность</x:v>
      </x:c>
      <x:c r="F290" s="28" t="str">
        <x:v>Тыква баттернат имеет профиль «сладкий, сливочный, ореховый и карамельный».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290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90" s="28" t="str">
        <x:v>может стать приторной и тяжёлой без кислоты или специй; не использовать недозрелый плод</x:v>
      </x:c>
      <x:c r="I290" s="28" t="str">
        <x:v>пюре, суп, запекание, крем, гарнир, соус или десертная разработка с чили</x:v>
      </x:c>
      <x:c r="J290" s="28" t="str">
        <x:v>Средняя</x:v>
      </x:c>
      <x:c r="K290" s="28" t="str">
        <x:v>Тезариус вкусов (Ники Сегнит)(1).pdf</x:v>
      </x:c>
      <x:c r="L290" s="28" t="str">
        <x:v>Тезариус вкусов (Ники Сегнит)(1).pdf: 560, 614</x:v>
      </x:c>
    </x:row>
    <x:row r="291" ht="66" customHeight="1">
      <x:c r="A291" s="28" t="str">
        <x:v>VEG-0965</x:v>
      </x:c>
      <x:c r="B291" s="28" t="str">
        <x:v>тыква баттернат</x:v>
      </x:c>
      <x:c r="C291" s="28" t="str">
        <x:v>шалфей</x:v>
      </x:c>
      <x:c r="D291" s="28" t="str">
        <x:v>Травы, цветы и листья</x:v>
      </x:c>
      <x:c r="E291" s="28" t="str">
        <x:v>сенсорная комплементарность</x:v>
      </x:c>
      <x:c r="F291" s="28" t="str">
        <x:v>Тыква баттернат имеет профиль «сладкий, сливочный, ореховый и карамельный».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91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91" s="28" t="str">
        <x:v>может стать приторной и тяжёлой без кислоты или специй; не использовать недозрелый плод; длительный нагрев уносит свежие терпены и зелёные альдегиды</x:v>
      </x:c>
      <x:c r="I291" s="28" t="str">
        <x:v>пюре, суп, запекание, крем, гарнир, соус или десертная разработка с шалфей</x:v>
      </x:c>
      <x:c r="J291" s="28" t="str">
        <x:v>Средняя</x:v>
      </x:c>
      <x:c r="K291" s="28" t="str">
        <x:v>Тезариус вкусов (Ники Сегнит)(1).pdf</x:v>
      </x:c>
      <x:c r="L291" s="28" t="str">
        <x:v>Тезариус вкусов (Ники Сегнит)(1).pdf: 614, 846</x:v>
      </x:c>
    </x:row>
    <x:row r="292" ht="66" customHeight="1">
      <x:c r="A292" s="28" t="str">
        <x:v>VEG-0966</x:v>
      </x:c>
      <x:c r="B292" s="28" t="str">
        <x:v>тыква баттернат</x:v>
      </x:c>
      <x:c r="C292" s="28" t="str">
        <x:v>яблоко</x:v>
      </x:c>
      <x:c r="D292" s="28" t="str">
        <x:v>Фрукты и ягоды</x:v>
      </x:c>
      <x:c r="E292" s="28" t="str">
        <x:v>кислотно-сладкий баланс</x:v>
      </x:c>
      <x:c r="F292" s="28" t="str">
        <x:v>Тыква баттернат имеет профиль «сладкий, сливочный, ореховый и карамельный».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92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92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I292" s="28" t="str">
        <x:v>пюре, суп, запекание, крем, гарнир, соус или десертная разработка с яблоко</x:v>
      </x:c>
      <x:c r="J292" s="28" t="str">
        <x:v>Средняя</x:v>
      </x:c>
      <x:c r="K292" s="28" t="str">
        <x:v>Тезариус вкусов (Ники Сегнит)(1).pdf</x:v>
      </x:c>
      <x:c r="L292" s="28" t="str">
        <x:v>Тезариус вкусов (Ники Сегнит)(1).pdf: 614, 717</x:v>
      </x:c>
    </x:row>
  </x:sheetData>
  <x:conditionalFormatting sqref="J2:J292">
    <x:cfRule type="expression" dxfId="6" priority="1">
      <x:formula>J2="Высокая"</x:formula>
    </x:cfRule>
    <x:cfRule type="expression" dxfId="7" priority="2">
      <x:formula>J2="Средняя"</x:formula>
    </x:cfRule>
    <x:cfRule type="expression" dxfId="8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520829492946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VEG-0171</x:v>
      </x:c>
      <x:c r="B2" s="28" t="str">
        <x:v>брокколи</x:v>
      </x:c>
      <x:c r="C2" s="28" t="str">
        <x:v>анчоусы</x:v>
      </x:c>
      <x:c r="D2" s="28" t="str">
        <x:v>Рыба и морепродукты</x:v>
      </x:c>
      <x:c r="E2" s="28" t="str">
        <x:v>умами и солёный контраст; сернистая или горчичная комплементарность</x:v>
      </x:c>
      <x:c r="F2" s="28" t="str">
        <x:v>Брокколи имеет профиль «зелёный, капустный, сернистый и ореховый после жарки».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2" s="28" t="str">
        <x:v>переваривание даёт сернистый запах и тусклый цвет; толстые стебли требуют отдельной обработки</x:v>
      </x:c>
      <x:c r="I2" s="28" t="str">
        <x:v>горячее блюдо, бульон, соус, пюре, ферментация или гарнир с анчоусы</x:v>
      </x:c>
      <x:c r="J2" s="28" t="str">
        <x:v>Средняя</x:v>
      </x:c>
      <x:c r="K2" s="28" t="str">
        <x:v>Тезариус вкусов (Ники Сегнит)(1).pdf</x:v>
      </x:c>
      <x:c r="L2" s="28" t="str">
        <x:v>Тезариус вкусов (Ники Сегнит)(1).pdf: 329, 424</x:v>
      </x:c>
    </x:row>
    <x:row r="3" ht="66" customHeight="1">
      <x:c r="A3" s="28" t="str">
        <x:v>VEG-0172</x:v>
      </x:c>
      <x:c r="B3" s="28" t="str">
        <x:v>брокколи</x:v>
      </x:c>
      <x:c r="C3" s="28" t="str">
        <x:v>арахис</x:v>
      </x:c>
      <x:c r="D3" s="28" t="str">
        <x:v>Орехи и семена</x:v>
      </x:c>
      <x:c r="E3" s="28" t="str">
        <x:v>общие характерные молекулы; пересечение ароматических семейств; сернистая или горчичная комплементарность</x:v>
      </x:c>
      <x:c r="F3" s="28" t="str">
        <x:v>Брокколи имеет профиль «зелёный, капустный, сернистый и ореховый после жарки». Партнёр «арахис»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3" s="28" t="str">
        <x:v>переваривание даёт сернистый запах и тусклый цвет; толстые стебли требуют отдельной обработки</x:v>
      </x:c>
      <x:c r="I3" s="28" t="str">
        <x:v>горячее блюдо, бульон, соус, пюре, ферментация или гарнир с арахис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51, 329</x:v>
      </x:c>
    </x:row>
    <x:row r="4" ht="66" customHeight="1">
      <x:c r="A4" s="28" t="str">
        <x:v>VEG-0173</x:v>
      </x:c>
      <x:c r="B4" s="28" t="str">
        <x:v>брокколи</x:v>
      </x:c>
      <x:c r="C4" s="28" t="str">
        <x:v>бекон</x:v>
      </x:c>
      <x:c r="D4" s="28" t="str">
        <x:v>Мясо и птица</x:v>
      </x:c>
      <x:c r="E4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4" s="28" t="str">
        <x:v>Брокколи имеет профиль «зелёный, капустный, сернистый и ореховый после жарки».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4" s="28" t="str">
        <x:v>переваривание даёт сернистый запах и тусклый цвет; толстые стебли требуют отдельной обработки</x:v>
      </x:c>
      <x:c r="I4" s="28" t="str">
        <x:v>горячее блюдо, бульон, соус, пюре, ферментация или гарнир с бекон</x:v>
      </x:c>
      <x:c r="J4" s="28" t="str">
        <x:v>Средняя</x:v>
      </x:c>
      <x:c r="K4" s="28" t="str">
        <x:v>Тезариус вкусов (Ники Сегнит)(1).pdf</x:v>
      </x:c>
      <x:c r="L4" s="28" t="str">
        <x:v>Тезариус вкусов (Ники Сегнит)(1).pdf: 329, 442</x:v>
      </x:c>
    </x:row>
    <x:row r="5" ht="66" customHeight="1">
      <x:c r="A5" s="28" t="str">
        <x:v>VEG-0174</x:v>
      </x:c>
      <x:c r="B5" s="28" t="str">
        <x:v>брокколи</x:v>
      </x:c>
      <x:c r="C5" s="28" t="str">
        <x:v>говядина</x:v>
      </x:c>
      <x:c r="D5" s="28" t="str">
        <x:v>Мясо и птица</x:v>
      </x:c>
      <x:c r="E5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5" s="28" t="str">
        <x:v>Брокколи имеет профиль «зелёный, капустный, сернистый и ореховый после жарки».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5" s="28" t="str">
        <x:v>переваривание даёт сернистый запах и тусклый цвет; толстые стебли требуют отдельной обработки</x:v>
      </x:c>
      <x:c r="I5" s="28" t="str">
        <x:v>горячее блюдо, бульон, соус, пюре, ферментация или гарнир с говядина</x:v>
      </x:c>
      <x:c r="J5" s="28" t="str">
        <x:v>Средняя</x:v>
      </x:c>
      <x:c r="K5" s="28" t="str">
        <x:v>Тезариус вкусов (Ники Сегнит)(1).pdf</x:v>
      </x:c>
      <x:c r="L5" s="28" t="str">
        <x:v>Тезариус вкусов (Ники Сегнит)(1).pdf: 106, 330</x:v>
      </x:c>
    </x:row>
    <x:row r="6" ht="66" customHeight="1">
      <x:c r="A6" s="28" t="str">
        <x:v>VEG-0175</x:v>
      </x:c>
      <x:c r="B6" s="28" t="str">
        <x:v>брокколи</x:v>
      </x:c>
      <x:c r="C6" s="28" t="str">
        <x:v>голубой сыр</x:v>
      </x:c>
      <x:c r="D6" s="28" t="str">
        <x:v>Молочные продукты и сыры</x:v>
      </x:c>
      <x:c r="E6" s="28" t="str">
        <x:v>жировая матрица; сернистая или горчичная комплементарность</x:v>
      </x:c>
      <x:c r="F6" s="28" t="str">
        <x:v>Брокколи имеет профиль «зелёный, капустный, сернистый и ореховый после жарки».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6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I6" s="28" t="str">
        <x:v>горячее блюдо, бульон, соус, пюре, ферментация или гарнир с голубой сыр</x:v>
      </x:c>
      <x:c r="J6" s="28" t="str">
        <x:v>Средняя</x:v>
      </x:c>
      <x:c r="K6" s="28" t="str">
        <x:v>Тезариус вкусов (Ники Сегнит)(1).pdf</x:v>
      </x:c>
      <x:c r="L6" s="28" t="str">
        <x:v>Тезариус вкусов (Ники Сегнит)(1).pdf: 155, 331</x:v>
      </x:c>
    </x:row>
    <x:row r="7" ht="66" customHeight="1">
      <x:c r="A7" s="28" t="str">
        <x:v>VEG-0176</x:v>
      </x:c>
      <x:c r="B7" s="28" t="str">
        <x:v>брокколи</x:v>
      </x:c>
      <x:c r="C7" s="28" t="str">
        <x:v>грецкий орех</x:v>
      </x:c>
      <x:c r="D7" s="28" t="str">
        <x:v>Орехи и семена</x:v>
      </x:c>
      <x:c r="E7" s="28" t="str">
        <x:v>общие характерные молекулы; сернистая или горчичная комплементарность</x:v>
      </x:c>
      <x:c r="F7" s="28" t="str">
        <x:v>Брокколи имеет профиль «зелёный, капустный, сернистый и ореховый после жарки».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7" s="28" t="str">
        <x:v>переваривание даёт сернистый запах и тусклый цвет; толстые стебли требуют отдельной обработки</x:v>
      </x:c>
      <x:c r="I7" s="28" t="str">
        <x:v>горячее блюдо, бульон, соус, пюре, ферментация или гарнир с грецкий орех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331, 624</x:v>
      </x:c>
    </x:row>
    <x:row r="8" ht="66" customHeight="1">
      <x:c r="A8" s="28" t="str">
        <x:v>VEG-0177</x:v>
      </x:c>
      <x:c r="B8" s="28" t="str">
        <x:v>брокколи</x:v>
      </x:c>
      <x:c r="C8" s="28" t="str">
        <x:v>джин</x:v>
      </x:c>
      <x:c r="D8" s="28" t="str">
        <x:v>Алкогольные напитки</x:v>
      </x:c>
      <x:c r="E8" s="28" t="str">
        <x:v>сернистая или горчичная комплементарность</x:v>
      </x:c>
      <x:c r="F8" s="28" t="str">
        <x:v>Брокколи имеет профиль «зелёный, капустный, сернистый и ореховый после жарки».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8" s="28" t="str">
        <x:v>переваривание даёт сернистый запах и тусклый цвет; толстые стебли требуют отдельной обработки</x:v>
      </x:c>
      <x:c r="I8" s="28" t="str">
        <x:v>горячее блюдо, бульон, соус, пюре, ферментация или гарнир с джин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215</x:v>
      </x:c>
    </x:row>
    <x:row r="9" ht="66" customHeight="1">
      <x:c r="A9" s="28" t="str">
        <x:v>VEG-0178</x:v>
      </x:c>
      <x:c r="B9" s="28" t="str">
        <x:v>брокколи</x:v>
      </x:c>
      <x:c r="C9" s="28" t="str">
        <x:v>имбирь</x:v>
      </x:c>
      <x:c r="D9" s="28" t="str">
        <x:v>Специи</x:v>
      </x:c>
      <x:c r="E9" s="28" t="str">
        <x:v>сернистая или горчичная комплементарность</x:v>
      </x:c>
      <x:c r="F9" s="28" t="str">
        <x:v>Брокколи имеет профиль «зелёный, капустный, сернистый и ореховый после жарки».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9" s="28" t="str">
        <x:v>переваривание даёт сернистый запах и тусклый цвет; толстые стебли требуют отдельной обработки</x:v>
      </x:c>
      <x:c r="I9" s="28" t="str">
        <x:v>горячее блюдо, бульон, соус, пюре, ферментация или гарнир с имбирь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142</x:v>
      </x:c>
    </x:row>
    <x:row r="10" ht="66" customHeight="1">
      <x:c r="A10" s="28" t="str">
        <x:v>VEG-0179</x:v>
      </x:c>
      <x:c r="B10" s="28" t="str">
        <x:v>брокколи</x:v>
      </x:c>
      <x:c r="C10" s="28" t="str">
        <x:v>кунжут, халва и тахини</x:v>
      </x:c>
      <x:c r="D10" s="28" t="str">
        <x:v>Орехи и семена</x:v>
      </x:c>
      <x:c r="E10" s="28" t="str">
        <x:v>общие характерные молекулы; пересечение ароматических семейств; сернистая или горчичная комплементарность</x:v>
      </x:c>
      <x:c r="F10" s="28" t="str">
        <x:v>Брокколи имеет профиль «зелёный, капустный, сернистый и ореховый после жарки». Партнёр «кунжут, халва и тахини»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" s="28" t="str">
        <x:v>переваривание даёт сернистый запах и тусклый цвет; толстые стебли требуют отдельной обработки</x:v>
      </x:c>
      <x:c r="I10" s="28" t="str">
        <x:v>горячее блюдо, бульон, соус, пюре, ферментация или гарнир с кунжут, халва и тахини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308</x:v>
      </x:c>
    </x:row>
    <x:row r="11" ht="66" customHeight="1">
      <x:c r="A11" s="28" t="str">
        <x:v>VEG-0180</x:v>
      </x:c>
      <x:c r="B11" s="28" t="str">
        <x:v>брокколи</x:v>
      </x:c>
      <x:c r="C11" s="28" t="str">
        <x:v>лимон</x:v>
      </x:c>
      <x:c r="D11" s="28" t="str">
        <x:v>Фрукты и ягоды</x:v>
      </x:c>
      <x:c r="E11" s="28" t="str">
        <x:v>кислотно-сладкий баланс; сернистая или горчичная комплементарность</x:v>
      </x:c>
      <x:c r="F11" s="28" t="str">
        <x:v>Брокколи имеет профиль «зелёный, капустный, сернистый и ореховый после жарки».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1" s="28" t="str">
        <x:v>переваривание даёт сернистый запах и тусклый цвет; толстые стебли требуют отдельной обработки; избыток кислоты или воды может сделать овощной вкус тонким и разрушить сливочную эмульсию</x:v>
      </x:c>
      <x:c r="I11" s="28" t="str">
        <x:v>горячее блюдо, бульон, соус, пюре, ферментация или гарнир с лимон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331, 801</x:v>
      </x:c>
    </x:row>
    <x:row r="12" ht="66" customHeight="1">
      <x:c r="A12" s="28" t="str">
        <x:v>VEG-0181</x:v>
      </x:c>
      <x:c r="B12" s="28" t="str">
        <x:v>брокколи</x:v>
      </x:c>
      <x:c r="C12" s="28" t="str">
        <x:v>пармезан</x:v>
      </x:c>
      <x:c r="D12" s="28" t="str">
        <x:v>Прочее</x:v>
      </x:c>
      <x:c r="E12" s="28" t="str">
        <x:v>сернистая или горчичная комплементарность</x:v>
      </x:c>
      <x:c r="F12" s="28" t="str">
        <x:v>Брокколи имеет профиль «зелёный, капустный, сернистый и ореховый после жарки».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2" s="28" t="str">
        <x:v>переваривание даёт сернистый запах и тусклый цвет; толстые стебли требуют отдельной обработки</x:v>
      </x:c>
      <x:c r="I12" s="28" t="str">
        <x:v>горячее блюдо, бульон, соус, пюре, ферментация или гарнир с пармезан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282</x:v>
      </x:c>
    </x:row>
    <x:row r="13" ht="66" customHeight="1">
      <x:c r="A13" s="28" t="str">
        <x:v>VEG-0182</x:v>
      </x:c>
      <x:c r="B13" s="28" t="str">
        <x:v>брокколи</x:v>
      </x:c>
      <x:c r="C13" s="28" t="str">
        <x:v>свинина</x:v>
      </x:c>
      <x:c r="D13" s="28" t="str">
        <x:v>Мясо и птица</x:v>
      </x:c>
      <x:c r="E13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13" s="28" t="str">
        <x:v>Брокколи имеет профиль «зелёный, капустный, сернистый и ореховый после жарки».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3" s="28" t="str">
        <x:v>переваривание даёт сернистый запах и тусклый цвет; толстые стебли требуют отдельной обработки</x:v>
      </x:c>
      <x:c r="I13" s="28" t="str">
        <x:v>горячее блюдо, бульон, соус, пюре, ферментация или гарнир с свинина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80, 332</x:v>
      </x:c>
    </x:row>
    <x:row r="14" ht="66" customHeight="1">
      <x:c r="A14" s="28" t="str">
        <x:v>VEG-0183</x:v>
      </x:c>
      <x:c r="B14" s="28" t="str">
        <x:v>брокколи</x:v>
      </x:c>
      <x:c r="C14" s="28" t="str">
        <x:v>твердый сыр</x:v>
      </x:c>
      <x:c r="D14" s="28" t="str">
        <x:v>Молочные продукты и сыры</x:v>
      </x:c>
      <x:c r="E14" s="28" t="str">
        <x:v>жировая матрица; сернистая или горчичная комплементарность</x:v>
      </x:c>
      <x:c r="F14" s="28" t="str">
        <x:v>Брокколи имеет профиль «зелёный, капустный, сернистый и ореховый после жарки».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4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I14" s="28" t="str">
        <x:v>горячее блюдо, бульон, соус, пюре, ферментация или гарнир с твердый сыр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168, 332</x:v>
      </x:c>
    </x:row>
    <x:row r="15" ht="66" customHeight="1">
      <x:c r="A15" s="28" t="str">
        <x:v>VEG-0184</x:v>
      </x:c>
      <x:c r="B15" s="28" t="str">
        <x:v>брокколи</x:v>
      </x:c>
      <x:c r="C15" s="28" t="str">
        <x:v>тёмный шоколад</x:v>
      </x:c>
      <x:c r="D15" s="28" t="str">
        <x:v>Какао и шоколад</x:v>
      </x:c>
      <x:c r="E15" s="28" t="str">
        <x:v>общие характерные молекулы; пересечение ароматических семейств; сернистая или горчичная комплементарность</x:v>
      </x:c>
      <x:c r="F15" s="28" t="str">
        <x:v>Брокколи имеет профиль «зелёный, капустный, сернистый и ореховый после жарки». Партнёр «тёмный 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5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5" s="28" t="str">
        <x:v>переваривание даёт сернистый запах и тусклый цвет; толстые стебли требуют отдельной обработки; жареная горечь легко маскирует нежный овощной аромат</x:v>
      </x:c>
      <x:c r="I15" s="28" t="str">
        <x:v>горячее блюдо, бульон, соус, пюре, ферментация или гарнир с тёмный шоколад</x:v>
      </x:c>
      <x:c r="J15" s="28" t="str">
        <x:v>Высокая</x:v>
      </x:c>
      <x:c r="K15" s="28" t="str">
        <x:v>The Art &amp; Science of Foodpairing.pdf</x:v>
      </x:c>
      <x:c r="L15" s="28" t="str">
        <x:v>The Art &amp; Science of Foodpairing.pdf: 60</x:v>
      </x:c>
    </x:row>
    <x:row r="16" ht="66" customHeight="1">
      <x:c r="A16" s="28" t="str">
        <x:v>VEG-0185</x:v>
      </x:c>
      <x:c r="B16" s="28" t="str">
        <x:v>брокколи</x:v>
      </x:c>
      <x:c r="C16" s="28" t="str">
        <x:v>чили</x:v>
      </x:c>
      <x:c r="D16" s="28" t="str">
        <x:v>Специи</x:v>
      </x:c>
      <x:c r="E16" s="28" t="str">
        <x:v>сернистая или горчичная комплементарность</x:v>
      </x:c>
      <x:c r="F16" s="28" t="str">
        <x:v>Брокколи имеет профиль «зелёный, капустный, сернистый и ореховый после жарки».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6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6" s="28" t="str">
        <x:v>переваривание даёт сернистый запах и тусклый цвет; толстые стебли требуют отдельной обработки</x:v>
      </x:c>
      <x:c r="I16" s="28" t="str">
        <x:v>горячее блюдо, бульон, соус, пюре, ферментация или гарнир с чили</x:v>
      </x:c>
      <x:c r="J16" s="28" t="str">
        <x:v>Средняя</x:v>
      </x:c>
      <x:c r="K16" s="28" t="str">
        <x:v>Тезариус вкусов (Ники Сегнит)(1).pdf</x:v>
      </x:c>
      <x:c r="L16" s="28" t="str">
        <x:v>Тезариус вкусов (Ники Сегнит)(1).pdf: 333, 554</x:v>
      </x:c>
    </x:row>
    <x:row r="17" ht="66" customHeight="1">
      <x:c r="A17" s="28" t="str">
        <x:v>VEG-0282</x:v>
      </x:c>
      <x:c r="B17" s="28" t="str">
        <x:v>капуста</x:v>
      </x:c>
      <x:c r="C17" s="28" t="str">
        <x:v>арбуз</x:v>
      </x:c>
      <x:c r="D17" s="28" t="str">
        <x:v>Прочее</x:v>
      </x:c>
      <x:c r="E17" s="28" t="str">
        <x:v>сернистая или горчичная комплементарность</x:v>
      </x:c>
      <x:c r="F17" s="28" t="str">
        <x:v>Капуста имеет профиль «зелёный, горчичный, сернистый и сладковатый после приготовления».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17" s="28" t="str">
        <x:v>не переваривать; красная капуста меняет цвет с pH; сернистые ноты могут конфликтовать с тонкими цветами</x:v>
      </x:c>
      <x:c r="I17" s="28" t="str">
        <x:v>горячее блюдо, бульон, соус, пюре, ферментация или гарнир с арбуз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78</x:v>
      </x:c>
    </x:row>
    <x:row r="18" ht="66" customHeight="1">
      <x:c r="A18" s="28" t="str">
        <x:v>VEG-0283</x:v>
      </x:c>
      <x:c r="B18" s="28" t="str">
        <x:v>капуста</x:v>
      </x:c>
      <x:c r="C18" s="28" t="str">
        <x:v>баранина</x:v>
      </x:c>
      <x:c r="D18" s="28" t="str">
        <x:v>Мясо и птица</x:v>
      </x:c>
      <x:c r="E18" s="28" t="str">
        <x:v>умами и солёный контраст; сернистая или горчичная комплементарность</x:v>
      </x:c>
      <x:c r="F18" s="28" t="str">
        <x:v>Капуста имеет профиль «зелёный, горчичный, сернистый и сладковатый после приготовления».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18" s="28" t="str">
        <x:v>не переваривать; красная капуста меняет цвет с pH; сернистые ноты могут конфликтовать с тонкими цветами</x:v>
      </x:c>
      <x:c r="I18" s="28" t="str">
        <x:v>горячее блюдо, бульон, соус, пюре, ферментация или гарнир с баранина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129, 309</x:v>
      </x:c>
    </x:row>
    <x:row r="19" ht="66" customHeight="1">
      <x:c r="A19" s="28" t="str">
        <x:v>VEG-0284</x:v>
      </x:c>
      <x:c r="B19" s="28" t="str">
        <x:v>капуста</x:v>
      </x:c>
      <x:c r="C19" s="28" t="str">
        <x:v>бекон</x:v>
      </x:c>
      <x:c r="D19" s="28" t="str">
        <x:v>Мясо и птица</x:v>
      </x:c>
      <x:c r="E19" s="28" t="str">
        <x:v>умами и солёный контраст; сернистая или горчичная комплементарность</x:v>
      </x:c>
      <x:c r="F19" s="28" t="str">
        <x:v>Капуста имеет профиль «зелёный, горчичный, сернистый и сладковатый после приготовления».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19" s="28" t="str">
        <x:v>не переваривать; красная капуста меняет цвет с pH; сернистые ноты могут конфликтовать с тонкими цветами</x:v>
      </x:c>
      <x:c r="I19" s="28" t="str">
        <x:v>горячее блюдо, бульон, соус, пюре, ферментация или гарнир с бекон</x:v>
      </x:c>
      <x:c r="J19" s="28" t="str">
        <x:v>Средняя</x:v>
      </x:c>
      <x:c r="K19" s="28" t="str">
        <x:v>Тезариус вкусов (Ники Сегнит)(1).pdf</x:v>
      </x:c>
      <x:c r="L19" s="28" t="str">
        <x:v>Тезариус вкусов (Ники Сегнит)(1).pdf: 309, 445</x:v>
      </x:c>
    </x:row>
    <x:row r="20" ht="66" customHeight="1">
      <x:c r="A20" s="28" t="str">
        <x:v>VEG-0285</x:v>
      </x:c>
      <x:c r="B20" s="28" t="str">
        <x:v>капуста</x:v>
      </x:c>
      <x:c r="C20" s="28" t="str">
        <x:v>бри и камамбер</x:v>
      </x:c>
      <x:c r="D20" s="28" t="str">
        <x:v>Прочее</x:v>
      </x:c>
      <x:c r="E20" s="28" t="str">
        <x:v>сернистая или горчичная комплементарность</x:v>
      </x:c>
      <x:c r="F20" s="28" t="str">
        <x:v>Капуста имеет профиль «зелёный, горчичный, сернистый и сладковатый после приготовления». Партнёр «бри и камамбер»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" s="28" t="str">
        <x:v>не переваривать; красная капуста меняет цвет с pH; сернистые ноты могут конфликтовать с тонкими цветами</x:v>
      </x:c>
      <x:c r="I20" s="28" t="str">
        <x:v>горячее блюдо, бульон, соус, пюре, ферментация или гарнир с бри и камамбер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336</x:v>
      </x:c>
    </x:row>
    <x:row r="21" ht="66" customHeight="1">
      <x:c r="A21" s="28" t="str">
        <x:v>VEG-0286</x:v>
      </x:c>
      <x:c r="B21" s="28" t="str">
        <x:v>капуста</x:v>
      </x:c>
      <x:c r="C21" s="28" t="str">
        <x:v>говядина</x:v>
      </x:c>
      <x:c r="D21" s="28" t="str">
        <x:v>Мясо и птица</x:v>
      </x:c>
      <x:c r="E21" s="28" t="str">
        <x:v>умами и солёный контраст; сернистая или горчичная комплементарность</x:v>
      </x:c>
      <x:c r="F21" s="28" t="str">
        <x:v>Капуста имеет профиль «зелёный, горчичный, сернистый и сладковатый после приготовления».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" s="28" t="str">
        <x:v>не переваривать; красная капуста меняет цвет с pH; сернистые ноты могут конфликтовать с тонкими цветами</x:v>
      </x:c>
      <x:c r="I21" s="28" t="str">
        <x:v>горячее блюдо, бульон, соус, пюре, ферментация или гарнир с говядина</x:v>
      </x:c>
      <x:c r="J21" s="28" t="str">
        <x:v>Средняя</x:v>
      </x:c>
      <x:c r="K21" s="28" t="str">
        <x:v>Тезариус вкусов (Ники Сегнит)(1).pdf</x:v>
      </x:c>
      <x:c r="L21" s="28" t="str">
        <x:v>Тезариус вкусов (Ники Сегнит)(1).pdf: 111, 311</x:v>
      </x:c>
    </x:row>
    <x:row r="22" ht="66" customHeight="1">
      <x:c r="A22" s="28" t="str">
        <x:v>VEG-0287</x:v>
      </x:c>
      <x:c r="B22" s="28" t="str">
        <x:v>капуста</x:v>
      </x:c>
      <x:c r="C22" s="28" t="str">
        <x:v>голубой сыр</x:v>
      </x:c>
      <x:c r="D22" s="28" t="str">
        <x:v>Молочные продукты и сыры</x:v>
      </x:c>
      <x:c r="E22" s="28" t="str">
        <x:v>жировая матрица; сернистая или горчичная комплементарность</x:v>
      </x:c>
      <x:c r="F22" s="28" t="str">
        <x:v>Капуста имеет профиль «зелёный, горчичный, сернистый и сладковатый после приготовления».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" s="28" t="str">
        <x:v>не переваривать; красная капуста меняет цвет с pH; сернистые ноты могут конфликтовать с тонкими цветами; жир способен приглушить свежую зелёную ароматику</x:v>
      </x:c>
      <x:c r="I22" s="28" t="str">
        <x:v>горячее блюдо, бульон, соус, пюре, ферментация или гарнир с голубой сыр</x:v>
      </x:c>
      <x:c r="J22" s="28" t="str">
        <x:v>Высокая</x:v>
      </x:c>
      <x:c r="K22" s="28" t="str">
        <x:v>The Art &amp; Science of Foodpairing.pdf | Тезариус вкусов (Ники Сегнит)(1).pdf</x:v>
      </x:c>
      <x:c r="L22" s="28" t="str">
        <x:v>Тезариус вкусов (Ники Сегнит)(1).pdf: 159, 311; The Art &amp; Science of Foodpairing.pdf: 164</x:v>
      </x:c>
    </x:row>
    <x:row r="23" ht="66" customHeight="1">
      <x:c r="A23" s="28" t="str">
        <x:v>VEG-0288</x:v>
      </x:c>
      <x:c r="B23" s="28" t="str">
        <x:v>капуста</x:v>
      </x:c>
      <x:c r="C23" s="28" t="str">
        <x:v>доенджан и кочуджан</x:v>
      </x:c>
      <x:c r="D23" s="28" t="str">
        <x:v>Прочее</x:v>
      </x:c>
      <x:c r="E23" s="28" t="str">
        <x:v>сернистая или горчичная комплементарность</x:v>
      </x:c>
      <x:c r="F23" s="28" t="str">
        <x:v>Капуста имеет профиль «зелёный, горчичный, сернистый и сладковатый после приготовления». Партнёр «доенджан и кочуджан»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3" s="28" t="str">
        <x:v>не переваривать; красная капуста меняет цвет с pH; сернистые ноты могут конфликтовать с тонкими цветами</x:v>
      </x:c>
      <x:c r="I23" s="28" t="str">
        <x:v>горячее блюдо, бульон, соус, пюре, ферментация или гарнир с доенджан и кочуджан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246</x:v>
      </x:c>
    </x:row>
    <x:row r="24" ht="66" customHeight="1">
      <x:c r="A24" s="28" t="str">
        <x:v>VEG-0289</x:v>
      </x:c>
      <x:c r="B24" s="28" t="str">
        <x:v>капуста</x:v>
      </x:c>
      <x:c r="C24" s="28" t="str">
        <x:v>имбирь</x:v>
      </x:c>
      <x:c r="D24" s="28" t="str">
        <x:v>Специи</x:v>
      </x:c>
      <x:c r="E24" s="28" t="str">
        <x:v>сернистая или горчичная комплементарность</x:v>
      </x:c>
      <x:c r="F24" s="28" t="str">
        <x:v>Капуста имеет профиль «зелёный, горчичный, сернистый и сладковатый после приготовления».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4" s="28" t="str">
        <x:v>не переваривать; красная капуста меняет цвет с pH; сернистые ноты могут конфликтовать с тонкими цветами</x:v>
      </x:c>
      <x:c r="I24" s="28" t="str">
        <x:v>горячее блюдо, бульон, соус, пюре, ферментация или гарнир с имбирь</x:v>
      </x:c>
      <x:c r="J24" s="28" t="str">
        <x:v>Высокая</x:v>
      </x:c>
      <x:c r="K24" s="28" t="str">
        <x:v>The Art &amp; Science of Foodpairing.pdf | Тезариус вкусов (Ники Сегнит)(1).pdf</x:v>
      </x:c>
      <x:c r="L24" s="28" t="str">
        <x:v>Тезариус вкусов (Ники Сегнит)(1).pdf: 311, 815; The Art &amp; Science of Foodpairing.pdf: 142</x:v>
      </x:c>
    </x:row>
    <x:row r="25" ht="66" customHeight="1">
      <x:c r="A25" s="28" t="str">
        <x:v>VEG-0290</x:v>
      </x:c>
      <x:c r="B25" s="28" t="str">
        <x:v>капуста</x:v>
      </x:c>
      <x:c r="C25" s="28" t="str">
        <x:v>каштаны</x:v>
      </x:c>
      <x:c r="D25" s="28" t="str">
        <x:v>Орехи и семена</x:v>
      </x:c>
      <x:c r="E25" s="28" t="str">
        <x:v>сернистая или горчичная комплементарность</x:v>
      </x:c>
      <x:c r="F25" s="28" t="str">
        <x:v>Капуста имеет профиль «зелёный, горчичный, сернистый и сладковатый после приготовления». Партнёр «каштаны»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5" s="28" t="str">
        <x:v>не переваривать; красная капуста меняет цвет с pH; сернистые ноты могут конфликтовать с тонкими цветами</x:v>
      </x:c>
      <x:c r="I25" s="28" t="str">
        <x:v>горячее блюдо, бульон, соус, пюре, ферментация или гарнир с каштаны</x:v>
      </x:c>
      <x:c r="J25" s="28" t="str">
        <x:v>Средняя</x:v>
      </x:c>
      <x:c r="K25" s="28" t="str">
        <x:v>Тезариус вкусов (Ники Сегнит)(1).pdf</x:v>
      </x:c>
      <x:c r="L25" s="28" t="str">
        <x:v>Тезариус вкусов (Ники Сегнит)(1).pdf: 311, 617</x:v>
      </x:c>
    </x:row>
    <x:row r="26" ht="66" customHeight="1">
      <x:c r="A26" s="28" t="str">
        <x:v>VEG-0291</x:v>
      </x:c>
      <x:c r="B26" s="28" t="str">
        <x:v>капуста</x:v>
      </x:c>
      <x:c r="C26" s="28" t="str">
        <x:v>кимчи</x:v>
      </x:c>
      <x:c r="D26" s="28" t="str">
        <x:v>Ферментированные продукты и соусы</x:v>
      </x:c>
      <x:c r="E26" s="28" t="str">
        <x:v>умами и солёный контраст; сернистая или горчичная комплементарность</x:v>
      </x:c>
      <x:c r="F26" s="28" t="str">
        <x:v>Капуста имеет профиль «зелёный, горчичный, сернистый и сладковатый после приготовления».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6" s="28" t="str">
        <x:v>не переваривать; красная капуста меняет цвет с pH; сернистые ноты могут конфликтовать с тонкими цветами</x:v>
      </x:c>
      <x:c r="I26" s="28" t="str">
        <x:v>горячее блюдо, бульон, соус, пюре, ферментация или гарнир с кимчи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305</x:v>
      </x:c>
    </x:row>
    <x:row r="27" ht="66" customHeight="1">
      <x:c r="A27" s="28" t="str">
        <x:v>VEG-0292</x:v>
      </x:c>
      <x:c r="B27" s="28" t="str">
        <x:v>капуста</x:v>
      </x:c>
      <x:c r="C27" s="28" t="str">
        <x:v>копченая рыба</x:v>
      </x:c>
      <x:c r="D27" s="28" t="str">
        <x:v>Рыба и морепродукты</x:v>
      </x:c>
      <x:c r="E27" s="28" t="str">
        <x:v>умами и солёный контраст; сернистая или горчичная комплементарность</x:v>
      </x:c>
      <x:c r="F27" s="28" t="str">
        <x:v>Капуста имеет профиль «зелёный, горчичный, сернистый и сладковатый после приготовления».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7" s="28" t="str">
        <x:v>не переваривать; красная капуста меняет цвет с pH; сернистые ноты могут конфликтовать с тонкими цветами</x:v>
      </x:c>
      <x:c r="I27" s="28" t="str">
        <x:v>горячее блюдо, бульон, соус, пюре, ферментация или гарнир с копченая рыба</x:v>
      </x:c>
      <x:c r="J27" s="28" t="str">
        <x:v>Средняя</x:v>
      </x:c>
      <x:c r="K27" s="28" t="str">
        <x:v>Тезариус вкусов (Ники Сегнит)(1).pdf</x:v>
      </x:c>
      <x:c r="L27" s="28" t="str">
        <x:v>Тезариус вкусов (Ники Сегнит)(1).pdf: 311, 435</x:v>
      </x:c>
    </x:row>
    <x:row r="28" ht="66" customHeight="1">
      <x:c r="A28" s="28" t="str">
        <x:v>VEG-0293</x:v>
      </x:c>
      <x:c r="B28" s="28" t="str">
        <x:v>капуста</x:v>
      </x:c>
      <x:c r="C28" s="28" t="str">
        <x:v>корица и кассия</x:v>
      </x:c>
      <x:c r="D28" s="28" t="str">
        <x:v>Специи</x:v>
      </x:c>
      <x:c r="E28" s="28" t="str">
        <x:v>сернистая или горчичная комплементарность</x:v>
      </x:c>
      <x:c r="F28" s="28" t="str">
        <x:v>Капуста имеет профиль «зелёный, горчичный, сернистый и сладковатый после приготовления». Партнёр «корица и кассия»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8" s="28" t="str">
        <x:v>не переваривать; красная капуста меняет цвет с pH; сернистые ноты могут конфликтовать с тонкими цветами</x:v>
      </x:c>
      <x:c r="I28" s="28" t="str">
        <x:v>горячее блюдо, бульон, соус, пюре, ферментация или гарнир с корица и кассия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130</x:v>
      </x:c>
    </x:row>
    <x:row r="29" ht="66" customHeight="1">
      <x:c r="A29" s="28" t="str">
        <x:v>VEG-0294</x:v>
      </x:c>
      <x:c r="B29" s="28" t="str">
        <x:v>капуста</x:v>
      </x:c>
      <x:c r="C29" s="28" t="str">
        <x:v>кунжут</x:v>
      </x:c>
      <x:c r="D29" s="28" t="str">
        <x:v>Орехи и семена</x:v>
      </x:c>
      <x:c r="E29" s="28" t="str">
        <x:v>сернистая или горчичная комплементарность</x:v>
      </x:c>
      <x:c r="F29" s="28" t="str">
        <x:v>Капуста имеет профиль «зелёный, горчичный, сернистый и сладковатый после приготовления». Партнёр «кунжут»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9" s="28" t="str">
        <x:v>не переваривать; красная капуста меняет цвет с pH; сернистые ноты могут конфликтовать с тонкими цветами</x:v>
      </x:c>
      <x:c r="I29" s="28" t="str">
        <x:v>горячее блюдо, бульон, соус, пюре, ферментация или гарнир с кунжут</x:v>
      </x:c>
      <x:c r="J29" s="28" t="str">
        <x:v>Высокая</x:v>
      </x:c>
      <x:c r="K29" s="28" t="str">
        <x:v>The Art &amp; Science of Foodpairing.pdf</x:v>
      </x:c>
      <x:c r="L29" s="28" t="str">
        <x:v>The Art &amp; Science of Foodpairing.pdf: 308</x:v>
      </x:c>
    </x:row>
    <x:row r="30" ht="66" customHeight="1">
      <x:c r="A30" s="28" t="str">
        <x:v>VEG-0295</x:v>
      </x:c>
      <x:c r="B30" s="28" t="str">
        <x:v>капуста</x:v>
      </x:c>
      <x:c r="C30" s="28" t="str">
        <x:v>кунжут, халва и тахини</x:v>
      </x:c>
      <x:c r="D30" s="28" t="str">
        <x:v>Орехи и семена</x:v>
      </x:c>
      <x:c r="E30" s="28" t="str">
        <x:v>сернистая или горчичная комплементарность</x:v>
      </x:c>
      <x:c r="F30" s="28" t="str">
        <x:v>Капуста имеет профиль «зелёный, горчичный, сернистый и сладковатый после приготовления».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0" s="28" t="str">
        <x:v>не переваривать; красная капуста меняет цвет с pH; сернистые ноты могут конфликтовать с тонкими цветами</x:v>
      </x:c>
      <x:c r="I30" s="28" t="str">
        <x:v>горячее блюдо, бульон, соус, пюре, ферментация или гарнир с кунжут, халва и тахини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308</x:v>
      </x:c>
    </x:row>
    <x:row r="31" ht="66" customHeight="1">
      <x:c r="A31" s="28" t="str">
        <x:v>VEG-0296</x:v>
      </x:c>
      <x:c r="B31" s="28" t="str">
        <x:v>капуста</x:v>
      </x:c>
      <x:c r="C31" s="28" t="str">
        <x:v>можжевельник</x:v>
      </x:c>
      <x:c r="D31" s="28" t="str">
        <x:v>Прочее</x:v>
      </x:c>
      <x:c r="E31" s="28" t="str">
        <x:v>сернистая или горчичная комплементарность</x:v>
      </x:c>
      <x:c r="F31" s="28" t="str">
        <x:v>Капуста имеет профиль «зелёный, горчичный, сернистый и сладковатый после приготовления». Партнёр «можжевельник»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1" s="28" t="str">
        <x:v>не переваривать; красная капуста меняет цвет с pH; сернистые ноты могут конфликтовать с тонкими цветами</x:v>
      </x:c>
      <x:c r="I31" s="28" t="str">
        <x:v>горячее блюдо, бульон, соус, пюре, ферментация или гарнир с можжевельник</x:v>
      </x:c>
      <x:c r="J31" s="28" t="str">
        <x:v>Средняя</x:v>
      </x:c>
      <x:c r="K31" s="28" t="str">
        <x:v>Тезариус вкусов (Ники Сегнит)(1).pdf</x:v>
      </x:c>
      <x:c r="L31" s="28" t="str">
        <x:v>Тезариус вкусов (Ники Сегнит)(1).pdf: 312, 850</x:v>
      </x:c>
    </x:row>
    <x:row r="32" ht="66" customHeight="1">
      <x:c r="A32" s="28" t="str">
        <x:v>VEG-0297</x:v>
      </x:c>
      <x:c r="B32" s="28" t="str">
        <x:v>капуста</x:v>
      </x:c>
      <x:c r="C32" s="28" t="str">
        <x:v>моллюски</x:v>
      </x:c>
      <x:c r="D32" s="28" t="str">
        <x:v>Рыба и морепродукты</x:v>
      </x:c>
      <x:c r="E32" s="28" t="str">
        <x:v>умами и солёный контраст; сернистая или горчичная комплементарность</x:v>
      </x:c>
      <x:c r="F32" s="28" t="str">
        <x:v>Капуста имеет профиль «зелёный, горчичный, сернистый и сладковатый после приготовления».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2" s="28" t="str">
        <x:v>не переваривать; красная капуста меняет цвет с pH; сернистые ноты могут конфликтовать с тонкими цветами</x:v>
      </x:c>
      <x:c r="I32" s="28" t="str">
        <x:v>горячее блюдо, бульон, соус, пюре, ферментация или гарнир с моллюски</x:v>
      </x:c>
      <x:c r="J32" s="28" t="str">
        <x:v>Средняя</x:v>
      </x:c>
      <x:c r="K32" s="28" t="str">
        <x:v>Тезариус вкусов (Ники Сегнит)(1).pdf</x:v>
      </x:c>
      <x:c r="L32" s="28" t="str">
        <x:v>Тезариус вкусов (Ники Сегнит)(1).pdf: 312, 370</x:v>
      </x:c>
    </x:row>
    <x:row r="33" ht="66" customHeight="1">
      <x:c r="A33" s="28" t="str">
        <x:v>VEG-0298</x:v>
      </x:c>
      <x:c r="B33" s="28" t="str">
        <x:v>капуста</x:v>
      </x:c>
      <x:c r="C33" s="28" t="str">
        <x:v>морковь</x:v>
      </x:c>
      <x:c r="D33" s="28" t="str">
        <x:v>Корнеплоды</x:v>
      </x:c>
      <x:c r="E33" s="28" t="str">
        <x:v>сернистая или горчичная комплементарность</x:v>
      </x:c>
      <x:c r="F33" s="28" t="str">
        <x:v>Капуста имеет профиль «зелёный, горчичный, сернистый и сладковатый после приготовления». Партнёр «морковь» относится к группе «Корнеплоды» и даёт сладкий, землистый, древесный и слегка цитрусовый.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3" s="28" t="str">
        <x:v>не переваривать; красная капуста меняет цвет с pH; сернистые ноты могут конфликтовать с тонкими цветами</x:v>
      </x:c>
      <x:c r="I33" s="28" t="str">
        <x:v>горячее блюдо, бульон, соус, пюре, ферментация или гарнир с морковь</x:v>
      </x:c>
      <x:c r="J33" s="28" t="str">
        <x:v>Средняя</x:v>
      </x:c>
      <x:c r="K33" s="28" t="str">
        <x:v>Тезариус вкусов (Ники Сегнит)(1).pdf</x:v>
      </x:c>
      <x:c r="L33" s="28" t="str">
        <x:v>Тезариус вкусов (Ники Сегнит)(1).pdf: 313, 603</x:v>
      </x:c>
    </x:row>
    <x:row r="34" ht="66" customHeight="1">
      <x:c r="A34" s="28" t="str">
        <x:v>VEG-0299</x:v>
      </x:c>
      <x:c r="B34" s="28" t="str">
        <x:v>капуста</x:v>
      </x:c>
      <x:c r="C34" s="28" t="str">
        <x:v>мускатный орех</x:v>
      </x:c>
      <x:c r="D34" s="28" t="str">
        <x:v>Рыба и морепродукты</x:v>
      </x:c>
      <x:c r="E34" s="28" t="str">
        <x:v>умами и солёный контраст; сернистая или горчичная комплементарность</x:v>
      </x:c>
      <x:c r="F34" s="28" t="str">
        <x:v>Капуста имеет профиль «зелёный, горчичный, сернистый и сладковатый после приготовления».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4" s="28" t="str">
        <x:v>не переваривать; красная капуста меняет цвет с pH; сернистые ноты могут конфликтовать с тонкими цветами</x:v>
      </x:c>
      <x:c r="I34" s="28" t="str">
        <x:v>горячее блюдо, бульон, соус, пюре, ферментация или гарнир с мускатный орех</x:v>
      </x:c>
      <x:c r="J34" s="28" t="str">
        <x:v>Средняя</x:v>
      </x:c>
      <x:c r="K34" s="28" t="str">
        <x:v>Тезариус вкусов (Ники Сегнит)(1).pdf</x:v>
      </x:c>
      <x:c r="L34" s="28" t="str">
        <x:v>Тезариус вкусов (Ники Сегнит)(1).pdf: 313, 588</x:v>
      </x:c>
    </x:row>
    <x:row r="35" ht="66" customHeight="1">
      <x:c r="A35" s="28" t="str">
        <x:v>VEG-0300</x:v>
      </x:c>
      <x:c r="B35" s="28" t="str">
        <x:v>капуста</x:v>
      </x:c>
      <x:c r="C35" s="28" t="str">
        <x:v>свинина</x:v>
      </x:c>
      <x:c r="D35" s="28" t="str">
        <x:v>Мясо и птица</x:v>
      </x:c>
      <x:c r="E35" s="28" t="str">
        <x:v>умами и солёный контраст; сернистая или горчичная комплементарность</x:v>
      </x:c>
      <x:c r="F35" s="28" t="str">
        <x:v>Капуста имеет профиль «зелёный, горчичный, сернистый и сладковатый после приготовления».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5" s="28" t="str">
        <x:v>не переваривать; красная капуста меняет цвет с pH; сернистые ноты могут конфликтовать с тонкими цветами</x:v>
      </x:c>
      <x:c r="I35" s="28" t="str">
        <x:v>горячее блюдо, бульон, соус, пюре, ферментация или гарнир с свинина</x:v>
      </x:c>
      <x:c r="J35" s="28" t="str">
        <x:v>Средняя</x:v>
      </x:c>
      <x:c r="K35" s="28" t="str">
        <x:v>Тезариус вкусов (Ники Сегнит)(1).pdf</x:v>
      </x:c>
      <x:c r="L35" s="28" t="str">
        <x:v>Тезариус вкусов (Ники Сегнит)(1).pdf: 84, 313</x:v>
      </x:c>
    </x:row>
    <x:row r="36" ht="66" customHeight="1">
      <x:c r="A36" s="28" t="str">
        <x:v>VEG-0301</x:v>
      </x:c>
      <x:c r="B36" s="28" t="str">
        <x:v>капуста</x:v>
      </x:c>
      <x:c r="C36" s="28" t="str">
        <x:v>соевый соус</x:v>
      </x:c>
      <x:c r="D36" s="28" t="str">
        <x:v>Ферментированные продукты и соусы</x:v>
      </x:c>
      <x:c r="E36" s="28" t="str">
        <x:v>умами и солёный контраст; сернистая или горчичная комплементарность</x:v>
      </x:c>
      <x:c r="F36" s="28" t="str">
        <x:v>Капуста имеет профиль «зелёный, горчичный, сернистый и сладковатый после приготовления». Партнёр «соевый соус» относится к группе «Ферментированные продукты и соусы» и даёт жареный,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6" s="28" t="str">
        <x:v>не переваривать; красная капуста меняет цвет с pH; сернистые ноты могут конфликтовать с тонкими цветами</x:v>
      </x:c>
      <x:c r="I36" s="28" t="str">
        <x:v>горячее блюдо, бульон, соус, пюре, ферментация или гарнир с соевый соус</x:v>
      </x:c>
      <x:c r="J36" s="28" t="str">
        <x:v>Высокая</x:v>
      </x:c>
      <x:c r="K36" s="28" t="str">
        <x:v>The Art &amp; Science of Foodpairing.pdf</x:v>
      </x:c>
      <x:c r="L36" s="28" t="str">
        <x:v>The Art &amp; Science of Foodpairing.pdf: 301</x:v>
      </x:c>
    </x:row>
    <x:row r="37" ht="66" customHeight="1">
      <x:c r="A37" s="28" t="str">
        <x:v>VEG-0302</x:v>
      </x:c>
      <x:c r="B37" s="28" t="str">
        <x:v>капуста</x:v>
      </x:c>
      <x:c r="C37" s="28" t="str">
        <x:v>томат</x:v>
      </x:c>
      <x:c r="D37" s="28" t="str">
        <x:v>Плодовые овощи</x:v>
      </x:c>
      <x:c r="E37" s="28" t="str">
        <x:v>пересечение ароматических семейств; сернистая или горчичная комплементарность</x:v>
      </x:c>
      <x:c r="F37" s="28" t="str">
        <x:v>Капуста имеет профиль «зелёный, горчичный, сернистый и сладковатый после приготовления».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7" s="28" t="str">
        <x:v>не переваривать; красная капуста меняет цвет с pH; сернистые ноты могут конфликтовать с тонкими цветами</x:v>
      </x:c>
      <x:c r="I37" s="28" t="str">
        <x:v>горячее блюдо, бульон, соус, пюре, ферментация или гарнир с томат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161</x:v>
      </x:c>
    </x:row>
    <x:row r="38" ht="66" customHeight="1">
      <x:c r="A38" s="28" t="str">
        <x:v>VEG-0303</x:v>
      </x:c>
      <x:c r="B38" s="28" t="str">
        <x:v>капуста</x:v>
      </x:c>
      <x:c r="C38" s="28" t="str">
        <x:v>трюфель</x:v>
      </x:c>
      <x:c r="D38" s="28" t="str">
        <x:v>Грибы</x:v>
      </x:c>
      <x:c r="E38" s="28" t="str">
        <x:v>умами и солёный контраст; сернистая или горчичная комплементарность</x:v>
      </x:c>
      <x:c r="F38" s="28" t="str">
        <x:v>Капуста имеет профиль «зелёный, горчичный, сернистый и сладковатый после приготовления».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8" s="28" t="str">
        <x:v>не переваривать; красная капуста меняет цвет с pH; сернистые ноты могут конфликтовать с тонкими цветами</x:v>
      </x:c>
      <x:c r="I38" s="28" t="str">
        <x:v>горячее блюдо, бульон, соус, пюре, ферментация или гарнир с трюфель</x:v>
      </x:c>
      <x:c r="J38" s="28" t="str">
        <x:v>Средняя</x:v>
      </x:c>
      <x:c r="K38" s="28" t="str">
        <x:v>Тезариус вкусов (Ники Сегнит)(1).pdf</x:v>
      </x:c>
      <x:c r="L38" s="28" t="str">
        <x:v>Тезариус вкусов (Ники Сегнит)(1).pdf: 302, 315</x:v>
      </x:c>
    </x:row>
    <x:row r="39" ht="66" customHeight="1">
      <x:c r="A39" s="28" t="str">
        <x:v>VEG-0304</x:v>
      </x:c>
      <x:c r="B39" s="28" t="str">
        <x:v>капуста</x:v>
      </x:c>
      <x:c r="C39" s="28" t="str">
        <x:v>фундук</x:v>
      </x:c>
      <x:c r="D39" s="28" t="str">
        <x:v>Орехи и семена</x:v>
      </x:c>
      <x:c r="E39" s="28" t="str">
        <x:v>сернистая или горчичная комплементарность</x:v>
      </x:c>
      <x:c r="F39" s="28" t="str">
        <x:v>Капуста имеет профиль «зелёный, горчичный, сернистый и сладковатый после приготовления».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39" s="28" t="str">
        <x:v>не переваривать; красная капуста меняет цвет с pH; сернистые ноты могут конфликтовать с тонкими цветами</x:v>
      </x:c>
      <x:c r="I39" s="28" t="str">
        <x:v>горячее блюдо, бульон, соус, пюре, ферментация или гарнир с фундук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332</x:v>
      </x:c>
    </x:row>
    <x:row r="40" ht="66" customHeight="1">
      <x:c r="A40" s="28" t="str">
        <x:v>VEG-0305</x:v>
      </x:c>
      <x:c r="B40" s="28" t="str">
        <x:v>капуста</x:v>
      </x:c>
      <x:c r="C40" s="28" t="str">
        <x:v>цыпленок</x:v>
      </x:c>
      <x:c r="D40" s="28" t="str">
        <x:v>Прочее</x:v>
      </x:c>
      <x:c r="E40" s="28" t="str">
        <x:v>сернистая или горчичная комплементарность</x:v>
      </x:c>
      <x:c r="F40" s="28" t="str">
        <x:v>Капуста имеет профиль «зелёный, горчичный, сернистый и сладковатый после приготовления».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40" s="28" t="str">
        <x:v>не переваривать; красная капуста меняет цвет с pH; сернистые ноты могут конфликтовать с тонкими цветами</x:v>
      </x:c>
      <x:c r="I40" s="28" t="str">
        <x:v>горячее блюдо, бульон, соус, пюре, ферментация или гарнир с цыпленок</x:v>
      </x:c>
      <x:c r="J40" s="28" t="str">
        <x:v>Средняя</x:v>
      </x:c>
      <x:c r="K40" s="28" t="str">
        <x:v>Тезариус вкусов (Ники Сегнит)(1).pdf</x:v>
      </x:c>
      <x:c r="L40" s="28" t="str">
        <x:v>Тезариус вкусов (Ники Сегнит)(1).pdf: 67, 315</x:v>
      </x:c>
    </x:row>
    <x:row r="41" ht="66" customHeight="1">
      <x:c r="A41" s="28" t="str">
        <x:v>VEG-0306</x:v>
      </x:c>
      <x:c r="B41" s="28" t="str">
        <x:v>капуста</x:v>
      </x:c>
      <x:c r="C41" s="28" t="str">
        <x:v>чили</x:v>
      </x:c>
      <x:c r="D41" s="28" t="str">
        <x:v>Специи</x:v>
      </x:c>
      <x:c r="E41" s="28" t="str">
        <x:v>сернистая или горчичная комплементарность</x:v>
      </x:c>
      <x:c r="F41" s="28" t="str">
        <x:v>Капуста имеет профиль «зелёный, горчичный, сернистый и сладковатый после приготовления».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41" s="28" t="str">
        <x:v>не переваривать; красная капуста меняет цвет с pH; сернистые ноты могут конфликтовать с тонкими цветами</x:v>
      </x:c>
      <x:c r="I41" s="28" t="str">
        <x:v>горячее блюдо, бульон, соус, пюре, ферментация или гарнир с чили</x:v>
      </x:c>
      <x:c r="J41" s="28" t="str">
        <x:v>Средняя</x:v>
      </x:c>
      <x:c r="K41" s="28" t="str">
        <x:v>Тезариус вкусов (Ники Сегнит)(1).pdf</x:v>
      </x:c>
      <x:c r="L41" s="28" t="str">
        <x:v>Тезариус вкусов (Ники Сегнит)(1).pdf: 317, 554</x:v>
      </x:c>
    </x:row>
    <x:row r="42" ht="66" customHeight="1">
      <x:c r="A42" s="28" t="str">
        <x:v>VEG-0307</x:v>
      </x:c>
      <x:c r="B42" s="28" t="str">
        <x:v>капуста</x:v>
      </x:c>
      <x:c r="C42" s="28" t="str">
        <x:v>чоризо</x:v>
      </x:c>
      <x:c r="D42" s="28" t="str">
        <x:v>Прочее</x:v>
      </x:c>
      <x:c r="E42" s="28" t="str">
        <x:v>сернистая или горчичная комплементарность</x:v>
      </x:c>
      <x:c r="F42" s="28" t="str">
        <x:v>Капуста имеет профиль «зелёный, горчичный, сернистый и сладковатый после приготовления».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42" s="28" t="str">
        <x:v>не переваривать; красная капуста меняет цвет с pH; сернистые ноты могут конфликтовать с тонкими цветами</x:v>
      </x:c>
      <x:c r="I42" s="28" t="str">
        <x:v>горячее блюдо, бульон, соус, пюре, ферментация или гарнир с чоризо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288</x:v>
      </x:c>
    </x:row>
    <x:row r="43" ht="66" customHeight="1">
      <x:c r="A43" s="28" t="str">
        <x:v>VEG-0308</x:v>
      </x:c>
      <x:c r="B43" s="28" t="str">
        <x:v>капуста</x:v>
      </x:c>
      <x:c r="C43" s="28" t="str">
        <x:v>яблоко</x:v>
      </x:c>
      <x:c r="D43" s="28" t="str">
        <x:v>Фрукты и ягоды</x:v>
      </x:c>
      <x:c r="E43" s="28" t="str">
        <x:v>пересечение ароматических семейств; кислотно-сладкий баланс; сернистая или горчичная комплементарность</x:v>
      </x:c>
      <x:c r="F43" s="28" t="str">
        <x:v>Капуста имеет профиль «зелёный, горчичный, сернистый и сладковатый после приготовления».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43" s="28" t="str">
        <x:v>не переваривать; красная капуста меняет цвет с pH; сернистые ноты могут конфликтовать с тонкими цветами; избыток кислоты или воды может сделать овощной вкус тонким и разрушить сливочную эмульсию</x:v>
      </x:c>
      <x:c r="I43" s="28" t="str">
        <x:v>горячее блюдо, бульон, соус, пюре, ферментация или гарнир с яблоко</x:v>
      </x:c>
      <x:c r="J43" s="28" t="str">
        <x:v>Средняя</x:v>
      </x:c>
      <x:c r="K43" s="28" t="str">
        <x:v>Тезариус вкусов (Ники Сегнит)(1).pdf</x:v>
      </x:c>
      <x:c r="L43" s="28" t="str">
        <x:v>Тезариус вкусов (Ники Сегнит)(1).pdf: 317, 713</x:v>
      </x:c>
    </x:row>
    <x:row r="44" ht="66" customHeight="1">
      <x:c r="A44" s="28" t="str">
        <x:v>VEG-0309</x:v>
      </x:c>
      <x:c r="B44" s="28" t="str">
        <x:v>капуста</x:v>
      </x:c>
      <x:c r="C44" s="28" t="str">
        <x:v>яйца</x:v>
      </x:c>
      <x:c r="D44" s="28" t="str">
        <x:v>Прочее</x:v>
      </x:c>
      <x:c r="E44" s="28" t="str">
        <x:v>сернистая или горчичная комплементарность</x:v>
      </x:c>
      <x:c r="F44" s="28" t="str">
        <x:v>Капуста имеет профиль «зелёный, горчичный, сернистый и сладковатый после приготовления».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44" s="28" t="str">
        <x:v>не переваривать; красная капуста меняет цвет с pH; сернистые ноты могут конфликтовать с тонкими цветами</x:v>
      </x:c>
      <x:c r="I44" s="28" t="str">
        <x:v>горячее блюдо, бульон, соус, пюре, ферментация или гарнир с яйца</x:v>
      </x:c>
      <x:c r="J44" s="28" t="str">
        <x:v>Средняя</x:v>
      </x:c>
      <x:c r="K44" s="28" t="str">
        <x:v>Тезариус вкусов (Ники Сегнит)(1).pdf</x:v>
      </x:c>
      <x:c r="L44" s="28" t="str">
        <x:v>Тезариус вкусов (Ники Сегнит)(1).pdf: 317, 353</x:v>
      </x:c>
    </x:row>
    <x:row r="45" ht="66" customHeight="1">
      <x:c r="A45" s="28" t="str">
        <x:v>VEG-0985</x:v>
      </x:c>
      <x:c r="B45" s="28" t="str">
        <x:v>цветная капуста</x:v>
      </x:c>
      <x:c r="C45" s="28" t="str">
        <x:v>анчоусы</x:v>
      </x:c>
      <x:c r="D45" s="28" t="str">
        <x:v>Рыба и морепродукты</x:v>
      </x:c>
      <x:c r="E45" s="28" t="str">
        <x:v>умами и солёный контраст; сернистая или горчичная комплементарность</x:v>
      </x:c>
      <x:c r="F45" s="28" t="str">
        <x:v>Цветная капуста имеет профиль «мягко капустный, ореховый, сернистый и сливочный после запекания».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5" s="28" t="str">
        <x:v>не переваривать; избыток воды делает вкус плоским; сернистость усиливается при хранении</x:v>
      </x:c>
      <x:c r="I45" s="28" t="str">
        <x:v>горячее блюдо, бульон, соус, пюре, ферментация или гарнир с анчоусы</x:v>
      </x:c>
      <x:c r="J45" s="28" t="str">
        <x:v>Средняя</x:v>
      </x:c>
      <x:c r="K45" s="28" t="str">
        <x:v>Тезариус вкусов (Ники Сегнит)(1).pdf</x:v>
      </x:c>
      <x:c r="L45" s="28" t="str">
        <x:v>Тезариус вкусов (Ники Сегнит)(1).pdf: 321, 431</x:v>
      </x:c>
    </x:row>
    <x:row r="46" ht="66" customHeight="1">
      <x:c r="A46" s="28" t="str">
        <x:v>VEG-0986</x:v>
      </x:c>
      <x:c r="B46" s="28" t="str">
        <x:v>цветная капуста</x:v>
      </x:c>
      <x:c r="C46" s="28" t="str">
        <x:v>брокколи</x:v>
      </x:c>
      <x:c r="D46" s="28" t="str">
        <x:v>Крестоцветные</x:v>
      </x:c>
      <x:c r="E46" s="28" t="str">
        <x:v>общие характерные молекулы; пересечение ароматических семейств; сернистая или горчичная комплементарность</x:v>
      </x:c>
      <x:c r="F46" s="28" t="str">
        <x:v>Цветная капуста имеет профиль «мягко капустный, ореховый, сернистый и сливочный после запекания». Партнёр «брокколи» относится к группе «Крестоцветные» и даёт зелёный, капустный, сернистый и ореховый после жарки. Вероятный молекулярный мост: диметилсульфид, изотиоцианаты, пиразины.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6" s="28" t="str">
        <x:v>не переваривать; избыток воды делает вкус плоским; сернистость усиливается при хранении</x:v>
      </x:c>
      <x:c r="I46" s="28" t="str">
        <x:v>горячее блюдо, бульон, соус, пюре, ферментация или гарнир с брокколи</x:v>
      </x:c>
      <x:c r="J46" s="28" t="str">
        <x:v>Средняя</x:v>
      </x:c>
      <x:c r="K46" s="28" t="str">
        <x:v>Тезариус вкусов (Ники Сегнит)(1).pdf</x:v>
      </x:c>
      <x:c r="L46" s="28" t="str">
        <x:v>Тезариус вкусов (Ники Сегнит)(1).pdf: 321, 332</x:v>
      </x:c>
    </x:row>
    <x:row r="47" ht="66" customHeight="1">
      <x:c r="A47" s="28" t="str">
        <x:v>VEG-0987</x:v>
      </x:c>
      <x:c r="B47" s="28" t="str">
        <x:v>цветная капуста</x:v>
      </x:c>
      <x:c r="C47" s="28" t="str">
        <x:v>виноград</x:v>
      </x:c>
      <x:c r="D47" s="28" t="str">
        <x:v>Фрукты и ягоды</x:v>
      </x:c>
      <x:c r="E47" s="28" t="str">
        <x:v>кислотно-сладкий баланс; сернистая или горчичная комплементарность</x:v>
      </x:c>
      <x:c r="F47" s="28" t="str">
        <x:v>Цветная капуста имеет профиль «мягко капустный, ореховый, сернистый и сливочный после запекания».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7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47" s="28" t="str">
        <x:v>горячее блюдо, бульон, соус, пюре, ферментация или гарнир с виноград</x:v>
      </x:c>
      <x:c r="J47" s="28" t="str">
        <x:v>Высокая</x:v>
      </x:c>
      <x:c r="K47" s="28" t="str">
        <x:v>The Art &amp; Science of Foodpairing.pdf</x:v>
      </x:c>
      <x:c r="L47" s="28" t="str">
        <x:v>The Art &amp; Science of Foodpairing.pdf: 66</x:v>
      </x:c>
    </x:row>
    <x:row r="48" ht="66" customHeight="1">
      <x:c r="A48" s="28" t="str">
        <x:v>VEG-0988</x:v>
      </x:c>
      <x:c r="B48" s="28" t="str">
        <x:v>цветная капуста</x:v>
      </x:c>
      <x:c r="C48" s="28" t="str">
        <x:v>гибискус</x:v>
      </x:c>
      <x:c r="D48" s="28" t="str">
        <x:v>Прочее</x:v>
      </x:c>
      <x:c r="E48" s="28" t="str">
        <x:v>сернистая или горчичная комплементарность</x:v>
      </x:c>
      <x:c r="F48" s="28" t="str">
        <x:v>Цветная капуста имеет профиль «мягко капустный, ореховый, сернистый и сливочный после запекания».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8" s="28" t="str">
        <x:v>не переваривать; избыток воды делает вкус плоским; сернистость усиливается при хранении</x:v>
      </x:c>
      <x:c r="I48" s="28" t="str">
        <x:v>горячее блюдо, бульон, соус, пюре, ферментация или гарнир с гибискус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67</x:v>
      </x:c>
    </x:row>
    <x:row r="49" ht="66" customHeight="1">
      <x:c r="A49" s="28" t="str">
        <x:v>VEG-0989</x:v>
      </x:c>
      <x:c r="B49" s="28" t="str">
        <x:v>цветная капуста</x:v>
      </x:c>
      <x:c r="C49" s="28" t="str">
        <x:v>грецкий орех</x:v>
      </x:c>
      <x:c r="D49" s="28" t="str">
        <x:v>Орехи и семена</x:v>
      </x:c>
      <x:c r="E49" s="28" t="str">
        <x:v>общие характерные молекулы; пересечение ароматических семейств; сернистая или горчичная комплементарность</x:v>
      </x:c>
      <x:c r="F49" s="28" t="str">
        <x:v>Цветная капуста имеет профиль «мягко капустный, ореховый, сернистый и сливочный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" s="28" t="str">
        <x:v>не переваривать; избыток воды делает вкус плоским; сернистость усиливается при хранении</x:v>
      </x:c>
      <x:c r="I49" s="28" t="str">
        <x:v>горячее блюдо, бульон, соус, пюре, ферментация или гарнир с грецкий орех</x:v>
      </x:c>
      <x:c r="J49" s="28" t="str">
        <x:v>Средняя</x:v>
      </x:c>
      <x:c r="K49" s="28" t="str">
        <x:v>Тезариус вкусов (Ники Сегнит)(1).pdf</x:v>
      </x:c>
      <x:c r="L49" s="28" t="str">
        <x:v>Тезариус вкусов (Ники Сегнит)(1).pdf: 321, 629</x:v>
      </x:c>
    </x:row>
    <x:row r="50" ht="66" customHeight="1">
      <x:c r="A50" s="28" t="str">
        <x:v>VEG-0990</x:v>
      </x:c>
      <x:c r="B50" s="28" t="str">
        <x:v>цветная капуста</x:v>
      </x:c>
      <x:c r="C50" s="28" t="str">
        <x:v>зира</x:v>
      </x:c>
      <x:c r="D50" s="28" t="str">
        <x:v>Специи</x:v>
      </x:c>
      <x:c r="E50" s="28" t="str">
        <x:v>сернистая или горчичная комплементарность</x:v>
      </x:c>
      <x:c r="F50" s="28" t="str">
        <x:v>Цветная капуста имеет профиль «мягко капустный, ореховый, сернистый и сливочный после запекания». Партнёр «зира» относится к группе «Специи» и даёт жареный, землистый, пряный.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" s="28" t="str">
        <x:v>не переваривать; избыток воды делает вкус плоским; сернистость усиливается при хранении</x:v>
      </x:c>
      <x:c r="I50" s="28" t="str">
        <x:v>горячее блюдо, бульон, соус, пюре, ферментация или гарнир с зира</x:v>
      </x:c>
      <x:c r="J50" s="28" t="str">
        <x:v>Средняя</x:v>
      </x:c>
      <x:c r="K50" s="28" t="str">
        <x:v>Тезариус вкусов (Ники Сегнит)(1).pdf</x:v>
      </x:c>
      <x:c r="L50" s="28" t="str">
        <x:v>Тезариус вкусов (Ники Сегнит)(1).pdf: 220, 322</x:v>
      </x:c>
    </x:row>
    <x:row r="51" ht="66" customHeight="1">
      <x:c r="A51" s="28" t="str">
        <x:v>VEG-0991</x:v>
      </x:c>
      <x:c r="B51" s="28" t="str">
        <x:v>цветная капуста</x:v>
      </x:c>
      <x:c r="C51" s="28" t="str">
        <x:v>каперсы</x:v>
      </x:c>
      <x:c r="D51" s="28" t="str">
        <x:v>Прочее</x:v>
      </x:c>
      <x:c r="E51" s="28" t="str">
        <x:v>сернистая или горчичная комплементарность</x:v>
      </x:c>
      <x:c r="F51" s="28" t="str">
        <x:v>Цветная капуста имеет профиль «мягко капустный, ореховый, сернистый и сливочный после запекания».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1" s="28" t="str">
        <x:v>не переваривать; избыток воды делает вкус плоским; сернистость усиливается при хранении</x:v>
      </x:c>
      <x:c r="I51" s="28" t="str">
        <x:v>горячее блюдо, бульон, соус, пюре, ферментация или гарнир с каперсы</x:v>
      </x:c>
      <x:c r="J51" s="28" t="str">
        <x:v>Средняя</x:v>
      </x:c>
      <x:c r="K51" s="28" t="str">
        <x:v>Тезариус вкусов (Ники Сегнит)(1).pdf</x:v>
      </x:c>
      <x:c r="L51" s="28" t="str">
        <x:v>Тезариус вкусов (Ники Сегнит)(1).pdf: 271, 322</x:v>
      </x:c>
    </x:row>
    <x:row r="52" ht="66" customHeight="1">
      <x:c r="A52" s="28" t="str">
        <x:v>VEG-0992</x:v>
      </x:c>
      <x:c r="B52" s="28" t="str">
        <x:v>цветная капуста</x:v>
      </x:c>
      <x:c r="C52" s="28" t="str">
        <x:v>кимчи</x:v>
      </x:c>
      <x:c r="D52" s="28" t="str">
        <x:v>Ферментированные продукты и соусы</x:v>
      </x:c>
      <x:c r="E52" s="28" t="str">
        <x:v>общие характерные молекулы; умами и солёный контраст; сернистая или горчичная комплементарность</x:v>
      </x:c>
      <x:c r="F52" s="28" t="str">
        <x:v>Цветная капуста имеет профиль «мягко капустный, ореховый, сернистый и сливочный после запекания». Партнёр «кимчи»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2" s="28" t="str">
        <x:v>не переваривать; избыток воды делает вкус плоским; сернистость усиливается при хранении</x:v>
      </x:c>
      <x:c r="I52" s="28" t="str">
        <x:v>горячее блюдо, бульон, соус, пюре, ферментация или гарнир с кимчи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305</x:v>
      </x:c>
    </x:row>
    <x:row r="53" ht="66" customHeight="1">
      <x:c r="A53" s="28" t="str">
        <x:v>VEG-0993</x:v>
      </x:c>
      <x:c r="B53" s="28" t="str">
        <x:v>цветная капуста</x:v>
      </x:c>
      <x:c r="C53" s="28" t="str">
        <x:v>клубника</x:v>
      </x:c>
      <x:c r="D53" s="28" t="str">
        <x:v>Фрукты и ягоды</x:v>
      </x:c>
      <x:c r="E53" s="28" t="str">
        <x:v>кислотно-сладкий баланс; сернистая или горчичная комплементарность</x:v>
      </x:c>
      <x:c r="F53" s="28" t="str">
        <x:v>Цветная капуста имеет профиль «мягко капустный, ореховый, сернистый и сливочный после запекания».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3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53" s="28" t="str">
        <x:v>горячее блюдо, бульон, соус, пюре, ферментация или гарнир с клубника</x:v>
      </x:c>
      <x:c r="J53" s="28" t="str">
        <x:v>Высокая</x:v>
      </x:c>
      <x:c r="K53" s="28" t="str">
        <x:v>The Art &amp; Science of Foodpairing.pdf</x:v>
      </x:c>
      <x:c r="L53" s="28" t="str">
        <x:v>The Art &amp; Science of Foodpairing.pdf: 67</x:v>
      </x:c>
    </x:row>
    <x:row r="54" ht="66" customHeight="1">
      <x:c r="A54" s="28" t="str">
        <x:v>VEG-0994</x:v>
      </x:c>
      <x:c r="B54" s="28" t="str">
        <x:v>цветная капуста</x:v>
      </x:c>
      <x:c r="C54" s="28" t="str">
        <x:v>корица</x:v>
      </x:c>
      <x:c r="D54" s="28" t="str">
        <x:v>Специи</x:v>
      </x:c>
      <x:c r="E54" s="28" t="str">
        <x:v>сернистая или горчичная комплементарность</x:v>
      </x:c>
      <x:c r="F54" s="28" t="str">
        <x:v>Цветная капуста имеет профиль «мягко капустный, ореховый, сернистый и сливочный после запекания».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4" s="28" t="str">
        <x:v>не переваривать; избыток воды делает вкус плоским; сернистость усиливается при хранении</x:v>
      </x:c>
      <x:c r="I54" s="28" t="str">
        <x:v>горячее блюдо, бульон, соус, пюре, ферментация или гарнир с корица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67</x:v>
      </x:c>
    </x:row>
    <x:row r="55" ht="66" customHeight="1">
      <x:c r="A55" s="28" t="str">
        <x:v>VEG-0995</x:v>
      </x:c>
      <x:c r="B55" s="28" t="str">
        <x:v>цветная капуста</x:v>
      </x:c>
      <x:c r="C55" s="28" t="str">
        <x:v>кофе</x:v>
      </x:c>
      <x:c r="D55" s="28" t="str">
        <x:v>Кофе</x:v>
      </x:c>
      <x:c r="E55" s="28" t="str">
        <x:v>общие характерные молекулы; пересечение ароматических семейств; сернистая или горчичная комплементарность</x:v>
      </x:c>
      <x:c r="F55" s="28" t="str">
        <x:v>Цветная капуста имеет профиль «мягко капустный, ореховый, сернистый и сливочный после запекания».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5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I55" s="28" t="str">
        <x:v>горячее блюдо, бульон, соус, пюре, ферментация или гарнир с кофе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297</x:v>
      </x:c>
    </x:row>
    <x:row r="56" ht="66" customHeight="1">
      <x:c r="A56" s="28" t="str">
        <x:v>VEG-0996</x:v>
      </x:c>
      <x:c r="B56" s="28" t="str">
        <x:v>цветная капуста</x:v>
      </x:c>
      <x:c r="C56" s="28" t="str">
        <x:v>миндаль</x:v>
      </x:c>
      <x:c r="D56" s="28" t="str">
        <x:v>Орехи и семена</x:v>
      </x:c>
      <x:c r="E56" s="28" t="str">
        <x:v>общие характерные молекулы; пересечение ароматических семейств; сернистая или горчичная комплементарность</x:v>
      </x:c>
      <x:c r="F56" s="28" t="str">
        <x:v>Цветная капуста имеет профиль «мягко капустный, ореховый, сернистый и сливочный после запекания». Партнёр «миндаль» относится к группе «Орехи и семена» и даёт жареный, миндальный,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6" s="28" t="str">
        <x:v>не переваривать; избыток воды делает вкус плоским; сернистость усиливается при хранении</x:v>
      </x:c>
      <x:c r="I56" s="28" t="str">
        <x:v>горячее блюдо, бульон, соус, пюре, ферментация или гарнир с миндаль</x:v>
      </x:c>
      <x:c r="J56" s="28" t="str">
        <x:v>Средняя</x:v>
      </x:c>
      <x:c r="K56" s="28" t="str">
        <x:v>Тезариус вкусов (Ники Сегнит)(1).pdf</x:v>
      </x:c>
      <x:c r="L56" s="28" t="str">
        <x:v>Тезариус вкусов (Ники Сегнит)(1).pdf: 324, 648</x:v>
      </x:c>
    </x:row>
    <x:row r="57" ht="66" customHeight="1">
      <x:c r="A57" s="28" t="str">
        <x:v>VEG-0997</x:v>
      </x:c>
      <x:c r="B57" s="28" t="str">
        <x:v>цветная капуста</x:v>
      </x:c>
      <x:c r="C57" s="28" t="str">
        <x:v>моллюски</x:v>
      </x:c>
      <x:c r="D57" s="28" t="str">
        <x:v>Рыба и морепродукты</x:v>
      </x:c>
      <x:c r="E57" s="28" t="str">
        <x:v>умами и солёный контраст; сернистая или горчичная комплементарность</x:v>
      </x:c>
      <x:c r="F57" s="28" t="str">
        <x:v>Цветная капуста имеет профиль «мягко капустный, ореховый, сернистый и сливочный после запекания».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7" s="28" t="str">
        <x:v>не переваривать; избыток воды делает вкус плоским; сернистость усиливается при хранении</x:v>
      </x:c>
      <x:c r="I57" s="28" t="str">
        <x:v>горячее блюдо, бульон, соус, пюре, ферментация или гарнир с моллюски</x:v>
      </x:c>
      <x:c r="J57" s="28" t="str">
        <x:v>Средняя</x:v>
      </x:c>
      <x:c r="K57" s="28" t="str">
        <x:v>Тезариус вкусов (Ники Сегнит)(1).pdf</x:v>
      </x:c>
      <x:c r="L57" s="28" t="str">
        <x:v>Тезариус вкусов (Ники Сегнит)(1).pdf: 324, 377</x:v>
      </x:c>
    </x:row>
    <x:row r="58" ht="66" customHeight="1">
      <x:c r="A58" s="28" t="str">
        <x:v>VEG-0998</x:v>
      </x:c>
      <x:c r="B58" s="28" t="str">
        <x:v>цветная капуста</x:v>
      </x:c>
      <x:c r="C58" s="28" t="str">
        <x:v>мускатный орех</x:v>
      </x:c>
      <x:c r="D58" s="28" t="str">
        <x:v>Рыба и морепродукты</x:v>
      </x:c>
      <x:c r="E58" s="28" t="str">
        <x:v>пересечение ароматических семейств; умами и солёный контраст; сернистая или горчичная комплементарность</x:v>
      </x:c>
      <x:c r="F58" s="28" t="str">
        <x:v>Цветная капуста имеет профиль «мягко капустный, ореховый, сернистый и сливочный после запекания».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8" s="28" t="str">
        <x:v>не переваривать; избыток воды делает вкус плоским; сернистость усиливается при хранении</x:v>
      </x:c>
      <x:c r="I58" s="28" t="str">
        <x:v>горячее блюдо, бульон, соус, пюре, ферментация или гарнир с мускатный орех</x:v>
      </x:c>
      <x:c r="J58" s="28" t="str">
        <x:v>Средняя</x:v>
      </x:c>
      <x:c r="K58" s="28" t="str">
        <x:v>Тезариус вкусов (Ники Сегнит)(1).pdf</x:v>
      </x:c>
      <x:c r="L58" s="28" t="str">
        <x:v>Тезариус вкусов (Ники Сегнит)(1).pdf: 325, 592</x:v>
      </x:c>
    </x:row>
    <x:row r="59" ht="66" customHeight="1">
      <x:c r="A59" s="28" t="str">
        <x:v>VEG-0999</x:v>
      </x:c>
      <x:c r="B59" s="28" t="str">
        <x:v>цветная капуста</x:v>
      </x:c>
      <x:c r="C59" s="28" t="str">
        <x:v>сливочное масло</x:v>
      </x:c>
      <x:c r="D59" s="28" t="str">
        <x:v>Фрукты и ягоды</x:v>
      </x:c>
      <x:c r="E59" s="28" t="str">
        <x:v>пересечение ароматических семейств; кислотно-сладкий баланс; сернистая или горчичная комплементарность</x:v>
      </x:c>
      <x:c r="F59" s="28" t="str">
        <x:v>Цветная капуста имеет профиль «мягко капустный, ореховый, сернистый и сливочный после запекания». Партнёр «сливочное масло» относится к группе «Фрукты и ягоды» и даёт жирный, сливочный. Профили пересекаются в семействах: сливочный.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9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59" s="28" t="str">
        <x:v>горячее блюдо, бульон, соус, пюре, ферментация или гарнир с сливочное масло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67</x:v>
      </x:c>
    </x:row>
    <x:row r="60" ht="66" customHeight="1">
      <x:c r="A60" s="28" t="str">
        <x:v>VEG-1000</x:v>
      </x:c>
      <x:c r="B60" s="28" t="str">
        <x:v>цветная капуста</x:v>
      </x:c>
      <x:c r="C60" s="28" t="str">
        <x:v>твердый сыр</x:v>
      </x:c>
      <x:c r="D60" s="28" t="str">
        <x:v>Молочные продукты и сыры</x:v>
      </x:c>
      <x:c r="E60" s="28" t="str">
        <x:v>жировая матрица; сернистая или горчичная комплементарность</x:v>
      </x:c>
      <x:c r="F60" s="28" t="str">
        <x:v>Цветная капуста имеет профиль «мягко капустный, ореховый, сернистый и сливочный после запекания».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60" s="28" t="str">
        <x:v>не переваривать; избыток воды делает вкус плоским; сернистость усиливается при хранении; жир способен приглушить свежую зелёную ароматику</x:v>
      </x:c>
      <x:c r="I60" s="28" t="str">
        <x:v>горячее блюдо, бульон, соус, пюре, ферментация или гарнир с твердый сыр</x:v>
      </x:c>
      <x:c r="J60" s="28" t="str">
        <x:v>Средняя</x:v>
      </x:c>
      <x:c r="K60" s="28" t="str">
        <x:v>Тезариус вкусов (Ники Сегнит)(1).pdf</x:v>
      </x:c>
      <x:c r="L60" s="28" t="str">
        <x:v>Тезариус вкусов (Ники Сегнит)(1).pdf: 177, 325</x:v>
      </x:c>
    </x:row>
    <x:row r="61" ht="66" customHeight="1">
      <x:c r="A61" s="28" t="str">
        <x:v>VEG-1001</x:v>
      </x:c>
      <x:c r="B61" s="28" t="str">
        <x:v>цветная капуста</x:v>
      </x:c>
      <x:c r="C61" s="28" t="str">
        <x:v>трюфель</x:v>
      </x:c>
      <x:c r="D61" s="28" t="str">
        <x:v>Грибы</x:v>
      </x:c>
      <x:c r="E61" s="28" t="str">
        <x:v>умами и солёный контраст; сернистая или горчичная комплементарность</x:v>
      </x:c>
      <x:c r="F61" s="28" t="str">
        <x:v>Цветная капуста имеет профиль «мягко капустный, ореховый, сернистый и сливочный после запекания».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61" s="28" t="str">
        <x:v>не переваривать; избыток воды делает вкус плоским; сернистость усиливается при хранении</x:v>
      </x:c>
      <x:c r="I61" s="28" t="str">
        <x:v>горячее блюдо, бульон, соус, пюре, ферментация или гарнир с трюфель</x:v>
      </x:c>
      <x:c r="J61" s="28" t="str">
        <x:v>Средняя</x:v>
      </x:c>
      <x:c r="K61" s="28" t="str">
        <x:v>Тезариус вкусов (Ники Сегнит)(1).pdf</x:v>
      </x:c>
      <x:c r="L61" s="28" t="str">
        <x:v>Тезариус вкусов (Ники Сегнит)(1).pdf: 306, 326</x:v>
      </x:c>
    </x:row>
    <x:row r="62" ht="66" customHeight="1">
      <x:c r="A62" s="28" t="str">
        <x:v>VEG-1002</x:v>
      </x:c>
      <x:c r="B62" s="28" t="str">
        <x:v>цветная капуста</x:v>
      </x:c>
      <x:c r="C62" s="28" t="str">
        <x:v>тюрбо</x:v>
      </x:c>
      <x:c r="D62" s="28" t="str">
        <x:v>Прочее</x:v>
      </x:c>
      <x:c r="E62" s="28" t="str">
        <x:v>сернистая или горчичная комплементарность</x:v>
      </x:c>
      <x:c r="F62" s="28" t="str">
        <x:v>Цветная капуста имеет профиль «мягко капустный, ореховый, сернистый и сливочный после запекания». Партнёр «тюрбо»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62" s="28" t="str">
        <x:v>не переваривать; избыток воды делает вкус плоским; сернистость усиливается при хранении</x:v>
      </x:c>
      <x:c r="I62" s="28" t="str">
        <x:v>горячее блюдо, бульон, соус, пюре, ферментация или гарнир с тюрбо</x:v>
      </x:c>
      <x:c r="J62" s="28" t="str">
        <x:v>Высокая</x:v>
      </x:c>
      <x:c r="K62" s="28" t="str">
        <x:v>The Art &amp; Science of Foodpairing.pdf</x:v>
      </x:c>
      <x:c r="L62" s="28" t="str">
        <x:v>The Art &amp; Science of Foodpairing.pdf: 66</x:v>
      </x:c>
    </x:row>
    <x:row r="63" ht="66" customHeight="1">
      <x:c r="A63" s="28" t="str">
        <x:v>VEG-1003</x:v>
      </x:c>
      <x:c r="B63" s="28" t="str">
        <x:v>цветная капуста</x:v>
      </x:c>
      <x:c r="C63" s="28" t="str">
        <x:v>черная икра</x:v>
      </x:c>
      <x:c r="D63" s="28" t="str">
        <x:v>Рыба и морепродукты</x:v>
      </x:c>
      <x:c r="E63" s="28" t="str">
        <x:v>умами и солёный контраст; сернистая или горчичная комплементарность</x:v>
      </x:c>
      <x:c r="F63" s="28" t="str">
        <x:v>Цветная капуста имеет профиль «мягко капустный, ореховый, сернистый и сливочный после запекания». Партнёр «черная икра»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63" s="28" t="str">
        <x:v>не переваривать; избыток воды делает вкус плоским; сернистость усиливается при хранении</x:v>
      </x:c>
      <x:c r="I63" s="28" t="str">
        <x:v>горячее блюдо, бульон, соус, пюре, ферментация или гарнир с черная икра</x:v>
      </x:c>
      <x:c r="J63" s="28" t="str">
        <x:v>Средняя</x:v>
      </x:c>
      <x:c r="K63" s="28" t="str">
        <x:v>Тезариус вкусов (Ники Сегнит)(1).pdf</x:v>
      </x:c>
      <x:c r="L63" s="28" t="str">
        <x:v>Тезариус вкусов (Ники Сегнит)(1).pdf: 326, 408</x:v>
      </x:c>
    </x:row>
    <x:row r="64" ht="66" customHeight="1">
      <x:c r="A64" s="28" t="str">
        <x:v>VEG-1004</x:v>
      </x:c>
      <x:c r="B64" s="28" t="str">
        <x:v>цветная капуста</x:v>
      </x:c>
      <x:c r="C64" s="28" t="str">
        <x:v>чили</x:v>
      </x:c>
      <x:c r="D64" s="28" t="str">
        <x:v>Специи</x:v>
      </x:c>
      <x:c r="E64" s="28" t="str">
        <x:v>сернистая или горчичная комплементарность</x:v>
      </x:c>
      <x:c r="F64" s="28" t="str">
        <x:v>Цветная капуста имеет профиль «мягко капустный, ореховый, сернистый и сливочный после запекания».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64" s="28" t="str">
        <x:v>не переваривать; избыток воды делает вкус плоским; сернистость усиливается при хранении</x:v>
      </x:c>
      <x:c r="I64" s="28" t="str">
        <x:v>горячее блюдо, бульон, соус, пюре, ферментация или гарнир с чили</x:v>
      </x:c>
      <x:c r="J64" s="28" t="str">
        <x:v>Средняя</x:v>
      </x:c>
      <x:c r="K64" s="28" t="str">
        <x:v>Тезариус вкусов (Ники Сегнит)(1).pdf</x:v>
      </x:c>
      <x:c r="L64" s="28" t="str">
        <x:v>Тезариус вкусов (Ники Сегнит)(1).pdf: 327, 560</x:v>
      </x:c>
    </x:row>
    <x:row r="65" ht="66" customHeight="1">
      <x:c r="A65" s="28" t="str">
        <x:v>VEG-1005</x:v>
      </x:c>
      <x:c r="B65" s="28" t="str">
        <x:v>цветная капуста</x:v>
      </x:c>
      <x:c r="C65" s="28" t="str">
        <x:v>шафран</x:v>
      </x:c>
      <x:c r="D65" s="28" t="str">
        <x:v>Специи</x:v>
      </x:c>
      <x:c r="E65" s="28" t="str">
        <x:v>сернистая или горчичная комплементарность</x:v>
      </x:c>
      <x:c r="F65" s="28" t="str">
        <x:v>Цветная капуста имеет профиль «мягко капустный, ореховый, сернистый и сливочный после запекания».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65" s="28" t="str">
        <x:v>не переваривать; избыток воды делает вкус плоским; сернистость усиливается при хранении</x:v>
      </x:c>
      <x:c r="I65" s="28" t="str">
        <x:v>горячее блюдо, бульон, соус, пюре, ферментация или гарнир с шафран</x:v>
      </x:c>
      <x:c r="J65" s="28" t="str">
        <x:v>Средняя</x:v>
      </x:c>
      <x:c r="K65" s="28" t="str">
        <x:v>Тезариус вкусов (Ники Сегнит)(1).pdf</x:v>
      </x:c>
      <x:c r="L65" s="28" t="str">
        <x:v>Тезариус вкусов (Ники Сегнит)(1).pdf: 327, 477</x:v>
      </x:c>
    </x:row>
    <x:row r="66" ht="66" customHeight="1">
      <x:c r="A66" s="28" t="str">
        <x:v>VEG-1006</x:v>
      </x:c>
      <x:c r="B66" s="28" t="str">
        <x:v>цветная капуста</x:v>
      </x:c>
      <x:c r="C66" s="28" t="str">
        <x:v>шоколад</x:v>
      </x:c>
      <x:c r="D66" s="28" t="str">
        <x:v>Какао и шоколад</x:v>
      </x:c>
      <x:c r="E66" s="28" t="str">
        <x:v>общие характерные молекулы; сернистая или горчичная комплементарность</x:v>
      </x:c>
      <x:c r="F66" s="28" t="str">
        <x:v>Цветная капуста имеет профиль «мягко капустный, ореховый, сернистый и сливочный после запекания».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66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I66" s="28" t="str">
        <x:v>горячее блюдо, бульон, соус, пюре, ферментация или гарнир с шоколад</x:v>
      </x:c>
      <x:c r="J66" s="28" t="str">
        <x:v>Высокая</x:v>
      </x:c>
      <x:c r="K66" s="28" t="str">
        <x:v>The Art &amp; Science of Foodpairing.pdf | Тезариус вкусов (Ники Сегнит)(1).pdf</x:v>
      </x:c>
      <x:c r="L66" s="28" t="str">
        <x:v>Тезариус вкусов (Ники Сегнит)(1).pdf: 37, 327; The Art &amp; Science of Foodpairing.pdf: 61, 63</x:v>
      </x:c>
    </x:row>
  </x:sheetData>
  <x:conditionalFormatting sqref="J2:J66">
    <x:cfRule type="expression" dxfId="9" priority="1">
      <x:formula>J2="Высокая"</x:formula>
    </x:cfRule>
    <x:cfRule type="expression" dxfId="10" priority="2">
      <x:formula>J2="Средняя"</x:formula>
    </x:cfRule>
    <x:cfRule type="expression" dxfId="11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d5200b831c44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VEG-0418</x:v>
      </x:c>
      <x:c r="B2" s="28" t="str">
        <x:v>лук</x:v>
      </x:c>
      <x:c r="C2" s="28" t="str">
        <x:v>«черный пудинг»</x:v>
      </x:c>
      <x:c r="D2" s="28" t="str">
        <x:v>Прочее</x:v>
      </x:c>
      <x:c r="E2" s="28" t="str">
        <x:v>сернистая или горчичная комплементарность</x:v>
      </x:c>
      <x:c r="F2" s="28" t="str">
        <x:v>Лук имеет профиль «сернистый, сладкий, зелёный; после жарки — карамельный и мясной». Партнёр ««черный пудинг»»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" s="28" t="str">
        <x:v>сырой лук легко перекрывает деликатные ароматы; подгорание создаёт устойчивую горечь</x:v>
      </x:c>
      <x:c r="I2" s="28" t="str">
        <x:v>горячее блюдо, бульон, соус, пюре, ферментация или гарнир с «черный пудинг»</x:v>
      </x:c>
      <x:c r="J2" s="28" t="str">
        <x:v>Средняя</x:v>
      </x:c>
      <x:c r="K2" s="28" t="str">
        <x:v>Тезариус вкусов (Ники Сегнит)(1).pdf</x:v>
      </x:c>
      <x:c r="L2" s="28" t="str">
        <x:v>Тезариус вкусов (Ники Сегнит)(1).pdf: 94, 288</x:v>
      </x:c>
    </x:row>
    <x:row r="3" ht="66" customHeight="1">
      <x:c r="A3" s="28" t="str">
        <x:v>VEG-0419</x:v>
      </x:c>
      <x:c r="B3" s="28" t="str">
        <x:v>лук</x:v>
      </x:c>
      <x:c r="C3" s="28" t="str">
        <x:v>анчоусы</x:v>
      </x:c>
      <x:c r="D3" s="28" t="str">
        <x:v>Рыба и морепродукты</x:v>
      </x:c>
      <x:c r="E3" s="28" t="str">
        <x:v>умами и солёный контраст; сернистая или горчичная комплементарность</x:v>
      </x:c>
      <x:c r="F3" s="28" t="str">
        <x:v>Лук имеет профиль «сернистый, сладкий, зелёный; после жарки — карамельный и мясной».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" s="28" t="str">
        <x:v>сырой лук легко перекрывает деликатные ароматы; подгорание создаёт устойчивую горечь</x:v>
      </x:c>
      <x:c r="I3" s="28" t="str">
        <x:v>горячее блюдо, бульон, соус, пюре, ферментация или гарнир с анчоусы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278, 428</x:v>
      </x:c>
    </x:row>
    <x:row r="4" ht="66" customHeight="1">
      <x:c r="A4" s="28" t="str">
        <x:v>VEG-0420</x:v>
      </x:c>
      <x:c r="B4" s="28" t="str">
        <x:v>лук</x:v>
      </x:c>
      <x:c r="C4" s="28" t="str">
        <x:v>апельсин</x:v>
      </x:c>
      <x:c r="D4" s="28" t="str">
        <x:v>Фрукты и ягоды</x:v>
      </x:c>
      <x:c r="E4" s="28" t="str">
        <x:v>пересечение ароматических семейств; кислотно-сладкий баланс; сернистая или горчичная комплементарность</x:v>
      </x:c>
      <x:c r="F4" s="28" t="str">
        <x:v>Лук имеет профиль «сернистый, сладкий, зелёный; после жарки — карамельный и мясной».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4" s="28" t="str">
        <x:v>сырой лук легко перекрывает деликатные ароматы; подгорание создаёт устойчивую горечь; избыток кислоты или воды может сделать овощной вкус тонким и разрушить сливочную эмульсию</x:v>
      </x:c>
      <x:c r="I4" s="28" t="str">
        <x:v>горячее блюдо, бульон, соус, пюре, ферментация или гарнир с апельсин</x:v>
      </x:c>
      <x:c r="J4" s="28" t="str">
        <x:v>Средняя</x:v>
      </x:c>
      <x:c r="K4" s="28" t="str">
        <x:v>Тезариус вкусов (Ники Сегнит)(1).pdf</x:v>
      </x:c>
      <x:c r="L4" s="28" t="str">
        <x:v>Тезариус вкусов (Ники Сегнит)(1).pdf: 280, 777</x:v>
      </x:c>
    </x:row>
    <x:row r="5" ht="66" customHeight="1">
      <x:c r="A5" s="28" t="str">
        <x:v>VEG-0421</x:v>
      </x:c>
      <x:c r="B5" s="28" t="str">
        <x:v>лук</x:v>
      </x:c>
      <x:c r="C5" s="28" t="str">
        <x:v>баранина</x:v>
      </x:c>
      <x:c r="D5" s="28" t="str">
        <x:v>Мясо и птица</x:v>
      </x:c>
      <x:c r="E5" s="28" t="str">
        <x:v>пересечение ароматических семейств; умами и солёный контраст; сернистая или горчичная комплементарность</x:v>
      </x:c>
      <x:c r="F5" s="28" t="str">
        <x:v>Лук имеет профиль «сернистый, сладкий, зелёный; после жарки — карамельный и мясной». Партнёр «баранина»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5" s="28" t="str">
        <x:v>сырой лук легко перекрывает деликатные ароматы; подгорание создаёт устойчивую горечь</x:v>
      </x:c>
      <x:c r="I5" s="28" t="str">
        <x:v>горячее блюдо, бульон, соус, пюре, ферментация или гарнир с баранина</x:v>
      </x:c>
      <x:c r="J5" s="28" t="str">
        <x:v>Средняя</x:v>
      </x:c>
      <x:c r="K5" s="28" t="str">
        <x:v>Тезариус вкусов (Ники Сегнит)(1).pdf</x:v>
      </x:c>
      <x:c r="L5" s="28" t="str">
        <x:v>Тезариус вкусов (Ники Сегнит)(1).pdf: 130, 280</x:v>
      </x:c>
    </x:row>
    <x:row r="6" ht="66" customHeight="1">
      <x:c r="A6" s="28" t="str">
        <x:v>VEG-0422</x:v>
      </x:c>
      <x:c r="B6" s="28" t="str">
        <x:v>лук</x:v>
      </x:c>
      <x:c r="C6" s="28" t="str">
        <x:v>бекон</x:v>
      </x:c>
      <x:c r="D6" s="28" t="str">
        <x:v>Мясо и птица</x:v>
      </x:c>
      <x:c r="E6" s="28" t="str">
        <x:v>пересечение ароматических семейств; умами и солёный контраст; сернистая или горчичная комплементарность</x:v>
      </x:c>
      <x:c r="F6" s="28" t="str">
        <x:v>Лук имеет профиль «сернистый, сладкий, зелёный; после жарки — карамельный и мясной». Партнёр «бекон» относится к группе «Мясо и птица» и даёт дымный, жареный,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6" s="28" t="str">
        <x:v>сырой лук легко перекрывает деликатные ароматы; подгорание создаёт устойчивую горечь</x:v>
      </x:c>
      <x:c r="I6" s="28" t="str">
        <x:v>горячее блюдо, бульон, соус, пюре, ферментация или гарнир с бекон</x:v>
      </x:c>
      <x:c r="J6" s="28" t="str">
        <x:v>Средняя</x:v>
      </x:c>
      <x:c r="K6" s="28" t="str">
        <x:v>Тезариус вкусов (Ники Сегнит)(1).pdf</x:v>
      </x:c>
      <x:c r="L6" s="28" t="str">
        <x:v>Тезариус вкусов (Ники Сегнит)(1).pdf: 281, 445</x:v>
      </x:c>
    </x:row>
    <x:row r="7" ht="66" customHeight="1">
      <x:c r="A7" s="28" t="str">
        <x:v>VEG-0423</x:v>
      </x:c>
      <x:c r="B7" s="28" t="str">
        <x:v>лук</x:v>
      </x:c>
      <x:c r="C7" s="28" t="str">
        <x:v>болгарский перец</x:v>
      </x:c>
      <x:c r="D7" s="28" t="str">
        <x:v>Плодовые овощи</x:v>
      </x:c>
      <x:c r="E7" s="28" t="str">
        <x:v>пересечение ароматических семейств; сернистая или горчичная комплементарность</x:v>
      </x:c>
      <x:c r="F7" s="28" t="str">
        <x:v>Лук имеет профиль «сернистый, сладкий, зелёный; после жарки — карамельный и мясной».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7" s="28" t="str">
        <x:v>сырой лук легко перекрывает деликатные ароматы; подгорание создаёт устойчивую горечь</x:v>
      </x:c>
      <x:c r="I7" s="28" t="str">
        <x:v>горячее блюдо, бульон, соус, пюре, ферментация или гарнир с болгарский перец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281, 547</x:v>
      </x:c>
    </x:row>
    <x:row r="8" ht="66" customHeight="1">
      <x:c r="A8" s="28" t="str">
        <x:v>VEG-0424</x:v>
      </x:c>
      <x:c r="B8" s="28" t="str">
        <x:v>лук</x:v>
      </x:c>
      <x:c r="C8" s="28" t="str">
        <x:v>гвоздика</x:v>
      </x:c>
      <x:c r="D8" s="28" t="str">
        <x:v>Специи</x:v>
      </x:c>
      <x:c r="E8" s="28" t="str">
        <x:v>сернистая или горчичная комплементарность</x:v>
      </x:c>
      <x:c r="F8" s="28" t="str">
        <x:v>Лук имеет профиль «сернистый, сладкий, зелёный; после жарки — карамельный и мясной».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8" s="28" t="str">
        <x:v>сырой лук легко перекрывает деликатные ароматы; подгорание создаёт устойчивую горечь</x:v>
      </x:c>
      <x:c r="I8" s="28" t="str">
        <x:v>горячее блюдо, бульон, соус, пюре, ферментация или гарнир с гвоздика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282, 584</x:v>
      </x:c>
    </x:row>
    <x:row r="9" ht="66" customHeight="1">
      <x:c r="A9" s="28" t="str">
        <x:v>VEG-0425</x:v>
      </x:c>
      <x:c r="B9" s="28" t="str">
        <x:v>лук</x:v>
      </x:c>
      <x:c r="C9" s="28" t="str">
        <x:v>говядина</x:v>
      </x:c>
      <x:c r="D9" s="28" t="str">
        <x:v>Мясо и птица</x:v>
      </x:c>
      <x:c r="E9" s="28" t="str">
        <x:v>пересечение ароматических семейств; умами и солёный контраст; сернистая или горчичная комплементарность</x:v>
      </x:c>
      <x:c r="F9" s="28" t="str">
        <x:v>Лук имеет профиль «сернистый, сладкий, зелёный; после жарки — карамельный и мясной». Партнёр «говядина»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9" s="28" t="str">
        <x:v>сырой лук легко перекрывает деликатные ароматы; подгорание создаёт устойчивую горечь</x:v>
      </x:c>
      <x:c r="I9" s="28" t="str">
        <x:v>горячее блюдо, бульон, соус, пюре, ферментация или гарнир с говядина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113, 283</x:v>
      </x:c>
    </x:row>
    <x:row r="10" ht="66" customHeight="1">
      <x:c r="A10" s="28" t="str">
        <x:v>VEG-0426</x:v>
      </x:c>
      <x:c r="B10" s="28" t="str">
        <x:v>лук</x:v>
      </x:c>
      <x:c r="C10" s="28" t="str">
        <x:v>горох</x:v>
      </x:c>
      <x:c r="D10" s="28" t="str">
        <x:v>Бобовые</x:v>
      </x:c>
      <x:c r="E10" s="28" t="str">
        <x:v>пересечение ароматических семейств; сернистая или горчичная комплементарность</x:v>
      </x:c>
      <x:c r="F10" s="28" t="str">
        <x:v>Лук имеет профиль «сернистый, сладкий, зелёный; после жарки — карамельный и мясной». Партнёр «горох» относится к группе «Бобовые» и даёт зелёный, сладкий, бобовый и слегка цветочный.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0" s="28" t="str">
        <x:v>сырой лук легко перекрывает деликатные ароматы; подгорание создаёт устойчивую горечь</x:v>
      </x:c>
      <x:c r="I10" s="28" t="str">
        <x:v>горячее блюдо, бульон, соус, пюре, ферментация или гарнир с горох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283, 538</x:v>
      </x:c>
    </x:row>
    <x:row r="11" ht="66" customHeight="1">
      <x:c r="A11" s="28" t="str">
        <x:v>VEG-0427</x:v>
      </x:c>
      <x:c r="B11" s="28" t="str">
        <x:v>лук</x:v>
      </x:c>
      <x:c r="C11" s="28" t="str">
        <x:v>жирная рыба</x:v>
      </x:c>
      <x:c r="D11" s="28" t="str">
        <x:v>Рыба и морепродукты</x:v>
      </x:c>
      <x:c r="E11" s="28" t="str">
        <x:v>умами и солёный контраст; сернистая или горчичная комплементарность</x:v>
      </x:c>
      <x:c r="F11" s="28" t="str">
        <x:v>Лук имеет профиль «сернистый, сладкий, зелёный; после жарки — карамельный и мясной».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1" s="28" t="str">
        <x:v>сырой лук легко перекрывает деликатные ароматы; подгорание создаёт устойчивую горечь</x:v>
      </x:c>
      <x:c r="I11" s="28" t="str">
        <x:v>горячее блюдо, бульон, соус, пюре, ферментация или гарнир с жирная рыба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283, 414</x:v>
      </x:c>
    </x:row>
    <x:row r="12" ht="66" customHeight="1">
      <x:c r="A12" s="28" t="str">
        <x:v>VEG-0428</x:v>
      </x:c>
      <x:c r="B12" s="28" t="str">
        <x:v>лук</x:v>
      </x:c>
      <x:c r="C12" s="28" t="str">
        <x:v>имбирь</x:v>
      </x:c>
      <x:c r="D12" s="28" t="str">
        <x:v>Специи</x:v>
      </x:c>
      <x:c r="E12" s="28" t="str">
        <x:v>сернистая или горчичная комплементарность</x:v>
      </x:c>
      <x:c r="F12" s="28" t="str">
        <x:v>Лук имеет профиль «сернистый, сладкий, зелёный; после жарки — карамельный и мясной».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2" s="28" t="str">
        <x:v>сырой лук легко перекрывает деликатные ароматы; подгорание создаёт устойчивую горечь</x:v>
      </x:c>
      <x:c r="I12" s="28" t="str">
        <x:v>горячее блюдо, бульон, соус, пюре, ферментация или гарнир с имбирь</x:v>
      </x:c>
      <x:c r="J12" s="28" t="str">
        <x:v>Высокая</x:v>
      </x:c>
      <x:c r="K12" s="28" t="str">
        <x:v>The Art &amp; Science of Foodpairing.pdf | Тезариус вкусов (Ники Сегнит)(1).pdf</x:v>
      </x:c>
      <x:c r="L12" s="28" t="str">
        <x:v>Тезариус вкусов (Ники Сегнит)(1).pdf: 283, 813, 818; The Art &amp; Science of Foodpairing.pdf: 142</x:v>
      </x:c>
    </x:row>
    <x:row r="13" ht="66" customHeight="1">
      <x:c r="A13" s="28" t="str">
        <x:v>VEG-0429</x:v>
      </x:c>
      <x:c r="B13" s="28" t="str">
        <x:v>лук</x:v>
      </x:c>
      <x:c r="C13" s="28" t="str">
        <x:v>капуста</x:v>
      </x:c>
      <x:c r="D13" s="28" t="str">
        <x:v>Крестоцветные</x:v>
      </x:c>
      <x:c r="E13" s="28" t="str">
        <x:v>пересечение ароматических семейств; сернистая или горчичная комплементарность</x:v>
      </x:c>
      <x:c r="F13" s="28" t="str">
        <x:v>Лук имеет профиль «сернистый, сладкий, зелёный; после жарки — карамельный и мясной».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3" s="28" t="str">
        <x:v>сырой лук легко перекрывает деликатные ароматы; подгорание создаёт устойчивую горечь</x:v>
      </x:c>
      <x:c r="I13" s="28" t="str">
        <x:v>горячее блюдо, бульон, соус, пюре, ферментация или гарнир с капуста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284, 311</x:v>
      </x:c>
    </x:row>
    <x:row r="14" ht="66" customHeight="1">
      <x:c r="A14" s="28" t="str">
        <x:v>VEG-0430</x:v>
      </x:c>
      <x:c r="B14" s="28" t="str">
        <x:v>лук</x:v>
      </x:c>
      <x:c r="C14" s="28" t="str">
        <x:v>копченая рыба</x:v>
      </x:c>
      <x:c r="D14" s="28" t="str">
        <x:v>Рыба и морепродукты</x:v>
      </x:c>
      <x:c r="E14" s="28" t="str">
        <x:v>умами и солёный контраст; сернистая или горчичная комплементарность</x:v>
      </x:c>
      <x:c r="F14" s="28" t="str">
        <x:v>Лук имеет профиль «сернистый, сладкий, зелёный; после жарки — карамельный и мясной».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4" s="28" t="str">
        <x:v>сырой лук легко перекрывает деликатные ароматы; подгорание создаёт устойчивую горечь</x:v>
      </x:c>
      <x:c r="I14" s="28" t="str">
        <x:v>горячее блюдо, бульон, соус, пюре, ферментация или гарнир с копченая рыба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284, 437</x:v>
      </x:c>
    </x:row>
    <x:row r="15" ht="66" customHeight="1">
      <x:c r="A15" s="28" t="str">
        <x:v>VEG-0431</x:v>
      </x:c>
      <x:c r="B15" s="28" t="str">
        <x:v>лук</x:v>
      </x:c>
      <x:c r="C15" s="28" t="str">
        <x:v>морковь</x:v>
      </x:c>
      <x:c r="D15" s="28" t="str">
        <x:v>Корнеплоды</x:v>
      </x:c>
      <x:c r="E15" s="28" t="str">
        <x:v>пересечение ароматических семейств; сернистая или горчичная комплементарность</x:v>
      </x:c>
      <x:c r="F15" s="28" t="str">
        <x:v>Лук имеет профиль «сернистый, сладкий, зелёный; после жарки — карамельный и мясной».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5" s="28" t="str">
        <x:v>сырой лук легко перекрывает деликатные ароматы; подгорание создаёт устойчивую горечь</x:v>
      </x:c>
      <x:c r="I15" s="28" t="str">
        <x:v>горячее блюдо, бульон, соус, пюре, ферментация или гарнир с морковь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284, 605</x:v>
      </x:c>
    </x:row>
    <x:row r="16" ht="66" customHeight="1">
      <x:c r="A16" s="28" t="str">
        <x:v>VEG-0432</x:v>
      </x:c>
      <x:c r="B16" s="28" t="str">
        <x:v>лук</x:v>
      </x:c>
      <x:c r="C16" s="28" t="str">
        <x:v>мускатный орех</x:v>
      </x:c>
      <x:c r="D16" s="28" t="str">
        <x:v>Рыба и морепродукты</x:v>
      </x:c>
      <x:c r="E16" s="28" t="str">
        <x:v>умами и солёный контраст; сернистая или горчичная комплементарность</x:v>
      </x:c>
      <x:c r="F16" s="28" t="str">
        <x:v>Лук имеет профиль «сернистый, сладкий, зелёный; после жарки — карамельный и мясной».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6" s="28" t="str">
        <x:v>сырой лук легко перекрывает деликатные ароматы; подгорание создаёт устойчивую горечь</x:v>
      </x:c>
      <x:c r="I16" s="28" t="str">
        <x:v>горячее блюдо, бульон, соус, пюре, ферментация или гарнир с мускатный орех</x:v>
      </x:c>
      <x:c r="J16" s="28" t="str">
        <x:v>Средняя</x:v>
      </x:c>
      <x:c r="K16" s="28" t="str">
        <x:v>Тезариус вкусов (Ники Сегнит)(1).pdf</x:v>
      </x:c>
      <x:c r="L16" s="28" t="str">
        <x:v>Тезариус вкусов (Ники Сегнит)(1).pdf: 284, 588</x:v>
      </x:c>
    </x:row>
    <x:row r="17" ht="66" customHeight="1">
      <x:c r="A17" s="28" t="str">
        <x:v>VEG-0433</x:v>
      </x:c>
      <x:c r="B17" s="28" t="str">
        <x:v>лук</x:v>
      </x:c>
      <x:c r="C17" s="28" t="str">
        <x:v>мята</x:v>
      </x:c>
      <x:c r="D17" s="28" t="str">
        <x:v>Травы, цветы и листья</x:v>
      </x:c>
      <x:c r="E17" s="28" t="str">
        <x:v>сернистая или горчичная комплементарность</x:v>
      </x:c>
      <x:c r="F17" s="28" t="str">
        <x:v>Лук имеет профиль «сернистый, сладкий, зелёный; после жарки — карамельный и мясной».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7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17" s="28" t="str">
        <x:v>горячее блюдо, бульон, соус, пюре, ферментация или гарнир с мята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285, 869</x:v>
      </x:c>
    </x:row>
    <x:row r="18" ht="66" customHeight="1">
      <x:c r="A18" s="28" t="str">
        <x:v>VEG-0434</x:v>
      </x:c>
      <x:c r="B18" s="28" t="str">
        <x:v>лук</x:v>
      </x:c>
      <x:c r="C18" s="28" t="str">
        <x:v>огурец</x:v>
      </x:c>
      <x:c r="D18" s="28" t="str">
        <x:v>Тыквенные</x:v>
      </x:c>
      <x:c r="E18" s="28" t="str">
        <x:v>сернистая или горчичная комплементарность</x:v>
      </x:c>
      <x:c r="F18" s="28" t="str">
        <x:v>Лук имеет профиль «сернистый, сладкий, зелёный; после жарки — карамельный и мясной».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8" s="28" t="str">
        <x:v>сырой лук легко перекрывает деликатные ароматы; подгорание создаёт устойчивую горечь</x:v>
      </x:c>
      <x:c r="I18" s="28" t="str">
        <x:v>горячее блюдо, бульон, соус, пюре, ферментация или гарнир с огурец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286, 493</x:v>
      </x:c>
    </x:row>
    <x:row r="19" ht="66" customHeight="1">
      <x:c r="A19" s="28" t="str">
        <x:v>VEG-0435</x:v>
      </x:c>
      <x:c r="B19" s="28" t="str">
        <x:v>лук</x:v>
      </x:c>
      <x:c r="C19" s="28" t="str">
        <x:v>оливки</x:v>
      </x:c>
      <x:c r="D19" s="28" t="str">
        <x:v>Прочее</x:v>
      </x:c>
      <x:c r="E19" s="28" t="str">
        <x:v>сернистая или горчичная комплементарность</x:v>
      </x:c>
      <x:c r="F19" s="28" t="str">
        <x:v>Лук имеет профиль «сернистый, сладкий, зелёный; после жарки — карамельный и мясной».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19" s="28" t="str">
        <x:v>сырой лук легко перекрывает деликатные ароматы; подгорание создаёт устойчивую горечь</x:v>
      </x:c>
      <x:c r="I19" s="28" t="str">
        <x:v>горячее блюдо, бульон, соус, пюре, ферментация или гарнир с оливки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216</x:v>
      </x:c>
    </x:row>
    <x:row r="20" ht="66" customHeight="1">
      <x:c r="A20" s="28" t="str">
        <x:v>VEG-0436</x:v>
      </x:c>
      <x:c r="B20" s="28" t="str">
        <x:v>лук</x:v>
      </x:c>
      <x:c r="C20" s="28" t="str">
        <x:v>печень</x:v>
      </x:c>
      <x:c r="D20" s="28" t="str">
        <x:v>Мясо и птица</x:v>
      </x:c>
      <x:c r="E20" s="28" t="str">
        <x:v>пересечение ароматических семейств; умами и солёный контраст; сернистая или горчичная комплементарность</x:v>
      </x:c>
      <x:c r="F20" s="28" t="str">
        <x:v>Лук имеет профиль «сернистый, сладкий, зелёный; после жарки — карамельный и мясной». Партнёр «печень»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0" s="28" t="str">
        <x:v>сырой лук легко перекрывает деликатные ароматы; подгорание создаёт устойчивую горечь</x:v>
      </x:c>
      <x:c r="I20" s="28" t="str">
        <x:v>горячее блюдо, бульон, соус, пюре, ферментация или гарнир с печень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101, 286</x:v>
      </x:c>
    </x:row>
    <x:row r="21" ht="66" customHeight="1">
      <x:c r="A21" s="28" t="str">
        <x:v>VEG-0437</x:v>
      </x:c>
      <x:c r="B21" s="28" t="str">
        <x:v>лук</x:v>
      </x:c>
      <x:c r="C21" s="28" t="str">
        <x:v>розмарин</x:v>
      </x:c>
      <x:c r="D21" s="28" t="str">
        <x:v>Травы, цветы и листья</x:v>
      </x:c>
      <x:c r="E21" s="28" t="str">
        <x:v>сернистая или горчичная комплементарность</x:v>
      </x:c>
      <x:c r="F21" s="28" t="str">
        <x:v>Лук имеет профиль «сернистый, сладкий, зелёный; после жарки — карамельный и мясной».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1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21" s="28" t="str">
        <x:v>горячее блюдо, бульон, соус, пюре, ферментация или гарнир с розмарин</x:v>
      </x:c>
      <x:c r="J21" s="28" t="str">
        <x:v>Средняя</x:v>
      </x:c>
      <x:c r="K21" s="28" t="str">
        <x:v>Тезариус вкусов (Ники Сегнит)(1).pdf</x:v>
      </x:c>
      <x:c r="L21" s="28" t="str">
        <x:v>Тезариус вкусов (Ники Сегнит)(1).pdf: 286, 837</x:v>
      </x:c>
    </x:row>
    <x:row r="22" ht="66" customHeight="1">
      <x:c r="A22" s="28" t="str">
        <x:v>VEG-0438</x:v>
      </x:c>
      <x:c r="B22" s="28" t="str">
        <x:v>лук</x:v>
      </x:c>
      <x:c r="C22" s="28" t="str">
        <x:v>свинина</x:v>
      </x:c>
      <x:c r="D22" s="28" t="str">
        <x:v>Мясо и птица</x:v>
      </x:c>
      <x:c r="E22" s="28" t="str">
        <x:v>пересечение ароматических семейств; умами и солёный контраст; сернистая или горчичная комплементарность</x:v>
      </x:c>
      <x:c r="F22" s="28" t="str">
        <x:v>Лук имеет профиль «сернистый, сладкий, зелёный; после жарки — карамельный и мясной». Партнёр «свинина»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2" s="28" t="str">
        <x:v>сырой лук легко перекрывает деликатные ароматы; подгорание создаёт устойчивую горечь</x:v>
      </x:c>
      <x:c r="I22" s="28" t="str">
        <x:v>горячее блюдо, бульон, соус, пюре, ферментация или гарнир с свинина</x:v>
      </x:c>
      <x:c r="J22" s="28" t="str">
        <x:v>Средняя</x:v>
      </x:c>
      <x:c r="K22" s="28" t="str">
        <x:v>Тезариус вкусов (Ники Сегнит)(1).pdf</x:v>
      </x:c>
      <x:c r="L22" s="28" t="str">
        <x:v>Тезариус вкусов (Ники Сегнит)(1).pdf: 86, 287</x:v>
      </x:c>
    </x:row>
    <x:row r="23" ht="66" customHeight="1">
      <x:c r="A23" s="28" t="str">
        <x:v>VEG-0439</x:v>
      </x:c>
      <x:c r="B23" s="28" t="str">
        <x:v>лук</x:v>
      </x:c>
      <x:c r="C23" s="28" t="str">
        <x:v>твердый сыр</x:v>
      </x:c>
      <x:c r="D23" s="28" t="str">
        <x:v>Молочные продукты и сыры</x:v>
      </x:c>
      <x:c r="E23" s="28" t="str">
        <x:v>жировая матрица; сернистая или горчичная комплементарность</x:v>
      </x:c>
      <x:c r="F23" s="28" t="str">
        <x:v>Лук имеет профиль «сернистый, сладкий, зелёный; после жарки — карамельный и мясной».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3" s="28" t="str">
        <x:v>сырой лук легко перекрывает деликатные ароматы; подгорание создаёт устойчивую горечь; жир способен приглушить свежую зелёную ароматику</x:v>
      </x:c>
      <x:c r="I23" s="28" t="str">
        <x:v>горячее блюдо, бульон, соус, пюре, ферментация или гарнир с твердый сыр</x:v>
      </x:c>
      <x:c r="J23" s="28" t="str">
        <x:v>Средняя</x:v>
      </x:c>
      <x:c r="K23" s="28" t="str">
        <x:v>Тезариус вкусов (Ники Сегнит)(1).pdf</x:v>
      </x:c>
      <x:c r="L23" s="28" t="str">
        <x:v>Тезариус вкусов (Ники Сегнит)(1).pdf: 173, 288</x:v>
      </x:c>
    </x:row>
    <x:row r="24" ht="66" customHeight="1">
      <x:c r="A24" s="28" t="str">
        <x:v>VEG-0440</x:v>
      </x:c>
      <x:c r="B24" s="28" t="str">
        <x:v>лук</x:v>
      </x:c>
      <x:c r="C24" s="28" t="str">
        <x:v>тимьян</x:v>
      </x:c>
      <x:c r="D24" s="28" t="str">
        <x:v>Травы, цветы и листья</x:v>
      </x:c>
      <x:c r="E24" s="28" t="str">
        <x:v>сернистая или горчичная комплементарность</x:v>
      </x:c>
      <x:c r="F24" s="28" t="str">
        <x:v>Лук имеет профиль «сернистый, сладкий, зелёный; после жарки — карамельный и мясной».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4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24" s="28" t="str">
        <x:v>горячее блюдо, бульон, соус, пюре, ферментация или гарнир с тимьян</x:v>
      </x:c>
      <x:c r="J24" s="28" t="str">
        <x:v>Средняя</x:v>
      </x:c>
      <x:c r="K24" s="28" t="str">
        <x:v>Тезариус вкусов (Ники Сегнит)(1).pdf</x:v>
      </x:c>
      <x:c r="L24" s="28" t="str">
        <x:v>Тезариус вкусов (Ники Сегнит)(1).pdf: 288, 858</x:v>
      </x:c>
    </x:row>
    <x:row r="25" ht="66" customHeight="1">
      <x:c r="A25" s="28" t="str">
        <x:v>VEG-0441</x:v>
      </x:c>
      <x:c r="B25" s="28" t="str">
        <x:v>лук</x:v>
      </x:c>
      <x:c r="C25" s="28" t="str">
        <x:v>томат</x:v>
      </x:c>
      <x:c r="D25" s="28" t="str">
        <x:v>Плодовые овощи</x:v>
      </x:c>
      <x:c r="E25" s="28" t="str">
        <x:v>пересечение ароматических семейств; сернистая или горчичная комплементарность</x:v>
      </x:c>
      <x:c r="F25" s="28" t="str">
        <x:v>Лук имеет профиль «сернистый, сладкий, зелёный; после жарки — карамельный и мясной». Партнёр «томат» относится к группе «Плодовые овощи» и даёт зелёный, фруктовый, листовой, сернистый и умами.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5" s="28" t="str">
        <x:v>сырой лук легко перекрывает деликатные ароматы; подгорание создаёт устойчивую горечь</x:v>
      </x:c>
      <x:c r="I25" s="28" t="str">
        <x:v>горячее блюдо, бульон, соус, пюре, ферментация или гарнир с томат</x:v>
      </x:c>
      <x:c r="J25" s="28" t="str">
        <x:v>Средняя</x:v>
      </x:c>
      <x:c r="K25" s="28" t="str">
        <x:v>Тезариус вкусов (Ники Сегнит)(1).pdf</x:v>
      </x:c>
      <x:c r="L25" s="28" t="str">
        <x:v>Тезариус вкусов (Ники Сегнит)(1).pdf: 288, 687</x:v>
      </x:c>
    </x:row>
    <x:row r="26" ht="66" customHeight="1">
      <x:c r="A26" s="28" t="str">
        <x:v>VEG-0442</x:v>
      </x:c>
      <x:c r="B26" s="28" t="str">
        <x:v>лук</x:v>
      </x:c>
      <x:c r="C26" s="28" t="str">
        <x:v>устрицы</x:v>
      </x:c>
      <x:c r="D26" s="28" t="str">
        <x:v>Рыба и морепродукты</x:v>
      </x:c>
      <x:c r="E26" s="28" t="str">
        <x:v>умами и солёный контраст; сернистая или горчичная комплементарность</x:v>
      </x:c>
      <x:c r="F26" s="28" t="str">
        <x:v>Лук имеет профиль «сернистый, сладкий, зелёный; после жарки — карамельный и мясной».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6" s="28" t="str">
        <x:v>сырой лук легко перекрывает деликатные ароматы; подгорание создаёт устойчивую горечь</x:v>
      </x:c>
      <x:c r="I26" s="28" t="str">
        <x:v>горячее блюдо, бульон, соус, пюре, ферментация или гарнир с устрицы</x:v>
      </x:c>
      <x:c r="J26" s="28" t="str">
        <x:v>Средняя</x:v>
      </x:c>
      <x:c r="K26" s="28" t="str">
        <x:v>Тезариус вкусов (Ники Сегнит)(1).pdf</x:v>
      </x:c>
      <x:c r="L26" s="28" t="str">
        <x:v>Тезариус вкусов (Ники Сегнит)(1).pdf: 288, 398</x:v>
      </x:c>
    </x:row>
    <x:row r="27" ht="66" customHeight="1">
      <x:c r="A27" s="28" t="str">
        <x:v>VEG-0443</x:v>
      </x:c>
      <x:c r="B27" s="28" t="str">
        <x:v>лук</x:v>
      </x:c>
      <x:c r="C27" s="28" t="str">
        <x:v>цветная капуста</x:v>
      </x:c>
      <x:c r="D27" s="28" t="str">
        <x:v>Крестоцветные</x:v>
      </x:c>
      <x:c r="E27" s="28" t="str">
        <x:v>пересечение ароматических семейств; сернистая или горчичная комплементарность</x:v>
      </x:c>
      <x:c r="F27" s="28" t="str">
        <x:v>Лук имеет профиль «сернистый, сладкий, зелёный; после жарки — карамельный и мясной». Партнёр «цветная капуста» относится к группе «Крестоцветные» и даёт мягко капустный, ореховый, сернистый и сливочный после запекания.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7" s="28" t="str">
        <x:v>сырой лук легко перекрывает деликатные ароматы; подгорание создаёт устойчивую горечь</x:v>
      </x:c>
      <x:c r="I27" s="28" t="str">
        <x:v>горячее блюдо, бульон, соус, пюре, ферментация или гарнир с цветная капуста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67</x:v>
      </x:c>
    </x:row>
    <x:row r="28" ht="66" customHeight="1">
      <x:c r="A28" s="28" t="str">
        <x:v>VEG-0444</x:v>
      </x:c>
      <x:c r="B28" s="28" t="str">
        <x:v>лук</x:v>
      </x:c>
      <x:c r="C28" s="28" t="str">
        <x:v>цыпленок</x:v>
      </x:c>
      <x:c r="D28" s="28" t="str">
        <x:v>Прочее</x:v>
      </x:c>
      <x:c r="E28" s="28" t="str">
        <x:v>сернистая или горчичная комплементарность</x:v>
      </x:c>
      <x:c r="F28" s="28" t="str">
        <x:v>Лук имеет профиль «сернистый, сладкий, зелёный; после жарки — карамельный и мясной».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8" s="28" t="str">
        <x:v>сырой лук легко перекрывает деликатные ароматы; подгорание создаёт устойчивую горечь</x:v>
      </x:c>
      <x:c r="I28" s="28" t="str">
        <x:v>горячее блюдо, бульон, соус, пюре, ферментация или гарнир с цыпленок</x:v>
      </x:c>
      <x:c r="J28" s="28" t="str">
        <x:v>Средняя</x:v>
      </x:c>
      <x:c r="K28" s="28" t="str">
        <x:v>Тезариус вкусов (Ники Сегнит)(1).pdf</x:v>
      </x:c>
      <x:c r="L28" s="28" t="str">
        <x:v>Тезариус вкусов (Ники Сегнит)(1).pdf: 69, 288</x:v>
      </x:c>
    </x:row>
    <x:row r="29" ht="66" customHeight="1">
      <x:c r="A29" s="28" t="str">
        <x:v>VEG-0445</x:v>
      </x:c>
      <x:c r="B29" s="28" t="str">
        <x:v>лук</x:v>
      </x:c>
      <x:c r="C29" s="28" t="str">
        <x:v>чеснок</x:v>
      </x:c>
      <x:c r="D29" s="28" t="str">
        <x:v>Луковые овощи</x:v>
      </x:c>
      <x:c r="E29" s="28" t="str">
        <x:v>общие характерные молекулы; пересечение ароматических семейств; сернистая или горчичная комплементарность</x:v>
      </x:c>
      <x:c r="F29" s="28" t="str">
        <x:v>Лук имеет профиль «сернистый, сладкий, зелёный; после жарки — карамельный и мясной». Партнёр «чеснок» относится к группе «Луковые овощи» и даёт резкий сернистый, зелёный и мясной; после запекания — сладкий и ореховый. Вероятный молекулярный мост: диаллилдисульфид.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29" s="28" t="str">
        <x:v>сырой лук легко перекрывает деликатные ароматы; подгорание создаёт устойчивую горечь</x:v>
      </x:c>
      <x:c r="I29" s="28" t="str">
        <x:v>горячее блюдо, бульон, соус, пюре, ферментация или гарнир с чеснок</x:v>
      </x:c>
      <x:c r="J29" s="28" t="str">
        <x:v>Средняя</x:v>
      </x:c>
      <x:c r="K29" s="28" t="str">
        <x:v>Тезариус вкусов (Ники Сегнит)(1).pdf</x:v>
      </x:c>
      <x:c r="L29" s="28" t="str">
        <x:v>Тезариус вкусов (Ники Сегнит)(1).pdf: 288, 294</x:v>
      </x:c>
    </x:row>
    <x:row r="30" ht="66" customHeight="1">
      <x:c r="A30" s="28" t="str">
        <x:v>VEG-0446</x:v>
      </x:c>
      <x:c r="B30" s="28" t="str">
        <x:v>лук</x:v>
      </x:c>
      <x:c r="C30" s="28" t="str">
        <x:v>шалфей</x:v>
      </x:c>
      <x:c r="D30" s="28" t="str">
        <x:v>Травы, цветы и листья</x:v>
      </x:c>
      <x:c r="E30" s="28" t="str">
        <x:v>сернистая или горчичная комплементарность</x:v>
      </x:c>
      <x:c r="F30" s="28" t="str">
        <x:v>Лук имеет профиль «сернистый, сладкий, зелёный; после жарки — карамельный и мясной».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0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0" s="28" t="str">
        <x:v>горячее блюдо, бульон, соус, пюре, ферментация или гарнир с шалфей</x:v>
      </x:c>
      <x:c r="J30" s="28" t="str">
        <x:v>Средняя</x:v>
      </x:c>
      <x:c r="K30" s="28" t="str">
        <x:v>Тезариус вкусов (Ники Сегнит)(1).pdf</x:v>
      </x:c>
      <x:c r="L30" s="28" t="str">
        <x:v>Тезариус вкусов (Ники Сегнит)(1).pdf: 288, 844</x:v>
      </x:c>
    </x:row>
    <x:row r="31" ht="66" customHeight="1">
      <x:c r="A31" s="28" t="str">
        <x:v>VEG-0447</x:v>
      </x:c>
      <x:c r="B31" s="28" t="str">
        <x:v>лук</x:v>
      </x:c>
      <x:c r="C31" s="28" t="str">
        <x:v>яйца</x:v>
      </x:c>
      <x:c r="D31" s="28" t="str">
        <x:v>Прочее</x:v>
      </x:c>
      <x:c r="E31" s="28" t="str">
        <x:v>сернистая или горчичная комплементарность</x:v>
      </x:c>
      <x:c r="F31" s="28" t="str">
        <x:v>Лук имеет профиль «сернистый, сладкий, зелёный; после жарки — карамельный и мясной».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1" s="28" t="str">
        <x:v>сырой лук легко перекрывает деликатные ароматы; подгорание создаёт устойчивую горечь</x:v>
      </x:c>
      <x:c r="I31" s="28" t="str">
        <x:v>горячее блюдо, бульон, соус, пюре, ферментация или гарнир с яйца</x:v>
      </x:c>
      <x:c r="J31" s="28" t="str">
        <x:v>Средняя</x:v>
      </x:c>
      <x:c r="K31" s="28" t="str">
        <x:v>Тезариус вкусов (Ники Сегнит)(1).pdf</x:v>
      </x:c>
      <x:c r="L31" s="28" t="str">
        <x:v>Тезариус вкусов (Ники Сегнит)(1).pdf: 289, 355</x:v>
      </x:c>
    </x:row>
    <x:row r="32" ht="66" customHeight="1">
      <x:c r="A32" s="28" t="str">
        <x:v>VEG-1007</x:v>
      </x:c>
      <x:c r="B32" s="28" t="str">
        <x:v>чеснок</x:v>
      </x:c>
      <x:c r="C32" s="28" t="str">
        <x:v>айва</x:v>
      </x:c>
      <x:c r="D32" s="28" t="str">
        <x:v>Прочее</x:v>
      </x:c>
      <x:c r="E32" s="28" t="str">
        <x:v>сернистая или горчичная комплементарность</x:v>
      </x:c>
      <x:c r="F32" s="28" t="str">
        <x:v>Чеснок имеет профиль «резкий сернистый, зелёный и мясной; после запекания — сладкий и ореховый». Партнёр «айва»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32" s="28" t="str">
        <x:v>сырой чеснок быстро доминирует; пережжённый чеснок очень горький; хранить и обрабатывать по пищевым нормам</x:v>
      </x:c>
      <x:c r="I32" s="28" t="str">
        <x:v>горячее блюдо, бульон, соус, пюре, ферментация или гарнир с айва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114</x:v>
      </x:c>
    </x:row>
    <x:row r="33" ht="66" customHeight="1">
      <x:c r="A33" s="28" t="str">
        <x:v>VEG-1008</x:v>
      </x:c>
      <x:c r="B33" s="28" t="str">
        <x:v>чеснок</x:v>
      </x:c>
      <x:c r="C33" s="28" t="str">
        <x:v>анчоусы</x:v>
      </x:c>
      <x:c r="D33" s="28" t="str">
        <x:v>Рыба и морепродукты</x:v>
      </x:c>
      <x:c r="E33" s="28" t="str">
        <x:v>пересечение ароматических семейств; умами и солёный контраст; сернистая или горчичная комплементарность</x:v>
      </x:c>
      <x:c r="F33" s="28" t="str">
        <x:v>Чеснок имеет профиль «резкий сернистый, зелёный и мясной; после запекания — сладкий и ореховый». Партнёр «анчоусы»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33" s="28" t="str">
        <x:v>сырой чеснок быстро доминирует; пережжённый чеснок очень горький; хранить и обрабатывать по пищевым нормам</x:v>
      </x:c>
      <x:c r="I33" s="28" t="str">
        <x:v>горячее блюдо, бульон, соус, пюре, ферментация или гарнир с анчоусы</x:v>
      </x:c>
      <x:c r="J33" s="28" t="str">
        <x:v>Средняя</x:v>
      </x:c>
      <x:c r="K33" s="28" t="str">
        <x:v>Тезариус вкусов (Ники Сегнит)(1).pdf</x:v>
      </x:c>
      <x:c r="L33" s="28" t="str">
        <x:v>Тезариус вкусов (Ники Сегнит)(1).pdf: 291, 431</x:v>
      </x:c>
    </x:row>
    <x:row r="34" ht="66" customHeight="1">
      <x:c r="A34" s="28" t="str">
        <x:v>VEG-1009</x:v>
      </x:c>
      <x:c r="B34" s="28" t="str">
        <x:v>чеснок</x:v>
      </x:c>
      <x:c r="C34" s="28" t="str">
        <x:v>арахис</x:v>
      </x:c>
      <x:c r="D34" s="28" t="str">
        <x:v>Орехи и семена</x:v>
      </x:c>
      <x:c r="E34" s="28" t="str">
        <x:v>пересечение ароматических семейств; сернистая или горчичная комплементарность</x:v>
      </x:c>
      <x:c r="F34" s="28" t="str">
        <x:v>Чеснок имеет профиль «резкий сернистый, зелёный и мясной; после запекания — сладкий и ореховый». Партнёр «арахис»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34" s="28" t="str">
        <x:v>сырой чеснок быстро доминирует; пережжённый чеснок очень горький; хранить и обрабатывать по пищевым нормам</x:v>
      </x:c>
      <x:c r="I34" s="28" t="str">
        <x:v>горячее блюдо, бульон, соус, пюре, ферментация или гарнир с арахис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113, 114</x:v>
      </x:c>
    </x:row>
    <x:row r="35" ht="66" customHeight="1">
      <x:c r="A35" s="28" t="str">
        <x:v>VEG-1010</x:v>
      </x:c>
      <x:c r="B35" s="28" t="str">
        <x:v>чеснок</x:v>
      </x:c>
      <x:c r="C35" s="28" t="str">
        <x:v>арахисовая паста</x:v>
      </x:c>
      <x:c r="D35" s="28" t="str">
        <x:v>Орехи и семена</x:v>
      </x:c>
      <x:c r="E35" s="28" t="str">
        <x:v>пересечение ароматических семейств; сернистая или горчичная комплементарность</x:v>
      </x:c>
      <x:c r="F35" s="28" t="str">
        <x:v>Чеснок имеет профиль «резкий сернистый, зелёный и мясной; после запекания — сладкий и ореховый». Партнёр «арахисовая паста»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35" s="28" t="str">
        <x:v>сырой чеснок быстро доминирует; пережжённый чеснок очень горький; хранить и обрабатывать по пищевым нормам</x:v>
      </x:c>
      <x:c r="I35" s="28" t="str">
        <x:v>горячее блюдо, бульон, соус, пюре, ферментация или гарнир с арахисовая паста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114</x:v>
      </x:c>
    </x:row>
    <x:row r="36" ht="66" customHeight="1">
      <x:c r="A36" s="28" t="str">
        <x:v>VEG-1011</x:v>
      </x:c>
      <x:c r="B36" s="28" t="str">
        <x:v>чеснок</x:v>
      </x:c>
      <x:c r="C36" s="28" t="str">
        <x:v>артишок</x:v>
      </x:c>
      <x:c r="D36" s="28" t="str">
        <x:v>Соцветия и стеблевые овощи</x:v>
      </x:c>
      <x:c r="E36" s="28" t="str">
        <x:v>сернистая или горчичная комплементарность</x:v>
      </x:c>
      <x:c r="F36" s="28" t="str">
        <x:v>Чеснок имеет профиль «резкий сернистый, зелёный и мясной; после запекания — сладкий и ореховый». Партнёр «артишок» относится к группе «Соцветия и стеблевые овощи» и даёт зелёный, ореховый, травянистый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36" s="28" t="str">
        <x:v>сырой чеснок быстро доминирует; пережжённый чеснок очень горький; хранить и обрабатывать по пищевым нормам</x:v>
      </x:c>
      <x:c r="I36" s="28" t="str">
        <x:v>горячее блюдо, бульон, соус, пюре, ферментация или гарнир с артишок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114</x:v>
      </x:c>
    </x:row>
    <x:row r="37" ht="66" customHeight="1">
      <x:c r="A37" s="28" t="str">
        <x:v>VEG-1012</x:v>
      </x:c>
      <x:c r="B37" s="28" t="str">
        <x:v>чеснок</x:v>
      </x:c>
      <x:c r="C37" s="28" t="str">
        <x:v>базилик</x:v>
      </x:c>
      <x:c r="D37" s="28" t="str">
        <x:v>Травы, цветы и листья</x:v>
      </x:c>
      <x:c r="E37" s="28" t="str">
        <x:v>сернистая или горчичная комплементарность</x:v>
      </x:c>
      <x:c r="F37" s="28" t="str">
        <x:v>Чеснок имеет профиль «резкий сернистый, зелёный и мясной; после запекания — сладкий и ореховый».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37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37" s="28" t="str">
        <x:v>горячее блюдо, бульон, соус, пюре, ферментация или гарнир с базилик</x:v>
      </x:c>
      <x:c r="J37" s="28" t="str">
        <x:v>Средняя</x:v>
      </x:c>
      <x:c r="K37" s="28" t="str">
        <x:v>Тезариус вкусов (Ники Сегнит)(1).pdf</x:v>
      </x:c>
      <x:c r="L37" s="28" t="str">
        <x:v>Тезариус вкусов (Ники Сегнит)(1).pdf: 291, 570</x:v>
      </x:c>
    </x:row>
    <x:row r="38" ht="66" customHeight="1">
      <x:c r="A38" s="28" t="str">
        <x:v>VEG-1013</x:v>
      </x:c>
      <x:c r="B38" s="28" t="str">
        <x:v>чеснок</x:v>
      </x:c>
      <x:c r="C38" s="28" t="str">
        <x:v>баранина</x:v>
      </x:c>
      <x:c r="D38" s="28" t="str">
        <x:v>Мясо и птица</x:v>
      </x:c>
      <x:c r="E38" s="28" t="str">
        <x:v>пересечение ароматических семейств; умами и солёный контраст; сернистая или горчичная комплементарность</x:v>
      </x:c>
      <x:c r="F38" s="28" t="str">
        <x:v>Чеснок имеет профиль «резкий сернистый, зелёный и мясной; после запекания — сладкий и ореховый». Партнёр «баранина»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38" s="28" t="str">
        <x:v>сырой чеснок быстро доминирует; пережжённый чеснок очень горький; хранить и обрабатывать по пищевым нормам</x:v>
      </x:c>
      <x:c r="I38" s="28" t="str">
        <x:v>горячее блюдо, бульон, соус, пюре, ферментация или гарнир с баранина</x:v>
      </x:c>
      <x:c r="J38" s="28" t="str">
        <x:v>Высокая</x:v>
      </x:c>
      <x:c r="K38" s="28" t="str">
        <x:v>The Art &amp; Science of Foodpairing.pdf | Тезариус вкусов (Ники Сегнит)(1).pdf</x:v>
      </x:c>
      <x:c r="L38" s="28" t="str">
        <x:v>Тезариус вкусов (Ники Сегнит)(1).pdf: 133, 292; The Art &amp; Science of Foodpairing.pdf: 113, 114</x:v>
      </x:c>
    </x:row>
    <x:row r="39" ht="66" customHeight="1">
      <x:c r="A39" s="28" t="str">
        <x:v>VEG-1014</x:v>
      </x:c>
      <x:c r="B39" s="28" t="str">
        <x:v>чеснок</x:v>
      </x:c>
      <x:c r="C39" s="28" t="str">
        <x:v>бекон</x:v>
      </x:c>
      <x:c r="D39" s="28" t="str">
        <x:v>Мясо и птица</x:v>
      </x:c>
      <x:c r="E39" s="28" t="str">
        <x:v>пересечение ароматических семейств; умами и солёный контраст; сернистая или горчичная комплементарность</x:v>
      </x:c>
      <x:c r="F39" s="28" t="str">
        <x:v>Чеснок имеет профиль «резкий сернистый, зелёный и мясной; после запекания — сладкий и ореховый». Партнёр «бекон» относится к группе «Мясо и птица» и даёт дымный, жареный,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39" s="28" t="str">
        <x:v>сырой чеснок быстро доминирует; пережжённый чеснок очень горький; хранить и обрабатывать по пищевым нормам</x:v>
      </x:c>
      <x:c r="I39" s="28" t="str">
        <x:v>горячее блюдо, бульон, соус, пюре, ферментация или гарнир с бекон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113</x:v>
      </x:c>
    </x:row>
    <x:row r="40" ht="66" customHeight="1">
      <x:c r="A40" s="28" t="str">
        <x:v>VEG-1015</x:v>
      </x:c>
      <x:c r="B40" s="28" t="str">
        <x:v>чеснок</x:v>
      </x:c>
      <x:c r="C40" s="28" t="str">
        <x:v>белая рыба</x:v>
      </x:c>
      <x:c r="D40" s="28" t="str">
        <x:v>Рыба и морепродукты</x:v>
      </x:c>
      <x:c r="E40" s="28" t="str">
        <x:v>пересечение ароматических семейств; умами и солёный контраст; сернистая или горчичная комплементарность</x:v>
      </x:c>
      <x:c r="F40" s="28" t="str">
        <x:v>Чеснок имеет профиль «резкий сернистый, зелёный и мясной; после запекания — сладкий и ореховый».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0" s="28" t="str">
        <x:v>сырой чеснок быстро доминирует; пережжённый чеснок очень горький; хранить и обрабатывать по пищевым нормам</x:v>
      </x:c>
      <x:c r="I40" s="28" t="str">
        <x:v>горячее блюдо, бульон, соус, пюре, ферментация или гарнир с белая рыба</x:v>
      </x:c>
      <x:c r="J40" s="28" t="str">
        <x:v>Средняя</x:v>
      </x:c>
      <x:c r="K40" s="28" t="str">
        <x:v>Тезариус вкусов (Ники Сегнит)(1).pdf</x:v>
      </x:c>
      <x:c r="L40" s="28" t="str">
        <x:v>Тезариус вкусов (Ники Сегнит)(1).pdf: 293, 393</x:v>
      </x:c>
    </x:row>
    <x:row r="41" ht="66" customHeight="1">
      <x:c r="A41" s="28" t="str">
        <x:v>VEG-1016</x:v>
      </x:c>
      <x:c r="B41" s="28" t="str">
        <x:v>чеснок</x:v>
      </x:c>
      <x:c r="C41" s="28" t="str">
        <x:v>болгарский перец</x:v>
      </x:c>
      <x:c r="D41" s="28" t="str">
        <x:v>Плодовые овощи</x:v>
      </x:c>
      <x:c r="E41" s="28" t="str">
        <x:v>сернистая или горчичная комплементарность</x:v>
      </x:c>
      <x:c r="F41" s="28" t="str">
        <x:v>Чеснок имеет профиль «резкий сернистый, зелёный и мясной; после запекания — сладкий и ореховый». Партнёр «болгарский перец» относится к группе «Плодовые овощи» и даёт зелёный, травянистый, фруктовый; у красного — сладкий и жареный.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1" s="28" t="str">
        <x:v>сырой чеснок быстро доминирует; пережжённый чеснок очень горький; хранить и обрабатывать по пищевым нормам</x:v>
      </x:c>
      <x:c r="I41" s="28" t="str">
        <x:v>горячее блюдо, бульон, соус, пюре, ферментация или гарнир с болгарский перец</x:v>
      </x:c>
      <x:c r="J41" s="28" t="str">
        <x:v>Высокая</x:v>
      </x:c>
      <x:c r="K41" s="28" t="str">
        <x:v>The Art &amp; Science of Foodpairing.pdf</x:v>
      </x:c>
      <x:c r="L41" s="28" t="str">
        <x:v>The Art &amp; Science of Foodpairing.pdf: 109, 113</x:v>
      </x:c>
    </x:row>
    <x:row r="42" ht="66" customHeight="1">
      <x:c r="A42" s="28" t="str">
        <x:v>VEG-1017</x:v>
      </x:c>
      <x:c r="B42" s="28" t="str">
        <x:v>чеснок</x:v>
      </x:c>
      <x:c r="C42" s="28" t="str">
        <x:v>брокколи</x:v>
      </x:c>
      <x:c r="D42" s="28" t="str">
        <x:v>Крестоцветные</x:v>
      </x:c>
      <x:c r="E42" s="28" t="str">
        <x:v>пересечение ароматических семейств; сернистая или горчичная комплементарность</x:v>
      </x:c>
      <x:c r="F42" s="28" t="str">
        <x:v>Чеснок имеет профиль «резкий сернистый, зелёный и мясной; после запекания — сладкий и ореховый». Партнёр «брокколи» относится к группе «Крестоцветные» и даёт зелёный, капустный, сернистый и ореховый после жарки.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2" s="28" t="str">
        <x:v>сырой чеснок быстро доминирует; пережжённый чеснок очень горький; хранить и обрабатывать по пищевым нормам</x:v>
      </x:c>
      <x:c r="I42" s="28" t="str">
        <x:v>горячее блюдо, бульон, соус, пюре, ферментация или гарнир с брокколи</x:v>
      </x:c>
      <x:c r="J42" s="28" t="str">
        <x:v>Высокая</x:v>
      </x:c>
      <x:c r="K42" s="28" t="str">
        <x:v>The Art &amp; Science of Foodpairing.pdf | Тезариус вкусов (Ники Сегнит)(1).pdf</x:v>
      </x:c>
      <x:c r="L42" s="28" t="str">
        <x:v>Тезариус вкусов (Ники Сегнит)(1).pdf: 293, 333; The Art &amp; Science of Foodpairing.pdf: 114</x:v>
      </x:c>
    </x:row>
    <x:row r="43" ht="66" customHeight="1">
      <x:c r="A43" s="28" t="str">
        <x:v>VEG-1018</x:v>
      </x:c>
      <x:c r="B43" s="28" t="str">
        <x:v>чеснок</x:v>
      </x:c>
      <x:c r="C43" s="28" t="str">
        <x:v>виноград</x:v>
      </x:c>
      <x:c r="D43" s="28" t="str">
        <x:v>Фрукты и ягоды</x:v>
      </x:c>
      <x:c r="E43" s="28" t="str">
        <x:v>кислотно-сладкий баланс; сернистая или горчичная комплементарность</x:v>
      </x:c>
      <x:c r="F43" s="28" t="str">
        <x:v>Чеснок имеет профиль «резкий сернистый, зелёный и мясной; после запекания — сладкий и ореховый».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43" s="28" t="str">
        <x:v>горячее блюдо, бульон, соус, пюре, ферментация или гарнир с виноград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113</x:v>
      </x:c>
    </x:row>
    <x:row r="44" ht="66" customHeight="1">
      <x:c r="A44" s="28" t="str">
        <x:v>VEG-1019</x:v>
      </x:c>
      <x:c r="B44" s="28" t="str">
        <x:v>чеснок</x:v>
      </x:c>
      <x:c r="C44" s="28" t="str">
        <x:v>водоросль кодиум</x:v>
      </x:c>
      <x:c r="D44" s="28" t="str">
        <x:v>Прочее</x:v>
      </x:c>
      <x:c r="E44" s="28" t="str">
        <x:v>сернистая или горчичная комплементарность</x:v>
      </x:c>
      <x:c r="F44" s="28" t="str">
        <x:v>Чеснок имеет профиль «резкий сернистый, зелёный и мясной; после запекания — сладкий и ореховый». Партнёр «водоросль кодиум»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4" s="28" t="str">
        <x:v>сырой чеснок быстро доминирует; пережжённый чеснок очень горький; хранить и обрабатывать по пищевым нормам</x:v>
      </x:c>
      <x:c r="I44" s="28" t="str">
        <x:v>горячее блюдо, бульон, соус, пюре, ферментация или гарнир с водоросль кодиум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113, 114</x:v>
      </x:c>
    </x:row>
    <x:row r="45" ht="66" customHeight="1">
      <x:c r="A45" s="28" t="str">
        <x:v>VEG-1020</x:v>
      </x:c>
      <x:c r="B45" s="28" t="str">
        <x:v>чеснок</x:v>
      </x:c>
      <x:c r="C45" s="28" t="str">
        <x:v>вьетнамский рыбный соус</x:v>
      </x:c>
      <x:c r="D45" s="28" t="str">
        <x:v>Рыба и морепродукты</x:v>
      </x:c>
      <x:c r="E45" s="28" t="str">
        <x:v>пересечение ароматических семейств; умами и солёный контраст; сернистая или горчичная комплементарность</x:v>
      </x:c>
      <x:c r="F45" s="28" t="str">
        <x:v>Чеснок имеет профиль «резкий сернистый, зелёный и мясной; после запекания — сладкий и ореховый». Партнёр «вьетнамский рыбный соус»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5" s="28" t="str">
        <x:v>сырой чеснок быстро доминирует; пережжённый чеснок очень горький; хранить и обрабатывать по пищевым нормам</x:v>
      </x:c>
      <x:c r="I45" s="28" t="str">
        <x:v>горячее блюдо, бульон, соус, пюре, ферментация или гарнир с вьетнамский рыбный соус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114</x:v>
      </x:c>
    </x:row>
    <x:row r="46" ht="66" customHeight="1">
      <x:c r="A46" s="28" t="str">
        <x:v>VEG-1021</x:v>
      </x:c>
      <x:c r="B46" s="28" t="str">
        <x:v>чеснок</x:v>
      </x:c>
      <x:c r="C46" s="28" t="str">
        <x:v>говядина</x:v>
      </x:c>
      <x:c r="D46" s="28" t="str">
        <x:v>Мясо и птица</x:v>
      </x:c>
      <x:c r="E46" s="28" t="str">
        <x:v>пересечение ароматических семейств; умами и солёный контраст; сернистая или горчичная комплементарность</x:v>
      </x:c>
      <x:c r="F46" s="28" t="str">
        <x:v>Чеснок имеет профиль «резкий сернистый, зелёный и мясной; после запекания — сладкий и ореховый». Партнёр «говядина»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6" s="28" t="str">
        <x:v>сырой чеснок быстро доминирует; пережжённый чеснок очень горький; хранить и обрабатывать по пищевым нормам</x:v>
      </x:c>
      <x:c r="I46" s="28" t="str">
        <x:v>горячее блюдо, бульон, соус, пюре, ферментация или гарнир с говядина</x:v>
      </x:c>
      <x:c r="J46" s="28" t="str">
        <x:v>Высокая</x:v>
      </x:c>
      <x:c r="K46" s="28" t="str">
        <x:v>The Art &amp; Science of Foodpairing.pdf | Тезариус вкусов (Ники Сегнит)(1).pdf</x:v>
      </x:c>
      <x:c r="L46" s="28" t="str">
        <x:v>Тезариус вкусов (Ники Сегнит)(1).pdf: 120, 293; The Art &amp; Science of Foodpairing.pdf: 113</x:v>
      </x:c>
    </x:row>
    <x:row r="47" ht="66" customHeight="1">
      <x:c r="A47" s="28" t="str">
        <x:v>VEG-1022</x:v>
      </x:c>
      <x:c r="B47" s="28" t="str">
        <x:v>чеснок</x:v>
      </x:c>
      <x:c r="C47" s="28" t="str">
        <x:v>говяжья вырезка</x:v>
      </x:c>
      <x:c r="D47" s="28" t="str">
        <x:v>Прочее</x:v>
      </x:c>
      <x:c r="E47" s="28" t="str">
        <x:v>сернистая или горчичная комплементарность</x:v>
      </x:c>
      <x:c r="F47" s="28" t="str">
        <x:v>Чеснок имеет профиль «резкий сернистый, зелёный и мясной; после запекания — сладкий и ореховый». Партнёр «говяжья вырезка»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7" s="28" t="str">
        <x:v>сырой чеснок быстро доминирует; пережжённый чеснок очень горький; хранить и обрабатывать по пищевым нормам</x:v>
      </x:c>
      <x:c r="I47" s="28" t="str">
        <x:v>горячее блюдо, бульон, соус, пюре, ферментация или гарнир с говяжья вырезка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114</x:v>
      </x:c>
    </x:row>
    <x:row r="48" ht="66" customHeight="1">
      <x:c r="A48" s="28" t="str">
        <x:v>VEG-1023</x:v>
      </x:c>
      <x:c r="B48" s="28" t="str">
        <x:v>чеснок</x:v>
      </x:c>
      <x:c r="C48" s="28" t="str">
        <x:v>горох</x:v>
      </x:c>
      <x:c r="D48" s="28" t="str">
        <x:v>Бобовые</x:v>
      </x:c>
      <x:c r="E48" s="28" t="str">
        <x:v>сернистая или горчичная комплементарность</x:v>
      </x:c>
      <x:c r="F48" s="28" t="str">
        <x:v>Чеснок имеет профиль «резкий сернистый, зелёный и мясной; после запекания — сладкий и ореховый». Партнёр «горох» относится к группе «Бобовые» и даёт зелёный, сладкий, бобовый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8" s="28" t="str">
        <x:v>сырой чеснок быстро доминирует; пережжённый чеснок очень горький; хранить и обрабатывать по пищевым нормам</x:v>
      </x:c>
      <x:c r="I48" s="28" t="str">
        <x:v>горячее блюдо, бульон, соус, пюре, ферментация или гарнир с горох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114</x:v>
      </x:c>
    </x:row>
    <x:row r="49" ht="66" customHeight="1">
      <x:c r="A49" s="28" t="str">
        <x:v>VEG-1024</x:v>
      </x:c>
      <x:c r="B49" s="28" t="str">
        <x:v>чеснок</x:v>
      </x:c>
      <x:c r="C49" s="28" t="str">
        <x:v>горчичная зелень</x:v>
      </x:c>
      <x:c r="D49" s="28" t="str">
        <x:v>Прочее</x:v>
      </x:c>
      <x:c r="E49" s="28" t="str">
        <x:v>сернистая или горчичная комплементарность</x:v>
      </x:c>
      <x:c r="F49" s="28" t="str">
        <x:v>Чеснок имеет профиль «резкий сернистый, зелёный и мясной; после запекания — сладкий и ореховый». Партнёр «горчичная зелень»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9" s="28" t="str">
        <x:v>сырой чеснок быстро доминирует; пережжённый чеснок очень горький; хранить и обрабатывать по пищевым нормам</x:v>
      </x:c>
      <x:c r="I49" s="28" t="str">
        <x:v>горячее блюдо, бульон, соус, пюре, ферментация или гарнир с горчичная зелень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114</x:v>
      </x:c>
    </x:row>
    <x:row r="50" ht="66" customHeight="1">
      <x:c r="A50" s="28" t="str">
        <x:v>VEG-1025</x:v>
      </x:c>
      <x:c r="B50" s="28" t="str">
        <x:v>чеснок</x:v>
      </x:c>
      <x:c r="C50" s="28" t="str">
        <x:v>грана падано</x:v>
      </x:c>
      <x:c r="D50" s="28" t="str">
        <x:v>Прочее</x:v>
      </x:c>
      <x:c r="E50" s="28" t="str">
        <x:v>сернистая или горчичная комплементарность</x:v>
      </x:c>
      <x:c r="F50" s="28" t="str">
        <x:v>Чеснок имеет профиль «резкий сернистый, зелёный и мясной; после запекания — сладкий и ореховый». Партнёр «грана падано»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0" s="28" t="str">
        <x:v>сырой чеснок быстро доминирует; пережжённый чеснок очень горький; хранить и обрабатывать по пищевым нормам</x:v>
      </x:c>
      <x:c r="I50" s="28" t="str">
        <x:v>горячее блюдо, бульон, соус, пюре, ферментация или гарнир с грана падано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114</x:v>
      </x:c>
    </x:row>
    <x:row r="51" ht="66" customHeight="1">
      <x:c r="A51" s="28" t="str">
        <x:v>VEG-1026</x:v>
      </x:c>
      <x:c r="B51" s="28" t="str">
        <x:v>чеснок</x:v>
      </x:c>
      <x:c r="C51" s="28" t="str">
        <x:v>гранатовый сок</x:v>
      </x:c>
      <x:c r="D51" s="28" t="str">
        <x:v>Прочее</x:v>
      </x:c>
      <x:c r="E51" s="28" t="str">
        <x:v>сернистая или горчичная комплементарность</x:v>
      </x:c>
      <x:c r="F51" s="28" t="str">
        <x:v>Чеснок имеет профиль «резкий сернистый, зелёный и мясной; после запекания — сладкий и ореховый». Партнёр «гранатовый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" s="28" t="str">
        <x:v>сырой чеснок быстро доминирует; пережжённый чеснок очень горький; хранить и обрабатывать по пищевым нормам</x:v>
      </x:c>
      <x:c r="I51" s="28" t="str">
        <x:v>горячее блюдо, бульон, соус, пюре, ферментация или гарнир с гранатовый сок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113</x:v>
      </x:c>
    </x:row>
    <x:row r="52" ht="66" customHeight="1">
      <x:c r="A52" s="28" t="str">
        <x:v>VEG-1027</x:v>
      </x:c>
      <x:c r="B52" s="28" t="str">
        <x:v>чеснок</x:v>
      </x:c>
      <x:c r="C52" s="28" t="str">
        <x:v>грецкий орех</x:v>
      </x:c>
      <x:c r="D52" s="28" t="str">
        <x:v>Орехи и семена</x:v>
      </x:c>
      <x:c r="E52" s="28" t="str">
        <x:v>сернистая или горчичная комплементарность</x:v>
      </x:c>
      <x:c r="F52" s="28" t="str">
        <x:v>Чеснок имеет профиль «резкий сернистый, зелёный и мясной; после запекания — сладкий и ореховый». Партнёр «грецкий орех» относится к группе «Орехи и семена» и даёт древесный, землистый,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" s="28" t="str">
        <x:v>сырой чеснок быстро доминирует; пережжённый чеснок очень горький; хранить и обрабатывать по пищевым нормам</x:v>
      </x:c>
      <x:c r="I52" s="28" t="str">
        <x:v>горячее блюдо, бульон, соус, пюре, ферментация или гарнир с грецкий орех</x:v>
      </x:c>
      <x:c r="J52" s="28" t="str">
        <x:v>Средняя</x:v>
      </x:c>
      <x:c r="K52" s="28" t="str">
        <x:v>Тезариус вкусов (Ники Сегнит)(1).pdf</x:v>
      </x:c>
      <x:c r="L52" s="28" t="str">
        <x:v>Тезариус вкусов (Ники Сегнит)(1).pdf: 293, 630</x:v>
      </x:c>
    </x:row>
    <x:row r="53" ht="66" customHeight="1">
      <x:c r="A53" s="28" t="str">
        <x:v>VEG-1028</x:v>
      </x:c>
      <x:c r="B53" s="28" t="str">
        <x:v>чеснок</x:v>
      </x:c>
      <x:c r="C53" s="28" t="str">
        <x:v>груша</x:v>
      </x:c>
      <x:c r="D53" s="28" t="str">
        <x:v>Фрукты и ягоды</x:v>
      </x:c>
      <x:c r="E53" s="28" t="str">
        <x:v>кислотно-сладкий баланс; сернистая или горчичная комплементарность</x:v>
      </x:c>
      <x:c r="F53" s="28" t="str">
        <x:v>Чеснок имеет профиль «резкий сернистый, зелёный и мясной; после запекания — сладкий и ореховый». Партнёр «груша» относится к группе «Фрукты и ягоды» и даёт сладкий, фруктовый, цветочный.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3" s="28" t="str">
        <x:v>горячее блюдо, бульон, соус, пюре, ферментация или гарнир с груша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114</x:v>
      </x:c>
    </x:row>
    <x:row r="54" ht="66" customHeight="1">
      <x:c r="A54" s="28" t="str">
        <x:v>VEG-1029</x:v>
      </x:c>
      <x:c r="B54" s="28" t="str">
        <x:v>чеснок</x:v>
      </x:c>
      <x:c r="C54" s="28" t="str">
        <x:v>гуава</x:v>
      </x:c>
      <x:c r="D54" s="28" t="str">
        <x:v>Фрукты и ягоды</x:v>
      </x:c>
      <x:c r="E54" s="28" t="str">
        <x:v>кислотно-сладкий баланс; сернистая или горчичная комплементарность</x:v>
      </x:c>
      <x:c r="F54" s="28" t="str">
        <x:v>Чеснок имеет профиль «резкий сернистый, зелёный и мясной; после запекания — сладкий и ореховый». Партнёр «гуава»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4" s="28" t="str">
        <x:v>горячее блюдо, бульон, соус, пюре, ферментация или гарнир с гуава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114</x:v>
      </x:c>
    </x:row>
    <x:row r="55" ht="66" customHeight="1">
      <x:c r="A55" s="28" t="str">
        <x:v>VEG-1030</x:v>
      </x:c>
      <x:c r="B55" s="28" t="str">
        <x:v>чеснок</x:v>
      </x:c>
      <x:c r="C55" s="28" t="str">
        <x:v>дикий рис</x:v>
      </x:c>
      <x:c r="D55" s="28" t="str">
        <x:v>Выпечка, крупы, сахара и десерты</x:v>
      </x:c>
      <x:c r="E55" s="28" t="str">
        <x:v>пересечение ароматических семейств; сернистая или горчичная комплементарность</x:v>
      </x:c>
      <x:c r="F55" s="28" t="str">
        <x:v>Чеснок имеет профиль «резкий сернистый, зелёный и мясной; после запекания — сладкий и ореховый». Партнёр «дикий рис»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" s="28" t="str">
        <x:v>сырой чеснок быстро доминирует; пережжённый чеснок очень горький; хранить и обрабатывать по пищевым нормам</x:v>
      </x:c>
      <x:c r="I55" s="28" t="str">
        <x:v>горячее блюдо, бульон, соус, пюре, ферментация или гарнир с дикий рис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114</x:v>
      </x:c>
    </x:row>
    <x:row r="56" ht="66" customHeight="1">
      <x:c r="A56" s="28" t="str">
        <x:v>VEG-1031</x:v>
      </x:c>
      <x:c r="B56" s="28" t="str">
        <x:v>чеснок</x:v>
      </x:c>
      <x:c r="C56" s="28" t="str">
        <x:v>длинный перец</x:v>
      </x:c>
      <x:c r="D56" s="28" t="str">
        <x:v>Прочее</x:v>
      </x:c>
      <x:c r="E56" s="28" t="str">
        <x:v>сернистая или горчичная комплементарность</x:v>
      </x:c>
      <x:c r="F56" s="28" t="str">
        <x:v>Чеснок имеет профиль «резкий сернистый, зелёный и мясной; после запекания — сладкий и ореховый». Партнёр «длинный перец»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" s="28" t="str">
        <x:v>сырой чеснок быстро доминирует; пережжённый чеснок очень горький; хранить и обрабатывать по пищевым нормам</x:v>
      </x:c>
      <x:c r="I56" s="28" t="str">
        <x:v>горячее блюдо, бульон, соус, пюре, ферментация или гарнир с длинный перец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114</x:v>
      </x:c>
    </x:row>
    <x:row r="57" ht="66" customHeight="1">
      <x:c r="A57" s="28" t="str">
        <x:v>VEG-1032</x:v>
      </x:c>
      <x:c r="B57" s="28" t="str">
        <x:v>чеснок</x:v>
      </x:c>
      <x:c r="C57" s="28" t="str">
        <x:v>дыня</x:v>
      </x:c>
      <x:c r="D57" s="28" t="str">
        <x:v>Фрукты и ягоды</x:v>
      </x:c>
      <x:c r="E57" s="28" t="str">
        <x:v>кислотно-сладкий баланс; сернистая или горчичная комплементарность</x:v>
      </x:c>
      <x:c r="F57" s="28" t="str">
        <x:v>Чеснок имеет профиль «резкий сернистый, зелёный и мясной; после запекания — сладкий и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7" s="28" t="str">
        <x:v>горячее блюдо, бульон, соус, пюре, ферментация или гарнир с дыня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113</x:v>
      </x:c>
    </x:row>
    <x:row r="58" ht="66" customHeight="1">
      <x:c r="A58" s="28" t="str">
        <x:v>VEG-1033</x:v>
      </x:c>
      <x:c r="B58" s="28" t="str">
        <x:v>чеснок</x:v>
      </x:c>
      <x:c r="C58" s="28" t="str">
        <x:v>жаботикаба</x:v>
      </x:c>
      <x:c r="D58" s="28" t="str">
        <x:v>Прочее</x:v>
      </x:c>
      <x:c r="E58" s="28" t="str">
        <x:v>сернистая или горчичная комплементарность</x:v>
      </x:c>
      <x:c r="F58" s="28" t="str">
        <x:v>Чеснок имеет профиль «резкий сернистый, зелёный и мясной; после запекания — сладкий и ореховый». Партнёр «жаботикаба»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" s="28" t="str">
        <x:v>сырой чеснок быстро доминирует; пережжённый чеснок очень горький; хранить и обрабатывать по пищевым нормам</x:v>
      </x:c>
      <x:c r="I58" s="28" t="str">
        <x:v>горячее блюдо, бульон, соус, пюре, ферментация или гарнир с жаботикаба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114</x:v>
      </x:c>
    </x:row>
    <x:row r="59" ht="66" customHeight="1">
      <x:c r="A59" s="28" t="str">
        <x:v>VEG-1034</x:v>
      </x:c>
      <x:c r="B59" s="28" t="str">
        <x:v>чеснок</x:v>
      </x:c>
      <x:c r="C59" s="28" t="str">
        <x:v>жареная индейка</x:v>
      </x:c>
      <x:c r="D59" s="28" t="str">
        <x:v>Мясо и птица</x:v>
      </x:c>
      <x:c r="E59" s="28" t="str">
        <x:v>пересечение ароматических семейств; умами и солёный контраст; сернистая или горчичная комплементарность</x:v>
      </x:c>
      <x:c r="F59" s="28" t="str">
        <x:v>Чеснок имеет профиль «резкий сернистый, зелёный и мясной; после запекания — сладкий и ореховый». Партнёр «жареная индейка»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" s="28" t="str">
        <x:v>сырой чеснок быстро доминирует; пережжённый чеснок очень горький; хранить и обрабатывать по пищевым нормам</x:v>
      </x:c>
      <x:c r="I59" s="28" t="str">
        <x:v>горячее блюдо, бульон, соус, пюре, ферментация или гарнир с жареная индейка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114</x:v>
      </x:c>
    </x:row>
    <x:row r="60" ht="66" customHeight="1">
      <x:c r="A60" s="28" t="str">
        <x:v>VEG-1035</x:v>
      </x:c>
      <x:c r="B60" s="28" t="str">
        <x:v>чеснок</x:v>
      </x:c>
      <x:c r="C60" s="28" t="str">
        <x:v>жирная рыба</x:v>
      </x:c>
      <x:c r="D60" s="28" t="str">
        <x:v>Рыба и морепродукты</x:v>
      </x:c>
      <x:c r="E60" s="28" t="str">
        <x:v>пересечение ароматических семейств; умами и солёный контраст; сернистая или горчичная комплементарность</x:v>
      </x:c>
      <x:c r="F60" s="28" t="str">
        <x:v>Чеснок имеет профиль «резкий сернистый, зелёный и мясной; после запекания — сладкий и ореховый». Партнёр «жирная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" s="28" t="str">
        <x:v>сырой чеснок быстро доминирует; пережжённый чеснок очень горький; хранить и обрабатывать по пищевым нормам</x:v>
      </x:c>
      <x:c r="I60" s="28" t="str">
        <x:v>горячее блюдо, бульон, соус, пюре, ферментация или гарнир с жирная рыба</x:v>
      </x:c>
      <x:c r="J60" s="28" t="str">
        <x:v>Средняя</x:v>
      </x:c>
      <x:c r="K60" s="28" t="str">
        <x:v>Тезариус вкусов (Ники Сегнит)(1).pdf</x:v>
      </x:c>
      <x:c r="L60" s="28" t="str">
        <x:v>Тезариус вкусов (Ники Сегнит)(1).pdf: 293, 419</x:v>
      </x:c>
    </x:row>
    <x:row r="61" ht="66" customHeight="1">
      <x:c r="A61" s="28" t="str">
        <x:v>VEG-1036</x:v>
      </x:c>
      <x:c r="B61" s="28" t="str">
        <x:v>чеснок</x:v>
      </x:c>
      <x:c r="C61" s="28" t="str">
        <x:v>зелёные водоросли</x:v>
      </x:c>
      <x:c r="D61" s="28" t="str">
        <x:v>Прочее</x:v>
      </x:c>
      <x:c r="E61" s="28" t="str">
        <x:v>сернистая или горчичная комплементарность</x:v>
      </x:c>
      <x:c r="F61" s="28" t="str">
        <x:v>Чеснок имеет профиль «резкий сернистый, зелёный и мясной; после запекания — сладкий и ореховый». Партнёр «зелёные 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" s="28" t="str">
        <x:v>сырой чеснок быстро доминирует; пережжённый чеснок очень горький; хранить и обрабатывать по пищевым нормам</x:v>
      </x:c>
      <x:c r="I61" s="28" t="str">
        <x:v>горячее блюдо, бульон, соус, пюре, ферментация или гарнир с зелёные водоросли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114</x:v>
      </x:c>
    </x:row>
    <x:row r="62" ht="66" customHeight="1">
      <x:c r="A62" s="28" t="str">
        <x:v>VEG-1037</x:v>
      </x:c>
      <x:c r="B62" s="28" t="str">
        <x:v>чеснок</x:v>
      </x:c>
      <x:c r="C62" s="28" t="str">
        <x:v>зелёный чай</x:v>
      </x:c>
      <x:c r="D62" s="28" t="str">
        <x:v>Чай</x:v>
      </x:c>
      <x:c r="E62" s="28" t="str">
        <x:v>сернистая или горчичная комплементарность</x:v>
      </x:c>
      <x:c r="F62" s="28" t="str">
        <x:v>Чеснок имеет профиль «резкий сернистый, зелёный и мясной; после запекания — сладкий и ореховый». Партнёр «зелёный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" s="28" t="str">
        <x:v>сырой чеснок быстро доминирует; пережжённый чеснок очень горький; хранить и обрабатывать по пищевым нормам</x:v>
      </x:c>
      <x:c r="I62" s="28" t="str">
        <x:v>горячее блюдо, бульон, соус, пюре, ферментация или гарнир с зелёный чай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113</x:v>
      </x:c>
    </x:row>
    <x:row r="63" ht="66" customHeight="1">
      <x:c r="A63" s="28" t="str">
        <x:v>VEG-1038</x:v>
      </x:c>
      <x:c r="B63" s="28" t="str">
        <x:v>чеснок</x:v>
      </x:c>
      <x:c r="C63" s="28" t="str">
        <x:v>зира</x:v>
      </x:c>
      <x:c r="D63" s="28" t="str">
        <x:v>Специи</x:v>
      </x:c>
      <x:c r="E63" s="28" t="str">
        <x:v>пересечение ароматических семейств; сернистая или горчичная комплементарность</x:v>
      </x:c>
      <x:c r="F63" s="28" t="str">
        <x:v>Чеснок имеет профиль «резкий сернистый, зелёный и мясной; после запекания — сладкий и ореховый». Партнёр «зира» относится к группе «Специи» и даёт жареный, землистый, пряный. Профили пересекаются в семействах: жареный.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3" s="28" t="str">
        <x:v>сырой чеснок быстро доминирует; пережжённый чеснок очень горький; хранить и обрабатывать по пищевым нормам</x:v>
      </x:c>
      <x:c r="I63" s="28" t="str">
        <x:v>горячее блюдо, бульон, соус, пюре, ферментация или гарнир с зира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228</x:v>
      </x:c>
    </x:row>
    <x:row r="64" ht="66" customHeight="1">
      <x:c r="A64" s="28" t="str">
        <x:v>VEG-1039</x:v>
      </x:c>
      <x:c r="B64" s="28" t="str">
        <x:v>чеснок</x:v>
      </x:c>
      <x:c r="C64" s="28" t="str">
        <x:v>имбирь</x:v>
      </x:c>
      <x:c r="D64" s="28" t="str">
        <x:v>Специи</x:v>
      </x:c>
      <x:c r="E64" s="28" t="str">
        <x:v>сернистая или горчичная комплементарность</x:v>
      </x:c>
      <x:c r="F64" s="28" t="str">
        <x:v>Чеснок имеет профиль «резкий сернистый, зелёный и мясной; после запекания — сладкий и ореховый».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4" s="28" t="str">
        <x:v>сырой чеснок быстро доминирует; пережжённый чеснок очень горький; хранить и обрабатывать по пищевым нормам</x:v>
      </x:c>
      <x:c r="I64" s="28" t="str">
        <x:v>горячее блюдо, бульон, соус, пюре, ферментация или гарнир с имбирь</x:v>
      </x:c>
      <x:c r="J64" s="28" t="str">
        <x:v>Средняя</x:v>
      </x:c>
      <x:c r="K64" s="28" t="str">
        <x:v>Тезариус вкусов (Ники Сегнит)(1).pdf</x:v>
      </x:c>
      <x:c r="L64" s="28" t="str">
        <x:v>Тезариус вкусов (Ники Сегнит)(1).pdf: 293, 821</x:v>
      </x:c>
    </x:row>
    <x:row r="65" ht="66" customHeight="1">
      <x:c r="A65" s="28" t="str">
        <x:v>VEG-1040</x:v>
      </x:c>
      <x:c r="B65" s="28" t="str">
        <x:v>чеснок</x:v>
      </x:c>
      <x:c r="C65" s="28" t="str">
        <x:v>индейка</x:v>
      </x:c>
      <x:c r="D65" s="28" t="str">
        <x:v>Мясо и птица</x:v>
      </x:c>
      <x:c r="E65" s="28" t="str">
        <x:v>пересечение ароматических семейств; умами и солёный контраст; сернистая или горчичная комплементарность</x:v>
      </x:c>
      <x:c r="F65" s="28" t="str">
        <x:v>Чеснок имеет профиль «резкий сернистый, зелёный и мясной; после запекания — сладкий и ореховый». Партнёр «индейка»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5" s="28" t="str">
        <x:v>сырой чеснок быстро доминирует; пережжённый чеснок очень горький; хранить и обрабатывать по пищевым нормам</x:v>
      </x:c>
      <x:c r="I65" s="28" t="str">
        <x:v>горячее блюдо, бульон, соус, пюре, ферментация или гарнир с индейка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113</x:v>
      </x:c>
    </x:row>
    <x:row r="66" ht="66" customHeight="1">
      <x:c r="A66" s="28" t="str">
        <x:v>VEG-1041</x:v>
      </x:c>
      <x:c r="B66" s="28" t="str">
        <x:v>чеснок</x:v>
      </x:c>
      <x:c r="C66" s="28" t="str">
        <x:v>испанский чоризо</x:v>
      </x:c>
      <x:c r="D66" s="28" t="str">
        <x:v>Прочее</x:v>
      </x:c>
      <x:c r="E66" s="28" t="str">
        <x:v>сернистая или горчичная комплементарность</x:v>
      </x:c>
      <x:c r="F66" s="28" t="str">
        <x:v>Чеснок имеет профиль «резкий сернистый, зелёный и мясной; после запекания — сладкий и ореховый».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6" s="28" t="str">
        <x:v>сырой чеснок быстро доминирует; пережжённый чеснок очень горький; хранить и обрабатывать по пищевым нормам</x:v>
      </x:c>
      <x:c r="I66" s="28" t="str">
        <x:v>горячее блюдо, бульон, соус, пюре, ферментация или гарнир с испанский чоризо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114</x:v>
      </x:c>
    </x:row>
    <x:row r="67" ht="66" customHeight="1">
      <x:c r="A67" s="28" t="str">
        <x:v>VEG-1042</x:v>
      </x:c>
      <x:c r="B67" s="28" t="str">
        <x:v>чеснок</x:v>
      </x:c>
      <x:c r="C67" s="28" t="str">
        <x:v>какао-крупка</x:v>
      </x:c>
      <x:c r="D67" s="28" t="str">
        <x:v>Какао и шоколад</x:v>
      </x:c>
      <x:c r="E67" s="28" t="str">
        <x:v>пересечение ароматических семейств; сернистая или горчичная комплементарность</x:v>
      </x:c>
      <x:c r="F67" s="28" t="str">
        <x:v>Чеснок имеет профиль «резкий сернистый, зелёный и мясной; после запекания — сладкий и ореховый». Партнёр «какао-крупка» относится к группе «Какао и шоколад» и даёт какаовый, жареный и горько-сладкий.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7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67" s="28" t="str">
        <x:v>горячее блюдо, бульон, соус, пюре, ферментация или гарнир с какао-крупка</x:v>
      </x:c>
      <x:c r="J67" s="28" t="str">
        <x:v>Средняя</x:v>
      </x:c>
      <x:c r="K67" s="28" t="str">
        <x:v>The Art &amp; Science of Foodpairing.pdf</x:v>
      </x:c>
      <x:c r="L67" s="28" t="str">
        <x:v>The Art &amp; Science of Foodpairing.pdf: 113</x:v>
      </x:c>
    </x:row>
    <x:row r="68" ht="66" customHeight="1">
      <x:c r="A68" s="28" t="str">
        <x:v>VEG-1043</x:v>
      </x:c>
      <x:c r="B68" s="28" t="str">
        <x:v>чеснок</x:v>
      </x:c>
      <x:c r="C68" s="28" t="str">
        <x:v>канталупа</x:v>
      </x:c>
      <x:c r="D68" s="28" t="str">
        <x:v>Прочее</x:v>
      </x:c>
      <x:c r="E68" s="28" t="str">
        <x:v>сернистая или горчичная комплементарность</x:v>
      </x:c>
      <x:c r="F68" s="28" t="str">
        <x:v>Чеснок имеет профиль «резкий сернистый, зелёный и мясной; после запекания — сладкий и ореховый». Партнёр «канталупа»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8" s="28" t="str">
        <x:v>сырой чеснок быстро доминирует; пережжённый чеснок очень горький; хранить и обрабатывать по пищевым нормам</x:v>
      </x:c>
      <x:c r="I68" s="28" t="str">
        <x:v>горячее блюдо, бульон, соус, пюре, ферментация или гарнир с канталупа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114</x:v>
      </x:c>
    </x:row>
    <x:row r="69" ht="66" customHeight="1">
      <x:c r="A69" s="28" t="str">
        <x:v>VEG-1044</x:v>
      </x:c>
      <x:c r="B69" s="28" t="str">
        <x:v>чеснок</x:v>
      </x:c>
      <x:c r="C69" s="28" t="str">
        <x:v>капуста</x:v>
      </x:c>
      <x:c r="D69" s="28" t="str">
        <x:v>Крестоцветные</x:v>
      </x:c>
      <x:c r="E69" s="28" t="str">
        <x:v>общие характерные молекулы; пересечение ароматических семейств; сернистая или горчичная комплементарность</x:v>
      </x:c>
      <x:c r="F69" s="28" t="str">
        <x:v>Чеснок имеет профиль «резкий сернистый, зелёный и мясной; после запекания — сладкий и ореховый». Партнёр «капуста» относится к группе «Крестоцветные» и даёт зелёный, горчичный, сернистый и сладковатый после приготовления.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9" s="28" t="str">
        <x:v>сырой чеснок быстро доминирует; пережжённый чеснок очень горький; хранить и обрабатывать по пищевым нормам</x:v>
      </x:c>
      <x:c r="I69" s="28" t="str">
        <x:v>горячее блюдо, бульон, соус, пюре, ферментация или гарнир с капуста</x:v>
      </x:c>
      <x:c r="J69" s="28" t="str">
        <x:v>Высокая</x:v>
      </x:c>
      <x:c r="K69" s="28" t="str">
        <x:v>The Art &amp; Science of Foodpairing.pdf | Тезариус вкусов (Ники Сегнит)(1).pdf</x:v>
      </x:c>
      <x:c r="L69" s="28" t="str">
        <x:v>Тезариус вкусов (Ники Сегнит)(1).pdf: 294, 316; The Art &amp; Science of Foodpairing.pdf: 114</x:v>
      </x:c>
    </x:row>
    <x:row r="70" ht="66" customHeight="1">
      <x:c r="A70" s="28" t="str">
        <x:v>VEG-1045</x:v>
      </x:c>
      <x:c r="B70" s="28" t="str">
        <x:v>чеснок</x:v>
      </x:c>
      <x:c r="C70" s="28" t="str">
        <x:v>кефаль</x:v>
      </x:c>
      <x:c r="D70" s="28" t="str">
        <x:v>Рыба и морепродукты</x:v>
      </x:c>
      <x:c r="E70" s="28" t="str">
        <x:v>пересечение ароматических семейств; умами и солёный контраст; сернистая или горчичная комплементарность</x:v>
      </x:c>
      <x:c r="F70" s="28" t="str">
        <x:v>Чеснок имеет профиль «резкий сернистый, зелёный и мясной; после запекания — сладкий и ореховый». Партнёр «кефаль»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0" s="28" t="str">
        <x:v>сырой чеснок быстро доминирует; пережжённый чеснок очень горький; хранить и обрабатывать по пищевым нормам</x:v>
      </x:c>
      <x:c r="I70" s="28" t="str">
        <x:v>горячее блюдо, бульон, соус, пюре, ферментация или гарнир с кефаль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114</x:v>
      </x:c>
    </x:row>
    <x:row r="71" ht="66" customHeight="1">
      <x:c r="A71" s="28" t="str">
        <x:v>VEG-1046</x:v>
      </x:c>
      <x:c r="B71" s="28" t="str">
        <x:v>чеснок</x:v>
      </x:c>
      <x:c r="C71" s="28" t="str">
        <x:v>кимчи</x:v>
      </x:c>
      <x:c r="D71" s="28" t="str">
        <x:v>Ферментированные продукты и соусы</x:v>
      </x:c>
      <x:c r="E71" s="28" t="str">
        <x:v>пересечение ароматических семейств; умами и солёный контраст; сернистая или горчичная комплементарность</x:v>
      </x:c>
      <x:c r="F71" s="28" t="str">
        <x:v>Чеснок имеет профиль «резкий сернистый, зелёный и мясной; после запекания — сладкий и ореховый». Партнёр «кимчи» относится к группе «Ферментированные продукты и соусы» и даёт ферментированный, умами и сложный.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1" s="28" t="str">
        <x:v>сырой чеснок быстро доминирует; пережжённый чеснок очень горький; хранить и обрабатывать по пищевым нормам</x:v>
      </x:c>
      <x:c r="I71" s="28" t="str">
        <x:v>горячее блюдо, бульон, соус, пюре, ферментация или гарнир с кимчи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114, 305</x:v>
      </x:c>
    </x:row>
    <x:row r="72" ht="66" customHeight="1">
      <x:c r="A72" s="28" t="str">
        <x:v>VEG-1047</x:v>
      </x:c>
      <x:c r="B72" s="28" t="str">
        <x:v>чеснок</x:v>
      </x:c>
      <x:c r="C72" s="28" t="str">
        <x:v>клубника</x:v>
      </x:c>
      <x:c r="D72" s="28" t="str">
        <x:v>Фрукты и ягоды</x:v>
      </x:c>
      <x:c r="E72" s="28" t="str">
        <x:v>кислотно-сладкий баланс; сернистая или горчичная комплементарность</x:v>
      </x:c>
      <x:c r="F72" s="28" t="str">
        <x:v>Чеснок имеет профиль «резкий сернистый, зелёный и мясной; после запекания — сладкий и ореховый».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2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72" s="28" t="str">
        <x:v>горячее блюдо, бульон, соус, пюре, ферментация или гарнир с клубника</x:v>
      </x:c>
      <x:c r="J72" s="28" t="str">
        <x:v>Высокая</x:v>
      </x:c>
      <x:c r="K72" s="28" t="str">
        <x:v>The Art &amp; Science of Foodpairing.pdf</x:v>
      </x:c>
      <x:c r="L72" s="28" t="str">
        <x:v>The Art &amp; Science of Foodpairing.pdf: 112, 113</x:v>
      </x:c>
    </x:row>
    <x:row r="73" ht="66" customHeight="1">
      <x:c r="A73" s="28" t="str">
        <x:v>VEG-1048</x:v>
      </x:c>
      <x:c r="B73" s="28" t="str">
        <x:v>чеснок</x:v>
      </x:c>
      <x:c r="C73" s="28" t="str">
        <x:v>козий сыр</x:v>
      </x:c>
      <x:c r="D73" s="28" t="str">
        <x:v>Молочные продукты и сыры</x:v>
      </x:c>
      <x:c r="E73" s="28" t="str">
        <x:v>пересечение ароматических семейств; жировая матрица; сернистая или горчичная комплементарность</x:v>
      </x:c>
      <x:c r="F73" s="28" t="str">
        <x:v>Чеснок имеет профиль «резкий сернистый, зелёный и мясной; после запекания — сладкий и ореховый».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3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73" s="28" t="str">
        <x:v>горячее блюдо, бульон, соус, пюре, ферментация или гарнир с козий сыр</x:v>
      </x:c>
      <x:c r="J73" s="28" t="str">
        <x:v>Средняя</x:v>
      </x:c>
      <x:c r="K73" s="28" t="str">
        <x:v>Тезариус вкусов (Ники Сегнит)(1).pdf</x:v>
      </x:c>
      <x:c r="L73" s="28" t="str">
        <x:v>Тезариус вкусов (Ники Сегнит)(1).pdf: 143, 294</x:v>
      </x:c>
    </x:row>
    <x:row r="74" ht="66" customHeight="1">
      <x:c r="A74" s="28" t="str">
        <x:v>VEG-1049</x:v>
      </x:c>
      <x:c r="B74" s="28" t="str">
        <x:v>чеснок</x:v>
      </x:c>
      <x:c r="C74" s="28" t="str">
        <x:v>кольраби</x:v>
      </x:c>
      <x:c r="D74" s="28" t="str">
        <x:v>Прочее</x:v>
      </x:c>
      <x:c r="E74" s="28" t="str">
        <x:v>сернистая или горчичная комплементарность</x:v>
      </x:c>
      <x:c r="F74" s="28" t="str">
        <x:v>Чеснок имеет профиль «резкий сернистый, зелёный и мясной; после запекания — сладкий и ореховый». Партнёр «кольраби»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4" s="28" t="str">
        <x:v>сырой чеснок быстро доминирует; пережжённый чеснок очень горький; хранить и обрабатывать по пищевым нормам</x:v>
      </x:c>
      <x:c r="I74" s="28" t="str">
        <x:v>горячее блюдо, бульон, соус, пюре, ферментация или гарнир с кольраби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114</x:v>
      </x:c>
    </x:row>
    <x:row r="75" ht="66" customHeight="1">
      <x:c r="A75" s="28" t="str">
        <x:v>VEG-1050</x:v>
      </x:c>
      <x:c r="B75" s="28" t="str">
        <x:v>чеснок</x:v>
      </x:c>
      <x:c r="C75" s="28" t="str">
        <x:v>коньяк</x:v>
      </x:c>
      <x:c r="D75" s="28" t="str">
        <x:v>Алкогольные напитки</x:v>
      </x:c>
      <x:c r="E75" s="28" t="str">
        <x:v>сернистая или горчичная комплементарность</x:v>
      </x:c>
      <x:c r="F75" s="28" t="str">
        <x:v>Чеснок имеет профиль «резкий сернистый, зелёный и мясной; после запекания — сладкий и ореховый».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5" s="28" t="str">
        <x:v>сырой чеснок быстро доминирует; пережжённый чеснок очень горький; хранить и обрабатывать по пищевым нормам</x:v>
      </x:c>
      <x:c r="I75" s="28" t="str">
        <x:v>горячее блюдо, бульон, соус, пюре, ферментация или гарнир с коньяк</x:v>
      </x:c>
      <x:c r="J75" s="28" t="str">
        <x:v>Средняя</x:v>
      </x:c>
      <x:c r="K75" s="28" t="str">
        <x:v>The Art &amp; Science of Foodpairing.pdf</x:v>
      </x:c>
      <x:c r="L75" s="28" t="str">
        <x:v>The Art &amp; Science of Foodpairing.pdf: 123</x:v>
      </x:c>
    </x:row>
    <x:row r="76" ht="66" customHeight="1">
      <x:c r="A76" s="28" t="str">
        <x:v>VEG-1051</x:v>
      </x:c>
      <x:c r="B76" s="28" t="str">
        <x:v>чеснок</x:v>
      </x:c>
      <x:c r="C76" s="28" t="str">
        <x:v>копчёный лосось</x:v>
      </x:c>
      <x:c r="D76" s="28" t="str">
        <x:v>Рыба и морепродукты</x:v>
      </x:c>
      <x:c r="E76" s="28" t="str">
        <x:v>пересечение ароматических семейств; умами и солёный контраст; сернистая или горчичная комплементарность</x:v>
      </x:c>
      <x:c r="F76" s="28" t="str">
        <x:v>Чеснок имеет профиль «резкий сернистый, зелёный и мясной; после запекания — сладкий и ореховый». Партнёр «копчёный лосось»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6" s="28" t="str">
        <x:v>сырой чеснок быстро доминирует; пережжённый чеснок очень горький; хранить и обрабатывать по пищевым нормам</x:v>
      </x:c>
      <x:c r="I76" s="28" t="str">
        <x:v>горячее блюдо, бульон, соус, пюре, ферментация или гарнир с копчёный лосось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113</x:v>
      </x:c>
    </x:row>
    <x:row r="77" ht="66" customHeight="1">
      <x:c r="A77" s="28" t="str">
        <x:v>VEG-1052</x:v>
      </x:c>
      <x:c r="B77" s="28" t="str">
        <x:v>чеснок</x:v>
      </x:c>
      <x:c r="C77" s="28" t="str">
        <x:v>корица</x:v>
      </x:c>
      <x:c r="D77" s="28" t="str">
        <x:v>Специи</x:v>
      </x:c>
      <x:c r="E77" s="28" t="str">
        <x:v>сернистая или горчичная комплементарность</x:v>
      </x:c>
      <x:c r="F77" s="28" t="str">
        <x:v>Чеснок имеет профиль «резкий сернистый, зелёный и мясной; после запекания — сладкий и ореховый».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7" s="28" t="str">
        <x:v>сырой чеснок быстро доминирует; пережжённый чеснок очень горький; хранить и обрабатывать по пищевым нормам</x:v>
      </x:c>
      <x:c r="I77" s="28" t="str">
        <x:v>горячее блюдо, бульон, соус, пюре, ферментация или гарнир с корица</x:v>
      </x:c>
      <x:c r="J77" s="28" t="str">
        <x:v>Средняя</x:v>
      </x:c>
      <x:c r="K77" s="28" t="str">
        <x:v>The Art &amp; Science of Foodpairing.pdf</x:v>
      </x:c>
      <x:c r="L77" s="28" t="str">
        <x:v>The Art &amp; Science of Foodpairing.pdf: 113</x:v>
      </x:c>
    </x:row>
    <x:row r="78" ht="66" customHeight="1">
      <x:c r="A78" s="28" t="str">
        <x:v>VEG-1053</x:v>
      </x:c>
      <x:c r="B78" s="28" t="str">
        <x:v>чеснок</x:v>
      </x:c>
      <x:c r="C78" s="28" t="str">
        <x:v>кофе</x:v>
      </x:c>
      <x:c r="D78" s="28" t="str">
        <x:v>Кофе</x:v>
      </x:c>
      <x:c r="E78" s="28" t="str">
        <x:v>пересечение ароматических семейств; сернистая или горчичная комплементарность</x:v>
      </x:c>
      <x:c r="F78" s="28" t="str">
        <x:v>Чеснок имеет профиль «резкий сернистый, зелёный и мясной; после запекания — сладкий и ореховый». Партнёр «кофе» относится к группе «Кофе» и даёт жареный, карамельный,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8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78" s="28" t="str">
        <x:v>горячее блюдо, бульон, соус, пюре, ферментация или гарнир с кофе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113</x:v>
      </x:c>
    </x:row>
    <x:row r="79" ht="66" customHeight="1">
      <x:c r="A79" s="28" t="str">
        <x:v>VEG-1054</x:v>
      </x:c>
      <x:c r="B79" s="28" t="str">
        <x:v>чеснок</x:v>
      </x:c>
      <x:c r="C79" s="28" t="str">
        <x:v>креветки</x:v>
      </x:c>
      <x:c r="D79" s="28" t="str">
        <x:v>Рыба и морепродукты</x:v>
      </x:c>
      <x:c r="E79" s="28" t="str">
        <x:v>пересечение ароматических семейств; умами и солёный контраст; сернистая или горчичная комплементарность</x:v>
      </x:c>
      <x:c r="F79" s="28" t="str">
        <x:v>Чеснок имеет профиль «резкий сернистый, зелёный и мясной; после запекания — сладкий и ореховый». Партнёр «креветки»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79" s="28" t="str">
        <x:v>сырой чеснок быстро доминирует; пережжённый чеснок очень горький; хранить и обрабатывать по пищевым нормам</x:v>
      </x:c>
      <x:c r="I79" s="28" t="str">
        <x:v>горячее блюдо, бульон, соус, пюре, ферментация или гарнир с креветки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113, 114</x:v>
      </x:c>
    </x:row>
    <x:row r="80" ht="66" customHeight="1">
      <x:c r="A80" s="28" t="str">
        <x:v>VEG-1055</x:v>
      </x:c>
      <x:c r="B80" s="28" t="str">
        <x:v>чеснок</x:v>
      </x:c>
      <x:c r="C80" s="28" t="str">
        <x:v>кумкват</x:v>
      </x:c>
      <x:c r="D80" s="28" t="str">
        <x:v>Прочее</x:v>
      </x:c>
      <x:c r="E80" s="28" t="str">
        <x:v>сернистая или горчичная комплементарность</x:v>
      </x:c>
      <x:c r="F80" s="28" t="str">
        <x:v>Чеснок имеет профиль «резкий сернистый, зелёный и мясной; после запекания — сладкий и ореховый». Партнёр «кумкват»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0" s="28" t="str">
        <x:v>сырой чеснок быстро доминирует; пережжённый чеснок очень горький; хранить и обрабатывать по пищевым нормам</x:v>
      </x:c>
      <x:c r="I80" s="28" t="str">
        <x:v>горячее блюдо, бульон, соус, пюре, ферментация или гарнир с кумкват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113</x:v>
      </x:c>
    </x:row>
    <x:row r="81" ht="66" customHeight="1">
      <x:c r="A81" s="28" t="str">
        <x:v>VEG-1056</x:v>
      </x:c>
      <x:c r="B81" s="28" t="str">
        <x:v>чеснок</x:v>
      </x:c>
      <x:c r="C81" s="28" t="str">
        <x:v>курица</x:v>
      </x:c>
      <x:c r="D81" s="28" t="str">
        <x:v>Мясо и птица</x:v>
      </x:c>
      <x:c r="E81" s="28" t="str">
        <x:v>пересечение ароматических семейств; умами и солёный контраст; сернистая или горчичная комплементарность</x:v>
      </x:c>
      <x:c r="F81" s="28" t="str">
        <x:v>Чеснок имеет профиль «резкий сернистый, зелёный и мясной; после запекания — сладкий и ореховый». Партнёр «курица»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1" s="28" t="str">
        <x:v>сырой чеснок быстро доминирует; пережжённый чеснок очень горький; хранить и обрабатывать по пищевым нормам</x:v>
      </x:c>
      <x:c r="I81" s="28" t="str">
        <x:v>горячее блюдо, бульон, соус, пюре, ферментация или гарнир с курица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113</x:v>
      </x:c>
    </x:row>
    <x:row r="82" ht="66" customHeight="1">
      <x:c r="A82" s="28" t="str">
        <x:v>VEG-1057</x:v>
      </x:c>
      <x:c r="B82" s="28" t="str">
        <x:v>чеснок</x:v>
      </x:c>
      <x:c r="C82" s="28" t="str">
        <x:v>куркума</x:v>
      </x:c>
      <x:c r="D82" s="28" t="str">
        <x:v>Прочее</x:v>
      </x:c>
      <x:c r="E82" s="28" t="str">
        <x:v>сернистая или горчичная комплементарность</x:v>
      </x:c>
      <x:c r="F82" s="28" t="str">
        <x:v>Чеснок имеет профиль «резкий сернистый, зелёный и мясной; после запекания — сладкий и ореховый».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2" s="28" t="str">
        <x:v>сырой чеснок быстро доминирует; пережжённый чеснок очень горький; хранить и обрабатывать по пищевым нормам</x:v>
      </x:c>
      <x:c r="I82" s="28" t="str">
        <x:v>горячее блюдо, бульон, соус, пюре, ферментация или гарнир с куркума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113</x:v>
      </x:c>
    </x:row>
    <x:row r="83" ht="66" customHeight="1">
      <x:c r="A83" s="28" t="str">
        <x:v>VEG-1058</x:v>
      </x:c>
      <x:c r="B83" s="28" t="str">
        <x:v>чеснок</x:v>
      </x:c>
      <x:c r="C83" s="28" t="str">
        <x:v>лемонграсс</x:v>
      </x:c>
      <x:c r="D83" s="28" t="str">
        <x:v>Травы, цветы и листья</x:v>
      </x:c>
      <x:c r="E83" s="28" t="str">
        <x:v>сернистая или горчичная комплементарность</x:v>
      </x:c>
      <x:c r="F83" s="28" t="str">
        <x:v>Чеснок имеет профиль «резкий сернистый, зелёный и мясной; после запекания — сладкий и ореховый». Партнёр «лемонграсс»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3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83" s="28" t="str">
        <x:v>горячее блюдо, бульон, соус, пюре, ферментация или гарнир с лемонграсс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113, 114</x:v>
      </x:c>
    </x:row>
    <x:row r="84" ht="66" customHeight="1">
      <x:c r="A84" s="28" t="str">
        <x:v>VEG-1059</x:v>
      </x:c>
      <x:c r="B84" s="28" t="str">
        <x:v>чеснок</x:v>
      </x:c>
      <x:c r="C84" s="28" t="str">
        <x:v>лепестки розы</x:v>
      </x:c>
      <x:c r="D84" s="28" t="str">
        <x:v>Прочее</x:v>
      </x:c>
      <x:c r="E84" s="28" t="str">
        <x:v>сернистая или горчичная комплементарность</x:v>
      </x:c>
      <x:c r="F84" s="28" t="str">
        <x:v>Чеснок имеет профиль «резкий сернистый, зелёный и мясной; после запекания — сладкий и ореховый». Партнёр «лепестки розы»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4" s="28" t="str">
        <x:v>сырой чеснок быстро доминирует; пережжённый чеснок очень горький; хранить и обрабатывать по пищевым нормам</x:v>
      </x:c>
      <x:c r="I84" s="28" t="str">
        <x:v>горячее блюдо, бульон, соус, пюре, ферментация или гарнир с лепестки розы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113</x:v>
      </x:c>
    </x:row>
    <x:row r="85" ht="66" customHeight="1">
      <x:c r="A85" s="28" t="str">
        <x:v>VEG-1060</x:v>
      </x:c>
      <x:c r="B85" s="28" t="str">
        <x:v>чеснок</x:v>
      </x:c>
      <x:c r="C85" s="28" t="str">
        <x:v>лимонная вербена</x:v>
      </x:c>
      <x:c r="D85" s="28" t="str">
        <x:v>Фрукты и ягоды</x:v>
      </x:c>
      <x:c r="E85" s="28" t="str">
        <x:v>кислотно-сладкий баланс; сернистая или горчичная комплементарность</x:v>
      </x:c>
      <x:c r="F85" s="28" t="str">
        <x:v>Чеснок имеет профиль «резкий сернистый, зелёный и мясной; после запекания — сладкий и ореховый». Партнёр «лимонная вербена»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5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85" s="28" t="str">
        <x:v>горячее блюдо, бульон, соус, пюре, ферментация или гарнир с лимонная вербена</x:v>
      </x:c>
      <x:c r="J85" s="28" t="str">
        <x:v>Средняя</x:v>
      </x:c>
      <x:c r="K85" s="28" t="str">
        <x:v>The Art &amp; Science of Foodpairing.pdf</x:v>
      </x:c>
      <x:c r="L85" s="28" t="str">
        <x:v>The Art &amp; Science of Foodpairing.pdf: 113</x:v>
      </x:c>
    </x:row>
    <x:row r="86" ht="66" customHeight="1">
      <x:c r="A86" s="28" t="str">
        <x:v>VEG-1061</x:v>
      </x:c>
      <x:c r="B86" s="28" t="str">
        <x:v>чеснок</x:v>
      </x:c>
      <x:c r="C86" s="28" t="str">
        <x:v>листья кориандра</x:v>
      </x:c>
      <x:c r="D86" s="28" t="str">
        <x:v>Травы, цветы и листья</x:v>
      </x:c>
      <x:c r="E86" s="28" t="str">
        <x:v>сернистая или горчичная комплементарность</x:v>
      </x:c>
      <x:c r="F86" s="28" t="str">
        <x:v>Чеснок имеет профиль «резкий сернистый, зелёный и мясной; после запекания — сладкий и ореховый».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6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86" s="28" t="str">
        <x:v>горячее блюдо, бульон, соус, пюре, ферментация или гарнир с листья кориандра</x:v>
      </x:c>
      <x:c r="J86" s="28" t="str">
        <x:v>Средняя</x:v>
      </x:c>
      <x:c r="K86" s="28" t="str">
        <x:v>Тезариус вкусов (Ники Сегнит)(1).pdf</x:v>
      </x:c>
      <x:c r="L86" s="28" t="str">
        <x:v>Тезариус вкусов (Ники Сегнит)(1).pdf: 294, 523</x:v>
      </x:c>
    </x:row>
    <x:row r="87" ht="66" customHeight="1">
      <x:c r="A87" s="28" t="str">
        <x:v>VEG-1062</x:v>
      </x:c>
      <x:c r="B87" s="28" t="str">
        <x:v>чеснок</x:v>
      </x:c>
      <x:c r="C87" s="28" t="str">
        <x:v>листья тмина</x:v>
      </x:c>
      <x:c r="D87" s="28" t="str">
        <x:v>Прочее</x:v>
      </x:c>
      <x:c r="E87" s="28" t="str">
        <x:v>сернистая или горчичная комплементарность</x:v>
      </x:c>
      <x:c r="F87" s="28" t="str">
        <x:v>Чеснок имеет профиль «резкий сернистый, зелёный и мясной; после запекания — сладкий и ореховый». Партнёр «листья тмина»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7" s="28" t="str">
        <x:v>сырой чеснок быстро доминирует; пережжённый чеснок очень горький; хранить и обрабатывать по пищевым нормам</x:v>
      </x:c>
      <x:c r="I87" s="28" t="str">
        <x:v>горячее блюдо, бульон, соус, пюре, ферментация или гарнир с листья тмина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113</x:v>
      </x:c>
    </x:row>
    <x:row r="88" ht="66" customHeight="1">
      <x:c r="A88" s="28" t="str">
        <x:v>VEG-1063</x:v>
      </x:c>
      <x:c r="B88" s="28" t="str">
        <x:v>чеснок</x:v>
      </x:c>
      <x:c r="C88" s="28" t="str">
        <x:v>лобстер</x:v>
      </x:c>
      <x:c r="D88" s="28" t="str">
        <x:v>Прочее</x:v>
      </x:c>
      <x:c r="E88" s="28" t="str">
        <x:v>сернистая или горчичная комплементарность</x:v>
      </x:c>
      <x:c r="F88" s="28" t="str">
        <x:v>Чеснок имеет профиль «резкий сернистый, зелёный и мясной; после запекания — сладкий и ореховый». Партнёр «лобстер»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8" s="28" t="str">
        <x:v>сырой чеснок быстро доминирует; пережжённый чеснок очень горький; хранить и обрабатывать по пищевым нормам</x:v>
      </x:c>
      <x:c r="I88" s="28" t="str">
        <x:v>горячее блюдо, бульон, соус, пюре, ферментация или гарнир с лобстер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113, 114</x:v>
      </x:c>
    </x:row>
    <x:row r="89" ht="66" customHeight="1">
      <x:c r="A89" s="28" t="str">
        <x:v>VEG-1064</x:v>
      </x:c>
      <x:c r="B89" s="28" t="str">
        <x:v>чеснок</x:v>
      </x:c>
      <x:c r="C89" s="28" t="str">
        <x:v>лосось</x:v>
      </x:c>
      <x:c r="D89" s="28" t="str">
        <x:v>Рыба и морепродукты</x:v>
      </x:c>
      <x:c r="E89" s="28" t="str">
        <x:v>пересечение ароматических семейств; умами и солёный контраст; сернистая или горчичная комплементарность</x:v>
      </x:c>
      <x:c r="F89" s="28" t="str">
        <x:v>Чеснок имеет профиль «резкий сернистый, зелёный и мясной; после запекания — сладкий и ореховый». Партнёр «лосось»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8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89" s="28" t="str">
        <x:v>сырой чеснок быстро доминирует; пережжённый чеснок очень горький; хранить и обрабатывать по пищевым нормам</x:v>
      </x:c>
      <x:c r="I89" s="28" t="str">
        <x:v>горячее блюдо, бульон, соус, пюре, ферментация или гарнир с лосось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114</x:v>
      </x:c>
    </x:row>
    <x:row r="90" ht="66" customHeight="1">
      <x:c r="A90" s="28" t="str">
        <x:v>VEG-1065</x:v>
      </x:c>
      <x:c r="B90" s="28" t="str">
        <x:v>чеснок</x:v>
      </x:c>
      <x:c r="C90" s="28" t="str">
        <x:v>манго</x:v>
      </x:c>
      <x:c r="D90" s="28" t="str">
        <x:v>Фрукты и ягоды</x:v>
      </x:c>
      <x:c r="E90" s="28" t="str">
        <x:v>кислотно-сладкий баланс; сернистая или горчичная комплементарность</x:v>
      </x:c>
      <x:c r="F90" s="28" t="str">
        <x:v>Чеснок имеет профиль «резкий сернистый, зелёный и мясной; после запекания — сладкий и ореховый».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0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90" s="28" t="str">
        <x:v>горячее блюдо, бульон, соус, пюре, ферментация или гарнир с манго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113</x:v>
      </x:c>
    </x:row>
    <x:row r="91" ht="66" customHeight="1">
      <x:c r="A91" s="28" t="str">
        <x:v>VEG-1066</x:v>
      </x:c>
      <x:c r="B91" s="28" t="str">
        <x:v>чеснок</x:v>
      </x:c>
      <x:c r="C91" s="28" t="str">
        <x:v>мандариновая цедра</x:v>
      </x:c>
      <x:c r="D91" s="28" t="str">
        <x:v>Прочее</x:v>
      </x:c>
      <x:c r="E91" s="28" t="str">
        <x:v>сернистая или горчичная комплементарность</x:v>
      </x:c>
      <x:c r="F91" s="28" t="str">
        <x:v>Чеснок имеет профиль «резкий сернистый, зелёный и мясной; после запекания — сладкий и ореховый». Партнёр «мандариновая цедра»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1" s="28" t="str">
        <x:v>сырой чеснок быстро доминирует; пережжённый чеснок очень горький; хранить и обрабатывать по пищевым нормам</x:v>
      </x:c>
      <x:c r="I91" s="28" t="str">
        <x:v>горячее блюдо, бульон, соус, пюре, ферментация или гарнир с мандариновая цедра</x:v>
      </x:c>
      <x:c r="J91" s="28" t="str">
        <x:v>Средняя</x:v>
      </x:c>
      <x:c r="K91" s="28" t="str">
        <x:v>The Art &amp; Science of Foodpairing.pdf</x:v>
      </x:c>
      <x:c r="L91" s="28" t="str">
        <x:v>The Art &amp; Science of Foodpairing.pdf: 113</x:v>
      </x:c>
    </x:row>
    <x:row r="92" ht="66" customHeight="1">
      <x:c r="A92" s="28" t="str">
        <x:v>VEG-1067</x:v>
      </x:c>
      <x:c r="B92" s="28" t="str">
        <x:v>чеснок</x:v>
      </x:c>
      <x:c r="C92" s="28" t="str">
        <x:v>матча</x:v>
      </x:c>
      <x:c r="D92" s="28" t="str">
        <x:v>Чай</x:v>
      </x:c>
      <x:c r="E92" s="28" t="str">
        <x:v>сернистая или горчичная комплементарность</x:v>
      </x:c>
      <x:c r="F92" s="28" t="str">
        <x:v>Чеснок имеет профиль «резкий сернистый, зелёный и мясной; после запекания — сладкий и ореховый». Партнёр «матча»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2" s="28" t="str">
        <x:v>сырой чеснок быстро доминирует; пережжённый чеснок очень горький; хранить и обрабатывать по пищевым нормам</x:v>
      </x:c>
      <x:c r="I92" s="28" t="str">
        <x:v>горячее блюдо, бульон, соус, пюре, ферментация или гарнир с матча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113</x:v>
      </x:c>
    </x:row>
    <x:row r="93" ht="66" customHeight="1">
      <x:c r="A93" s="28" t="str">
        <x:v>VEG-1068</x:v>
      </x:c>
      <x:c r="B93" s="28" t="str">
        <x:v>чеснок</x:v>
      </x:c>
      <x:c r="C93" s="28" t="str">
        <x:v>мерланг</x:v>
      </x:c>
      <x:c r="D93" s="28" t="str">
        <x:v>Прочее</x:v>
      </x:c>
      <x:c r="E93" s="28" t="str">
        <x:v>сернистая или горчичная комплементарность</x:v>
      </x:c>
      <x:c r="F93" s="28" t="str">
        <x:v>Чеснок имеет профиль «резкий сернистый, зелёный и мясной; после запекания — сладкий и ореховый». Партнёр «мерланг»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3" s="28" t="str">
        <x:v>сырой чеснок быстро доминирует; пережжённый чеснок очень горький; хранить и обрабатывать по пищевым нормам</x:v>
      </x:c>
      <x:c r="I93" s="28" t="str">
        <x:v>горячее блюдо, бульон, соус, пюре, ферментация или гарнир с мерланг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114</x:v>
      </x:c>
    </x:row>
    <x:row r="94" ht="66" customHeight="1">
      <x:c r="A94" s="28" t="str">
        <x:v>VEG-1069</x:v>
      </x:c>
      <x:c r="B94" s="28" t="str">
        <x:v>чеснок</x:v>
      </x:c>
      <x:c r="C94" s="28" t="str">
        <x:v>миндаль</x:v>
      </x:c>
      <x:c r="D94" s="28" t="str">
        <x:v>Орехи и семена</x:v>
      </x:c>
      <x:c r="E94" s="28" t="str">
        <x:v>пересечение ароматических семейств; сернистая или горчичная комплементарность</x:v>
      </x:c>
      <x:c r="F94" s="28" t="str">
        <x:v>Чеснок имеет профиль «резкий сернистый, зелёный и мясной; после запекания — сладкий и ореховый». Партнёр «миндаль» относится к группе «Орехи и семена» и даёт жареный, миндальный,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4" s="28" t="str">
        <x:v>сырой чеснок быстро доминирует; пережжённый чеснок очень горький; хранить и обрабатывать по пищевым нормам</x:v>
      </x:c>
      <x:c r="I94" s="28" t="str">
        <x:v>горячее блюдо, бульон, соус, пюре, ферментация или гарнир с миндаль</x:v>
      </x:c>
      <x:c r="J94" s="28" t="str">
        <x:v>Средняя</x:v>
      </x:c>
      <x:c r="K94" s="28" t="str">
        <x:v>Тезариус вкусов (Ники Сегнит)(1).pdf</x:v>
      </x:c>
      <x:c r="L94" s="28" t="str">
        <x:v>Тезариус вкусов (Ники Сегнит)(1).pdf: 295, 650</x:v>
      </x:c>
    </x:row>
    <x:row r="95" ht="66" customHeight="1">
      <x:c r="A95" s="28" t="str">
        <x:v>VEG-1070</x:v>
      </x:c>
      <x:c r="B95" s="28" t="str">
        <x:v>чеснок</x:v>
      </x:c>
      <x:c r="C95" s="28" t="str">
        <x:v>моллюски</x:v>
      </x:c>
      <x:c r="D95" s="28" t="str">
        <x:v>Рыба и морепродукты</x:v>
      </x:c>
      <x:c r="E95" s="28" t="str">
        <x:v>пересечение ароматических семейств; умами и солёный контраст; сернистая или горчичная комплементарность</x:v>
      </x:c>
      <x:c r="F95" s="28" t="str">
        <x:v>Чеснок имеет профиль «резкий сернистый, зелёный и мясной; после запекания — сладкий и ореховый».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5" s="28" t="str">
        <x:v>сырой чеснок быстро доминирует; пережжённый чеснок очень горький; хранить и обрабатывать по пищевым нормам</x:v>
      </x:c>
      <x:c r="I95" s="28" t="str">
        <x:v>горячее блюдо, бульон, соус, пюре, ферментация или гарнир с моллюски</x:v>
      </x:c>
      <x:c r="J95" s="28" t="str">
        <x:v>Высокая</x:v>
      </x:c>
      <x:c r="K95" s="28" t="str">
        <x:v>The Art &amp; Science of Foodpairing.pdf | Тезариус вкусов (Ники Сегнит)(1).pdf</x:v>
      </x:c>
      <x:c r="L95" s="28" t="str">
        <x:v>Тезариус вкусов (Ники Сегнит)(1).pdf: 296, 378; The Art &amp; Science of Foodpairing.pdf: 114</x:v>
      </x:c>
    </x:row>
    <x:row r="96" ht="66" customHeight="1">
      <x:c r="A96" s="28" t="str">
        <x:v>VEG-1071</x:v>
      </x:c>
      <x:c r="B96" s="28" t="str">
        <x:v>чеснок</x:v>
      </x:c>
      <x:c r="C96" s="28" t="str">
        <x:v>морской угорь</x:v>
      </x:c>
      <x:c r="D96" s="28" t="str">
        <x:v>Прочее</x:v>
      </x:c>
      <x:c r="E96" s="28" t="str">
        <x:v>сернистая или горчичная комплементарность</x:v>
      </x:c>
      <x:c r="F96" s="28" t="str">
        <x:v>Чеснок имеет профиль «резкий сернистый, зелёный и мясной; после запекания — сладкий и ореховый». Партнёр «морской угорь»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6" s="28" t="str">
        <x:v>сырой чеснок быстро доминирует; пережжённый чеснок очень горький; хранить и обрабатывать по пищевым нормам</x:v>
      </x:c>
      <x:c r="I96" s="28" t="str">
        <x:v>горячее блюдо, бульон, соус, пюре, ферментация или гарнир с морской угорь</x:v>
      </x:c>
      <x:c r="J96" s="28" t="str">
        <x:v>Средняя</x:v>
      </x:c>
      <x:c r="K96" s="28" t="str">
        <x:v>The Art &amp; Science of Foodpairing.pdf</x:v>
      </x:c>
      <x:c r="L96" s="28" t="str">
        <x:v>The Art &amp; Science of Foodpairing.pdf: 114</x:v>
      </x:c>
    </x:row>
    <x:row r="97" ht="66" customHeight="1">
      <x:c r="A97" s="28" t="str">
        <x:v>VEG-1072</x:v>
      </x:c>
      <x:c r="B97" s="28" t="str">
        <x:v>чеснок</x:v>
      </x:c>
      <x:c r="C97" s="28" t="str">
        <x:v>мягкий сыр</x:v>
      </x:c>
      <x:c r="D97" s="28" t="str">
        <x:v>Молочные продукты и сыры</x:v>
      </x:c>
      <x:c r="E97" s="28" t="str">
        <x:v>пересечение ароматических семейств; жировая матрица; сернистая или горчичная комплементарность</x:v>
      </x:c>
      <x:c r="F97" s="28" t="str">
        <x:v>Чеснок имеет профиль «резкий сернистый, зелёный и мясной; после запекания — сладкий и ореховый».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7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97" s="28" t="str">
        <x:v>горячее блюдо, бульон, соус, пюре, ферментация или гарнир с мягкий сыр</x:v>
      </x:c>
      <x:c r="J97" s="28" t="str">
        <x:v>Средняя</x:v>
      </x:c>
      <x:c r="K97" s="28" t="str">
        <x:v>Тезариус вкусов (Ники Сегнит)(1).pdf</x:v>
      </x:c>
      <x:c r="L97" s="28" t="str">
        <x:v>Тезариус вкусов (Ники Сегнит)(1).pdf: 188, 296</x:v>
      </x:c>
    </x:row>
    <x:row r="98" ht="66" customHeight="1">
      <x:c r="A98" s="28" t="str">
        <x:v>VEG-1073</x:v>
      </x:c>
      <x:c r="B98" s="28" t="str">
        <x:v>чеснок</x:v>
      </x:c>
      <x:c r="C98" s="28" t="str">
        <x:v>мята</x:v>
      </x:c>
      <x:c r="D98" s="28" t="str">
        <x:v>Травы, цветы и листья</x:v>
      </x:c>
      <x:c r="E98" s="28" t="str">
        <x:v>сернистая или горчичная комплементарность</x:v>
      </x:c>
      <x:c r="F98" s="28" t="str">
        <x:v>Чеснок имеет профиль «резкий сернистый, зелёный и мясной; после запекания — сладкий и ореховый».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8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98" s="28" t="str">
        <x:v>горячее блюдо, бульон, соус, пюре, ферментация или гарнир с мята</x:v>
      </x:c>
      <x:c r="J98" s="28" t="str">
        <x:v>Средняя</x:v>
      </x:c>
      <x:c r="K98" s="28" t="str">
        <x:v>Тезариус вкусов (Ники Сегнит)(1).pdf</x:v>
      </x:c>
      <x:c r="L98" s="28" t="str">
        <x:v>Тезариус вкусов (Ники Сегнит)(1).pdf: 296, 870</x:v>
      </x:c>
    </x:row>
    <x:row r="99" ht="66" customHeight="1">
      <x:c r="A99" s="28" t="str">
        <x:v>VEG-1074</x:v>
      </x:c>
      <x:c r="B99" s="28" t="str">
        <x:v>чеснок</x:v>
      </x:c>
      <x:c r="C99" s="28" t="str">
        <x:v>нори</x:v>
      </x:c>
      <x:c r="D99" s="28" t="str">
        <x:v>Прочее</x:v>
      </x:c>
      <x:c r="E99" s="28" t="str">
        <x:v>сернистая или горчичная комплементарность</x:v>
      </x:c>
      <x:c r="F99" s="28" t="str">
        <x:v>Чеснок имеет профиль «резкий сернистый, зелёный и мясной; после запекания — сладкий и ореховый». Партнёр «нори»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99" s="28" t="str">
        <x:v>сырой чеснок быстро доминирует; пережжённый чеснок очень горький; хранить и обрабатывать по пищевым нормам</x:v>
      </x:c>
      <x:c r="I99" s="28" t="str">
        <x:v>горячее блюдо, бульон, соус, пюре, ферментация или гарнир с нори</x:v>
      </x:c>
      <x:c r="J99" s="28" t="str">
        <x:v>Средняя</x:v>
      </x:c>
      <x:c r="K99" s="28" t="str">
        <x:v>The Art &amp; Science of Foodpairing.pdf</x:v>
      </x:c>
      <x:c r="L99" s="28" t="str">
        <x:v>The Art &amp; Science of Foodpairing.pdf: 113</x:v>
      </x:c>
    </x:row>
    <x:row r="100" ht="66" customHeight="1">
      <x:c r="A100" s="28" t="str">
        <x:v>VEG-1075</x:v>
      </x:c>
      <x:c r="B100" s="28" t="str">
        <x:v>чеснок</x:v>
      </x:c>
      <x:c r="C100" s="28" t="str">
        <x:v>огурец</x:v>
      </x:c>
      <x:c r="D100" s="28" t="str">
        <x:v>Тыквенные</x:v>
      </x:c>
      <x:c r="E100" s="28" t="str">
        <x:v>сернистая или горчичная комплементарность</x:v>
      </x:c>
      <x:c r="F100" s="28" t="str">
        <x:v>Чеснок имеет профиль «резкий сернистый, зелёный и мясной; после запекания — сладкий и ореховый».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0" s="28" t="str">
        <x:v>сырой чеснок быстро доминирует; пережжённый чеснок очень горький; хранить и обрабатывать по пищевым нормам</x:v>
      </x:c>
      <x:c r="I100" s="28" t="str">
        <x:v>горячее блюдо, бульон, соус, пюре, ферментация или гарнир с огурец</x:v>
      </x:c>
      <x:c r="J100" s="28" t="str">
        <x:v>Средняя</x:v>
      </x:c>
      <x:c r="K100" s="28" t="str">
        <x:v>Тезариус вкусов (Ники Сегнит)(1).pdf</x:v>
      </x:c>
      <x:c r="L100" s="28" t="str">
        <x:v>Тезариус вкусов (Ники Сегнит)(1).pdf: 296, 498</x:v>
      </x:c>
    </x:row>
    <x:row r="101" ht="66" customHeight="1">
      <x:c r="A101" s="28" t="str">
        <x:v>VEG-1076</x:v>
      </x:c>
      <x:c r="B101" s="28" t="str">
        <x:v>чеснок</x:v>
      </x:c>
      <x:c r="C101" s="28" t="str">
        <x:v>оленина</x:v>
      </x:c>
      <x:c r="D101" s="28" t="str">
        <x:v>Прочее</x:v>
      </x:c>
      <x:c r="E101" s="28" t="str">
        <x:v>сернистая или горчичная комплементарность</x:v>
      </x:c>
      <x:c r="F101" s="28" t="str">
        <x:v>Чеснок имеет профиль «резкий сернистый, зелёный и мясной; после запекания — сладкий и ореховый». Партнёр «оленина»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1" s="28" t="str">
        <x:v>сырой чеснок быстро доминирует; пережжённый чеснок очень горький; хранить и обрабатывать по пищевым нормам</x:v>
      </x:c>
      <x:c r="I101" s="28" t="str">
        <x:v>горячее блюдо, бульон, соус, пюре, ферментация или гарнир с оленина</x:v>
      </x:c>
      <x:c r="J101" s="28" t="str">
        <x:v>Средняя</x:v>
      </x:c>
      <x:c r="K101" s="28" t="str">
        <x:v>The Art &amp; Science of Foodpairing.pdf</x:v>
      </x:c>
      <x:c r="L101" s="28" t="str">
        <x:v>The Art &amp; Science of Foodpairing.pdf: 113</x:v>
      </x:c>
    </x:row>
    <x:row r="102" ht="66" customHeight="1">
      <x:c r="A102" s="28" t="str">
        <x:v>VEG-1077</x:v>
      </x:c>
      <x:c r="B102" s="28" t="str">
        <x:v>чеснок</x:v>
      </x:c>
      <x:c r="C102" s="28" t="str">
        <x:v>оливки</x:v>
      </x:c>
      <x:c r="D102" s="28" t="str">
        <x:v>Прочее</x:v>
      </x:c>
      <x:c r="E102" s="28" t="str">
        <x:v>сернистая или горчичная комплементарность</x:v>
      </x:c>
      <x:c r="F102" s="28" t="str">
        <x:v>Чеснок имеет профиль «резкий сернистый, зелёный и мясной; после запекания — сладкий и ореховый».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2" s="28" t="str">
        <x:v>сырой чеснок быстро доминирует; пережжённый чеснок очень горький; хранить и обрабатывать по пищевым нормам</x:v>
      </x:c>
      <x:c r="I102" s="28" t="str">
        <x:v>горячее блюдо, бульон, соус, пюре, ферментация или гарнир с оливки</x:v>
      </x:c>
      <x:c r="J102" s="28" t="str">
        <x:v>Средняя</x:v>
      </x:c>
      <x:c r="K102" s="28" t="str">
        <x:v>Тезариус вкусов (Ники Сегнит)(1).pdf</x:v>
      </x:c>
      <x:c r="L102" s="28" t="str">
        <x:v>Тезариус вкусов (Ники Сегнит)(1).pdf: 297, 471</x:v>
      </x:c>
    </x:row>
    <x:row r="103" ht="66" customHeight="1">
      <x:c r="A103" s="28" t="str">
        <x:v>VEG-1078</x:v>
      </x:c>
      <x:c r="B103" s="28" t="str">
        <x:v>чеснок</x:v>
      </x:c>
      <x:c r="C103" s="28" t="str">
        <x:v>оливковое масло пикваль</x:v>
      </x:c>
      <x:c r="D103" s="28" t="str">
        <x:v>Масла и жиры</x:v>
      </x:c>
      <x:c r="E103" s="28" t="str">
        <x:v>жировая матрица; сернистая или горчичная комплементарность</x:v>
      </x:c>
      <x:c r="F103" s="28" t="str">
        <x:v>Чеснок имеет профиль «резкий сернистый, зелёный и мясной; после запекания — сладкий и ореховый».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3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103" s="28" t="str">
        <x:v>горячее блюдо, бульон, соус, пюре, ферментация или гарнир с оливковое масло пикваль</x:v>
      </x:c>
      <x:c r="J103" s="28" t="str">
        <x:v>Средняя</x:v>
      </x:c>
      <x:c r="K103" s="28" t="str">
        <x:v>The Art &amp; Science of Foodpairing.pdf</x:v>
      </x:c>
      <x:c r="L103" s="28" t="str">
        <x:v>The Art &amp; Science of Foodpairing.pdf: 113</x:v>
      </x:c>
    </x:row>
    <x:row r="104" ht="66" customHeight="1">
      <x:c r="A104" s="28" t="str">
        <x:v>VEG-1079</x:v>
      </x:c>
      <x:c r="B104" s="28" t="str">
        <x:v>чеснок</x:v>
      </x:c>
      <x:c r="C104" s="28" t="str">
        <x:v>паста тикка масала</x:v>
      </x:c>
      <x:c r="D104" s="28" t="str">
        <x:v>Выпечка, крупы, сахара и десерты</x:v>
      </x:c>
      <x:c r="E104" s="28" t="str">
        <x:v>пересечение ароматических семейств; сернистая или горчичная комплементарность</x:v>
      </x:c>
      <x:c r="F104" s="28" t="str">
        <x:v>Чеснок имеет профиль «резкий сернистый, зелёный и мясной; после запекания — сладкий и ореховый». Партнёр «паста тикка масала»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4" s="28" t="str">
        <x:v>сырой чеснок быстро доминирует; пережжённый чеснок очень горький; хранить и обрабатывать по пищевым нормам</x:v>
      </x:c>
      <x:c r="I104" s="28" t="str">
        <x:v>горячее блюдо, бульон, соус, пюре, ферментация или гарнир с паста тикка масала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114</x:v>
      </x:c>
    </x:row>
    <x:row r="105" ht="66" customHeight="1">
      <x:c r="A105" s="28" t="str">
        <x:v>VEG-1080</x:v>
      </x:c>
      <x:c r="B105" s="28" t="str">
        <x:v>чеснок</x:v>
      </x:c>
      <x:c r="C105" s="28" t="str">
        <x:v>пастернак</x:v>
      </x:c>
      <x:c r="D105" s="28" t="str">
        <x:v>Корнеплоды</x:v>
      </x:c>
      <x:c r="E105" s="28" t="str">
        <x:v>сернистая или горчичная комплементарность</x:v>
      </x:c>
      <x:c r="F105" s="28" t="str">
        <x:v>Чеснок имеет профиль «резкий сернистый, зелёный и мясной; после запекания — сладкий и ореховый». Партнёр «пастернак» относится к группе «Корнеплоды» и даёт сладкий, пряный, древесный и слегка анисовый.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5" s="28" t="str">
        <x:v>сырой чеснок быстро доминирует; пережжённый чеснок очень горький; хранить и обрабатывать по пищевым нормам</x:v>
      </x:c>
      <x:c r="I105" s="28" t="str">
        <x:v>горячее блюдо, бульон, соус, пюре, ферментация или гарнир с пастернак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113, 114</x:v>
      </x:c>
    </x:row>
    <x:row r="106" ht="66" customHeight="1">
      <x:c r="A106" s="28" t="str">
        <x:v>VEG-1081</x:v>
      </x:c>
      <x:c r="B106" s="28" t="str">
        <x:v>чеснок</x:v>
      </x:c>
      <x:c r="C106" s="28" t="str">
        <x:v>пекинская утка</x:v>
      </x:c>
      <x:c r="D106" s="28" t="str">
        <x:v>Мясо и птица</x:v>
      </x:c>
      <x:c r="E106" s="28" t="str">
        <x:v>пересечение ароматических семейств; умами и солёный контраст; сернистая или горчичная комплементарность</x:v>
      </x:c>
      <x:c r="F106" s="28" t="str">
        <x:v>Чеснок имеет профиль «резкий сернистый, зелёный и мясной; после запекания — сладкий и ореховый». Партнёр «пекинская утка»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6" s="28" t="str">
        <x:v>сырой чеснок быстро доминирует; пережжённый чеснок очень горький; хранить и обрабатывать по пищевым нормам</x:v>
      </x:c>
      <x:c r="I106" s="28" t="str">
        <x:v>горячее блюдо, бульон, соус, пюре, ферментация или гарнир с пекинская утка</x:v>
      </x:c>
      <x:c r="J106" s="28" t="str">
        <x:v>Средняя</x:v>
      </x:c>
      <x:c r="K106" s="28" t="str">
        <x:v>The Art &amp; Science of Foodpairing.pdf</x:v>
      </x:c>
      <x:c r="L106" s="28" t="str">
        <x:v>The Art &amp; Science of Foodpairing.pdf: 114</x:v>
      </x:c>
    </x:row>
    <x:row r="107" ht="66" customHeight="1">
      <x:c r="A107" s="28" t="str">
        <x:v>VEG-1082</x:v>
      </x:c>
      <x:c r="B107" s="28" t="str">
        <x:v>чеснок</x:v>
      </x:c>
      <x:c r="C107" s="28" t="str">
        <x:v>пепперони</x:v>
      </x:c>
      <x:c r="D107" s="28" t="str">
        <x:v>Прочее</x:v>
      </x:c>
      <x:c r="E107" s="28" t="str">
        <x:v>сернистая или горчичная комплементарность</x:v>
      </x:c>
      <x:c r="F107" s="28" t="str">
        <x:v>Чеснок имеет профиль «резкий сернистый, зелёный и мясной; после запекания — сладкий и ореховый». Партнёр «пепперони»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7" s="28" t="str">
        <x:v>сырой чеснок быстро доминирует; пережжённый чеснок очень горький; хранить и обрабатывать по пищевым нормам</x:v>
      </x:c>
      <x:c r="I107" s="28" t="str">
        <x:v>горячее блюдо, бульон, соус, пюре, ферментация или гарнир с пепперони</x:v>
      </x:c>
      <x:c r="J107" s="28" t="str">
        <x:v>Средняя</x:v>
      </x:c>
      <x:c r="K107" s="28" t="str">
        <x:v>The Art &amp; Science of Foodpairing.pdf</x:v>
      </x:c>
      <x:c r="L107" s="28" t="str">
        <x:v>The Art &amp; Science of Foodpairing.pdf: 113</x:v>
      </x:c>
    </x:row>
    <x:row r="108" ht="66" customHeight="1">
      <x:c r="A108" s="28" t="str">
        <x:v>VEG-1083</x:v>
      </x:c>
      <x:c r="B108" s="28" t="str">
        <x:v>чеснок</x:v>
      </x:c>
      <x:c r="C108" s="28" t="str">
        <x:v>петрушка</x:v>
      </x:c>
      <x:c r="D108" s="28" t="str">
        <x:v>Травы, цветы и листья</x:v>
      </x:c>
      <x:c r="E108" s="28" t="str">
        <x:v>сернистая или горчичная комплементарность</x:v>
      </x:c>
      <x:c r="F108" s="28" t="str">
        <x:v>Чеснок имеет профиль «резкий сернистый, зелёный и мясной; после запекания — сладкий и ореховый».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8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108" s="28" t="str">
        <x:v>горячее блюдо, бульон, соус, пюре, ферментация или гарнир с петрушка</x:v>
      </x:c>
      <x:c r="J108" s="28" t="str">
        <x:v>Средняя</x:v>
      </x:c>
      <x:c r="K108" s="28" t="str">
        <x:v>Тезариус вкусов (Ники Сегнит)(1).pdf</x:v>
      </x:c>
      <x:c r="L108" s="28" t="str">
        <x:v>Тезариус вкусов (Ники Сегнит)(1).pdf: 297, 511, 806</x:v>
      </x:c>
    </x:row>
    <x:row r="109" ht="66" customHeight="1">
      <x:c r="A109" s="28" t="str">
        <x:v>VEG-1084</x:v>
      </x:c>
      <x:c r="B109" s="28" t="str">
        <x:v>чеснок</x:v>
      </x:c>
      <x:c r="C109" s="28" t="str">
        <x:v>печень</x:v>
      </x:c>
      <x:c r="D109" s="28" t="str">
        <x:v>Мясо и птица</x:v>
      </x:c>
      <x:c r="E109" s="28" t="str">
        <x:v>пересечение ароматических семейств; умами и солёный контраст; сернистая или горчичная комплементарность</x:v>
      </x:c>
      <x:c r="F109" s="28" t="str">
        <x:v>Чеснок имеет профиль «резкий сернистый, зелёный и мясной; после запекания — сладкий и ореховый». Партнёр «печень»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09" s="28" t="str">
        <x:v>сырой чеснок быстро доминирует; пережжённый чеснок очень горький; хранить и обрабатывать по пищевым нормам</x:v>
      </x:c>
      <x:c r="I109" s="28" t="str">
        <x:v>горячее блюдо, бульон, соус, пюре, ферментация или гарнир с печень</x:v>
      </x:c>
      <x:c r="J109" s="28" t="str">
        <x:v>Средняя</x:v>
      </x:c>
      <x:c r="K109" s="28" t="str">
        <x:v>Тезариус вкусов (Ники Сегнит)(1).pdf</x:v>
      </x:c>
      <x:c r="L109" s="28" t="str">
        <x:v>Тезариус вкусов (Ники Сегнит)(1).pdf: 102, 297</x:v>
      </x:c>
    </x:row>
    <x:row r="110" ht="66" customHeight="1">
      <x:c r="A110" s="28" t="str">
        <x:v>VEG-1085</x:v>
      </x:c>
      <x:c r="B110" s="28" t="str">
        <x:v>чеснок</x:v>
      </x:c>
      <x:c r="C110" s="28" t="str">
        <x:v>пралине из миндаля и фундука</x:v>
      </x:c>
      <x:c r="D110" s="28" t="str">
        <x:v>Орехи и семена</x:v>
      </x:c>
      <x:c r="E110" s="28" t="str">
        <x:v>пересечение ароматических семейств; сернистая или горчичная комплементарность</x:v>
      </x:c>
      <x:c r="F110" s="28" t="str">
        <x:v>Чеснок имеет профиль «резкий сернистый, зелёный и мясной; после запекания — сладкий и ореховый». Партнёр «пралине из миндаля и фундука»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0" s="28" t="str">
        <x:v>сырой чеснок быстро доминирует; пережжённый чеснок очень горький; хранить и обрабатывать по пищевым нормам</x:v>
      </x:c>
      <x:c r="I110" s="28" t="str">
        <x:v>горячее блюдо, бульон, соус, пюре, ферментация или гарнир с пралине из миндаля и фундука</x:v>
      </x:c>
      <x:c r="J110" s="28" t="str">
        <x:v>Средняя</x:v>
      </x:c>
      <x:c r="K110" s="28" t="str">
        <x:v>The Art &amp; Science of Foodpairing.pdf</x:v>
      </x:c>
      <x:c r="L110" s="28" t="str">
        <x:v>The Art &amp; Science of Foodpairing.pdf: 113</x:v>
      </x:c>
    </x:row>
    <x:row r="111" ht="66" customHeight="1">
      <x:c r="A111" s="28" t="str">
        <x:v>VEG-1086</x:v>
      </x:c>
      <x:c r="B111" s="28" t="str">
        <x:v>чеснок</x:v>
      </x:c>
      <x:c r="C111" s="28" t="str">
        <x:v>рассольный сыр</x:v>
      </x:c>
      <x:c r="D111" s="28" t="str">
        <x:v>Молочные продукты и сыры</x:v>
      </x:c>
      <x:c r="E111" s="28" t="str">
        <x:v>пересечение ароматических семейств; жировая матрица; сернистая или горчичная комплементарность</x:v>
      </x:c>
      <x:c r="F111" s="28" t="str">
        <x:v>Чеснок имеет профиль «резкий сернистый, зелёный и мясной; после запекания — сладкий и ореховый». Партнёр «рассольный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1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111" s="28" t="str">
        <x:v>горячее блюдо, бульон, соус, пюре, ферментация или гарнир с рассольный сыр</x:v>
      </x:c>
      <x:c r="J111" s="28" t="str">
        <x:v>Средняя</x:v>
      </x:c>
      <x:c r="K111" s="28" t="str">
        <x:v>Тезариус вкусов (Ники Сегнит)(1).pdf</x:v>
      </x:c>
      <x:c r="L111" s="28" t="str">
        <x:v>Тезариус вкусов (Ники Сегнит)(1).pdf: 150, 297</x:v>
      </x:c>
    </x:row>
    <x:row r="112" ht="66" customHeight="1">
      <x:c r="A112" s="28" t="str">
        <x:v>VEG-1087</x:v>
      </x:c>
      <x:c r="B112" s="28" t="str">
        <x:v>чеснок</x:v>
      </x:c>
      <x:c r="C112" s="28" t="str">
        <x:v>редис</x:v>
      </x:c>
      <x:c r="D112" s="28" t="str">
        <x:v>Корнеплоды и крестоцветные</x:v>
      </x:c>
      <x:c r="E112" s="28" t="str">
        <x:v>общие характерные молекулы; сернистая или горчичная комплементарность</x:v>
      </x:c>
      <x:c r="F112" s="28" t="str">
        <x:v>Чеснок имеет профиль «резкий сернистый, зелёный и мясной; после запекания — сладкий и ореховый». Партнёр «редис» относится к группе «Корнеплоды и крестоцветные» и даёт горчичный, зелёный, перечный и водянистый.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2" s="28" t="str">
        <x:v>сырой чеснок быстро доминирует; пережжённый чеснок очень горький; хранить и обрабатывать по пищевым нормам</x:v>
      </x:c>
      <x:c r="I112" s="28" t="str">
        <x:v>горячее блюдо, бульон, соус, пюре, ферментация или гарнир с редис</x:v>
      </x:c>
      <x:c r="J112" s="28" t="str">
        <x:v>Средняя</x:v>
      </x:c>
      <x:c r="K112" s="28" t="str">
        <x:v>The Art &amp; Science of Foodpairing.pdf</x:v>
      </x:c>
      <x:c r="L112" s="28" t="str">
        <x:v>The Art &amp; Science of Foodpairing.pdf: 113</x:v>
      </x:c>
    </x:row>
    <x:row r="113" ht="66" customHeight="1">
      <x:c r="A113" s="28" t="str">
        <x:v>VEG-1088</x:v>
      </x:c>
      <x:c r="B113" s="28" t="str">
        <x:v>чеснок</x:v>
      </x:c>
      <x:c r="C113" s="28" t="str">
        <x:v>розмарин</x:v>
      </x:c>
      <x:c r="D113" s="28" t="str">
        <x:v>Травы, цветы и листья</x:v>
      </x:c>
      <x:c r="E113" s="28" t="str">
        <x:v>сернистая или горчичная комплементарность</x:v>
      </x:c>
      <x:c r="F113" s="28" t="str">
        <x:v>Чеснок имеет профиль «резкий сернистый, зелёный и мясной; после запекания — сладкий и ореховый».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3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113" s="28" t="str">
        <x:v>горячее блюдо, бульон, соус, пюре, ферментация или гарнир с розмарин</x:v>
      </x:c>
      <x:c r="J113" s="28" t="str">
        <x:v>Высокая</x:v>
      </x:c>
      <x:c r="K113" s="28" t="str">
        <x:v>The Art &amp; Science of Foodpairing.pdf | Тезариус вкусов (Ники Сегнит)(1).pdf</x:v>
      </x:c>
      <x:c r="L113" s="28" t="str">
        <x:v>Тезариус вкусов (Ники Сегнит)(1).pdf: 297, 840; The Art &amp; Science of Foodpairing.pdf: 113</x:v>
      </x:c>
    </x:row>
    <x:row r="114" ht="66" customHeight="1">
      <x:c r="A114" s="28" t="str">
        <x:v>VEG-1089</x:v>
      </x:c>
      <x:c r="B114" s="28" t="str">
        <x:v>чеснок</x:v>
      </x:c>
      <x:c r="C114" s="28" t="str">
        <x:v>свинина</x:v>
      </x:c>
      <x:c r="D114" s="28" t="str">
        <x:v>Мясо и птица</x:v>
      </x:c>
      <x:c r="E114" s="28" t="str">
        <x:v>пересечение ароматических семейств; умами и солёный контраст; сернистая или горчичная комплементарность</x:v>
      </x:c>
      <x:c r="F114" s="28" t="str">
        <x:v>Чеснок имеет профиль «резкий сернистый, зелёный и мясной; после запекания — сладкий и ореховый». Партнёр «свинина»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4" s="28" t="str">
        <x:v>сырой чеснок быстро доминирует; пережжённый чеснок очень горький; хранить и обрабатывать по пищевым нормам</x:v>
      </x:c>
      <x:c r="I114" s="28" t="str">
        <x:v>горячее блюдо, бульон, соус, пюре, ферментация или гарнир с свинина</x:v>
      </x:c>
      <x:c r="J114" s="28" t="str">
        <x:v>Средняя</x:v>
      </x:c>
      <x:c r="K114" s="28" t="str">
        <x:v>Тезариус вкусов (Ники Сегнит)(1).pdf</x:v>
      </x:c>
      <x:c r="L114" s="28" t="str">
        <x:v>Тезариус вкусов (Ники Сегнит)(1).pdf: 89, 298</x:v>
      </x:c>
    </x:row>
    <x:row r="115" ht="66" customHeight="1">
      <x:c r="A115" s="28" t="str">
        <x:v>VEG-1090</x:v>
      </x:c>
      <x:c r="B115" s="28" t="str">
        <x:v>чеснок</x:v>
      </x:c>
      <x:c r="C115" s="28" t="str">
        <x:v>семена кориандра</x:v>
      </x:c>
      <x:c r="D115" s="28" t="str">
        <x:v>Специи</x:v>
      </x:c>
      <x:c r="E115" s="28" t="str">
        <x:v>сернистая или горчичная комплементарность</x:v>
      </x:c>
      <x:c r="F115" s="28" t="str">
        <x:v>Чеснок имеет профиль «резкий сернистый, зелёный и мясной; после запекания — сладкий и ореховый». Партнёр «семена кориандра» относится к группе «Специи» и даёт пряный,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5" s="28" t="str">
        <x:v>сырой чеснок быстро доминирует; пережжённый чеснок очень горький; хранить и обрабатывать по пищевым нормам</x:v>
      </x:c>
      <x:c r="I115" s="28" t="str">
        <x:v>горячее блюдо, бульон, соус, пюре, ферментация или гарнир с семена кориандра</x:v>
      </x:c>
      <x:c r="J115" s="28" t="str">
        <x:v>Средняя</x:v>
      </x:c>
      <x:c r="K115" s="28" t="str">
        <x:v>Тезариус вкусов (Ники Сегнит)(1).pdf</x:v>
      </x:c>
      <x:c r="L115" s="28" t="str">
        <x:v>Тезариус вкусов (Ники Сегнит)(1).pdf: 298, 910</x:v>
      </x:c>
    </x:row>
    <x:row r="116" ht="66" customHeight="1">
      <x:c r="A116" s="28" t="str">
        <x:v>VEG-1091</x:v>
      </x:c>
      <x:c r="B116" s="28" t="str">
        <x:v>чеснок</x:v>
      </x:c>
      <x:c r="C116" s="28" t="str">
        <x:v>скорцонера</x:v>
      </x:c>
      <x:c r="D116" s="28" t="str">
        <x:v>Прочее</x:v>
      </x:c>
      <x:c r="E116" s="28" t="str">
        <x:v>сернистая или горчичная комплементарность</x:v>
      </x:c>
      <x:c r="F116" s="28" t="str">
        <x:v>Чеснок имеет профиль «резкий сернистый, зелёный и мясной; после запекания — сладкий и ореховый». Партнёр «скорцонера»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6" s="28" t="str">
        <x:v>сырой чеснок быстро доминирует; пережжённый чеснок очень горький; хранить и обрабатывать по пищевым нормам</x:v>
      </x:c>
      <x:c r="I116" s="28" t="str">
        <x:v>горячее блюдо, бульон, соус, пюре, ферментация или гарнир с скорцонера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113</x:v>
      </x:c>
    </x:row>
    <x:row r="117" ht="66" customHeight="1">
      <x:c r="A117" s="28" t="str">
        <x:v>VEG-1092</x:v>
      </x:c>
      <x:c r="B117" s="28" t="str">
        <x:v>чеснок</x:v>
      </x:c>
      <x:c r="C117" s="28" t="str">
        <x:v>сливовый бренди</x:v>
      </x:c>
      <x:c r="D117" s="28" t="str">
        <x:v>Фрукты и ягоды</x:v>
      </x:c>
      <x:c r="E117" s="28" t="str">
        <x:v>кислотно-сладкий баланс; сернистая или горчичная комплементарность</x:v>
      </x:c>
      <x:c r="F117" s="28" t="str">
        <x:v>Чеснок имеет профиль «резкий сернистый, зелёный и мясной; после запекания — сладкий и ореховый». Партнёр «сливовый бренди»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7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117" s="28" t="str">
        <x:v>горячее блюдо, бульон, соус, пюре, ферментация или гарнир с сливовый бренди</x:v>
      </x:c>
      <x:c r="J117" s="28" t="str">
        <x:v>Средняя</x:v>
      </x:c>
      <x:c r="K117" s="28" t="str">
        <x:v>The Art &amp; Science of Foodpairing.pdf</x:v>
      </x:c>
      <x:c r="L117" s="28" t="str">
        <x:v>The Art &amp; Science of Foodpairing.pdf: 113</x:v>
      </x:c>
    </x:row>
    <x:row r="118" ht="66" customHeight="1">
      <x:c r="A118" s="28" t="str">
        <x:v>VEG-1093</x:v>
      </x:c>
      <x:c r="B118" s="28" t="str">
        <x:v>чеснок</x:v>
      </x:c>
      <x:c r="C118" s="28" t="str">
        <x:v>сметана</x:v>
      </x:c>
      <x:c r="D118" s="28" t="str">
        <x:v>Молочные продукты и сыры</x:v>
      </x:c>
      <x:c r="E118" s="28" t="str">
        <x:v>пересечение ароматических семейств; жировая матрица; сернистая или горчичная комплементарность</x:v>
      </x:c>
      <x:c r="F118" s="28" t="str">
        <x:v>Чеснок имеет профиль «резкий сернистый, зелёный и мясной; после запекания — сладкий и ореховый». Партнёр «сметана» относится к группе «Молочные продукты и сыры» и даёт молочный, сливочный и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8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118" s="28" t="str">
        <x:v>горячее блюдо, бульон, соус, пюре, ферментация или гарнир с сметана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114</x:v>
      </x:c>
    </x:row>
    <x:row r="119" ht="66" customHeight="1">
      <x:c r="A119" s="28" t="str">
        <x:v>VEG-1094</x:v>
      </x:c>
      <x:c r="B119" s="28" t="str">
        <x:v>чеснок</x:v>
      </x:c>
      <x:c r="C119" s="28" t="str">
        <x:v>соевый напиток</x:v>
      </x:c>
      <x:c r="D119" s="28" t="str">
        <x:v>Прочее</x:v>
      </x:c>
      <x:c r="E119" s="28" t="str">
        <x:v>сернистая или горчичная комплементарность</x:v>
      </x:c>
      <x:c r="F119" s="28" t="str">
        <x:v>Чеснок имеет профиль «резкий сернистый, зелёный и мясной; после запекания — сладкий и ореховый». Партнёр «соевый напиток»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19" s="28" t="str">
        <x:v>сырой чеснок быстро доминирует; пережжённый чеснок очень горький; хранить и обрабатывать по пищевым нормам</x:v>
      </x:c>
      <x:c r="I119" s="28" t="str">
        <x:v>горячее блюдо, бульон, соус, пюре, ферментация или гарнир с соевый напиток</x:v>
      </x:c>
      <x:c r="J119" s="28" t="str">
        <x:v>Средняя</x:v>
      </x:c>
      <x:c r="K119" s="28" t="str">
        <x:v>The Art &amp; Science of Foodpairing.pdf</x:v>
      </x:c>
      <x:c r="L119" s="28" t="str">
        <x:v>The Art &amp; Science of Foodpairing.pdf: 113</x:v>
      </x:c>
    </x:row>
    <x:row r="120" ht="66" customHeight="1">
      <x:c r="A120" s="28" t="str">
        <x:v>VEG-1095</x:v>
      </x:c>
      <x:c r="B120" s="28" t="str">
        <x:v>чеснок</x:v>
      </x:c>
      <x:c r="C120" s="28" t="str">
        <x:v>солёные анчоусы</x:v>
      </x:c>
      <x:c r="D120" s="28" t="str">
        <x:v>Рыба и морепродукты</x:v>
      </x:c>
      <x:c r="E120" s="28" t="str">
        <x:v>пересечение ароматических семейств; умами и солёный контраст; сернистая или горчичная комплементарность</x:v>
      </x:c>
      <x:c r="F120" s="28" t="str">
        <x:v>Чеснок имеет профиль «резкий сернистый, зелёный и мясной; после запекания — сладкий и ореховый». Партнёр «солёные 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0" s="28" t="str">
        <x:v>сырой чеснок быстро доминирует; пережжённый чеснок очень горький; хранить и обрабатывать по пищевым нормам</x:v>
      </x:c>
      <x:c r="I120" s="28" t="str">
        <x:v>горячее блюдо, бульон, соус, пюре, ферментация или гарнир с солёные анчоусы</x:v>
      </x:c>
      <x:c r="J120" s="28" t="str">
        <x:v>Средняя</x:v>
      </x:c>
      <x:c r="K120" s="28" t="str">
        <x:v>The Art &amp; Science of Foodpairing.pdf</x:v>
      </x:c>
      <x:c r="L120" s="28" t="str">
        <x:v>The Art &amp; Science of Foodpairing.pdf: 113</x:v>
      </x:c>
    </x:row>
    <x:row r="121" ht="66" customHeight="1">
      <x:c r="A121" s="28" t="str">
        <x:v>VEG-1096</x:v>
      </x:c>
      <x:c r="B121" s="28" t="str">
        <x:v>чеснок</x:v>
      </x:c>
      <x:c r="C121" s="28" t="str">
        <x:v>спаржа</x:v>
      </x:c>
      <x:c r="D121" s="28" t="str">
        <x:v>Побеговые овощи</x:v>
      </x:c>
      <x:c r="E121" s="28" t="str">
        <x:v>общие характерные молекулы; пересечение ароматических семейств; сернистая или горчичная комплементарность</x:v>
      </x:c>
      <x:c r="F121" s="28" t="str">
        <x:v>Чеснок имеет профиль «резкий сернистый, зелёный и мясной; после запекания — сладкий и ореховый». Партнёр «спаржа» относится к группе «Побеговые овощи» и даёт зелёный, сернистый, ореховый и слегка сладкий.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1" s="28" t="str">
        <x:v>сырой чеснок быстро доминирует; пережжённый чеснок очень горький; хранить и обрабатывать по пищевым нормам</x:v>
      </x:c>
      <x:c r="I121" s="28" t="str">
        <x:v>горячее блюдо, бульон, соус, пюре, ферментация или гарнир с спаржа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114</x:v>
      </x:c>
    </x:row>
    <x:row r="122" ht="66" customHeight="1">
      <x:c r="A122" s="28" t="str">
        <x:v>VEG-1097</x:v>
      </x:c>
      <x:c r="B122" s="28" t="str">
        <x:v>чеснок</x:v>
      </x:c>
      <x:c r="C122" s="28" t="str">
        <x:v>стилтон</x:v>
      </x:c>
      <x:c r="D122" s="28" t="str">
        <x:v>Прочее</x:v>
      </x:c>
      <x:c r="E122" s="28" t="str">
        <x:v>сернистая или горчичная комплементарность</x:v>
      </x:c>
      <x:c r="F122" s="28" t="str">
        <x:v>Чеснок имеет профиль «резкий сернистый, зелёный и мясной; после запекания — сладкий и ореховый». Партнёр «стилтон»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2" s="28" t="str">
        <x:v>сырой чеснок быстро доминирует; пережжённый чеснок очень горький; хранить и обрабатывать по пищевым нормам</x:v>
      </x:c>
      <x:c r="I122" s="28" t="str">
        <x:v>горячее блюдо, бульон, соус, пюре, ферментация или гарнир с стилтон</x:v>
      </x:c>
      <x:c r="J122" s="28" t="str">
        <x:v>Средняя</x:v>
      </x:c>
      <x:c r="K122" s="28" t="str">
        <x:v>The Art &amp; Science of Foodpairing.pdf</x:v>
      </x:c>
      <x:c r="L122" s="28" t="str">
        <x:v>The Art &amp; Science of Foodpairing.pdf: 114</x:v>
      </x:c>
    </x:row>
    <x:row r="123" ht="66" customHeight="1">
      <x:c r="A123" s="28" t="str">
        <x:v>VEG-1098</x:v>
      </x:c>
      <x:c r="B123" s="28" t="str">
        <x:v>чеснок</x:v>
      </x:c>
      <x:c r="C123" s="28" t="str">
        <x:v>сыр</x:v>
      </x:c>
      <x:c r="D123" s="28" t="str">
        <x:v>Молочные продукты и сыры</x:v>
      </x:c>
      <x:c r="E123" s="28" t="str">
        <x:v>пересечение ароматических семейств; жировая матрица; сернистая или горчичная комплементарность</x:v>
      </x:c>
      <x:c r="F123" s="28" t="str">
        <x:v>Чеснок имеет профиль «резкий сернистый, зелёный и мясной; после запекания — сладкий и ореховый». Партнёр «сыр»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3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123" s="28" t="str">
        <x:v>горячее блюдо, бульон, соус, пюре, ферментация или гарнир с сыр</x:v>
      </x:c>
      <x:c r="J123" s="28" t="str">
        <x:v>Средняя</x:v>
      </x:c>
      <x:c r="K123" s="28" t="str">
        <x:v>The Art &amp; Science of Foodpairing.pdf</x:v>
      </x:c>
      <x:c r="L123" s="28" t="str">
        <x:v>The Art &amp; Science of Foodpairing.pdf: 113, 114</x:v>
      </x:c>
    </x:row>
    <x:row r="124" ht="66" customHeight="1">
      <x:c r="A124" s="28" t="str">
        <x:v>VEG-1099</x:v>
      </x:c>
      <x:c r="B124" s="28" t="str">
        <x:v>чеснок</x:v>
      </x:c>
      <x:c r="C124" s="28" t="str">
        <x:v>таитянская ваниль</x:v>
      </x:c>
      <x:c r="D124" s="28" t="str">
        <x:v>Специи</x:v>
      </x:c>
      <x:c r="E124" s="28" t="str">
        <x:v>сернистая или горчичная комплементарность</x:v>
      </x:c>
      <x:c r="F124" s="28" t="str">
        <x:v>Чеснок имеет профиль «резкий сернистый, зелёный и мясной; после запекания — сладкий и ореховый». Партнёр «таитянская 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4" s="28" t="str">
        <x:v>сырой чеснок быстро доминирует; пережжённый чеснок очень горький; хранить и обрабатывать по пищевым нормам</x:v>
      </x:c>
      <x:c r="I124" s="28" t="str">
        <x:v>горячее блюдо, бульон, соус, пюре, ферментация или гарнир с таитянская ваниль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114</x:v>
      </x:c>
    </x:row>
    <x:row r="125" ht="66" customHeight="1">
      <x:c r="A125" s="28" t="str">
        <x:v>VEG-1100</x:v>
      </x:c>
      <x:c r="B125" s="28" t="str">
        <x:v>чеснок</x:v>
      </x:c>
      <x:c r="C125" s="28" t="str">
        <x:v>тамаринд</x:v>
      </x:c>
      <x:c r="D125" s="28" t="str">
        <x:v>Прочее</x:v>
      </x:c>
      <x:c r="E125" s="28" t="str">
        <x:v>сернистая или горчичная комплементарность</x:v>
      </x:c>
      <x:c r="F125" s="28" t="str">
        <x:v>Чеснок имеет профиль «резкий сернистый, зелёный и мясной; после запекания — сладкий и ореховый». Партнёр «тамаринд»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5" s="28" t="str">
        <x:v>сырой чеснок быстро доминирует; пережжённый чеснок очень горький; хранить и обрабатывать по пищевым нормам</x:v>
      </x:c>
      <x:c r="I125" s="28" t="str">
        <x:v>горячее блюдо, бульон, соус, пюре, ферментация или гарнир с тамаринд</x:v>
      </x:c>
      <x:c r="J125" s="28" t="str">
        <x:v>Высокая</x:v>
      </x:c>
      <x:c r="K125" s="28" t="str">
        <x:v>The Art &amp; Science of Foodpairing.pdf</x:v>
      </x:c>
      <x:c r="L125" s="28" t="str">
        <x:v>The Art &amp; Science of Foodpairing.pdf: 114</x:v>
      </x:c>
    </x:row>
    <x:row r="126" ht="66" customHeight="1">
      <x:c r="A126" s="28" t="str">
        <x:v>VEG-1101</x:v>
      </x:c>
      <x:c r="B126" s="28" t="str">
        <x:v>чеснок</x:v>
      </x:c>
      <x:c r="C126" s="28" t="str">
        <x:v>тимьян</x:v>
      </x:c>
      <x:c r="D126" s="28" t="str">
        <x:v>Травы, цветы и листья</x:v>
      </x:c>
      <x:c r="E126" s="28" t="str">
        <x:v>сернистая или горчичная комплементарность</x:v>
      </x:c>
      <x:c r="F126" s="28" t="str">
        <x:v>Чеснок имеет профиль «резкий сернистый, зелёный и мясной; после запекания — сладкий и ореховый».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6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126" s="28" t="str">
        <x:v>горячее блюдо, бульон, соус, пюре, ферментация или гарнир с тимьян</x:v>
      </x:c>
      <x:c r="J126" s="28" t="str">
        <x:v>Высокая</x:v>
      </x:c>
      <x:c r="K126" s="28" t="str">
        <x:v>The Art &amp; Science of Foodpairing.pdf | Тезариус вкусов (Ники Сегнит)(1).pdf</x:v>
      </x:c>
      <x:c r="L126" s="28" t="str">
        <x:v>Тезариус вкусов (Ники Сегнит)(1).pdf: 210, 298, 862; The Art &amp; Science of Foodpairing.pdf: 114</x:v>
      </x:c>
    </x:row>
    <x:row r="127" ht="66" customHeight="1">
      <x:c r="A127" s="28" t="str">
        <x:v>VEG-1102</x:v>
      </x:c>
      <x:c r="B127" s="28" t="str">
        <x:v>чеснок</x:v>
      </x:c>
      <x:c r="C127" s="28" t="str">
        <x:v>томат</x:v>
      </x:c>
      <x:c r="D127" s="28" t="str">
        <x:v>Плодовые овощи</x:v>
      </x:c>
      <x:c r="E127" s="28" t="str">
        <x:v>пересечение ароматических семейств; сернистая или горчичная комплементарность</x:v>
      </x:c>
      <x:c r="F127" s="28" t="str">
        <x:v>Чеснок имеет профиль «резкий сернистый, зелёный и мясной; после запекания — сладкий и ореховый». Партнёр «томат» относится к группе «Плодовые овощи» и даёт зелёный, фруктовый, листовой, сернистый и умами. Профили пересекаются в семействах: сернистый, умами.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7" s="28" t="str">
        <x:v>сырой чеснок быстро доминирует; пережжённый чеснок очень горький; хранить и обрабатывать по пищевым нормам</x:v>
      </x:c>
      <x:c r="I127" s="28" t="str">
        <x:v>горячее блюдо, бульон, соус, пюре, ферментация или гарнир с томат</x:v>
      </x:c>
      <x:c r="J127" s="28" t="str">
        <x:v>Высокая</x:v>
      </x:c>
      <x:c r="K127" s="28" t="str">
        <x:v>The Art &amp; Science of Foodpairing.pdf | Тезариус вкусов (Ники Сегнит)(1).pdf</x:v>
      </x:c>
      <x:c r="L127" s="28" t="str">
        <x:v>Тезариус вкусов (Ники Сегнит)(1).pdf: 299, 690; The Art &amp; Science of Foodpairing.pdf: 114, 161</x:v>
      </x:c>
    </x:row>
    <x:row r="128" ht="66" customHeight="1">
      <x:c r="A128" s="28" t="str">
        <x:v>VEG-1103</x:v>
      </x:c>
      <x:c r="B128" s="28" t="str">
        <x:v>чеснок</x:v>
      </x:c>
      <x:c r="C128" s="28" t="str">
        <x:v>трюфель</x:v>
      </x:c>
      <x:c r="D128" s="28" t="str">
        <x:v>Грибы</x:v>
      </x:c>
      <x:c r="E128" s="28" t="str">
        <x:v>пересечение ароматических семейств; умами и солёный контраст; сернистая или горчичная комплементарность</x:v>
      </x:c>
      <x:c r="F128" s="28" t="str">
        <x:v>Чеснок имеет профиль «резкий сернистый, зелёный и мясной; после запекания — сладкий и ореховый». Партнёр «трюфель» относится к группе «Грибы» и даёт землистый, грибной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8" s="28" t="str">
        <x:v>сырой чеснок быстро доминирует; пережжённый чеснок очень горький; хранить и обрабатывать по пищевым нормам</x:v>
      </x:c>
      <x:c r="I128" s="28" t="str">
        <x:v>горячее блюдо, бульон, соус, пюре, ферментация или гарнир с трюфель</x:v>
      </x:c>
      <x:c r="J128" s="28" t="str">
        <x:v>Средняя</x:v>
      </x:c>
      <x:c r="K128" s="28" t="str">
        <x:v>Тезариус вкусов (Ники Сегнит)(1).pdf</x:v>
      </x:c>
      <x:c r="L128" s="28" t="str">
        <x:v>Тезариус вкусов (Ники Сегнит)(1).pdf: 299, 307</x:v>
      </x:c>
    </x:row>
    <x:row r="129" ht="66" customHeight="1">
      <x:c r="A129" s="28" t="str">
        <x:v>VEG-1104</x:v>
      </x:c>
      <x:c r="B129" s="28" t="str">
        <x:v>чеснок</x:v>
      </x:c>
      <x:c r="C129" s="28" t="str">
        <x:v>тыква</x:v>
      </x:c>
      <x:c r="D129" s="28" t="str">
        <x:v>Тыквенные</x:v>
      </x:c>
      <x:c r="E129" s="28" t="str">
        <x:v>сернистая или горчичная комплементарность</x:v>
      </x:c>
      <x:c r="F129" s="28" t="str">
        <x:v>Чеснок имеет профиль «резкий сернистый, зелёный и мясной; после запекания — сладкий и ореховый». Партнёр «тыква» относится к группе «Тыквенные» и даёт сладкий, крахмалистый, ореховый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29" s="28" t="str">
        <x:v>сырой чеснок быстро доминирует; пережжённый чеснок очень горький; хранить и обрабатывать по пищевым нормам</x:v>
      </x:c>
      <x:c r="I129" s="28" t="str">
        <x:v>горячее блюдо, бульон, соус, пюре, ферментация или гарнир с тыква</x:v>
      </x:c>
      <x:c r="J129" s="28" t="str">
        <x:v>Средняя</x:v>
      </x:c>
      <x:c r="K129" s="28" t="str">
        <x:v>The Art &amp; Science of Foodpairing.pdf</x:v>
      </x:c>
      <x:c r="L129" s="28" t="str">
        <x:v>The Art &amp; Science of Foodpairing.pdf: 113</x:v>
      </x:c>
    </x:row>
    <x:row r="130" ht="66" customHeight="1">
      <x:c r="A130" s="28" t="str">
        <x:v>VEG-1105</x:v>
      </x:c>
      <x:c r="B130" s="28" t="str">
        <x:v>чеснок</x:v>
      </x:c>
      <x:c r="C130" s="28" t="str">
        <x:v>тыква баттернат</x:v>
      </x:c>
      <x:c r="D130" s="28" t="str">
        <x:v>Тыквенные</x:v>
      </x:c>
      <x:c r="E130" s="28" t="str">
        <x:v>сернистая или горчичная комплементарность</x:v>
      </x:c>
      <x:c r="F130" s="28" t="str">
        <x:v>Чеснок имеет профиль «резкий сернистый, зелёный и мясной; после запекания — сладкий и ореховый».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0" s="28" t="str">
        <x:v>сырой чеснок быстро доминирует; пережжённый чеснок очень горький; хранить и обрабатывать по пищевым нормам</x:v>
      </x:c>
      <x:c r="I130" s="28" t="str">
        <x:v>горячее блюдо, бульон, соус, пюре, ферментация или гарнир с тыква баттернат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114</x:v>
      </x:c>
    </x:row>
    <x:row r="131" ht="66" customHeight="1">
      <x:c r="A131" s="28" t="str">
        <x:v>VEG-1106</x:v>
      </x:c>
      <x:c r="B131" s="28" t="str">
        <x:v>чеснок</x:v>
      </x:c>
      <x:c r="C131" s="28" t="str">
        <x:v>тюрбо</x:v>
      </x:c>
      <x:c r="D131" s="28" t="str">
        <x:v>Прочее</x:v>
      </x:c>
      <x:c r="E131" s="28" t="str">
        <x:v>сернистая или горчичная комплементарность</x:v>
      </x:c>
      <x:c r="F131" s="28" t="str">
        <x:v>Чеснок имеет профиль «резкий сернистый, зелёный и мясной; после запекания — сладкий и ореховый». Партнёр «тюрбо»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1" s="28" t="str">
        <x:v>сырой чеснок быстро доминирует; пережжённый чеснок очень горький; хранить и обрабатывать по пищевым нормам</x:v>
      </x:c>
      <x:c r="I131" s="28" t="str">
        <x:v>горячее блюдо, бульон, соус, пюре, ферментация или гарнир с тюрбо</x:v>
      </x:c>
      <x:c r="J131" s="28" t="str">
        <x:v>Средняя</x:v>
      </x:c>
      <x:c r="K131" s="28" t="str">
        <x:v>The Art &amp; Science of Foodpairing.pdf</x:v>
      </x:c>
      <x:c r="L131" s="28" t="str">
        <x:v>The Art &amp; Science of Foodpairing.pdf: 113</x:v>
      </x:c>
    </x:row>
    <x:row r="132" ht="66" customHeight="1">
      <x:c r="A132" s="28" t="str">
        <x:v>VEG-1107</x:v>
      </x:c>
      <x:c r="B132" s="28" t="str">
        <x:v>чеснок</x:v>
      </x:c>
      <x:c r="C132" s="28" t="str">
        <x:v>устрица</x:v>
      </x:c>
      <x:c r="D132" s="28" t="str">
        <x:v>Рыба и морепродукты</x:v>
      </x:c>
      <x:c r="E132" s="28" t="str">
        <x:v>пересечение ароматических семейств; умами и солёный контраст; сернистая или горчичная комплементарность</x:v>
      </x:c>
      <x:c r="F132" s="28" t="str">
        <x:v>Чеснок имеет профиль «резкий сернистый, зелёный и мясной; после запекания — сладкий и ореховый». Партнёр «устрица»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2" s="28" t="str">
        <x:v>сырой чеснок быстро доминирует; пережжённый чеснок очень горький; хранить и обрабатывать по пищевым нормам</x:v>
      </x:c>
      <x:c r="I132" s="28" t="str">
        <x:v>горячее блюдо, бульон, соус, пюре, ферментация или гарнир с устрица</x:v>
      </x:c>
      <x:c r="J132" s="28" t="str">
        <x:v>Средняя</x:v>
      </x:c>
      <x:c r="K132" s="28" t="str">
        <x:v>The Art &amp; Science of Foodpairing.pdf</x:v>
      </x:c>
      <x:c r="L132" s="28" t="str">
        <x:v>The Art &amp; Science of Foodpairing.pdf: 113, 114</x:v>
      </x:c>
    </x:row>
    <x:row r="133" ht="66" customHeight="1">
      <x:c r="A133" s="28" t="str">
        <x:v>VEG-1108</x:v>
      </x:c>
      <x:c r="B133" s="28" t="str">
        <x:v>чеснок</x:v>
      </x:c>
      <x:c r="C133" s="28" t="str">
        <x:v>утиная грудка</x:v>
      </x:c>
      <x:c r="D133" s="28" t="str">
        <x:v>Прочее</x:v>
      </x:c>
      <x:c r="E133" s="28" t="str">
        <x:v>сернистая или горчичная комплементарность</x:v>
      </x:c>
      <x:c r="F133" s="28" t="str">
        <x:v>Чеснок имеет профиль «резкий сернистый, зелёный и мясной; после запекания — сладкий и ореховый». Партнёр «утиная грудка»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3" s="28" t="str">
        <x:v>сырой чеснок быстро доминирует; пережжённый чеснок очень горький; хранить и обрабатывать по пищевым нормам</x:v>
      </x:c>
      <x:c r="I133" s="28" t="str">
        <x:v>горячее блюдо, бульон, соус, пюре, ферментация или гарнир с утиная грудка</x:v>
      </x:c>
      <x:c r="J133" s="28" t="str">
        <x:v>Средняя</x:v>
      </x:c>
      <x:c r="K133" s="28" t="str">
        <x:v>The Art &amp; Science of Foodpairing.pdf</x:v>
      </x:c>
      <x:c r="L133" s="28" t="str">
        <x:v>The Art &amp; Science of Foodpairing.pdf: 113</x:v>
      </x:c>
    </x:row>
    <x:row r="134" ht="66" customHeight="1">
      <x:c r="A134" s="28" t="str">
        <x:v>VEG-1109</x:v>
      </x:c>
      <x:c r="B134" s="28" t="str">
        <x:v>чеснок</x:v>
      </x:c>
      <x:c r="C134" s="28" t="str">
        <x:v>фундук</x:v>
      </x:c>
      <x:c r="D134" s="28" t="str">
        <x:v>Орехи и семена</x:v>
      </x:c>
      <x:c r="E134" s="28" t="str">
        <x:v>пересечение ароматических семейств; сернистая или горчичная комплементарность</x:v>
      </x:c>
      <x:c r="F134" s="28" t="str">
        <x:v>Чеснок имеет профиль «резкий сернистый, зелёный и мясной; после запекания — сладкий и ореховый». Партнёр «фундук»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4" s="28" t="str">
        <x:v>сырой чеснок быстро доминирует; пережжённый чеснок очень горький; хранить и обрабатывать по пищевым нормам</x:v>
      </x:c>
      <x:c r="I134" s="28" t="str">
        <x:v>горячее блюдо, бульон, соус, пюре, ферментация или гарнир с фундук</x:v>
      </x:c>
      <x:c r="J134" s="28" t="str">
        <x:v>Средняя</x:v>
      </x:c>
      <x:c r="K134" s="28" t="str">
        <x:v>Тезариус вкусов (Ники Сегнит)(1).pdf</x:v>
      </x:c>
      <x:c r="L134" s="28" t="str">
        <x:v>Тезариус вкусов (Ники Сегнит)(1).pdf: 299, 377, 638</x:v>
      </x:c>
    </x:row>
    <x:row r="135" ht="66" customHeight="1">
      <x:c r="A135" s="28" t="str">
        <x:v>VEG-1110</x:v>
      </x:c>
      <x:c r="B135" s="28" t="str">
        <x:v>чеснок</x:v>
      </x:c>
      <x:c r="C135" s="28" t="str">
        <x:v>хамон иберико</x:v>
      </x:c>
      <x:c r="D135" s="28" t="str">
        <x:v>Мясо и птица</x:v>
      </x:c>
      <x:c r="E135" s="28" t="str">
        <x:v>пересечение ароматических семейств; умами и солёный контраст; сернистая или горчичная комплементарность</x:v>
      </x:c>
      <x:c r="F135" s="28" t="str">
        <x:v>Чеснок имеет профиль «резкий сернистый, зелёный и мясной; после запекания — сладкий и ореховый». Партнёр «хамон иберико»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5" s="28" t="str">
        <x:v>сырой чеснок быстро доминирует; пережжённый чеснок очень горький; хранить и обрабатывать по пищевым нормам</x:v>
      </x:c>
      <x:c r="I135" s="28" t="str">
        <x:v>горячее блюдо, бульон, соус, пюре, ферментация или гарнир с хамон иберико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278</x:v>
      </x:c>
    </x:row>
    <x:row r="136" ht="66" customHeight="1">
      <x:c r="A136" s="28" t="str">
        <x:v>VEG-1111</x:v>
      </x:c>
      <x:c r="B136" s="28" t="str">
        <x:v>чеснок</x:v>
      </x:c>
      <x:c r="C136" s="28" t="str">
        <x:v>хлеб</x:v>
      </x:c>
      <x:c r="D136" s="28" t="str">
        <x:v>Выпечка, крупы, сахара и десерты</x:v>
      </x:c>
      <x:c r="E136" s="28" t="str">
        <x:v>пересечение ароматических семейств; сернистая или горчичная комплементарность</x:v>
      </x:c>
      <x:c r="F136" s="28" t="str">
        <x:v>Чеснок имеет профиль «резкий сернистый, зелёный и мясной; после запекания — сладкий и ореховый». Партнёр «хлеб» относится к группе «Выпечка, крупы, сахара и десерты» и даёт жареный, зерновой.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6" s="28" t="str">
        <x:v>сырой чеснок быстро доминирует; пережжённый чеснок очень горький; хранить и обрабатывать по пищевым нормам</x:v>
      </x:c>
      <x:c r="I136" s="28" t="str">
        <x:v>горячее блюдо, бульон, соус, пюре, ферментация или гарнир с хлеб</x:v>
      </x:c>
      <x:c r="J136" s="28" t="str">
        <x:v>Высокая</x:v>
      </x:c>
      <x:c r="K136" s="28" t="str">
        <x:v>The Art &amp; Science of Foodpairing.pdf</x:v>
      </x:c>
      <x:c r="L136" s="28" t="str">
        <x:v>The Art &amp; Science of Foodpairing.pdf: 112, 114</x:v>
      </x:c>
    </x:row>
    <x:row r="137" ht="66" customHeight="1">
      <x:c r="A137" s="28" t="str">
        <x:v>VEG-1112</x:v>
      </x:c>
      <x:c r="B137" s="28" t="str">
        <x:v>чеснок</x:v>
      </x:c>
      <x:c r="C137" s="28" t="str">
        <x:v>цветная капуста</x:v>
      </x:c>
      <x:c r="D137" s="28" t="str">
        <x:v>Крестоцветные</x:v>
      </x:c>
      <x:c r="E137" s="28" t="str">
        <x:v>общие характерные молекулы; пересечение ароматических семейств; сернистая или горчичная комплементарность</x:v>
      </x:c>
      <x:c r="F137" s="28" t="str">
        <x:v>Чеснок имеет профиль «резкий сернистый, зелёный и мясной; после запекания — сладкий и ореховый». Партнёр «цветная капуста» относится к группе «Крестоцветные» и даёт мягко капустный, ореховый, сернистый и сливочный после запекания.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7" s="28" t="str">
        <x:v>сырой чеснок быстро доминирует; пережжённый чеснок очень горький; хранить и обрабатывать по пищевым нормам</x:v>
      </x:c>
      <x:c r="I137" s="28" t="str">
        <x:v>горячее блюдо, бульон, соус, пюре, ферментация или гарнир с цветная капуста</x:v>
      </x:c>
      <x:c r="J137" s="28" t="str">
        <x:v>Высокая</x:v>
      </x:c>
      <x:c r="K137" s="28" t="str">
        <x:v>The Art &amp; Science of Foodpairing.pdf | Тезариус вкусов (Ники Сегнит)(1).pdf</x:v>
      </x:c>
      <x:c r="L137" s="28" t="str">
        <x:v>Тезариус вкусов (Ники Сегнит)(1).pdf: 299, 326; The Art &amp; Science of Foodpairing.pdf: 113</x:v>
      </x:c>
    </x:row>
    <x:row r="138" ht="66" customHeight="1">
      <x:c r="A138" s="28" t="str">
        <x:v>VEG-1113</x:v>
      </x:c>
      <x:c r="B138" s="28" t="str">
        <x:v>чеснок</x:v>
      </x:c>
      <x:c r="C138" s="28" t="str">
        <x:v>цветок акмеллы</x:v>
      </x:c>
      <x:c r="D138" s="28" t="str">
        <x:v>Прочее</x:v>
      </x:c>
      <x:c r="E138" s="28" t="str">
        <x:v>сернистая или горчичная комплементарность</x:v>
      </x:c>
      <x:c r="F138" s="28" t="str">
        <x:v>Чеснок имеет профиль «резкий сернистый, зелёный и мясной; после запекания — сладкий и ореховый». Партнёр «цветок акмеллы»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8" s="28" t="str">
        <x:v>сырой чеснок быстро доминирует; пережжённый чеснок очень горький; хранить и обрабатывать по пищевым нормам</x:v>
      </x:c>
      <x:c r="I138" s="28" t="str">
        <x:v>горячее блюдо, бульон, соус, пюре, ферментация или гарнир с цветок акмеллы</x:v>
      </x:c>
      <x:c r="J138" s="28" t="str">
        <x:v>Высокая</x:v>
      </x:c>
      <x:c r="K138" s="28" t="str">
        <x:v>The Art &amp; Science of Foodpairing.pdf</x:v>
      </x:c>
      <x:c r="L138" s="28" t="str">
        <x:v>The Art &amp; Science of Foodpairing.pdf: 113</x:v>
      </x:c>
    </x:row>
    <x:row r="139" ht="66" customHeight="1">
      <x:c r="A139" s="28" t="str">
        <x:v>VEG-1114</x:v>
      </x:c>
      <x:c r="B139" s="28" t="str">
        <x:v>чеснок</x:v>
      </x:c>
      <x:c r="C139" s="28" t="str">
        <x:v>цесарка</x:v>
      </x:c>
      <x:c r="D139" s="28" t="str">
        <x:v>Прочее</x:v>
      </x:c>
      <x:c r="E139" s="28" t="str">
        <x:v>сернистая или горчичная комплементарность</x:v>
      </x:c>
      <x:c r="F139" s="28" t="str">
        <x:v>Чеснок имеет профиль «резкий сернистый, зелёный и мясной; после запекания — сладкий и ореховый». Партнёр «цесарка»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39" s="28" t="str">
        <x:v>сырой чеснок быстро доминирует; пережжённый чеснок очень горький; хранить и обрабатывать по пищевым нормам</x:v>
      </x:c>
      <x:c r="I139" s="28" t="str">
        <x:v>горячее блюдо, бульон, соус, пюре, ферментация или гарнир с цесарка</x:v>
      </x:c>
      <x:c r="J139" s="28" t="str">
        <x:v>Средняя</x:v>
      </x:c>
      <x:c r="K139" s="28" t="str">
        <x:v>The Art &amp; Science of Foodpairing.pdf</x:v>
      </x:c>
      <x:c r="L139" s="28" t="str">
        <x:v>The Art &amp; Science of Foodpairing.pdf: 114</x:v>
      </x:c>
    </x:row>
    <x:row r="140" ht="66" customHeight="1">
      <x:c r="A140" s="28" t="str">
        <x:v>VEG-1115</x:v>
      </x:c>
      <x:c r="B140" s="28" t="str">
        <x:v>чеснок</x:v>
      </x:c>
      <x:c r="C140" s="28" t="str">
        <x:v>цыпленок</x:v>
      </x:c>
      <x:c r="D140" s="28" t="str">
        <x:v>Прочее</x:v>
      </x:c>
      <x:c r="E140" s="28" t="str">
        <x:v>сернистая или горчичная комплементарность</x:v>
      </x:c>
      <x:c r="F140" s="28" t="str">
        <x:v>Чеснок имеет профиль «резкий сернистый, зелёный и мясной; после запекания — сладкий и ореховый».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0" s="28" t="str">
        <x:v>сырой чеснок быстро доминирует; пережжённый чеснок очень горький; хранить и обрабатывать по пищевым нормам</x:v>
      </x:c>
      <x:c r="I140" s="28" t="str">
        <x:v>горячее блюдо, бульон, соус, пюре, ферментация или гарнир с цыпленок</x:v>
      </x:c>
      <x:c r="J140" s="28" t="str">
        <x:v>Средняя</x:v>
      </x:c>
      <x:c r="K140" s="28" t="str">
        <x:v>Тезариус вкусов (Ники Сегнит)(1).pdf</x:v>
      </x:c>
      <x:c r="L140" s="28" t="str">
        <x:v>Тезариус вкусов (Ники Сегнит)(1).pdf: 75, 299</x:v>
      </x:c>
    </x:row>
    <x:row r="141" ht="66" customHeight="1">
      <x:c r="A141" s="28" t="str">
        <x:v>VEG-1116</x:v>
      </x:c>
      <x:c r="B141" s="28" t="str">
        <x:v>чеснок</x:v>
      </x:c>
      <x:c r="C141" s="28" t="str">
        <x:v>чай</x:v>
      </x:c>
      <x:c r="D141" s="28" t="str">
        <x:v>Чай</x:v>
      </x:c>
      <x:c r="E141" s="28" t="str">
        <x:v>сернистая или горчичная комплементарность</x:v>
      </x:c>
      <x:c r="F141" s="28" t="str">
        <x:v>Чеснок имеет профиль «резкий сернистый, зелёный и мясной; после запекания — сладкий и ореховый».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1" s="28" t="str">
        <x:v>сырой чеснок быстро доминирует; пережжённый чеснок очень горький; хранить и обрабатывать по пищевым нормам</x:v>
      </x:c>
      <x:c r="I141" s="28" t="str">
        <x:v>горячее блюдо, бульон, соус, пюре, ферментация или гарнир с чай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113</x:v>
      </x:c>
    </x:row>
    <x:row r="142" ht="66" customHeight="1">
      <x:c r="A142" s="28" t="str">
        <x:v>VEG-1117</x:v>
      </x:c>
      <x:c r="B142" s="28" t="str">
        <x:v>чеснок</x:v>
      </x:c>
      <x:c r="C142" s="28" t="str">
        <x:v>чиабатта</x:v>
      </x:c>
      <x:c r="D142" s="28" t="str">
        <x:v>Прочее</x:v>
      </x:c>
      <x:c r="E142" s="28" t="str">
        <x:v>сернистая или горчичная комплементарность</x:v>
      </x:c>
      <x:c r="F142" s="28" t="str">
        <x:v>Чеснок имеет профиль «резкий сернистый, зелёный и мясной; после запекания — сладкий и ореховый».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2" s="28" t="str">
        <x:v>сырой чеснок быстро доминирует; пережжённый чеснок очень горький; хранить и обрабатывать по пищевым нормам</x:v>
      </x:c>
      <x:c r="I142" s="28" t="str">
        <x:v>горячее блюдо, бульон, соус, пюре, ферментация или гарнир с чиабатта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114</x:v>
      </x:c>
    </x:row>
    <x:row r="143" ht="66" customHeight="1">
      <x:c r="A143" s="28" t="str">
        <x:v>VEG-1118</x:v>
      </x:c>
      <x:c r="B143" s="28" t="str">
        <x:v>чеснок</x:v>
      </x:c>
      <x:c r="C143" s="28" t="str">
        <x:v>чили</x:v>
      </x:c>
      <x:c r="D143" s="28" t="str">
        <x:v>Специи</x:v>
      </x:c>
      <x:c r="E143" s="28" t="str">
        <x:v>сернистая или горчичная комплементарность</x:v>
      </x:c>
      <x:c r="F143" s="28" t="str">
        <x:v>Чеснок имеет профиль «резкий сернистый, зелёный и мясной; после запекания — сладкий и ореховый».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3" s="28" t="str">
        <x:v>сырой чеснок быстро доминирует; пережжённый чеснок очень горький; хранить и обрабатывать по пищевым нормам</x:v>
      </x:c>
      <x:c r="I143" s="28" t="str">
        <x:v>горячее блюдо, бульон, соус, пюре, ферментация или гарнир с чили</x:v>
      </x:c>
      <x:c r="J143" s="28" t="str">
        <x:v>Средняя</x:v>
      </x:c>
      <x:c r="K143" s="28" t="str">
        <x:v>Тезариус вкусов (Ники Сегнит)(1).pdf</x:v>
      </x:c>
      <x:c r="L143" s="28" t="str">
        <x:v>Тезариус вкусов (Ники Сегнит)(1).pdf: 300, 560</x:v>
      </x:c>
    </x:row>
    <x:row r="144" ht="66" customHeight="1">
      <x:c r="A144" s="28" t="str">
        <x:v>VEG-1119</x:v>
      </x:c>
      <x:c r="B144" s="28" t="str">
        <x:v>чеснок</x:v>
      </x:c>
      <x:c r="C144" s="28" t="str">
        <x:v>чоризо</x:v>
      </x:c>
      <x:c r="D144" s="28" t="str">
        <x:v>Прочее</x:v>
      </x:c>
      <x:c r="E144" s="28" t="str">
        <x:v>сернистая или горчичная комплементарность</x:v>
      </x:c>
      <x:c r="F144" s="28" t="str">
        <x:v>Чеснок имеет профиль «резкий сернистый, зелёный и мясной; после запекания — сладкий и ореховый».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4" s="28" t="str">
        <x:v>сырой чеснок быстро доминирует; пережжённый чеснок очень горький; хранить и обрабатывать по пищевым нормам</x:v>
      </x:c>
      <x:c r="I144" s="28" t="str">
        <x:v>горячее блюдо, бульон, соус, пюре, ферментация или гарнир с чоризо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288</x:v>
      </x:c>
    </x:row>
    <x:row r="145" ht="66" customHeight="1">
      <x:c r="A145" s="28" t="str">
        <x:v>VEG-1120</x:v>
      </x:c>
      <x:c r="B145" s="28" t="str">
        <x:v>чеснок</x:v>
      </x:c>
      <x:c r="C145" s="28" t="str">
        <x:v>чёрная смородина</x:v>
      </x:c>
      <x:c r="D145" s="28" t="str">
        <x:v>Фрукты и ягоды</x:v>
      </x:c>
      <x:c r="E145" s="28" t="str">
        <x:v>кислотно-сладкий баланс; сернистая или горчичная комплементарность</x:v>
      </x:c>
      <x:c r="F145" s="28" t="str">
        <x:v>Чеснок имеет профиль «резкий сернистый, зелёный и мясной; после запекания — сладкий и ореховый».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5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145" s="28" t="str">
        <x:v>горячее блюдо, бульон, соус, пюре, ферментация или гарнир с чёрная смородина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113</x:v>
      </x:c>
    </x:row>
    <x:row r="146" ht="66" customHeight="1">
      <x:c r="A146" s="28" t="str">
        <x:v>VEG-1121</x:v>
      </x:c>
      <x:c r="B146" s="28" t="str">
        <x:v>чеснок</x:v>
      </x:c>
      <x:c r="C146" s="28" t="str">
        <x:v>чёрные оливки</x:v>
      </x:c>
      <x:c r="D146" s="28" t="str">
        <x:v>Прочее</x:v>
      </x:c>
      <x:c r="E146" s="28" t="str">
        <x:v>сернистая или горчичная комплементарность</x:v>
      </x:c>
      <x:c r="F146" s="28" t="str">
        <x:v>Чеснок имеет профиль «резкий сернистый, зелёный и мясной; после запекания — сладкий и ореховый». Партнёр «чёрные 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6" s="28" t="str">
        <x:v>сырой чеснок быстро доминирует; пережжённый чеснок очень горький; хранить и обрабатывать по пищевым нормам</x:v>
      </x:c>
      <x:c r="I146" s="28" t="str">
        <x:v>горячее блюдо, бульон, соус, пюре, ферментация или гарнир с чёрные оливки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113</x:v>
      </x:c>
    </x:row>
    <x:row r="147" ht="66" customHeight="1">
      <x:c r="A147" s="28" t="str">
        <x:v>VEG-1122</x:v>
      </x:c>
      <x:c r="B147" s="28" t="str">
        <x:v>чеснок</x:v>
      </x:c>
      <x:c r="C147" s="28" t="str">
        <x:v>чёрный трюфель</x:v>
      </x:c>
      <x:c r="D147" s="28" t="str">
        <x:v>Грибы</x:v>
      </x:c>
      <x:c r="E147" s="28" t="str">
        <x:v>пересечение ароматических семейств; умами и солёный контраст; сернистая или горчичная комплементарность</x:v>
      </x:c>
      <x:c r="F147" s="28" t="str">
        <x:v>Чеснок имеет профиль «резкий сернистый, зелёный и мясной; после запекания — сладкий и ореховый». Партнёр «чёрный трюфель» относится к группе «Грибы» и даёт землистый, грибной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7" s="28" t="str">
        <x:v>сырой чеснок быстро доминирует; пережжённый чеснок очень горький; хранить и обрабатывать по пищевым нормам</x:v>
      </x:c>
      <x:c r="I147" s="28" t="str">
        <x:v>горячее блюдо, бульон, соус, пюре, ферментация или гарнир с чёрный трюфель</x:v>
      </x:c>
      <x:c r="J147" s="28" t="str">
        <x:v>Средняя</x:v>
      </x:c>
      <x:c r="K147" s="28" t="str">
        <x:v>The Art &amp; Science of Foodpairing.pdf</x:v>
      </x:c>
      <x:c r="L147" s="28" t="str">
        <x:v>The Art &amp; Science of Foodpairing.pdf: 114</x:v>
      </x:c>
    </x:row>
    <x:row r="148" ht="66" customHeight="1">
      <x:c r="A148" s="28" t="str">
        <x:v>VEG-1123</x:v>
      </x:c>
      <x:c r="B148" s="28" t="str">
        <x:v>чеснок</x:v>
      </x:c>
      <x:c r="C148" s="28" t="str">
        <x:v>чёрный чеснок</x:v>
      </x:c>
      <x:c r="D148" s="28" t="str">
        <x:v>Луковые овощи</x:v>
      </x:c>
      <x:c r="E148" s="28" t="str">
        <x:v>пересечение ароматических семейств; сернистая или горчичная комплементарность</x:v>
      </x:c>
      <x:c r="F148" s="28" t="str">
        <x:v>Чеснок имеет профиль «резкий сернистый, зелёный и мясной; после запекания — сладкий и ореховый». Партнёр «чёрный чеснок» относится к группе «Луковые овощи» и даёт сернистый, сладкий и жареный.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8" s="28" t="str">
        <x:v>сырой чеснок быстро доминирует; пережжённый чеснок очень горький; хранить и обрабатывать по пищевым нормам</x:v>
      </x:c>
      <x:c r="I148" s="28" t="str">
        <x:v>горячее блюдо, бульон, соус, пюре, ферментация или гарнир с чёрный чеснок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114</x:v>
      </x:c>
    </x:row>
    <x:row r="149" ht="66" customHeight="1">
      <x:c r="A149" s="28" t="str">
        <x:v>VEG-1124</x:v>
      </x:c>
      <x:c r="B149" s="28" t="str">
        <x:v>чеснок</x:v>
      </x:c>
      <x:c r="C149" s="28" t="str">
        <x:v>шафран</x:v>
      </x:c>
      <x:c r="D149" s="28" t="str">
        <x:v>Специи</x:v>
      </x:c>
      <x:c r="E149" s="28" t="str">
        <x:v>сернистая или горчичная комплементарность</x:v>
      </x:c>
      <x:c r="F149" s="28" t="str">
        <x:v>Чеснок имеет профиль «резкий сернистый, зелёный и мясной; после запекания — сладкий и ореховый».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49" s="28" t="str">
        <x:v>сырой чеснок быстро доминирует; пережжённый чеснок очень горький; хранить и обрабатывать по пищевым нормам</x:v>
      </x:c>
      <x:c r="I149" s="28" t="str">
        <x:v>горячее блюдо, бульон, соус, пюре, ферментация или гарнир с шафран</x:v>
      </x:c>
      <x:c r="J149" s="28" t="str">
        <x:v>Средняя</x:v>
      </x:c>
      <x:c r="K149" s="28" t="str">
        <x:v>The Art &amp; Science of Foodpairing.pdf</x:v>
      </x:c>
      <x:c r="L149" s="28" t="str">
        <x:v>The Art &amp; Science of Foodpairing.pdf: 114</x:v>
      </x:c>
    </x:row>
    <x:row r="150" ht="66" customHeight="1">
      <x:c r="A150" s="28" t="str">
        <x:v>VEG-1125</x:v>
      </x:c>
      <x:c r="B150" s="28" t="str">
        <x:v>чеснок</x:v>
      </x:c>
      <x:c r="C150" s="28" t="str">
        <x:v>шнитт-лук</x:v>
      </x:c>
      <x:c r="D150" s="28" t="str">
        <x:v>Луковые овощи</x:v>
      </x:c>
      <x:c r="E150" s="28" t="str">
        <x:v>пересечение ароматических семейств; сернистая или горчичная комплементарность</x:v>
      </x:c>
      <x:c r="F150" s="28" t="str">
        <x:v>Чеснок имеет профиль «резкий сернистый, зелёный и мясной; после запекания — сладкий и ореховый». Партнёр «шнитт-лук» относится к группе «Луковые овощи» и даёт сернистый, сладкий и жареный.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5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50" s="28" t="str">
        <x:v>сырой чеснок быстро доминирует; пережжённый чеснок очень горький; хранить и обрабатывать по пищевым нормам</x:v>
      </x:c>
      <x:c r="I150" s="28" t="str">
        <x:v>горячее блюдо, бульон, соус, пюре, ферментация или гарнир с шнитт-лук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114</x:v>
      </x:c>
    </x:row>
    <x:row r="151" ht="66" customHeight="1">
      <x:c r="A151" s="28" t="str">
        <x:v>VEG-1126</x:v>
      </x:c>
      <x:c r="B151" s="28" t="str">
        <x:v>чеснок</x:v>
      </x:c>
      <x:c r="C151" s="28" t="str">
        <x:v>шоколад</x:v>
      </x:c>
      <x:c r="D151" s="28" t="str">
        <x:v>Какао и шоколад</x:v>
      </x:c>
      <x:c r="E151" s="28" t="str">
        <x:v>пересечение ароматических семейств; сернистая или горчичная комплементарность</x:v>
      </x:c>
      <x:c r="F151" s="28" t="str">
        <x:v>Чеснок имеет профиль «резкий сернистый, зелёный и мясной; после запекания — сладкий и ореховый». Партнёр «шоколад» относится к группе «Какао и шоколад» и даёт жареный, какаовый, карамельный.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5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51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151" s="28" t="str">
        <x:v>горячее блюдо, бульон, соус, пюре, ферментация или гарнир с шоколад</x:v>
      </x:c>
      <x:c r="J151" s="28" t="str">
        <x:v>Высокая</x:v>
      </x:c>
      <x:c r="K151" s="28" t="str">
        <x:v>The Art &amp; Science of Foodpairing.pdf</x:v>
      </x:c>
      <x:c r="L151" s="28" t="str">
        <x:v>The Art &amp; Science of Foodpairing.pdf: 113</x:v>
      </x:c>
    </x:row>
    <x:row r="152" ht="66" customHeight="1">
      <x:c r="A152" s="28" t="str">
        <x:v>VEG-1127</x:v>
      </x:c>
      <x:c r="B152" s="28" t="str">
        <x:v>чеснок</x:v>
      </x:c>
      <x:c r="C152" s="28" t="str">
        <x:v>эмменталь</x:v>
      </x:c>
      <x:c r="D152" s="28" t="str">
        <x:v>Прочее</x:v>
      </x:c>
      <x:c r="E152" s="28" t="str">
        <x:v>сернистая или горчичная комплементарность</x:v>
      </x:c>
      <x:c r="F152" s="28" t="str">
        <x:v>Чеснок имеет профиль «резкий сернистый, зелёный и мясной; после запекания — сладкий и ореховый». Партнёр «эмменталь»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5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52" s="28" t="str">
        <x:v>сырой чеснок быстро доминирует; пережжённый чеснок очень горький; хранить и обрабатывать по пищевым нормам</x:v>
      </x:c>
      <x:c r="I152" s="28" t="str">
        <x:v>горячее блюдо, бульон, соус, пюре, ферментация или гарнир с эмменталь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113</x:v>
      </x:c>
    </x:row>
    <x:row r="153" ht="66" customHeight="1">
      <x:c r="A153" s="28" t="str">
        <x:v>VEG-1128</x:v>
      </x:c>
      <x:c r="B153" s="28" t="str">
        <x:v>чеснок</x:v>
      </x:c>
      <x:c r="C153" s="28" t="str">
        <x:v>яблоко</x:v>
      </x:c>
      <x:c r="D153" s="28" t="str">
        <x:v>Фрукты и ягоды</x:v>
      </x:c>
      <x:c r="E153" s="28" t="str">
        <x:v>кислотно-сладкий баланс; сернистая или горчичная комплементарность</x:v>
      </x:c>
      <x:c r="F153" s="28" t="str">
        <x:v>Чеснок имеет профиль «резкий сернистый, зелёный и мясной; после запекания — сладкий и ореховый».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5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15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153" s="28" t="str">
        <x:v>горячее блюдо, бульон, соус, пюре, ферментация или гарнир с яблоко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114</x:v>
      </x:c>
    </x:row>
  </x:sheetData>
  <x:conditionalFormatting sqref="J2:J153">
    <x:cfRule type="expression" dxfId="12" priority="1">
      <x:formula>J2="Высокая"</x:formula>
    </x:cfRule>
    <x:cfRule type="expression" dxfId="13" priority="2">
      <x:formula>J2="Средняя"</x:formula>
    </x:cfRule>
    <x:cfRule type="expression" dxfId="14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175243eebc455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VEG-0194</x:v>
      </x:c>
      <x:c r="B2" s="28" t="str">
        <x:v>горох</x:v>
      </x:c>
      <x:c r="C2" s="28" t="str">
        <x:v>анис</x:v>
      </x:c>
      <x:c r="D2" s="28" t="str">
        <x:v>Прочее</x:v>
      </x:c>
      <x:c r="E2" s="28" t="str">
        <x:v>сенсорная комплементарность</x:v>
      </x:c>
      <x:c r="F2" s="28" t="str">
        <x:v>Горох имеет профиль «зелёный, сладкий, бобовый и слегка цветочный».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2" s="28" t="str">
        <x:v>старый горох мучнистый; длительное хранение и нагрев снижают цвет и свежий аромат</x:v>
      </x:c>
      <x:c r="I2" s="28" t="str">
        <x:v>салат, гарнир, суп, соус, маринад, ферментация или напиток с анис</x:v>
      </x:c>
      <x:c r="J2" s="28" t="str">
        <x:v>Средняя</x:v>
      </x:c>
      <x:c r="K2" s="28" t="str">
        <x:v>Тезариус вкусов (Ники Сегнит)(1).pdf</x:v>
      </x:c>
      <x:c r="L2" s="28" t="str">
        <x:v>Тезариус вкусов (Ники Сегнит)(1).pdf: 483, 534</x:v>
      </x:c>
    </x:row>
    <x:row r="3" ht="66" customHeight="1">
      <x:c r="A3" s="28" t="str">
        <x:v>VEG-0195</x:v>
      </x:c>
      <x:c r="B3" s="28" t="str">
        <x:v>горох</x:v>
      </x:c>
      <x:c r="C3" s="28" t="str">
        <x:v>апельсин</x:v>
      </x:c>
      <x:c r="D3" s="28" t="str">
        <x:v>Фрукты и ягоды</x:v>
      </x:c>
      <x:c r="E3" s="28" t="str">
        <x:v>пересечение ароматических семейств; кислотно-сладкий баланс</x:v>
      </x:c>
      <x:c r="F3" s="28" t="str">
        <x:v>Горох имеет профиль «зелёный, сладкий, бобовый и слегка цветочный».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3" s="28" t="str">
        <x:v>старый горох мучнистый; длительное хранение и нагрев снижают цвет и свежий аромат; избыток кислоты или воды может сделать овощной вкус тонким и разрушить сливочную эмульсию</x:v>
      </x:c>
      <x:c r="I3" s="28" t="str">
        <x:v>салат, гарнир, суп, соус, маринад, ферментация или напиток с апельсин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236</x:v>
      </x:c>
    </x:row>
    <x:row r="4" ht="66" customHeight="1">
      <x:c r="A4" s="28" t="str">
        <x:v>VEG-0196</x:v>
      </x:c>
      <x:c r="B4" s="28" t="str">
        <x:v>горох</x:v>
      </x:c>
      <x:c r="C4" s="28" t="str">
        <x:v>баранина</x:v>
      </x:c>
      <x:c r="D4" s="28" t="str">
        <x:v>Мясо и птица</x:v>
      </x:c>
      <x:c r="E4" s="28" t="str">
        <x:v>умами и солёный контраст</x:v>
      </x:c>
      <x:c r="F4" s="28" t="str">
        <x:v>Горох имеет профиль «зелёный, сладкий, бобовый и слегка цветочный».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4" s="28" t="str">
        <x:v>старый горох мучнистый; длительное хранение и нагрев снижают цвет и свежий аромат</x:v>
      </x:c>
      <x:c r="I4" s="28" t="str">
        <x:v>салат, гарнир, суп, соус, маринад, ферментация или напиток с баранина</x:v>
      </x:c>
      <x:c r="J4" s="28" t="str">
        <x:v>Средняя</x:v>
      </x:c>
      <x:c r="K4" s="28" t="str">
        <x:v>Тезариус вкусов (Ники Сегнит)(1).pdf</x:v>
      </x:c>
      <x:c r="L4" s="28" t="str">
        <x:v>Тезариус вкусов (Ники Сегнит)(1).pdf: 128, 536</x:v>
      </x:c>
    </x:row>
    <x:row r="5" ht="66" customHeight="1">
      <x:c r="A5" s="28" t="str">
        <x:v>VEG-0197</x:v>
      </x:c>
      <x:c r="B5" s="28" t="str">
        <x:v>горох</x:v>
      </x:c>
      <x:c r="C5" s="28" t="str">
        <x:v>бекон</x:v>
      </x:c>
      <x:c r="D5" s="28" t="str">
        <x:v>Мясо и птица</x:v>
      </x:c>
      <x:c r="E5" s="28" t="str">
        <x:v>умами и солёный контраст</x:v>
      </x:c>
      <x:c r="F5" s="28" t="str">
        <x:v>Горох имеет профиль «зелёный, сладкий, бобовый и слегка цветочный».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5" s="28" t="str">
        <x:v>старый горох мучнистый; длительное хранение и нагрев снижают цвет и свежий аромат</x:v>
      </x:c>
      <x:c r="I5" s="28" t="str">
        <x:v>салат, гарнир, суп, соус, маринад, ферментация или напиток с бекон</x:v>
      </x:c>
      <x:c r="J5" s="28" t="str">
        <x:v>Средняя</x:v>
      </x:c>
      <x:c r="K5" s="28" t="str">
        <x:v>Тезариус вкусов (Ники Сегнит)(1).pdf</x:v>
      </x:c>
      <x:c r="L5" s="28" t="str">
        <x:v>Тезариус вкусов (Ники Сегнит)(1).pdf: 444, 536</x:v>
      </x:c>
    </x:row>
    <x:row r="6" ht="66" customHeight="1">
      <x:c r="A6" s="28" t="str">
        <x:v>VEG-0198</x:v>
      </x:c>
      <x:c r="B6" s="28" t="str">
        <x:v>горох</x:v>
      </x:c>
      <x:c r="C6" s="28" t="str">
        <x:v>белая рыба</x:v>
      </x:c>
      <x:c r="D6" s="28" t="str">
        <x:v>Рыба и морепродукты</x:v>
      </x:c>
      <x:c r="E6" s="28" t="str">
        <x:v>умами и солёный контраст</x:v>
      </x:c>
      <x:c r="F6" s="28" t="str">
        <x:v>Горох имеет профиль «зелёный, сладкий, бобовый и слегка цветочный».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6" s="28" t="str">
        <x:v>старый горох мучнистый; длительное хранение и нагрев снижают цвет и свежий аромат</x:v>
      </x:c>
      <x:c r="I6" s="28" t="str">
        <x:v>салат, гарнир, суп, соус, маринад, ферментация или напиток с белая рыба</x:v>
      </x:c>
      <x:c r="J6" s="28" t="str">
        <x:v>Средняя</x:v>
      </x:c>
      <x:c r="K6" s="28" t="str">
        <x:v>Тезариус вкусов (Ники Сегнит)(1).pdf</x:v>
      </x:c>
      <x:c r="L6" s="28" t="str">
        <x:v>Тезариус вкусов (Ники Сегнит)(1).pdf: 384, 536</x:v>
      </x:c>
    </x:row>
    <x:row r="7" ht="66" customHeight="1">
      <x:c r="A7" s="28" t="str">
        <x:v>VEG-0199</x:v>
      </x:c>
      <x:c r="B7" s="28" t="str">
        <x:v>горох</x:v>
      </x:c>
      <x:c r="C7" s="28" t="str">
        <x:v>говядина</x:v>
      </x:c>
      <x:c r="D7" s="28" t="str">
        <x:v>Мясо и птица</x:v>
      </x:c>
      <x:c r="E7" s="28" t="str">
        <x:v>умами и солёный контраст</x:v>
      </x:c>
      <x:c r="F7" s="28" t="str">
        <x:v>Горох имеет профиль «зелёный, сладкий, бобовый и слегка цветочный».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7" s="28" t="str">
        <x:v>старый горох мучнистый; длительное хранение и нагрев снижают цвет и свежий аромат</x:v>
      </x:c>
      <x:c r="I7" s="28" t="str">
        <x:v>салат, гарнир, суп, соус, маринад, ферментация или напиток с говядина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108, 537</x:v>
      </x:c>
    </x:row>
    <x:row r="8" ht="66" customHeight="1">
      <x:c r="A8" s="28" t="str">
        <x:v>VEG-0200</x:v>
      </x:c>
      <x:c r="B8" s="28" t="str">
        <x:v>горох</x:v>
      </x:c>
      <x:c r="C8" s="28" t="str">
        <x:v>жирная рыба</x:v>
      </x:c>
      <x:c r="D8" s="28" t="str">
        <x:v>Рыба и морепродукты</x:v>
      </x:c>
      <x:c r="E8" s="28" t="str">
        <x:v>умами и солёный контраст</x:v>
      </x:c>
      <x:c r="F8" s="28" t="str">
        <x:v>Горох имеет профиль «зелёный, сладкий, бобовый и слегка цветочный».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8" s="28" t="str">
        <x:v>старый горох мучнистый; длительное хранение и нагрев снижают цвет и свежий аромат</x:v>
      </x:c>
      <x:c r="I8" s="28" t="str">
        <x:v>салат, гарнир, суп, соус, маринад, ферментация или напиток с жирная рыба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412, 538</x:v>
      </x:c>
    </x:row>
    <x:row r="9" ht="66" customHeight="1">
      <x:c r="A9" s="28" t="str">
        <x:v>VEG-0201</x:v>
      </x:c>
      <x:c r="B9" s="28" t="str">
        <x:v>горох</x:v>
      </x:c>
      <x:c r="C9" s="28" t="str">
        <x:v>копченая рыба</x:v>
      </x:c>
      <x:c r="D9" s="28" t="str">
        <x:v>Рыба и морепродукты</x:v>
      </x:c>
      <x:c r="E9" s="28" t="str">
        <x:v>умами и солёный контраст</x:v>
      </x:c>
      <x:c r="F9" s="28" t="str">
        <x:v>Горох имеет профиль «зелёный, сладкий, бобовый и слегка цветочный».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9" s="28" t="str">
        <x:v>старый горох мучнистый; длительное хранение и нагрев снижают цвет и свежий аромат</x:v>
      </x:c>
      <x:c r="I9" s="28" t="str">
        <x:v>салат, гарнир, суп, соус, маринад, ферментация или напиток с копченая рыба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435, 538</x:v>
      </x:c>
    </x:row>
    <x:row r="10" ht="66" customHeight="1">
      <x:c r="A10" s="28" t="str">
        <x:v>VEG-0202</x:v>
      </x:c>
      <x:c r="B10" s="28" t="str">
        <x:v>горох</x:v>
      </x:c>
      <x:c r="C10" s="28" t="str">
        <x:v>кунжут, халва и тахини</x:v>
      </x:c>
      <x:c r="D10" s="28" t="str">
        <x:v>Орехи и семена</x:v>
      </x:c>
      <x:c r="E10" s="28" t="str">
        <x:v>сенсорная комплементарность</x:v>
      </x:c>
      <x:c r="F10" s="28" t="str">
        <x:v>Горох имеет профиль «зелёный, сладкий, бобовый и слегка цветочный».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0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0" s="28" t="str">
        <x:v>старый горох мучнистый; длительное хранение и нагрев снижают цвет и свежий аромат</x:v>
      </x:c>
      <x:c r="I10" s="28" t="str">
        <x:v>салат, гарнир, суп, соус, маринад, ферментация или напиток с кунжут, халва и тахини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308</x:v>
      </x:c>
    </x:row>
    <x:row r="11" ht="66" customHeight="1">
      <x:c r="A11" s="28" t="str">
        <x:v>VEG-0203</x:v>
      </x:c>
      <x:c r="B11" s="28" t="str">
        <x:v>горох</x:v>
      </x:c>
      <x:c r="C11" s="28" t="str">
        <x:v>моллюски</x:v>
      </x:c>
      <x:c r="D11" s="28" t="str">
        <x:v>Рыба и морепродукты</x:v>
      </x:c>
      <x:c r="E11" s="28" t="str">
        <x:v>умами и солёный контраст</x:v>
      </x:c>
      <x:c r="F11" s="28" t="str">
        <x:v>Горох имеет профиль «зелёный, сладкий, бобовый и слегка цветочный».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1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1" s="28" t="str">
        <x:v>старый горох мучнистый; длительное хранение и нагрев снижают цвет и свежий аромат</x:v>
      </x:c>
      <x:c r="I11" s="28" t="str">
        <x:v>салат, гарнир, суп, соус, маринад, ферментация или напиток с моллюски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369, 539</x:v>
      </x:c>
    </x:row>
    <x:row r="12" ht="66" customHeight="1">
      <x:c r="A12" s="28" t="str">
        <x:v>VEG-0204</x:v>
      </x:c>
      <x:c r="B12" s="28" t="str">
        <x:v>горох</x:v>
      </x:c>
      <x:c r="C12" s="28" t="str">
        <x:v>морковь</x:v>
      </x:c>
      <x:c r="D12" s="28" t="str">
        <x:v>Корнеплоды</x:v>
      </x:c>
      <x:c r="E12" s="28" t="str">
        <x:v>пересечение ароматических семейств</x:v>
      </x:c>
      <x:c r="F12" s="28" t="str">
        <x:v>Горох имеет профиль «зелёный, сладкий, бобовый и слегка цветочный».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1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" s="28" t="str">
        <x:v>старый горох мучнистый; длительное хранение и нагрев снижают цвет и свежий аромат</x:v>
      </x:c>
      <x:c r="I12" s="28" t="str">
        <x:v>салат, гарнир, суп, соус, маринад, ферментация или напиток с морковь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232</x:v>
      </x:c>
    </x:row>
    <x:row r="13" ht="66" customHeight="1">
      <x:c r="A13" s="28" t="str">
        <x:v>VEG-0205</x:v>
      </x:c>
      <x:c r="B13" s="28" t="str">
        <x:v>горох</x:v>
      </x:c>
      <x:c r="C13" s="28" t="str">
        <x:v>мята</x:v>
      </x:c>
      <x:c r="D13" s="28" t="str">
        <x:v>Травы, цветы и листья</x:v>
      </x:c>
      <x:c r="E13" s="28" t="str">
        <x:v>пересечение ароматических семейств</x:v>
      </x:c>
      <x:c r="F13" s="28" t="str">
        <x:v>Горох имеет профиль «зелёный, сладкий, бобовый и слегка цветочный».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13" s="28" t="str">
        <x:v>салат, гарнир, суп, соус, маринад, ферментация или напиток с мята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866</x:v>
      </x:c>
    </x:row>
    <x:row r="14" ht="66" customHeight="1">
      <x:c r="A14" s="28" t="str">
        <x:v>VEG-0206</x:v>
      </x:c>
      <x:c r="B14" s="28" t="str">
        <x:v>горох</x:v>
      </x:c>
      <x:c r="C14" s="28" t="str">
        <x:v>оливковое масло</x:v>
      </x:c>
      <x:c r="D14" s="28" t="str">
        <x:v>Масла и жиры</x:v>
      </x:c>
      <x:c r="E14" s="28" t="str">
        <x:v>жировая матрица</x:v>
      </x:c>
      <x:c r="F14" s="28" t="str">
        <x:v>Горох имеет профиль «зелёный, сладкий, бобовый и слегка цветочный».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4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I14" s="28" t="str">
        <x:v>салат, гарнир, суп, соус, маринад, ферментация или напиток с оливковое масло</x:v>
      </x:c>
      <x:c r="J14" s="28" t="str">
        <x:v>Средняя</x:v>
      </x:c>
      <x:c r="K14" s="28" t="str">
        <x:v>The Art &amp; Science of Foodpairing.pdf</x:v>
      </x:c>
      <x:c r="L14" s="28" t="str">
        <x:v>The Art &amp; Science of Foodpairing.pdf: 172</x:v>
      </x:c>
    </x:row>
    <x:row r="15" ht="66" customHeight="1">
      <x:c r="A15" s="28" t="str">
        <x:v>VEG-0207</x:v>
      </x:c>
      <x:c r="B15" s="28" t="str">
        <x:v>горох</x:v>
      </x:c>
      <x:c r="C15" s="28" t="str">
        <x:v>пастернак</x:v>
      </x:c>
      <x:c r="D15" s="28" t="str">
        <x:v>Корнеплоды</x:v>
      </x:c>
      <x:c r="E15" s="28" t="str">
        <x:v>пересечение ароматических семейств</x:v>
      </x:c>
      <x:c r="F15" s="28" t="str">
        <x:v>Горох имеет профиль «зелёный, сладкий, бобовый и слегка цветочный».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1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5" s="28" t="str">
        <x:v>старый горох мучнистый; длительное хранение и нагрев снижают цвет и свежий аромат</x:v>
      </x:c>
      <x:c r="I15" s="28" t="str">
        <x:v>салат, гарнир, суп, соус, маринад, ферментация или напиток с пастернак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539, 596</x:v>
      </x:c>
    </x:row>
    <x:row r="16" ht="66" customHeight="1">
      <x:c r="A16" s="28" t="str">
        <x:v>VEG-0208</x:v>
      </x:c>
      <x:c r="B16" s="28" t="str">
        <x:v>горох</x:v>
      </x:c>
      <x:c r="C16" s="28" t="str">
        <x:v>прошутто</x:v>
      </x:c>
      <x:c r="D16" s="28" t="str">
        <x:v>Мясо и птица</x:v>
      </x:c>
      <x:c r="E16" s="28" t="str">
        <x:v>умами и солёный контраст</x:v>
      </x:c>
      <x:c r="F16" s="28" t="str">
        <x:v>Горох имеет профиль «зелёный, сладкий, бобовый и слегка цветочный».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6" s="28" t="str">
        <x:v>старый горох мучнистый; длительное хранение и нагрев снижают цвет и свежий аромат</x:v>
      </x:c>
      <x:c r="I16" s="28" t="str">
        <x:v>салат, гарнир, суп, соус, маринад, ферментация или напиток с прошутто</x:v>
      </x:c>
      <x:c r="J16" s="28" t="str">
        <x:v>Средняя</x:v>
      </x:c>
      <x:c r="K16" s="28" t="str">
        <x:v>Тезариус вкусов (Ники Сегнит)(1).pdf</x:v>
      </x:c>
      <x:c r="L16" s="28" t="str">
        <x:v>Тезариус вкусов (Ники Сегнит)(1).pdf: 455, 539</x:v>
      </x:c>
    </x:row>
    <x:row r="17" ht="66" customHeight="1">
      <x:c r="A17" s="28" t="str">
        <x:v>VEG-0209</x:v>
      </x:c>
      <x:c r="B17" s="28" t="str">
        <x:v>горох</x:v>
      </x:c>
      <x:c r="C17" s="28" t="str">
        <x:v>розмарин</x:v>
      </x:c>
      <x:c r="D17" s="28" t="str">
        <x:v>Травы, цветы и листья</x:v>
      </x:c>
      <x:c r="E17" s="28" t="str">
        <x:v>сенсорная комплементарность</x:v>
      </x:c>
      <x:c r="F17" s="28" t="str">
        <x:v>Горох имеет профиль «зелёный, сладкий, бобовый и слегка цветочный».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7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17" s="28" t="str">
        <x:v>салат, гарнир, суп, соус, маринад, ферментация или напиток с розмарин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539, 836</x:v>
      </x:c>
    </x:row>
    <x:row r="18" ht="66" customHeight="1">
      <x:c r="A18" s="28" t="str">
        <x:v>VEG-0210</x:v>
      </x:c>
      <x:c r="B18" s="28" t="str">
        <x:v>горох</x:v>
      </x:c>
      <x:c r="C18" s="28" t="str">
        <x:v>свинина</x:v>
      </x:c>
      <x:c r="D18" s="28" t="str">
        <x:v>Мясо и птица</x:v>
      </x:c>
      <x:c r="E18" s="28" t="str">
        <x:v>умами и солёный контраст</x:v>
      </x:c>
      <x:c r="F18" s="28" t="str">
        <x:v>Горох имеет профиль «зелёный, сладкий, бобовый и слегка цветочный».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8" s="28" t="str">
        <x:v>старый горох мучнистый; длительное хранение и нагрев снижают цвет и свежий аромат</x:v>
      </x:c>
      <x:c r="I18" s="28" t="str">
        <x:v>салат, гарнир, суп, соус, маринад, ферментация или напиток с свинина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82, 540</x:v>
      </x:c>
    </x:row>
    <x:row r="19" ht="66" customHeight="1">
      <x:c r="A19" s="28" t="str">
        <x:v>VEG-0211</x:v>
      </x:c>
      <x:c r="B19" s="28" t="str">
        <x:v>горох</x:v>
      </x:c>
      <x:c r="C19" s="28" t="str">
        <x:v>твердый сыр</x:v>
      </x:c>
      <x:c r="D19" s="28" t="str">
        <x:v>Молочные продукты и сыры</x:v>
      </x:c>
      <x:c r="E19" s="28" t="str">
        <x:v>жировая матрица</x:v>
      </x:c>
      <x:c r="F19" s="28" t="str">
        <x:v>Горох имеет профиль «зелёный, сладкий, бобовый и слегка цветочный».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9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I19" s="28" t="str">
        <x:v>салат, гарнир, суп, соус, маринад, ферментация или напиток с твердый сыр</x:v>
      </x:c>
      <x:c r="J19" s="28" t="str">
        <x:v>Средняя</x:v>
      </x:c>
      <x:c r="K19" s="28" t="str">
        <x:v>Тезариус вкусов (Ники Сегнит)(1).pdf</x:v>
      </x:c>
      <x:c r="L19" s="28" t="str">
        <x:v>Тезариус вкусов (Ники Сегнит)(1).pdf: 170, 541</x:v>
      </x:c>
    </x:row>
    <x:row r="20" ht="66" customHeight="1">
      <x:c r="A20" s="28" t="str">
        <x:v>VEG-0212</x:v>
      </x:c>
      <x:c r="B20" s="28" t="str">
        <x:v>горох</x:v>
      </x:c>
      <x:c r="C20" s="28" t="str">
        <x:v>укроп</x:v>
      </x:c>
      <x:c r="D20" s="28" t="str">
        <x:v>Травы, цветы и листья</x:v>
      </x:c>
      <x:c r="E20" s="28" t="str">
        <x:v>пересечение ароматических семейств</x:v>
      </x:c>
      <x:c r="F20" s="28" t="str">
        <x:v>Горох имеет профиль «зелёный, сладкий, бобовый и слегка цветочный». Партнёр «укроп» относится к группе «Травы, цветы и листья» и даёт анисовый, зелёный.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20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20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20" s="28" t="str">
        <x:v>салат, гарнир, суп, соус, маринад, ферментация или напиток с укроп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502, 542</x:v>
      </x:c>
    </x:row>
    <x:row r="21" ht="66" customHeight="1">
      <x:c r="A21" s="28" t="str">
        <x:v>VEG-0213</x:v>
      </x:c>
      <x:c r="B21" s="28" t="str">
        <x:v>горох</x:v>
      </x:c>
      <x:c r="C21" s="28" t="str">
        <x:v>хрен</x:v>
      </x:c>
      <x:c r="D21" s="28" t="str">
        <x:v>Прочее</x:v>
      </x:c>
      <x:c r="E21" s="28" t="str">
        <x:v>сенсорная комплементарность</x:v>
      </x:c>
      <x:c r="F21" s="28" t="str">
        <x:v>Горох имеет профиль «зелёный, сладкий, бобовый и слегка цветочный».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1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21" s="28" t="str">
        <x:v>старый горох мучнистый; длительное хранение и нагрев снижают цвет и свежий аромат</x:v>
      </x:c>
      <x:c r="I21" s="28" t="str">
        <x:v>салат, гарнир, суп, соус, маринад, ферментация или напиток с хрен</x:v>
      </x:c>
      <x:c r="J21" s="28" t="str">
        <x:v>Средняя</x:v>
      </x:c>
      <x:c r="K21" s="28" t="str">
        <x:v>Тезариус вкусов (Ники Сегнит)(1).pdf</x:v>
      </x:c>
      <x:c r="L21" s="28" t="str">
        <x:v>Тезариус вкусов (Ники Сегнит)(1).pdf: 274, 542</x:v>
      </x:c>
    </x:row>
    <x:row r="22" ht="66" customHeight="1">
      <x:c r="A22" s="28" t="str">
        <x:v>VEG-0214</x:v>
      </x:c>
      <x:c r="B22" s="28" t="str">
        <x:v>горох</x:v>
      </x:c>
      <x:c r="C22" s="28" t="str">
        <x:v>цыпленок</x:v>
      </x:c>
      <x:c r="D22" s="28" t="str">
        <x:v>Прочее</x:v>
      </x:c>
      <x:c r="E22" s="28" t="str">
        <x:v>сенсорная комплементарность</x:v>
      </x:c>
      <x:c r="F22" s="28" t="str">
        <x:v>Горох имеет профиль «зелёный, сладкий, бобовый и слегка цветочный».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22" s="28" t="str">
        <x:v>старый горох мучнистый; длительное хранение и нагрев снижают цвет и свежий аромат</x:v>
      </x:c>
      <x:c r="I22" s="28" t="str">
        <x:v>салат, гарнир, суп, соус, маринад, ферментация или напиток с цыпленок</x:v>
      </x:c>
      <x:c r="J22" s="28" t="str">
        <x:v>Средняя</x:v>
      </x:c>
      <x:c r="K22" s="28" t="str">
        <x:v>Тезариус вкусов (Ники Сегнит)(1).pdf</x:v>
      </x:c>
      <x:c r="L22" s="28" t="str">
        <x:v>Тезариус вкусов (Ники Сегнит)(1).pdf: 64, 543</x:v>
      </x:c>
    </x:row>
    <x:row r="23" ht="66" customHeight="1">
      <x:c r="A23" s="28" t="str">
        <x:v>VEG-0215</x:v>
      </x:c>
      <x:c r="B23" s="28" t="str">
        <x:v>горох</x:v>
      </x:c>
      <x:c r="C23" s="28" t="str">
        <x:v>яйца</x:v>
      </x:c>
      <x:c r="D23" s="28" t="str">
        <x:v>Прочее</x:v>
      </x:c>
      <x:c r="E23" s="28" t="str">
        <x:v>сенсорная комплементарность</x:v>
      </x:c>
      <x:c r="F23" s="28" t="str">
        <x:v>Горох имеет профиль «зелёный, сладкий, бобовый и слегка цветочный».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23" s="28" t="str">
        <x:v>старый горох мучнистый; длительное хранение и нагрев снижают цвет и свежий аромат</x:v>
      </x:c>
      <x:c r="I23" s="28" t="str">
        <x:v>салат, гарнир, суп, соус, маринад, ферментация или напиток с яйца</x:v>
      </x:c>
      <x:c r="J23" s="28" t="str">
        <x:v>Средняя</x:v>
      </x:c>
      <x:c r="K23" s="28" t="str">
        <x:v>Тезариус вкусов (Ники Сегнит)(1).pdf</x:v>
      </x:c>
      <x:c r="L23" s="28" t="str">
        <x:v>Тезариус вкусов (Ники Сегнит)(1).pdf: 351, 544</x:v>
      </x:c>
    </x:row>
    <x:row r="24" ht="66" customHeight="1">
      <x:c r="A24" s="28" t="str">
        <x:v>VEG-0269</x:v>
      </x:c>
      <x:c r="B24" s="28" t="str">
        <x:v>зелёная фасоль</x:v>
      </x:c>
      <x:c r="C24" s="28" t="str">
        <x:v>базилик</x:v>
      </x:c>
      <x:c r="D24" s="28" t="str">
        <x:v>Травы, цветы и листья</x:v>
      </x:c>
      <x:c r="E24" s="28" t="str">
        <x:v>пересечение ароматических семейств</x:v>
      </x:c>
      <x:c r="F24" s="28" t="str">
        <x:v>Зелёная фасоль имеет профиль «зелёный, травянистый, бобовый и слегка ореховый».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24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4" s="28" t="str">
        <x:v>недоготовленная груба, переваренная водяниста; использовать пищевые сорта после достаточной тепловой обработки; длительный нагрев уносит свежие терпены и зелёные альдегиды</x:v>
      </x:c>
      <x:c r="I24" s="28" t="str">
        <x:v>салат, гарнир, суп, соус, маринад, ферментация или напиток с базилик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74</x:v>
      </x:c>
    </x:row>
    <x:row r="25" ht="66" customHeight="1">
      <x:c r="A25" s="28" t="str">
        <x:v>VEG-0270</x:v>
      </x:c>
      <x:c r="B25" s="28" t="str">
        <x:v>зелёная фасоль</x:v>
      </x:c>
      <x:c r="C25" s="28" t="str">
        <x:v>бальзамический уксус</x:v>
      </x:c>
      <x:c r="D25" s="28" t="str">
        <x:v>Ферментированные продукты и соусы</x:v>
      </x:c>
      <x:c r="E25" s="28" t="str">
        <x:v>умами и солёный контраст</x:v>
      </x:c>
      <x:c r="F25" s="28" t="str">
        <x:v>Зелёная фасоль имеет профиль «зелёный, травянистый, бобовый и слегка ореховый».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5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5" s="28" t="str">
        <x:v>недоготовленная груба, переваренная водяниста; использовать пищевые сорта после достаточной тепловой обработки</x:v>
      </x:c>
      <x:c r="I25" s="28" t="str">
        <x:v>салат, гарнир, суп, соус, маринад, ферментация или напиток с бальзамический уксус</x:v>
      </x:c>
      <x:c r="J25" s="28" t="str">
        <x:v>Высокая</x:v>
      </x:c>
      <x:c r="K25" s="28" t="str">
        <x:v>The Art &amp; Science of Foodpairing.pdf</x:v>
      </x:c>
      <x:c r="L25" s="28" t="str">
        <x:v>The Art &amp; Science of Foodpairing.pdf: 317</x:v>
      </x:c>
    </x:row>
    <x:row r="26" ht="66" customHeight="1">
      <x:c r="A26" s="28" t="str">
        <x:v>VEG-0271</x:v>
      </x:c>
      <x:c r="B26" s="28" t="str">
        <x:v>зелёная фасоль</x:v>
      </x:c>
      <x:c r="C26" s="28" t="str">
        <x:v>дыня</x:v>
      </x:c>
      <x:c r="D26" s="28" t="str">
        <x:v>Фрукты и ягоды</x:v>
      </x:c>
      <x:c r="E26" s="28" t="str">
        <x:v>кислотно-сладкий баланс</x:v>
      </x:c>
      <x:c r="F26" s="28" t="str">
        <x:v>Зелёная фасоль имеет профиль «зелёный, травянистый, бобовый и слегка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6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6" s="28" t="str">
        <x:v>недоготовленная груба, переваренная водяниста; использовать пищевые сорта после достаточной тепловой обработки; избыток кислоты или воды может сделать овощной вкус тонким и разрушить сливочную эмульсию</x:v>
      </x:c>
      <x:c r="I26" s="28" t="str">
        <x:v>салат, гарнир, суп, соус, маринад, ферментация или напиток с дыня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320</x:v>
      </x:c>
    </x:row>
    <x:row r="27" ht="66" customHeight="1">
      <x:c r="A27" s="28" t="str">
        <x:v>VEG-0272</x:v>
      </x:c>
      <x:c r="B27" s="28" t="str">
        <x:v>зелёная фасоль</x:v>
      </x:c>
      <x:c r="C27" s="28" t="str">
        <x:v>мацутакэ</x:v>
      </x:c>
      <x:c r="D27" s="28" t="str">
        <x:v>Прочее</x:v>
      </x:c>
      <x:c r="E27" s="28" t="str">
        <x:v>сенсорная комплементарность</x:v>
      </x:c>
      <x:c r="F27" s="28" t="str">
        <x:v>Зелёная фасоль имеет профиль «зелёный, травянистый, бобовый и слегка ореховый». Партнёр «мацутакэ»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7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7" s="28" t="str">
        <x:v>недоготовленная груба, переваренная водяниста; использовать пищевые сорта после достаточной тепловой обработки</x:v>
      </x:c>
      <x:c r="I27" s="28" t="str">
        <x:v>салат, гарнир, суп, соус, маринад, ферментация или напиток с мацутакэ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320</x:v>
      </x:c>
    </x:row>
    <x:row r="28" ht="66" customHeight="1">
      <x:c r="A28" s="28" t="str">
        <x:v>VEG-0273</x:v>
      </x:c>
      <x:c r="B28" s="28" t="str">
        <x:v>зелёная фасоль</x:v>
      </x:c>
      <x:c r="C28" s="28" t="str">
        <x:v>оливковое масло</x:v>
      </x:c>
      <x:c r="D28" s="28" t="str">
        <x:v>Масла и жиры</x:v>
      </x:c>
      <x:c r="E28" s="28" t="str">
        <x:v>жировая матрица</x:v>
      </x:c>
      <x:c r="F28" s="28" t="str">
        <x:v>Зелёная фасоль имеет профиль «зелёный, травянистый, бобовый и слегка ореховый».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8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8" s="28" t="str">
        <x:v>недоготовленная груба, переваренная водяниста; использовать пищевые сорта после достаточной тепловой обработки; жир способен приглушить свежую зелёную ароматику</x:v>
      </x:c>
      <x:c r="I28" s="28" t="str">
        <x:v>салат, гарнир, суп, соус, маринад, ферментация или напиток с оливковое масло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320</x:v>
      </x:c>
    </x:row>
    <x:row r="29" ht="66" customHeight="1">
      <x:c r="A29" s="28" t="str">
        <x:v>VEG-0274</x:v>
      </x:c>
      <x:c r="B29" s="28" t="str">
        <x:v>зелёная фасоль</x:v>
      </x:c>
      <x:c r="C29" s="28" t="str">
        <x:v>оливковое масло пикваль</x:v>
      </x:c>
      <x:c r="D29" s="28" t="str">
        <x:v>Масла и жиры</x:v>
      </x:c>
      <x:c r="E29" s="28" t="str">
        <x:v>жировая матрица</x:v>
      </x:c>
      <x:c r="F29" s="28" t="str">
        <x:v>Зелёная фасоль имеет профиль «зелёный, травянистый, бобовый и слегка ореховый».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9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9" s="28" t="str">
        <x:v>недоготовленная груба, переваренная водяниста; использовать пищевые сорта после достаточной тепловой обработки; жир способен приглушить свежую зелёную ароматику</x:v>
      </x:c>
      <x:c r="I29" s="28" t="str">
        <x:v>салат, гарнир, суп, соус, маринад, ферментация или напиток с оливковое масло пикваль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320</x:v>
      </x:c>
    </x:row>
    <x:row r="30" ht="66" customHeight="1">
      <x:c r="A30" s="28" t="str">
        <x:v>VEG-0275</x:v>
      </x:c>
      <x:c r="B30" s="28" t="str">
        <x:v>зелёная фасоль</x:v>
      </x:c>
      <x:c r="C30" s="28" t="str">
        <x:v>пармезан</x:v>
      </x:c>
      <x:c r="D30" s="28" t="str">
        <x:v>Прочее</x:v>
      </x:c>
      <x:c r="E30" s="28" t="str">
        <x:v>сенсорная комплементарность</x:v>
      </x:c>
      <x:c r="F30" s="28" t="str">
        <x:v>Зелёная фасоль имеет профиль «зелёный, травянистый, бобовый и слегка ореховый».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0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30" s="28" t="str">
        <x:v>недоготовленная груба, переваренная водяниста; использовать пищевые сорта после достаточной тепловой обработки</x:v>
      </x:c>
      <x:c r="I30" s="28" t="str">
        <x:v>салат, гарнир, суп, соус, маринад, ферментация или напиток с пармезан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282</x:v>
      </x:c>
    </x:row>
    <x:row r="31" ht="66" customHeight="1">
      <x:c r="A31" s="28" t="str">
        <x:v>VEG-0276</x:v>
      </x:c>
      <x:c r="B31" s="28" t="str">
        <x:v>зелёная фасоль</x:v>
      </x:c>
      <x:c r="C31" s="28" t="str">
        <x:v>фундук</x:v>
      </x:c>
      <x:c r="D31" s="28" t="str">
        <x:v>Орехи и семена</x:v>
      </x:c>
      <x:c r="E31" s="28" t="str">
        <x:v>пересечение ароматических семейств</x:v>
      </x:c>
      <x:c r="F31" s="28" t="str">
        <x:v>Зелёная фасоль имеет профиль «зелёный, травянистый, бобовый и слегка ореховый».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G31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31" s="28" t="str">
        <x:v>недоготовленная груба, переваренная водяниста; использовать пищевые сорта после достаточной тепловой обработки</x:v>
      </x:c>
      <x:c r="I31" s="28" t="str">
        <x:v>салат, гарнир, суп, соус, маринад, ферментация или напиток с фундук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332</x:v>
      </x:c>
    </x:row>
    <x:row r="32" ht="66" customHeight="1">
      <x:c r="A32" s="28" t="str">
        <x:v>VEG-0277</x:v>
      </x:c>
      <x:c r="B32" s="28" t="str">
        <x:v>зелёная фасоль</x:v>
      </x:c>
      <x:c r="C32" s="28" t="str">
        <x:v>хлеб на закваске</x:v>
      </x:c>
      <x:c r="D32" s="28" t="str">
        <x:v>Выпечка, крупы, сахара и десерты</x:v>
      </x:c>
      <x:c r="E32" s="28" t="str">
        <x:v>сенсорная комплементарность</x:v>
      </x:c>
      <x:c r="F32" s="28" t="str">
        <x:v>Зелёная фасоль имеет профиль «зелёный, травянистый, бобовый и слегка ореховый». Партнёр «хлеб на закваске»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32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32" s="28" t="str">
        <x:v>недоготовленная груба, переваренная водяниста; использовать пищевые сорта после достаточной тепловой обработки</x:v>
      </x:c>
      <x:c r="I32" s="28" t="str">
        <x:v>салат, гарнир, суп, соус, маринад, ферментация или напиток с хлеб на закваске</x:v>
      </x:c>
      <x:c r="J32" s="28" t="str">
        <x:v>Высокая</x:v>
      </x:c>
      <x:c r="K32" s="28" t="str">
        <x:v>The Art &amp; Science of Foodpairing.pdf</x:v>
      </x:c>
      <x:c r="L32" s="28" t="str">
        <x:v>The Art &amp; Science of Foodpairing.pdf: 321</x:v>
      </x:c>
    </x:row>
  </x:sheetData>
  <x:conditionalFormatting sqref="J2:J32">
    <x:cfRule type="expression" dxfId="15" priority="1">
      <x:formula>J2="Высокая"</x:formula>
    </x:cfRule>
    <x:cfRule type="expression" dxfId="16" priority="2">
      <x:formula>J2="Средняя"</x:formula>
    </x:cfRule>
    <x:cfRule type="expression" dxfId="17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01ac72825a4e3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VEG-0001</x:v>
      </x:c>
      <x:c r="B2" s="28" t="str">
        <x:v>артишок</x:v>
      </x:c>
      <x:c r="C2" s="28" t="str">
        <x:v>арбуз</x:v>
      </x:c>
      <x:c r="D2" s="28" t="str">
        <x:v>Прочее</x:v>
      </x:c>
      <x:c r="E2" s="28" t="str">
        <x:v>сенсорная комплементарность</x:v>
      </x:c>
      <x:c r="F2" s="28" t="str">
        <x:v>Артишок имеет профиль «зелёный, ореховый, травянистый и слегка цветочный».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" s="28" t="str">
        <x:v>кислота ограничивает потемнение; варка и гриль смягчают горечь и усиливают ореховые ноты. </x:v>
      </x:c>
      <x:c r="H2" s="28" t="str">
        <x:v>быстро темнеет; цинарин изменяет восприятие последующей сладости и может мешать винным сочетаниям</x:v>
      </x:c>
      <x:c r="I2" s="28" t="str">
        <x:v>горячее блюдо, бульон, соус, пюре, ферментация или гарнир с арбуз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78</x:v>
      </x:c>
    </x:row>
    <x:row r="3" ht="66" customHeight="1">
      <x:c r="A3" s="28" t="str">
        <x:v>VEG-0002</x:v>
      </x:c>
      <x:c r="B3" s="28" t="str">
        <x:v>артишок</x:v>
      </x:c>
      <x:c r="C3" s="28" t="str">
        <x:v>банан</x:v>
      </x:c>
      <x:c r="D3" s="28" t="str">
        <x:v>Фрукты и ягоды</x:v>
      </x:c>
      <x:c r="E3" s="28" t="str">
        <x:v>пересечение ароматических семейств; кислотно-сладкий баланс</x:v>
      </x:c>
      <x:c r="F3" s="28" t="str">
        <x:v>Артишок имеет профиль «зелёный, ореховый, травянистый и слегка цветочный». Партнёр «банан» относится к группе «Фрукты и ягоды» и даёт фруктовый, цветочный и свежий. Профили пересекаются в семействах: цветочный.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" s="28" t="str">
        <x:v>кислота ограничивает потемнение; варка и гриль смягчают горечь и усиливают ореховые ноты. </x:v>
      </x:c>
      <x:c r="H3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I3" s="28" t="str">
        <x:v>горячее блюдо, бульон, соус, пюре, ферментация или гарнир с банан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342</x:v>
      </x:c>
    </x:row>
    <x:row r="4" ht="66" customHeight="1">
      <x:c r="A4" s="28" t="str">
        <x:v>VEG-0003</x:v>
      </x:c>
      <x:c r="B4" s="28" t="str">
        <x:v>артишок</x:v>
      </x:c>
      <x:c r="C4" s="28" t="str">
        <x:v>баранина</x:v>
      </x:c>
      <x:c r="D4" s="28" t="str">
        <x:v>Мясо и птица</x:v>
      </x:c>
      <x:c r="E4" s="28" t="str">
        <x:v>умами и солёный контраст</x:v>
      </x:c>
      <x:c r="F4" s="28" t="str">
        <x:v>Артишок имеет профиль «зелёный, ореховый, травянистый и слегка цветочный».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" s="28" t="str">
        <x:v>кислота ограничивает потемнение; варка и гриль смягчают горечь и усиливают ореховые ноты. </x:v>
      </x:c>
      <x:c r="H4" s="28" t="str">
        <x:v>быстро темнеет; цинарин изменяет восприятие последующей сладости и может мешать винным сочетаниям</x:v>
      </x:c>
      <x:c r="I4" s="28" t="str">
        <x:v>горячее блюдо, бульон, соус, пюре, ферментация или гарнир с баранина</x:v>
      </x:c>
      <x:c r="J4" s="28" t="str">
        <x:v>Средняя</x:v>
      </x:c>
      <x:c r="K4" s="28" t="str">
        <x:v>Тезариус вкусов (Ники Сегнит)(1).pdf</x:v>
      </x:c>
      <x:c r="L4" s="28" t="str">
        <x:v>Тезариус вкусов (Ники Сегнит)(1).pdf: 126, 335, 336</x:v>
      </x:c>
    </x:row>
    <x:row r="5" ht="66" customHeight="1">
      <x:c r="A5" s="28" t="str">
        <x:v>VEG-0004</x:v>
      </x:c>
      <x:c r="B5" s="28" t="str">
        <x:v>артишок</x:v>
      </x:c>
      <x:c r="C5" s="28" t="str">
        <x:v>бекон</x:v>
      </x:c>
      <x:c r="D5" s="28" t="str">
        <x:v>Мясо и птица</x:v>
      </x:c>
      <x:c r="E5" s="28" t="str">
        <x:v>умами и солёный контраст</x:v>
      </x:c>
      <x:c r="F5" s="28" t="str">
        <x:v>Артишок имеет профиль «зелёный, ореховый, травянистый и слегка цветочный».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5" s="28" t="str">
        <x:v>кислота ограничивает потемнение; варка и гриль смягчают горечь и усиливают ореховые ноты. </x:v>
      </x:c>
      <x:c r="H5" s="28" t="str">
        <x:v>быстро темнеет; цинарин изменяет восприятие последующей сладости и может мешать винным сочетаниям</x:v>
      </x:c>
      <x:c r="I5" s="28" t="str">
        <x:v>горячее блюдо, бульон, соус, пюре, ферментация или гарнир с бекон</x:v>
      </x:c>
      <x:c r="J5" s="28" t="str">
        <x:v>Средняя</x:v>
      </x:c>
      <x:c r="K5" s="28" t="str">
        <x:v>Тезариус вкусов (Ники Сегнит)(1).pdf</x:v>
      </x:c>
      <x:c r="L5" s="28" t="str">
        <x:v>Тезариус вкусов (Ники Сегнит)(1).pdf: 337, 442</x:v>
      </x:c>
    </x:row>
    <x:row r="6" ht="66" customHeight="1">
      <x:c r="A6" s="28" t="str">
        <x:v>VEG-0005</x:v>
      </x:c>
      <x:c r="B6" s="28" t="str">
        <x:v>артишок</x:v>
      </x:c>
      <x:c r="C6" s="28" t="str">
        <x:v>говядина</x:v>
      </x:c>
      <x:c r="D6" s="28" t="str">
        <x:v>Мясо и птица</x:v>
      </x:c>
      <x:c r="E6" s="28" t="str">
        <x:v>умами и солёный контраст</x:v>
      </x:c>
      <x:c r="F6" s="28" t="str">
        <x:v>Артишок имеет профиль «зелёный, ореховый, травянистый и слегка цветочный».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6" s="28" t="str">
        <x:v>кислота ограничивает потемнение; варка и гриль смягчают горечь и усиливают ореховые ноты. </x:v>
      </x:c>
      <x:c r="H6" s="28" t="str">
        <x:v>быстро темнеет; цинарин изменяет восприятие последующей сладости и может мешать винным сочетаниям</x:v>
      </x:c>
      <x:c r="I6" s="28" t="str">
        <x:v>горячее блюдо, бульон, соус, пюре, ферментация или гарнир с говядина</x:v>
      </x:c>
      <x:c r="J6" s="28" t="str">
        <x:v>Высокая</x:v>
      </x:c>
      <x:c r="K6" s="28" t="str">
        <x:v>The Art &amp; Science of Foodpairing.pdf</x:v>
      </x:c>
      <x:c r="L6" s="28" t="str">
        <x:v>The Art &amp; Science of Foodpairing.pdf: 329</x:v>
      </x:c>
    </x:row>
    <x:row r="7" ht="66" customHeight="1">
      <x:c r="A7" s="28" t="str">
        <x:v>VEG-0006</x:v>
      </x:c>
      <x:c r="B7" s="28" t="str">
        <x:v>артишок</x:v>
      </x:c>
      <x:c r="C7" s="28" t="str">
        <x:v>горох</x:v>
      </x:c>
      <x:c r="D7" s="28" t="str">
        <x:v>Бобовые</x:v>
      </x:c>
      <x:c r="E7" s="28" t="str">
        <x:v>пересечение ароматических семейств</x:v>
      </x:c>
      <x:c r="F7" s="28" t="str">
        <x:v>Артишок имеет профиль «зелёный, ореховый, травянистый и слегка цветочный».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7" s="28" t="str">
        <x:v>кислота ограничивает потемнение; варка и гриль смягчают горечь и усиливают ореховые ноты. </x:v>
      </x:c>
      <x:c r="H7" s="28" t="str">
        <x:v>быстро темнеет; цинарин изменяет восприятие последующей сладости и может мешать винным сочетаниям</x:v>
      </x:c>
      <x:c r="I7" s="28" t="str">
        <x:v>горячее блюдо, бульон, соус, пюре, ферментация или гарнир с горох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338, 535</x:v>
      </x:c>
    </x:row>
    <x:row r="8" ht="66" customHeight="1">
      <x:c r="A8" s="28" t="str">
        <x:v>VEG-0007</x:v>
      </x:c>
      <x:c r="B8" s="28" t="str">
        <x:v>артишок</x:v>
      </x:c>
      <x:c r="C8" s="28" t="str">
        <x:v>кардамон</x:v>
      </x:c>
      <x:c r="D8" s="28" t="str">
        <x:v>Специи</x:v>
      </x:c>
      <x:c r="E8" s="28" t="str">
        <x:v>пересечение ароматических семейств</x:v>
      </x:c>
      <x:c r="F8" s="28" t="str">
        <x:v>Артишок имеет профиль «зелёный, ореховый, травянистый и слегка цветочный». Партнёр «кардамон» относится к группе «Специи» и даёт камфорный, цветочный, цитрусовый. Профили пересекаются в семействах: цветочный.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8" s="28" t="str">
        <x:v>кислота ограничивает потемнение; варка и гриль смягчают горечь и усиливают ореховые ноты. </x:v>
      </x:c>
      <x:c r="H8" s="28" t="str">
        <x:v>быстро темнеет; цинарин изменяет восприятие последующей сладости и может мешать винным сочетаниям</x:v>
      </x:c>
      <x:c r="I8" s="28" t="str">
        <x:v>горячее блюдо, бульон, соус, пюре, ферментация или гарнир с кардамон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256</x:v>
      </x:c>
    </x:row>
    <x:row r="9" ht="66" customHeight="1">
      <x:c r="A9" s="28" t="str">
        <x:v>VEG-0008</x:v>
      </x:c>
      <x:c r="B9" s="28" t="str">
        <x:v>артишок</x:v>
      </x:c>
      <x:c r="C9" s="28" t="str">
        <x:v>коньяк</x:v>
      </x:c>
      <x:c r="D9" s="28" t="str">
        <x:v>Алкогольные напитки</x:v>
      </x:c>
      <x:c r="E9" s="28" t="str">
        <x:v>сенсорная комплементарность</x:v>
      </x:c>
      <x:c r="F9" s="28" t="str">
        <x:v>Артишок имеет профиль «зелёный, ореховый, травянистый и слегка цветочный».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" s="28" t="str">
        <x:v>кислота ограничивает потемнение; варка и гриль смягчают горечь и усиливают ореховые ноты. </x:v>
      </x:c>
      <x:c r="H9" s="28" t="str">
        <x:v>быстро темнеет; цинарин изменяет восприятие последующей сладости и может мешать винным сочетаниям</x:v>
      </x:c>
      <x:c r="I9" s="28" t="str">
        <x:v>горячее блюдо, бульон, соус, пюре, ферментация или гарнир с коньяк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123</x:v>
      </x:c>
    </x:row>
    <x:row r="10" ht="66" customHeight="1">
      <x:c r="A10" s="28" t="str">
        <x:v>VEG-0009</x:v>
      </x:c>
      <x:c r="B10" s="28" t="str">
        <x:v>артишок</x:v>
      </x:c>
      <x:c r="C10" s="28" t="str">
        <x:v>лимон</x:v>
      </x:c>
      <x:c r="D10" s="28" t="str">
        <x:v>Фрукты и ягоды</x:v>
      </x:c>
      <x:c r="E10" s="28" t="str">
        <x:v>кислотно-сладкий баланс</x:v>
      </x:c>
      <x:c r="F10" s="28" t="str">
        <x:v>Артишок имеет профиль «зелёный, ореховый, травянистый и слегка цветочный».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0" s="28" t="str">
        <x:v>кислота ограничивает потемнение; варка и гриль смягчают горечь и усиливают ореховые ноты. </x:v>
      </x:c>
      <x:c r="H10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I10" s="28" t="str">
        <x:v>горячее блюдо, бульон, соус, пюре, ферментация или гарнир с лимон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339, 800</x:v>
      </x:c>
    </x:row>
    <x:row r="11" ht="66" customHeight="1">
      <x:c r="A11" s="28" t="str">
        <x:v>VEG-0010</x:v>
      </x:c>
      <x:c r="B11" s="28" t="str">
        <x:v>артишок</x:v>
      </x:c>
      <x:c r="C11" s="28" t="str">
        <x:v>лосось</x:v>
      </x:c>
      <x:c r="D11" s="28" t="str">
        <x:v>Рыба и морепродукты</x:v>
      </x:c>
      <x:c r="E11" s="28" t="str">
        <x:v>умами и солёный контраст</x:v>
      </x:c>
      <x:c r="F11" s="28" t="str">
        <x:v>Артишок имеет профиль «зелёный, ореховый, травянистый и слегка цветочный».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1" s="28" t="str">
        <x:v>кислота ограничивает потемнение; варка и гриль смягчают горечь и усиливают ореховые ноты. </x:v>
      </x:c>
      <x:c r="H11" s="28" t="str">
        <x:v>быстро темнеет; цинарин изменяет восприятие последующей сладости и может мешать винным сочетаниям</x:v>
      </x:c>
      <x:c r="I11" s="28" t="str">
        <x:v>горячее блюдо, бульон, соус, пюре, ферментация или гарнир с лосось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328</x:v>
      </x:c>
    </x:row>
    <x:row r="12" ht="66" customHeight="1">
      <x:c r="A12" s="28" t="str">
        <x:v>VEG-0011</x:v>
      </x:c>
      <x:c r="B12" s="28" t="str">
        <x:v>артишок</x:v>
      </x:c>
      <x:c r="C12" s="28" t="str">
        <x:v>манго</x:v>
      </x:c>
      <x:c r="D12" s="28" t="str">
        <x:v>Фрукты и ягоды</x:v>
      </x:c>
      <x:c r="E12" s="28" t="str">
        <x:v>пересечение ароматических семейств; кислотно-сладкий баланс</x:v>
      </x:c>
      <x:c r="F12" s="28" t="str">
        <x:v>Артишок имеет профиль «зелёный, ореховый, травянистый и слегка цветочный». Партнёр «манго» относится к группе «Фрукты и ягоды» и даёт фруктовый, цветочный и свежий. Профили пересекаются в семействах: цветочный.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" s="28" t="str">
        <x:v>кислота ограничивает потемнение; варка и гриль смягчают горечь и усиливают ореховые ноты. </x:v>
      </x:c>
      <x:c r="H12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I12" s="28" t="str">
        <x:v>горячее блюдо, бульон, соус, пюре, ферментация или гарнир с манго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312, 328</x:v>
      </x:c>
    </x:row>
    <x:row r="13" ht="66" customHeight="1">
      <x:c r="A13" s="28" t="str">
        <x:v>VEG-0012</x:v>
      </x:c>
      <x:c r="B13" s="28" t="str">
        <x:v>артишок</x:v>
      </x:c>
      <x:c r="C13" s="28" t="str">
        <x:v>моллюски</x:v>
      </x:c>
      <x:c r="D13" s="28" t="str">
        <x:v>Рыба и морепродукты</x:v>
      </x:c>
      <x:c r="E13" s="28" t="str">
        <x:v>умами и солёный контраст</x:v>
      </x:c>
      <x:c r="F13" s="28" t="str">
        <x:v>Артишок имеет профиль «зелёный, ореховый, травянистый и слегка цветочный».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" s="28" t="str">
        <x:v>кислота ограничивает потемнение; варка и гриль смягчают горечь и усиливают ореховые ноты. </x:v>
      </x:c>
      <x:c r="H13" s="28" t="str">
        <x:v>быстро темнеет; цинарин изменяет восприятие последующей сладости и может мешать винным сочетаниям</x:v>
      </x:c>
      <x:c r="I13" s="28" t="str">
        <x:v>горячее блюдо, бульон, соус, пюре, ферментация или гарнир с моллюски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340, 365</x:v>
      </x:c>
    </x:row>
    <x:row r="14" ht="66" customHeight="1">
      <x:c r="A14" s="28" t="str">
        <x:v>VEG-0013</x:v>
      </x:c>
      <x:c r="B14" s="28" t="str">
        <x:v>артишок</x:v>
      </x:c>
      <x:c r="C14" s="28" t="str">
        <x:v>мята</x:v>
      </x:c>
      <x:c r="D14" s="28" t="str">
        <x:v>Травы, цветы и листья</x:v>
      </x:c>
      <x:c r="E14" s="28" t="str">
        <x:v>пересечение ароматических семейств</x:v>
      </x:c>
      <x:c r="F14" s="28" t="str">
        <x:v>Артишок имеет профиль «зелёный, ореховый, травянистый и слегка цветочный».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4" s="28" t="str">
        <x:v>кислота ограничивает потемнение; варка и гриль смягчают горечь и усиливают ореховые ноты. </x:v>
      </x:c>
      <x:c r="H14" s="28" t="str">
        <x:v>быстро темнеет; цинарин изменяет восприятие последующей сладости и может мешать винным сочетаниям; длительный нагрев уносит свежие терпены и зелёные альдегиды</x:v>
      </x:c>
      <x:c r="I14" s="28" t="str">
        <x:v>горячее блюдо, бульон, соус, пюре, ферментация или гарнир с мята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340, 866</x:v>
      </x:c>
    </x:row>
    <x:row r="15" ht="66" customHeight="1">
      <x:c r="A15" s="28" t="str">
        <x:v>VEG-0014</x:v>
      </x:c>
      <x:c r="B15" s="28" t="str">
        <x:v>артишок</x:v>
      </x:c>
      <x:c r="C15" s="28" t="str">
        <x:v>паста</x:v>
      </x:c>
      <x:c r="D15" s="28" t="str">
        <x:v>Выпечка, крупы, сахара и десерты</x:v>
      </x:c>
      <x:c r="E15" s="28" t="str">
        <x:v>сенсорная комплементарность</x:v>
      </x:c>
      <x:c r="F15" s="28" t="str">
        <x:v>Артишок имеет профиль «зелёный, ореховый, травянистый и слегка цветочный». Партнёр «паста»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5" s="28" t="str">
        <x:v>кислота ограничивает потемнение; варка и гриль смягчают горечь и усиливают ореховые ноты. </x:v>
      </x:c>
      <x:c r="H15" s="28" t="str">
        <x:v>быстро темнеет; цинарин изменяет восприятие последующей сладости и может мешать винным сочетаниям</x:v>
      </x:c>
      <x:c r="I15" s="28" t="str">
        <x:v>горячее блюдо, бульон, соус, пюре, ферментация или гарнир с паста</x:v>
      </x:c>
      <x:c r="J15" s="28" t="str">
        <x:v>Высокая</x:v>
      </x:c>
      <x:c r="K15" s="28" t="str">
        <x:v>The Art &amp; Science of Foodpairing.pdf</x:v>
      </x:c>
      <x:c r="L15" s="28" t="str">
        <x:v>The Art &amp; Science of Foodpairing.pdf: 325</x:v>
      </x:c>
    </x:row>
    <x:row r="16" ht="66" customHeight="1">
      <x:c r="A16" s="28" t="str">
        <x:v>VEG-0015</x:v>
      </x:c>
      <x:c r="B16" s="28" t="str">
        <x:v>артишок</x:v>
      </x:c>
      <x:c r="C16" s="28" t="str">
        <x:v>прошутто</x:v>
      </x:c>
      <x:c r="D16" s="28" t="str">
        <x:v>Мясо и птица</x:v>
      </x:c>
      <x:c r="E16" s="28" t="str">
        <x:v>умами и солёный контраст</x:v>
      </x:c>
      <x:c r="F16" s="28" t="str">
        <x:v>Артишок имеет профиль «зелёный, ореховый, травянистый и слегка цветочный».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6" s="28" t="str">
        <x:v>кислота ограничивает потемнение; варка и гриль смягчают горечь и усиливают ореховые ноты. </x:v>
      </x:c>
      <x:c r="H16" s="28" t="str">
        <x:v>быстро темнеет; цинарин изменяет восприятие последующей сладости и может мешать винным сочетаниям</x:v>
      </x:c>
      <x:c r="I16" s="28" t="str">
        <x:v>горячее блюдо, бульон, соус, пюре, ферментация или гарнир с прошутто</x:v>
      </x:c>
      <x:c r="J16" s="28" t="str">
        <x:v>Средняя</x:v>
      </x:c>
      <x:c r="K16" s="28" t="str">
        <x:v>Тезариус вкусов (Ники Сегнит)(1).pdf</x:v>
      </x:c>
      <x:c r="L16" s="28" t="str">
        <x:v>Тезариус вкусов (Ники Сегнит)(1).pdf: 341, 454</x:v>
      </x:c>
    </x:row>
    <x:row r="17" ht="66" customHeight="1">
      <x:c r="A17" s="28" t="str">
        <x:v>VEG-0016</x:v>
      </x:c>
      <x:c r="B17" s="28" t="str">
        <x:v>артишок</x:v>
      </x:c>
      <x:c r="C17" s="28" t="str">
        <x:v>свинина</x:v>
      </x:c>
      <x:c r="D17" s="28" t="str">
        <x:v>Мясо и птица</x:v>
      </x:c>
      <x:c r="E17" s="28" t="str">
        <x:v>умами и солёный контраст</x:v>
      </x:c>
      <x:c r="F17" s="28" t="str">
        <x:v>Артишок имеет профиль «зелёный, ореховый, травянистый и слегка цветочный».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7" s="28" t="str">
        <x:v>кислота ограничивает потемнение; варка и гриль смягчают горечь и усиливают ореховые ноты. </x:v>
      </x:c>
      <x:c r="H17" s="28" t="str">
        <x:v>быстро темнеет; цинарин изменяет восприятие последующей сладости и может мешать винным сочетаниям</x:v>
      </x:c>
      <x:c r="I17" s="28" t="str">
        <x:v>горячее блюдо, бульон, соус, пюре, ферментация или гарнир с свинина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79, 341</x:v>
      </x:c>
    </x:row>
    <x:row r="18" ht="66" customHeight="1">
      <x:c r="A18" s="28" t="str">
        <x:v>VEG-0017</x:v>
      </x:c>
      <x:c r="B18" s="28" t="str">
        <x:v>артишок</x:v>
      </x:c>
      <x:c r="C18" s="28" t="str">
        <x:v>твердый сыр</x:v>
      </x:c>
      <x:c r="D18" s="28" t="str">
        <x:v>Молочные продукты и сыры</x:v>
      </x:c>
      <x:c r="E18" s="28" t="str">
        <x:v>жировая матрица</x:v>
      </x:c>
      <x:c r="F18" s="28" t="str">
        <x:v>Артишок имеет профиль «зелёный, ореховый, травянистый и слегка цветочный».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8" s="28" t="str">
        <x:v>кислота ограничивает потемнение; варка и гриль смягчают горечь и усиливают ореховые ноты. </x:v>
      </x:c>
      <x:c r="H18" s="28" t="str">
        <x:v>быстро темнеет; цинарин изменяет восприятие последующей сладости и может мешать винным сочетаниям; жир способен приглушить свежую зелёную ароматику</x:v>
      </x:c>
      <x:c r="I18" s="28" t="str">
        <x:v>горячее блюдо, бульон, соус, пюре, ферментация или гарнир с твердый сыр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165, 341</x:v>
      </x:c>
    </x:row>
    <x:row r="19" ht="66" customHeight="1">
      <x:c r="A19" s="28" t="str">
        <x:v>VEG-0018</x:v>
      </x:c>
      <x:c r="B19" s="28" t="str">
        <x:v>артишок</x:v>
      </x:c>
      <x:c r="C19" s="28" t="str">
        <x:v>томат</x:v>
      </x:c>
      <x:c r="D19" s="28" t="str">
        <x:v>Плодовые овощи</x:v>
      </x:c>
      <x:c r="E19" s="28" t="str">
        <x:v>пересечение ароматических семейств</x:v>
      </x:c>
      <x:c r="F19" s="28" t="str">
        <x:v>Артишок имеет профиль «зелёный, ореховый, травянистый и слегка цветочный».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19" s="28" t="str">
        <x:v>кислота ограничивает потемнение; варка и гриль смягчают горечь и усиливают ореховые ноты. </x:v>
      </x:c>
      <x:c r="H19" s="28" t="str">
        <x:v>быстро темнеет; цинарин изменяет восприятие последующей сладости и может мешать винным сочетаниям</x:v>
      </x:c>
      <x:c r="I19" s="28" t="str">
        <x:v>горячее блюдо, бульон, соус, пюре, ферментация или гарнир с томат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161</x:v>
      </x:c>
    </x:row>
    <x:row r="20" ht="66" customHeight="1">
      <x:c r="A20" s="28" t="str">
        <x:v>VEG-0019</x:v>
      </x:c>
      <x:c r="B20" s="28" t="str">
        <x:v>артишок</x:v>
      </x:c>
      <x:c r="C20" s="28" t="str">
        <x:v>трюфель</x:v>
      </x:c>
      <x:c r="D20" s="28" t="str">
        <x:v>Грибы</x:v>
      </x:c>
      <x:c r="E20" s="28" t="str">
        <x:v>умами и солёный контраст</x:v>
      </x:c>
      <x:c r="F20" s="28" t="str">
        <x:v>Артишок имеет профиль «зелёный, ореховый, травянистый и слегка цветочный».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0" s="28" t="str">
        <x:v>кислота ограничивает потемнение; варка и гриль смягчают горечь и усиливают ореховые ноты. </x:v>
      </x:c>
      <x:c r="H20" s="28" t="str">
        <x:v>быстро темнеет; цинарин изменяет восприятие последующей сладости и может мешать винным сочетаниям</x:v>
      </x:c>
      <x:c r="I20" s="28" t="str">
        <x:v>горячее блюдо, бульон, соус, пюре, ферментация или гарнир с трюфель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301, 342</x:v>
      </x:c>
    </x:row>
    <x:row r="21" ht="66" customHeight="1">
      <x:c r="A21" s="28" t="str">
        <x:v>VEG-0020</x:v>
      </x:c>
      <x:c r="B21" s="28" t="str">
        <x:v>артишок</x:v>
      </x:c>
      <x:c r="C21" s="28" t="str">
        <x:v>устрицы</x:v>
      </x:c>
      <x:c r="D21" s="28" t="str">
        <x:v>Рыба и морепродукты</x:v>
      </x:c>
      <x:c r="E21" s="28" t="str">
        <x:v>умами и солёный контраст</x:v>
      </x:c>
      <x:c r="F21" s="28" t="str">
        <x:v>Артишок имеет профиль «зелёный, ореховый, травянистый и слегка цветочный».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1" s="28" t="str">
        <x:v>кислота ограничивает потемнение; варка и гриль смягчают горечь и усиливают ореховые ноты. </x:v>
      </x:c>
      <x:c r="H21" s="28" t="str">
        <x:v>быстро темнеет; цинарин изменяет восприятие последующей сладости и может мешать винным сочетаниям</x:v>
      </x:c>
      <x:c r="I21" s="28" t="str">
        <x:v>горячее блюдо, бульон, соус, пюре, ферментация или гарнир с устрицы</x:v>
      </x:c>
      <x:c r="J21" s="28" t="str">
        <x:v>Средняя</x:v>
      </x:c>
      <x:c r="K21" s="28" t="str">
        <x:v>Тезариус вкусов (Ники Сегнит)(1).pdf</x:v>
      </x:c>
      <x:c r="L21" s="28" t="str">
        <x:v>Тезариус вкусов (Ники Сегнит)(1).pdf: 342, 396</x:v>
      </x:c>
    </x:row>
    <x:row r="22" ht="66" customHeight="1">
      <x:c r="A22" s="28" t="str">
        <x:v>VEG-0021</x:v>
      </x:c>
      <x:c r="B22" s="28" t="str">
        <x:v>артишок</x:v>
      </x:c>
      <x:c r="C22" s="28" t="str">
        <x:v>фундук</x:v>
      </x:c>
      <x:c r="D22" s="28" t="str">
        <x:v>Орехи и семена</x:v>
      </x:c>
      <x:c r="E22" s="28" t="str">
        <x:v>пересечение ароматических семейств</x:v>
      </x:c>
      <x:c r="F22" s="28" t="str">
        <x:v>Артишок имеет профиль «зелёный, ореховый, травянистый и слегка цветочный».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G22" s="28" t="str">
        <x:v>кислота ограничивает потемнение; варка и гриль смягчают горечь и усиливают ореховые ноты. </x:v>
      </x:c>
      <x:c r="H22" s="28" t="str">
        <x:v>быстро темнеет; цинарин изменяет восприятие последующей сладости и может мешать винным сочетаниям</x:v>
      </x:c>
      <x:c r="I22" s="28" t="str">
        <x:v>горячее блюдо, бульон, соус, пюре, ферментация или гарнир с фундук</x:v>
      </x:c>
      <x:c r="J22" s="28" t="str">
        <x:v>Высокая</x:v>
      </x:c>
      <x:c r="K22" s="28" t="str">
        <x:v>The Art &amp; Science of Foodpairing.pdf</x:v>
      </x:c>
      <x:c r="L22" s="28" t="str">
        <x:v>The Art &amp; Science of Foodpairing.pdf: 329</x:v>
      </x:c>
    </x:row>
    <x:row r="23" ht="66" customHeight="1">
      <x:c r="A23" s="28" t="str">
        <x:v>VEG-0022</x:v>
      </x:c>
      <x:c r="B23" s="28" t="str">
        <x:v>артишок</x:v>
      </x:c>
      <x:c r="C23" s="28" t="str">
        <x:v>хамон иберико</x:v>
      </x:c>
      <x:c r="D23" s="28" t="str">
        <x:v>Мясо и птица</x:v>
      </x:c>
      <x:c r="E23" s="28" t="str">
        <x:v>умами и солёный контраст</x:v>
      </x:c>
      <x:c r="F23" s="28" t="str">
        <x:v>Артишок имеет профиль «зелёный, ореховый, травянистый и слегка цветочный».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3" s="28" t="str">
        <x:v>кислота ограничивает потемнение; варка и гриль смягчают горечь и усиливают ореховые ноты. </x:v>
      </x:c>
      <x:c r="H23" s="28" t="str">
        <x:v>быстро темнеет; цинарин изменяет восприятие последующей сладости и может мешать винным сочетаниям</x:v>
      </x:c>
      <x:c r="I23" s="28" t="str">
        <x:v>горячее блюдо, бульон, соус, пюре, ферментация или гарнир с хамон иберико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278</x:v>
      </x:c>
    </x:row>
    <x:row r="24" ht="66" customHeight="1">
      <x:c r="A24" s="28" t="str">
        <x:v>VEG-0023</x:v>
      </x:c>
      <x:c r="B24" s="28" t="str">
        <x:v>артишок</x:v>
      </x:c>
      <x:c r="C24" s="28" t="str">
        <x:v>хлеб</x:v>
      </x:c>
      <x:c r="D24" s="28" t="str">
        <x:v>Выпечка, крупы, сахара и десерты</x:v>
      </x:c>
      <x:c r="E24" s="28" t="str">
        <x:v>сенсорная комплементарность</x:v>
      </x:c>
      <x:c r="F24" s="28" t="str">
        <x:v>Артишок имеет профиль «зелёный, ореховый, травянистый и слегка цветочный».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4" s="28" t="str">
        <x:v>кислота ограничивает потемнение; варка и гриль смягчают горечь и усиливают ореховые ноты. </x:v>
      </x:c>
      <x:c r="H24" s="28" t="str">
        <x:v>быстро темнеет; цинарин изменяет восприятие последующей сладости и может мешать винным сочетаниям</x:v>
      </x:c>
      <x:c r="I24" s="28" t="str">
        <x:v>горячее блюдо, бульон, соус, пюре, ферментация или гарнир с хлеб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328</x:v>
      </x:c>
    </x:row>
    <x:row r="25" ht="66" customHeight="1">
      <x:c r="A25" s="28" t="str">
        <x:v>VEG-0024</x:v>
      </x:c>
      <x:c r="B25" s="28" t="str">
        <x:v>артишок</x:v>
      </x:c>
      <x:c r="C25" s="28" t="str">
        <x:v>чай</x:v>
      </x:c>
      <x:c r="D25" s="28" t="str">
        <x:v>Чай</x:v>
      </x:c>
      <x:c r="E25" s="28" t="str">
        <x:v>пересечение ароматических семейств</x:v>
      </x:c>
      <x:c r="F25" s="28" t="str">
        <x:v>Артишок имеет профиль «зелёный, ореховый, травянистый и слегка цветочный». Партнёр «чай» относится к группе «Чай» и даёт цветочный, древесный или зелёный. Профили пересекаются в семействах: зелёный, цветочный. Совместимость формируется за счёт баланса сладости, кислотности, горечи, умами и текстуры.</x:v>
      </x:c>
      <x:c r="G25" s="28" t="str">
        <x:v>кислота ограничивает потемнение; варка и гриль смягчают горечь и усиливают ореховые ноты. </x:v>
      </x:c>
      <x:c r="H25" s="28" t="str">
        <x:v>быстро темнеет; цинарин изменяет восприятие последующей сладости и может мешать винным сочетаниям</x:v>
      </x:c>
      <x:c r="I25" s="28" t="str">
        <x:v>горячее блюдо, бульон, соус, пюре, ферментация или гарнир с чай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364</x:v>
      </x:c>
    </x:row>
    <x:row r="26" ht="66" customHeight="1">
      <x:c r="A26" s="28" t="str">
        <x:v>VEG-0025</x:v>
      </x:c>
      <x:c r="B26" s="28" t="str">
        <x:v>артишок</x:v>
      </x:c>
      <x:c r="C26" s="28" t="str">
        <x:v>чили</x:v>
      </x:c>
      <x:c r="D26" s="28" t="str">
        <x:v>Специи</x:v>
      </x:c>
      <x:c r="E26" s="28" t="str">
        <x:v>сенсорная комплементарность</x:v>
      </x:c>
      <x:c r="F26" s="28" t="str">
        <x:v>Артишок имеет профиль «зелёный, ореховый, травянистый и слегка цветочный».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6" s="28" t="str">
        <x:v>кислота ограничивает потемнение; варка и гриль смягчают горечь и усиливают ореховые ноты. </x:v>
      </x:c>
      <x:c r="H26" s="28" t="str">
        <x:v>быстро темнеет; цинарин изменяет восприятие последующей сладости и может мешать винным сочетаниям</x:v>
      </x:c>
      <x:c r="I26" s="28" t="str">
        <x:v>горячее блюдо, бульон, соус, пюре, ферментация или гарнир с чили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94</x:v>
      </x:c>
    </x:row>
    <x:row r="27" ht="66" customHeight="1">
      <x:c r="A27" s="28" t="str">
        <x:v>VEG-0026</x:v>
      </x:c>
      <x:c r="B27" s="28" t="str">
        <x:v>артишок</x:v>
      </x:c>
      <x:c r="C27" s="28" t="str">
        <x:v>чили ахи мирасоль</x:v>
      </x:c>
      <x:c r="D27" s="28" t="str">
        <x:v>Специи</x:v>
      </x:c>
      <x:c r="E27" s="28" t="str">
        <x:v>сенсорная комплементарность</x:v>
      </x:c>
      <x:c r="F27" s="28" t="str">
        <x:v>Артишок имеет профиль «зелёный, ореховый, травянистый и слегка цветочный». Партнёр «чили ахи мирасоль»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7" s="28" t="str">
        <x:v>кислота ограничивает потемнение; варка и гриль смягчают горечь и усиливают ореховые ноты. </x:v>
      </x:c>
      <x:c r="H27" s="28" t="str">
        <x:v>быстро темнеет; цинарин изменяет восприятие последующей сладости и может мешать винным сочетаниям</x:v>
      </x:c>
      <x:c r="I27" s="28" t="str">
        <x:v>горячее блюдо, бульон, соус, пюре, ферментация или гарнир с чили ахи мирасоль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328</x:v>
      </x:c>
    </x:row>
    <x:row r="28" ht="66" customHeight="1">
      <x:c r="A28" s="28" t="str">
        <x:v>VEG-0027</x:v>
      </x:c>
      <x:c r="B28" s="28" t="str">
        <x:v>артишок</x:v>
      </x:c>
      <x:c r="C28" s="28" t="str">
        <x:v>чёрный перец</x:v>
      </x:c>
      <x:c r="D28" s="28" t="str">
        <x:v>Специи</x:v>
      </x:c>
      <x:c r="E28" s="28" t="str">
        <x:v>сенсорная комплементарность</x:v>
      </x:c>
      <x:c r="F28" s="28" t="str">
        <x:v>Артишок имеет профиль «зелёный, ореховый, травянистый и слегка цветочный».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8" s="28" t="str">
        <x:v>кислота ограничивает потемнение; варка и гриль смягчают горечь и усиливают ореховые ноты. </x:v>
      </x:c>
      <x:c r="H28" s="28" t="str">
        <x:v>быстро темнеет; цинарин изменяет восприятие последующей сладости и может мешать винным сочетаниям</x:v>
      </x:c>
      <x:c r="I28" s="28" t="str">
        <x:v>горячее блюдо, бульон, соус, пюре, ферментация или гарнир с чёрный перец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273</x:v>
      </x:c>
    </x:row>
    <x:row r="29" ht="66" customHeight="1">
      <x:c r="A29" s="28" t="str">
        <x:v>VEG-0216</x:v>
      </x:c>
      <x:c r="B29" s="28" t="str">
        <x:v>грибы</x:v>
      </x:c>
      <x:c r="C29" s="28" t="str">
        <x:v>абрикос</x:v>
      </x:c>
      <x:c r="D29" s="28" t="str">
        <x:v>Фрукты и ягоды</x:v>
      </x:c>
      <x:c r="E29" s="28" t="str">
        <x:v>кислотно-сладкий баланс</x:v>
      </x:c>
      <x:c r="F29" s="28" t="str">
        <x:v>Грибы имеет профиль «землистый, лесной, жареный, мясной и слегка сернистый». Партнёр «абрикос»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2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I29" s="28" t="str">
        <x:v>горячее блюдо, бульон, соус, пюре, ферментация или гарнир с абрикос</x:v>
      </x:c>
      <x:c r="J29" s="28" t="str">
        <x:v>Высокая</x:v>
      </x:c>
      <x:c r="K29" s="28" t="str">
        <x:v>The Art &amp; Science of Foodpairing.pdf | Тезариус вкусов (Ники Сегнит)(1).pdf</x:v>
      </x:c>
      <x:c r="L29" s="28" t="str">
        <x:v>Тезариус вкусов (Ники Сегнит)(1).pdf: 192, 742; The Art &amp; Science of Foodpairing.pdf: 206</x:v>
      </x:c>
    </x:row>
    <x:row r="30" ht="66" customHeight="1">
      <x:c r="A30" s="28" t="str">
        <x:v>VEG-0217</x:v>
      </x:c>
      <x:c r="B30" s="28" t="str">
        <x:v>грибы</x:v>
      </x:c>
      <x:c r="C30" s="28" t="str">
        <x:v>анис</x:v>
      </x:c>
      <x:c r="D30" s="28" t="str">
        <x:v>Прочее</x:v>
      </x:c>
      <x:c r="E30" s="28" t="str">
        <x:v>сенсорная комплементарность</x:v>
      </x:c>
      <x:c r="F30" s="28" t="str">
        <x:v>Грибы имеет профиль «землистый, лесной, жареный, мясной и слегка сернистый».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30" s="28" t="str">
        <x:v>горячее блюдо, бульон, соус, пюре, ферментация или гарнир с анис</x:v>
      </x:c>
      <x:c r="J30" s="28" t="str">
        <x:v>Средняя</x:v>
      </x:c>
      <x:c r="K30" s="28" t="str">
        <x:v>Тезариус вкусов (Ники Сегнит)(1).pdf</x:v>
      </x:c>
      <x:c r="L30" s="28" t="str">
        <x:v>Тезариус вкусов (Ники Сегнит)(1).pdf: 193, 483</x:v>
      </x:c>
    </x:row>
    <x:row r="31" ht="66" customHeight="1">
      <x:c r="A31" s="28" t="str">
        <x:v>VEG-0218</x:v>
      </x:c>
      <x:c r="B31" s="28" t="str">
        <x:v>грибы</x:v>
      </x:c>
      <x:c r="C31" s="28" t="str">
        <x:v>арбуз</x:v>
      </x:c>
      <x:c r="D31" s="28" t="str">
        <x:v>Прочее</x:v>
      </x:c>
      <x:c r="E31" s="28" t="str">
        <x:v>сенсорная комплементарность</x:v>
      </x:c>
      <x:c r="F31" s="28" t="str">
        <x:v>Грибы имеет профиль «землистый, лесной, жареный, мясной и слегка сернистый».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31" s="28" t="str">
        <x:v>горячее блюдо, бульон, соус, пюре, ферментация или гарнир с арбуз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78</x:v>
      </x:c>
    </x:row>
    <x:row r="32" ht="66" customHeight="1">
      <x:c r="A32" s="28" t="str">
        <x:v>VEG-0219</x:v>
      </x:c>
      <x:c r="B32" s="28" t="str">
        <x:v>грибы</x:v>
      </x:c>
      <x:c r="C32" s="28" t="str">
        <x:v>бальзамический уксус</x:v>
      </x:c>
      <x:c r="D32" s="28" t="str">
        <x:v>Ферментированные продукты и соусы</x:v>
      </x:c>
      <x:c r="E32" s="28" t="str">
        <x:v>общие характерные молекулы; пересечение ароматических семейств; умами и солёный контраст</x:v>
      </x:c>
      <x:c r="F32" s="28" t="str">
        <x:v>Грибы имеет профиль «землистый, лесной, жареный, мясной и слегка сернистый». Партнёр «бальзамический уксус»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3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32" s="28" t="str">
        <x:v>горячее блюдо, бульон, соус, пюре, ферментация или гарнир с бальзамический уксус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316</x:v>
      </x:c>
    </x:row>
    <x:row r="33" ht="66" customHeight="1">
      <x:c r="A33" s="28" t="str">
        <x:v>VEG-0220</x:v>
      </x:c>
      <x:c r="B33" s="28" t="str">
        <x:v>грибы</x:v>
      </x:c>
      <x:c r="C33" s="28" t="str">
        <x:v>банан</x:v>
      </x:c>
      <x:c r="D33" s="28" t="str">
        <x:v>Фрукты и ягоды</x:v>
      </x:c>
      <x:c r="E33" s="28" t="str">
        <x:v>кислотно-сладкий баланс</x:v>
      </x:c>
      <x:c r="F33" s="28" t="str">
        <x:v>Грибы имеет профиль «землистый, лесной, жареный, мясной и слегка сернистый».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I33" s="28" t="str">
        <x:v>горячее блюдо, бульон, соус, пюре, ферментация или гарнир с банан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342</x:v>
      </x:c>
    </x:row>
    <x:row r="34" ht="66" customHeight="1">
      <x:c r="A34" s="28" t="str">
        <x:v>VEG-0221</x:v>
      </x:c>
      <x:c r="B34" s="28" t="str">
        <x:v>грибы</x:v>
      </x:c>
      <x:c r="C34" s="28" t="str">
        <x:v>батат</x:v>
      </x:c>
      <x:c r="D34" s="28" t="str">
        <x:v>Корнеплоды и клубни</x:v>
      </x:c>
      <x:c r="E34" s="28" t="str">
        <x:v>общие характерные молекулы; пересечение ароматических семейств</x:v>
      </x:c>
      <x:c r="F34" s="28" t="str">
        <x:v>Грибы имеет профиль «землистый, лесной, жареный, мясной и слегка сернистый».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3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34" s="28" t="str">
        <x:v>горячее блюдо, бульон, соус, пюре, ферментация или гарнир с батат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119</x:v>
      </x:c>
    </x:row>
    <x:row r="35" ht="66" customHeight="1">
      <x:c r="A35" s="28" t="str">
        <x:v>VEG-0222</x:v>
      </x:c>
      <x:c r="B35" s="28" t="str">
        <x:v>грибы</x:v>
      </x:c>
      <x:c r="C35" s="28" t="str">
        <x:v>бекон</x:v>
      </x:c>
      <x:c r="D35" s="28" t="str">
        <x:v>Мясо и птица</x:v>
      </x:c>
      <x:c r="E35" s="28" t="str">
        <x:v>общие характерные молекулы; пересечение ароматических семейств; умами и солёный контраст</x:v>
      </x:c>
      <x:c r="F35" s="28" t="str">
        <x:v>Грибы имеет профиль «землистый, лесной, жареный, мясной и слегка сернистый».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3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35" s="28" t="str">
        <x:v>горячее блюдо, бульон, соус, пюре, ферментация или гарнир с бекон</x:v>
      </x:c>
      <x:c r="J35" s="28" t="str">
        <x:v>Средняя</x:v>
      </x:c>
      <x:c r="K35" s="28" t="str">
        <x:v>Тезариус вкусов (Ники Сегнит)(1).pdf</x:v>
      </x:c>
      <x:c r="L35" s="28" t="str">
        <x:v>Тезариус вкусов (Ники Сегнит)(1).pdf: 194, 445</x:v>
      </x:c>
    </x:row>
    <x:row r="36" ht="66" customHeight="1">
      <x:c r="A36" s="28" t="str">
        <x:v>VEG-0223</x:v>
      </x:c>
      <x:c r="B36" s="28" t="str">
        <x:v>грибы</x:v>
      </x:c>
      <x:c r="C36" s="28" t="str">
        <x:v>белая рыба</x:v>
      </x:c>
      <x:c r="D36" s="28" t="str">
        <x:v>Рыба и морепродукты</x:v>
      </x:c>
      <x:c r="E36" s="28" t="str">
        <x:v>пересечение ароматических семейств; умами и солёный контраст</x:v>
      </x:c>
      <x:c r="F36" s="28" t="str">
        <x:v>Грибы имеет профиль «землистый, лесной, жареный, мясной и слегка сернистый».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3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36" s="28" t="str">
        <x:v>горячее блюдо, бульон, соус, пюре, ферментация или гарнир с белая рыба</x:v>
      </x:c>
      <x:c r="J36" s="28" t="str">
        <x:v>Средняя</x:v>
      </x:c>
      <x:c r="K36" s="28" t="str">
        <x:v>Тезариус вкусов (Ники Сегнит)(1).pdf</x:v>
      </x:c>
      <x:c r="L36" s="28" t="str">
        <x:v>Тезариус вкусов (Ники Сегнит)(1).pdf: 194, 384</x:v>
      </x:c>
    </x:row>
    <x:row r="37" ht="66" customHeight="1">
      <x:c r="A37" s="28" t="str">
        <x:v>VEG-0224</x:v>
      </x:c>
      <x:c r="B37" s="28" t="str">
        <x:v>грибы</x:v>
      </x:c>
      <x:c r="C37" s="28" t="str">
        <x:v>гибискус</x:v>
      </x:c>
      <x:c r="D37" s="28" t="str">
        <x:v>Прочее</x:v>
      </x:c>
      <x:c r="E37" s="28" t="str">
        <x:v>сенсорная комплементарность</x:v>
      </x:c>
      <x:c r="F37" s="28" t="str">
        <x:v>Грибы имеет профиль «землистый, лесной, жареный, мясной и слегка сернистый».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37" s="28" t="str">
        <x:v>горячее блюдо, бульон, соус, пюре, ферментация или гарнир с гибискус</x:v>
      </x:c>
      <x:c r="J37" s="28" t="str">
        <x:v>Высокая</x:v>
      </x:c>
      <x:c r="K37" s="28" t="str">
        <x:v>The Art &amp; Science of Foodpairing.pdf</x:v>
      </x:c>
      <x:c r="L37" s="28" t="str">
        <x:v>The Art &amp; Science of Foodpairing.pdf: 127</x:v>
      </x:c>
    </x:row>
    <x:row r="38" ht="66" customHeight="1">
      <x:c r="A38" s="28" t="str">
        <x:v>VEG-0225</x:v>
      </x:c>
      <x:c r="B38" s="28" t="str">
        <x:v>грибы</x:v>
      </x:c>
      <x:c r="C38" s="28" t="str">
        <x:v>говядина</x:v>
      </x:c>
      <x:c r="D38" s="28" t="str">
        <x:v>Мясо и птица</x:v>
      </x:c>
      <x:c r="E38" s="28" t="str">
        <x:v>общие характерные молекулы; пересечение ароматических семейств; умами и солёный контраст</x:v>
      </x:c>
      <x:c r="F38" s="28" t="str">
        <x:v>Грибы имеет профиль «землистый, лесной, жареный, мясной и слегка сернистый».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3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38" s="28" t="str">
        <x:v>горячее блюдо, бульон, соус, пюре, ферментация или гарнир с говядина</x:v>
      </x:c>
      <x:c r="J38" s="28" t="str">
        <x:v>Средняя</x:v>
      </x:c>
      <x:c r="K38" s="28" t="str">
        <x:v>Тезариус вкусов (Ники Сегнит)(1).pdf</x:v>
      </x:c>
      <x:c r="L38" s="28" t="str">
        <x:v>Тезариус вкусов (Ники Сегнит)(1).pdf: 108, 195</x:v>
      </x:c>
    </x:row>
    <x:row r="39" ht="66" customHeight="1">
      <x:c r="A39" s="28" t="str">
        <x:v>VEG-0226</x:v>
      </x:c>
      <x:c r="B39" s="28" t="str">
        <x:v>грибы</x:v>
      </x:c>
      <x:c r="C39" s="28" t="str">
        <x:v>голубой сыр</x:v>
      </x:c>
      <x:c r="D39" s="28" t="str">
        <x:v>Молочные продукты и сыры</x:v>
      </x:c>
      <x:c r="E39" s="28" t="str">
        <x:v>пересечение ароматических семейств; жировая матрица</x:v>
      </x:c>
      <x:c r="F39" s="28" t="str">
        <x:v>Грибы имеет профиль «землистый, лесной, жареный, мясной и слегка сернистый». Партнёр «голубой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3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39" s="28" t="str">
        <x:v>горячее блюдо, бульон, соус, пюре, ферментация или гарнир с голубой сыр</x:v>
      </x:c>
      <x:c r="J39" s="28" t="str">
        <x:v>Средняя</x:v>
      </x:c>
      <x:c r="K39" s="28" t="str">
        <x:v>Тезариус вкусов (Ники Сегнит)(1).pdf</x:v>
      </x:c>
      <x:c r="L39" s="28" t="str">
        <x:v>Тезариус вкусов (Ники Сегнит)(1).pdf: 157, 195</x:v>
      </x:c>
    </x:row>
    <x:row r="40" ht="66" customHeight="1">
      <x:c r="A40" s="28" t="str">
        <x:v>VEG-0227</x:v>
      </x:c>
      <x:c r="B40" s="28" t="str">
        <x:v>грибы</x:v>
      </x:c>
      <x:c r="C40" s="28" t="str">
        <x:v>грецкий орех</x:v>
      </x:c>
      <x:c r="D40" s="28" t="str">
        <x:v>Орехи и семена</x:v>
      </x:c>
      <x:c r="E40" s="28" t="str">
        <x:v>общие характерные молекулы; пересечение ароматических семейств</x:v>
      </x:c>
      <x:c r="F40" s="28" t="str">
        <x:v>Грибы имеет профиль «землистый, лесной, жареный, мясной и слегка сернистый».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4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40" s="28" t="str">
        <x:v>горячее блюдо, бульон, соус, пюре, ферментация или гарнир с грецкий орех</x:v>
      </x:c>
      <x:c r="J40" s="28" t="str">
        <x:v>Средняя</x:v>
      </x:c>
      <x:c r="K40" s="28" t="str">
        <x:v>Тезариус вкусов (Ники Сегнит)(1).pdf</x:v>
      </x:c>
      <x:c r="L40" s="28" t="str">
        <x:v>Тезариус вкусов (Ники Сегнит)(1).pdf: 195, 625</x:v>
      </x:c>
    </x:row>
    <x:row r="41" ht="66" customHeight="1">
      <x:c r="A41" s="28" t="str">
        <x:v>VEG-0228</x:v>
      </x:c>
      <x:c r="B41" s="28" t="str">
        <x:v>грибы</x:v>
      </x:c>
      <x:c r="C41" s="28" t="str">
        <x:v>джин</x:v>
      </x:c>
      <x:c r="D41" s="28" t="str">
        <x:v>Алкогольные напитки</x:v>
      </x:c>
      <x:c r="E41" s="28" t="str">
        <x:v>сенсорная комплементарность</x:v>
      </x:c>
      <x:c r="F41" s="28" t="str">
        <x:v>Грибы имеет профиль «землистый, лесной, жареный, мясной и слегка сернистый».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41" s="28" t="str">
        <x:v>горячее блюдо, бульон, соус, пюре, ферментация или гарнир с джин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215</x:v>
      </x:c>
    </x:row>
    <x:row r="42" ht="66" customHeight="1">
      <x:c r="A42" s="28" t="str">
        <x:v>VEG-0229</x:v>
      </x:c>
      <x:c r="B42" s="28" t="str">
        <x:v>грибы</x:v>
      </x:c>
      <x:c r="C42" s="28" t="str">
        <x:v>жасмин</x:v>
      </x:c>
      <x:c r="D42" s="28" t="str">
        <x:v>Травы, цветы и листья</x:v>
      </x:c>
      <x:c r="E42" s="28" t="str">
        <x:v>сенсорная комплементарность</x:v>
      </x:c>
      <x:c r="F42" s="28" t="str">
        <x:v>Грибы имеет профиль «землистый, лесной, жареный, мясной и слегка сернистый».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4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42" s="28" t="str">
        <x:v>горячее блюдо, бульон, соус, пюре, ферментация или гарнир с жасмин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210</x:v>
      </x:c>
    </x:row>
    <x:row r="43" ht="66" customHeight="1">
      <x:c r="A43" s="28" t="str">
        <x:v>VEG-0230</x:v>
      </x:c>
      <x:c r="B43" s="28" t="str">
        <x:v>грибы</x:v>
      </x:c>
      <x:c r="C43" s="28" t="str">
        <x:v>жирная рыба</x:v>
      </x:c>
      <x:c r="D43" s="28" t="str">
        <x:v>Рыба и морепродукты</x:v>
      </x:c>
      <x:c r="E43" s="28" t="str">
        <x:v>пересечение ароматических семейств; умами и солёный контраст</x:v>
      </x:c>
      <x:c r="F43" s="28" t="str">
        <x:v>Грибы имеет профиль «землистый, лесной, жареный, мясной и слегка сернистый». Партнёр «жирная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43" s="28" t="str">
        <x:v>горячее блюдо, бульон, соус, пюре, ферментация или гарнир с жирная рыба</x:v>
      </x:c>
      <x:c r="J43" s="28" t="str">
        <x:v>Средняя</x:v>
      </x:c>
      <x:c r="K43" s="28" t="str">
        <x:v>Тезариус вкусов (Ники Сегнит)(1).pdf</x:v>
      </x:c>
      <x:c r="L43" s="28" t="str">
        <x:v>Тезариус вкусов (Ники Сегнит)(1).pdf: 196, 412</x:v>
      </x:c>
    </x:row>
    <x:row r="44" ht="66" customHeight="1">
      <x:c r="A44" s="28" t="str">
        <x:v>VEG-0231</x:v>
      </x:c>
      <x:c r="B44" s="28" t="str">
        <x:v>грибы</x:v>
      </x:c>
      <x:c r="C44" s="28" t="str">
        <x:v>картофель</x:v>
      </x:c>
      <x:c r="D44" s="28" t="str">
        <x:v>Корнеплоды и клубни</x:v>
      </x:c>
      <x:c r="E44" s="28" t="str">
        <x:v>общие характерные молекулы; пересечение ароматических семейств</x:v>
      </x:c>
      <x:c r="F44" s="28" t="str">
        <x:v>Грибы имеет профиль «землистый, лесной, жареный, мясной и слегка сернистый». Партнёр «картофель» относится к группе «Корнеплоды и клубни» и даёт крахмалистый, землистый, ореховый и жареный после нагрева. Вероятный молекулярный мост: метиональ, пиразины. Совместимость формируется за счёт баланса сладости, кислотности, горечи, умами и текстуры.</x:v>
      </x:c>
      <x:c r="G4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44" s="28" t="str">
        <x:v>горячее блюдо, бульон, соус, пюре, ферментация или гарнир с картофель</x:v>
      </x:c>
      <x:c r="J44" s="28" t="str">
        <x:v>Высокая</x:v>
      </x:c>
      <x:c r="K44" s="28" t="str">
        <x:v>The Art &amp; Science of Foodpairing.pdf | Тезариус вкусов (Ники Сегнит)(1).pdf</x:v>
      </x:c>
      <x:c r="L44" s="28" t="str">
        <x:v>Тезариус вкусов (Ники Сегнит)(1).pdf: 197, 234; The Art &amp; Science of Foodpairing.pdf: 196</x:v>
      </x:c>
    </x:row>
    <x:row r="45" ht="66" customHeight="1">
      <x:c r="A45" s="28" t="str">
        <x:v>VEG-0232</x:v>
      </x:c>
      <x:c r="B45" s="28" t="str">
        <x:v>грибы</x:v>
      </x:c>
      <x:c r="C45" s="28" t="str">
        <x:v>каштаны</x:v>
      </x:c>
      <x:c r="D45" s="28" t="str">
        <x:v>Орехи и семена</x:v>
      </x:c>
      <x:c r="E45" s="28" t="str">
        <x:v>общие характерные молекулы; пересечение ароматических семейств</x:v>
      </x:c>
      <x:c r="F45" s="28" t="str">
        <x:v>Грибы имеет профиль «землистый, лесной, жареный, мясной и слегка сернистый». Партнёр «каштаны»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4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45" s="28" t="str">
        <x:v>горячее блюдо, бульон, соус, пюре, ферментация или гарнир с каштаны</x:v>
      </x:c>
      <x:c r="J45" s="28" t="str">
        <x:v>Средняя</x:v>
      </x:c>
      <x:c r="K45" s="28" t="str">
        <x:v>Тезариус вкусов (Ники Сегнит)(1).pdf</x:v>
      </x:c>
      <x:c r="L45" s="28" t="str">
        <x:v>Тезариус вкусов (Ники Сегнит)(1).pdf: 197, 617</x:v>
      </x:c>
    </x:row>
    <x:row r="46" ht="66" customHeight="1">
      <x:c r="A46" s="28" t="str">
        <x:v>VEG-0233</x:v>
      </x:c>
      <x:c r="B46" s="28" t="str">
        <x:v>грибы</x:v>
      </x:c>
      <x:c r="C46" s="28" t="str">
        <x:v>кимчи</x:v>
      </x:c>
      <x:c r="D46" s="28" t="str">
        <x:v>Ферментированные продукты и соусы</x:v>
      </x:c>
      <x:c r="E46" s="28" t="str">
        <x:v>общие характерные молекулы; пересечение ароматических семейств; умами и солёный контраст</x:v>
      </x:c>
      <x:c r="F46" s="28" t="str">
        <x:v>Грибы имеет профиль «землистый, лесной, жареный, мясной и слегка сернистый». Партнёр «кимчи»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4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46" s="28" t="str">
        <x:v>горячее блюдо, бульон, соус, пюре, ферментация или гарнир с кимчи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305</x:v>
      </x:c>
    </x:row>
    <x:row r="47" ht="66" customHeight="1">
      <x:c r="A47" s="28" t="str">
        <x:v>VEG-0234</x:v>
      </x:c>
      <x:c r="B47" s="28" t="str">
        <x:v>грибы</x:v>
      </x:c>
      <x:c r="C47" s="28" t="str">
        <x:v>козий сыр</x:v>
      </x:c>
      <x:c r="D47" s="28" t="str">
        <x:v>Молочные продукты и сыры</x:v>
      </x:c>
      <x:c r="E47" s="28" t="str">
        <x:v>пересечение ароматических семейств; жировая матрица</x:v>
      </x:c>
      <x:c r="F47" s="28" t="str">
        <x:v>Грибы имеет профиль «землистый, лесной, жареный, мясной и слегка сернистый».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4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47" s="28" t="str">
        <x:v>горячее блюдо, бульон, соус, пюре, ферментация или гарнир с козий сыр</x:v>
      </x:c>
      <x:c r="J47" s="28" t="str">
        <x:v>Средняя</x:v>
      </x:c>
      <x:c r="K47" s="28" t="str">
        <x:v>Тезариус вкусов (Ники Сегнит)(1).pdf</x:v>
      </x:c>
      <x:c r="L47" s="28" t="str">
        <x:v>Тезариус вкусов (Ники Сегнит)(1).pdf: 138, 198</x:v>
      </x:c>
    </x:row>
    <x:row r="48" ht="66" customHeight="1">
      <x:c r="A48" s="28" t="str">
        <x:v>VEG-0235</x:v>
      </x:c>
      <x:c r="B48" s="28" t="str">
        <x:v>грибы</x:v>
      </x:c>
      <x:c r="C48" s="28" t="str">
        <x:v>козий сыр и молоко</x:v>
      </x:c>
      <x:c r="D48" s="28" t="str">
        <x:v>Молочные продукты и сыры</x:v>
      </x:c>
      <x:c r="E48" s="28" t="str">
        <x:v>пересечение ароматических семейств; жировая матрица</x:v>
      </x:c>
      <x:c r="F48" s="28" t="str">
        <x:v>Грибы имеет профиль «землистый, лесной, жареный, мясной и слегка сернистый».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4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48" s="28" t="str">
        <x:v>горячее блюдо, бульон, соус, пюре, ферментация или гарнир с козий сыр и молоко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200</x:v>
      </x:c>
    </x:row>
    <x:row r="49" ht="66" customHeight="1">
      <x:c r="A49" s="28" t="str">
        <x:v>VEG-0236</x:v>
      </x:c>
      <x:c r="B49" s="28" t="str">
        <x:v>грибы</x:v>
      </x:c>
      <x:c r="C49" s="28" t="str">
        <x:v>кокос</x:v>
      </x:c>
      <x:c r="D49" s="28" t="str">
        <x:v>Прочее</x:v>
      </x:c>
      <x:c r="E49" s="28" t="str">
        <x:v>сенсорная комплементарность</x:v>
      </x:c>
      <x:c r="F49" s="28" t="str">
        <x:v>Грибы имеет профиль «землистый, лесной, жареный, мясной и слегка сернистый».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4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49" s="28" t="str">
        <x:v>горячее блюдо, бульон, соус, пюре, ферментация или гарнир с кокос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135</x:v>
      </x:c>
    </x:row>
    <x:row r="50" ht="66" customHeight="1">
      <x:c r="A50" s="28" t="str">
        <x:v>VEG-0237</x:v>
      </x:c>
      <x:c r="B50" s="28" t="str">
        <x:v>грибы</x:v>
      </x:c>
      <x:c r="C50" s="28" t="str">
        <x:v>коньяк</x:v>
      </x:c>
      <x:c r="D50" s="28" t="str">
        <x:v>Алкогольные напитки</x:v>
      </x:c>
      <x:c r="E50" s="28" t="str">
        <x:v>сенсорная комплементарность</x:v>
      </x:c>
      <x:c r="F50" s="28" t="str">
        <x:v>Грибы имеет профиль «землистый, лесной, жареный, мясной и слегка сернистый».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5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0" s="28" t="str">
        <x:v>горячее блюдо, бульон, соус, пюре, ферментация или гарнир с коньяк</x:v>
      </x:c>
      <x:c r="J50" s="28" t="str">
        <x:v>Высокая</x:v>
      </x:c>
      <x:c r="K50" s="28" t="str">
        <x:v>The Art &amp; Science of Foodpairing.pdf</x:v>
      </x:c>
      <x:c r="L50" s="28" t="str">
        <x:v>The Art &amp; Science of Foodpairing.pdf: 123</x:v>
      </x:c>
    </x:row>
    <x:row r="51" ht="66" customHeight="1">
      <x:c r="A51" s="28" t="str">
        <x:v>VEG-0238</x:v>
      </x:c>
      <x:c r="B51" s="28" t="str">
        <x:v>грибы</x:v>
      </x:c>
      <x:c r="C51" s="28" t="str">
        <x:v>корица</x:v>
      </x:c>
      <x:c r="D51" s="28" t="str">
        <x:v>Специи</x:v>
      </x:c>
      <x:c r="E51" s="28" t="str">
        <x:v>сенсорная комплементарность</x:v>
      </x:c>
      <x:c r="F51" s="28" t="str">
        <x:v>Грибы имеет профиль «землистый, лесной, жареный, мясной и слегка сернистый».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5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1" s="28" t="str">
        <x:v>горячее блюдо, бульон, соус, пюре, ферментация или гарнир с корица</x:v>
      </x:c>
      <x:c r="J51" s="28" t="str">
        <x:v>Высокая</x:v>
      </x:c>
      <x:c r="K51" s="28" t="str">
        <x:v>The Art &amp; Science of Foodpairing.pdf</x:v>
      </x:c>
      <x:c r="L51" s="28" t="str">
        <x:v>The Art &amp; Science of Foodpairing.pdf: 127</x:v>
      </x:c>
    </x:row>
    <x:row r="52" ht="66" customHeight="1">
      <x:c r="A52" s="28" t="str">
        <x:v>VEG-0239</x:v>
      </x:c>
      <x:c r="B52" s="28" t="str">
        <x:v>грибы</x:v>
      </x:c>
      <x:c r="C52" s="28" t="str">
        <x:v>корица и кассия</x:v>
      </x:c>
      <x:c r="D52" s="28" t="str">
        <x:v>Специи</x:v>
      </x:c>
      <x:c r="E52" s="28" t="str">
        <x:v>сенсорная комплементарность</x:v>
      </x:c>
      <x:c r="F52" s="28" t="str">
        <x:v>Грибы имеет профиль «землистый, лесной, жареный, мясной и слегка сернистый». Партнёр «корица и кассия»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5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2" s="28" t="str">
        <x:v>горячее блюдо, бульон, соус, пюре, ферментация или гарнир с корица и кассия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130</x:v>
      </x:c>
    </x:row>
    <x:row r="53" ht="66" customHeight="1">
      <x:c r="A53" s="28" t="str">
        <x:v>VEG-0240</x:v>
      </x:c>
      <x:c r="B53" s="28" t="str">
        <x:v>грибы</x:v>
      </x:c>
      <x:c r="C53" s="28" t="str">
        <x:v>лук</x:v>
      </x:c>
      <x:c r="D53" s="28" t="str">
        <x:v>Луковые овощи</x:v>
      </x:c>
      <x:c r="E53" s="28" t="str">
        <x:v>пересечение ароматических семейств</x:v>
      </x:c>
      <x:c r="F53" s="28" t="str">
        <x:v>Грибы имеет профиль «землистый, лесной, жареный, мясной и слегка сернистый».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5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3" s="28" t="str">
        <x:v>горячее блюдо, бульон, соус, пюре, ферментация или гарнир с лук</x:v>
      </x:c>
      <x:c r="J53" s="28" t="str">
        <x:v>Средняя</x:v>
      </x:c>
      <x:c r="K53" s="28" t="str">
        <x:v>Тезариус вкусов (Ники Сегнит)(1).pdf</x:v>
      </x:c>
      <x:c r="L53" s="28" t="str">
        <x:v>Тезариус вкусов (Ники Сегнит)(1).pdf: 200, 283</x:v>
      </x:c>
    </x:row>
    <x:row r="54" ht="66" customHeight="1">
      <x:c r="A54" s="28" t="str">
        <x:v>VEG-0241</x:v>
      </x:c>
      <x:c r="B54" s="28" t="str">
        <x:v>грибы</x:v>
      </x:c>
      <x:c r="C54" s="28" t="str">
        <x:v>моллюски</x:v>
      </x:c>
      <x:c r="D54" s="28" t="str">
        <x:v>Рыба и морепродукты</x:v>
      </x:c>
      <x:c r="E54" s="28" t="str">
        <x:v>пересечение ароматических семейств; умами и солёный контраст</x:v>
      </x:c>
      <x:c r="F54" s="28" t="str">
        <x:v>Грибы имеет профиль «землистый, лесной, жареный, мясной и слегка сернистый».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5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4" s="28" t="str">
        <x:v>горячее блюдо, бульон, соус, пюре, ферментация или гарнир с моллюски</x:v>
      </x:c>
      <x:c r="J54" s="28" t="str">
        <x:v>Средняя</x:v>
      </x:c>
      <x:c r="K54" s="28" t="str">
        <x:v>Тезариус вкусов (Ники Сегнит)(1).pdf</x:v>
      </x:c>
      <x:c r="L54" s="28" t="str">
        <x:v>Тезариус вкусов (Ники Сегнит)(1).pdf: 201, 369</x:v>
      </x:c>
    </x:row>
    <x:row r="55" ht="66" customHeight="1">
      <x:c r="A55" s="28" t="str">
        <x:v>VEG-0242</x:v>
      </x:c>
      <x:c r="B55" s="28" t="str">
        <x:v>грибы</x:v>
      </x:c>
      <x:c r="C55" s="28" t="str">
        <x:v>морковь</x:v>
      </x:c>
      <x:c r="D55" s="28" t="str">
        <x:v>Корнеплоды</x:v>
      </x:c>
      <x:c r="E55" s="28" t="str">
        <x:v>пересечение ароматических семейств</x:v>
      </x:c>
      <x:c r="F55" s="28" t="str">
        <x:v>Грибы имеет профиль «землистый, лесной, жареный, мясной и слегка сернистый».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5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5" s="28" t="str">
        <x:v>горячее блюдо, бульон, соус, пюре, ферментация или гарнир с морковь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232</x:v>
      </x:c>
    </x:row>
    <x:row r="56" ht="66" customHeight="1">
      <x:c r="A56" s="28" t="str">
        <x:v>VEG-0243</x:v>
      </x:c>
      <x:c r="B56" s="28" t="str">
        <x:v>грибы</x:v>
      </x:c>
      <x:c r="C56" s="28" t="str">
        <x:v>мягкий сыр</x:v>
      </x:c>
      <x:c r="D56" s="28" t="str">
        <x:v>Молочные продукты и сыры</x:v>
      </x:c>
      <x:c r="E56" s="28" t="str">
        <x:v>пересечение ароматических семейств; жировая матрица</x:v>
      </x:c>
      <x:c r="F56" s="28" t="str">
        <x:v>Грибы имеет профиль «землистый, лесной, жареный, мясной и слегка сернистый».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5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56" s="28" t="str">
        <x:v>горячее блюдо, бульон, соус, пюре, ферментация или гарнир с мягкий сыр</x:v>
      </x:c>
      <x:c r="J56" s="28" t="str">
        <x:v>Средняя</x:v>
      </x:c>
      <x:c r="K56" s="28" t="str">
        <x:v>Тезариус вкусов (Ники Сегнит)(1).pdf</x:v>
      </x:c>
      <x:c r="L56" s="28" t="str">
        <x:v>Тезариус вкусов (Ники Сегнит)(1).pdf: 184, 202</x:v>
      </x:c>
    </x:row>
    <x:row r="57" ht="66" customHeight="1">
      <x:c r="A57" s="28" t="str">
        <x:v>VEG-0244</x:v>
      </x:c>
      <x:c r="B57" s="28" t="str">
        <x:v>грибы</x:v>
      </x:c>
      <x:c r="C57" s="28" t="str">
        <x:v>мясо</x:v>
      </x:c>
      <x:c r="D57" s="28" t="str">
        <x:v>Мясо и птица</x:v>
      </x:c>
      <x:c r="E57" s="28" t="str">
        <x:v>общие характерные молекулы; пересечение ароматических семейств; умами и солёный контраст</x:v>
      </x:c>
      <x:c r="F57" s="28" t="str">
        <x:v>Грибы имеет профиль «землистый, лесной, жареный, мясной и слегка сернистый».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5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7" s="28" t="str">
        <x:v>горячее блюдо, бульон, соус, пюре, ферментация или гарнир с мясо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186</x:v>
      </x:c>
    </x:row>
    <x:row r="58" ht="66" customHeight="1">
      <x:c r="A58" s="28" t="str">
        <x:v>VEG-0245</x:v>
      </x:c>
      <x:c r="B58" s="28" t="str">
        <x:v>грибы</x:v>
      </x:c>
      <x:c r="C58" s="28" t="str">
        <x:v>мята</x:v>
      </x:c>
      <x:c r="D58" s="28" t="str">
        <x:v>Травы, цветы и листья</x:v>
      </x:c>
      <x:c r="E58" s="28" t="str">
        <x:v>сенсорная комплементарность</x:v>
      </x:c>
      <x:c r="F58" s="28" t="str">
        <x:v>Грибы имеет профиль «землистый, лесной, жареный, мясной и слегка сернистый».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5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58" s="28" t="str">
        <x:v>горячее блюдо, бульон, соус, пюре, ферментация или гарнир с мята</x:v>
      </x:c>
      <x:c r="J58" s="28" t="str">
        <x:v>Средняя</x:v>
      </x:c>
      <x:c r="K58" s="28" t="str">
        <x:v>Тезариус вкусов (Ники Сегнит)(1).pdf</x:v>
      </x:c>
      <x:c r="L58" s="28" t="str">
        <x:v>Тезариус вкусов (Ники Сегнит)(1).pdf: 202, 867</x:v>
      </x:c>
    </x:row>
    <x:row r="59" ht="66" customHeight="1">
      <x:c r="A59" s="28" t="str">
        <x:v>VEG-0246</x:v>
      </x:c>
      <x:c r="B59" s="28" t="str">
        <x:v>грибы</x:v>
      </x:c>
      <x:c r="C59" s="28" t="str">
        <x:v>оленина</x:v>
      </x:c>
      <x:c r="D59" s="28" t="str">
        <x:v>Прочее</x:v>
      </x:c>
      <x:c r="E59" s="28" t="str">
        <x:v>сенсорная комплементарность</x:v>
      </x:c>
      <x:c r="F59" s="28" t="str">
        <x:v>Грибы имеет профиль «землистый, лесной, жареный, мясной и слегка сернистый». Партнёр «оленина»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5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9" s="28" t="str">
        <x:v>горячее блюдо, бульон, соус, пюре, ферментация или гарнир с оленина</x:v>
      </x:c>
      <x:c r="J59" s="28" t="str">
        <x:v>Высокая</x:v>
      </x:c>
      <x:c r="K59" s="28" t="str">
        <x:v>The Art &amp; Science of Foodpairing.pdf</x:v>
      </x:c>
      <x:c r="L59" s="28" t="str">
        <x:v>The Art &amp; Science of Foodpairing.pdf: 189</x:v>
      </x:c>
    </x:row>
    <x:row r="60" ht="66" customHeight="1">
      <x:c r="A60" s="28" t="str">
        <x:v>VEG-0247</x:v>
      </x:c>
      <x:c r="B60" s="28" t="str">
        <x:v>грибы</x:v>
      </x:c>
      <x:c r="C60" s="28" t="str">
        <x:v>оливковое масло</x:v>
      </x:c>
      <x:c r="D60" s="28" t="str">
        <x:v>Масла и жиры</x:v>
      </x:c>
      <x:c r="E60" s="28" t="str">
        <x:v>жировая матрица</x:v>
      </x:c>
      <x:c r="F60" s="28" t="str">
        <x:v>Грибы имеет профиль «землистый, лесной, жареный, мясной и слегка сернистый».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6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60" s="28" t="str">
        <x:v>горячее блюдо, бульон, соус, пюре, ферментация или гарнир с оливковое масло</x:v>
      </x:c>
      <x:c r="J60" s="28" t="str">
        <x:v>Высокая</x:v>
      </x:c>
      <x:c r="K60" s="28" t="str">
        <x:v>The Art &amp; Science of Foodpairing.pdf</x:v>
      </x:c>
      <x:c r="L60" s="28" t="str">
        <x:v>The Art &amp; Science of Foodpairing.pdf: 172</x:v>
      </x:c>
    </x:row>
    <x:row r="61" ht="66" customHeight="1">
      <x:c r="A61" s="28" t="str">
        <x:v>VEG-0248</x:v>
      </x:c>
      <x:c r="B61" s="28" t="str">
        <x:v>грибы</x:v>
      </x:c>
      <x:c r="C61" s="28" t="str">
        <x:v>пармезан</x:v>
      </x:c>
      <x:c r="D61" s="28" t="str">
        <x:v>Прочее</x:v>
      </x:c>
      <x:c r="E61" s="28" t="str">
        <x:v>сенсорная комплементарность</x:v>
      </x:c>
      <x:c r="F61" s="28" t="str">
        <x:v>Грибы имеет профиль «землистый, лесной, жареный, мясной и слегка сернистый».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6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61" s="28" t="str">
        <x:v>горячее блюдо, бульон, соус, пюре, ферментация или гарнир с пармезан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282</x:v>
      </x:c>
    </x:row>
    <x:row r="62" ht="66" customHeight="1">
      <x:c r="A62" s="28" t="str">
        <x:v>VEG-0249</x:v>
      </x:c>
      <x:c r="B62" s="28" t="str">
        <x:v>грибы</x:v>
      </x:c>
      <x:c r="C62" s="28" t="str">
        <x:v>петрушка</x:v>
      </x:c>
      <x:c r="D62" s="28" t="str">
        <x:v>Травы, цветы и листья</x:v>
      </x:c>
      <x:c r="E62" s="28" t="str">
        <x:v>сенсорная комплементарность</x:v>
      </x:c>
      <x:c r="F62" s="28" t="str">
        <x:v>Грибы имеет профиль «землистый, лесной, жареный, мясной и слегка сернистый».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6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62" s="28" t="str">
        <x:v>горячее блюдо, бульон, соус, пюре, ферментация или гарнир с петрушка</x:v>
      </x:c>
      <x:c r="J62" s="28" t="str">
        <x:v>Средняя</x:v>
      </x:c>
      <x:c r="K62" s="28" t="str">
        <x:v>Тезариус вкусов (Ники Сегнит)(1).pdf</x:v>
      </x:c>
      <x:c r="L62" s="28" t="str">
        <x:v>Тезариус вкусов (Ники Сегнит)(1).pdf: 202, 508</x:v>
      </x:c>
    </x:row>
    <x:row r="63" ht="66" customHeight="1">
      <x:c r="A63" s="28" t="str">
        <x:v>VEG-0250</x:v>
      </x:c>
      <x:c r="B63" s="28" t="str">
        <x:v>грибы</x:v>
      </x:c>
      <x:c r="C63" s="28" t="str">
        <x:v>розмарин</x:v>
      </x:c>
      <x:c r="D63" s="28" t="str">
        <x:v>Травы, цветы и листья</x:v>
      </x:c>
      <x:c r="E63" s="28" t="str">
        <x:v>сенсорная комплементарность</x:v>
      </x:c>
      <x:c r="F63" s="28" t="str">
        <x:v>Грибы имеет профиль «землистый, лесной, жареный, мясной и слегка сернистый».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6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63" s="28" t="str">
        <x:v>горячее блюдо, бульон, соус, пюре, ферментация или гарнир с розмарин</x:v>
      </x:c>
      <x:c r="J63" s="28" t="str">
        <x:v>Средняя</x:v>
      </x:c>
      <x:c r="K63" s="28" t="str">
        <x:v>Тезариус вкусов (Ники Сегнит)(1).pdf</x:v>
      </x:c>
      <x:c r="L63" s="28" t="str">
        <x:v>Тезариус вкусов (Ники Сегнит)(1).pdf: 202, 836</x:v>
      </x:c>
    </x:row>
    <x:row r="64" ht="66" customHeight="1">
      <x:c r="A64" s="28" t="str">
        <x:v>VEG-0251</x:v>
      </x:c>
      <x:c r="B64" s="28" t="str">
        <x:v>грибы</x:v>
      </x:c>
      <x:c r="C64" s="28" t="str">
        <x:v>рыба</x:v>
      </x:c>
      <x:c r="D64" s="28" t="str">
        <x:v>Рыба и морепродукты</x:v>
      </x:c>
      <x:c r="E64" s="28" t="str">
        <x:v>пересечение ароматических семейств; умами и солёный контраст</x:v>
      </x:c>
      <x:c r="F64" s="28" t="str">
        <x:v>Грибы имеет профиль «землистый, лесной, жареный, мясной и слегка сернистый». Партнёр «рыба»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6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64" s="28" t="str">
        <x:v>горячее блюдо, бульон, соус, пюре, ферментация или гарнир с рыба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104</x:v>
      </x:c>
    </x:row>
    <x:row r="65" ht="66" customHeight="1">
      <x:c r="A65" s="28" t="str">
        <x:v>VEG-0252</x:v>
      </x:c>
      <x:c r="B65" s="28" t="str">
        <x:v>грибы</x:v>
      </x:c>
      <x:c r="C65" s="28" t="str">
        <x:v>свинина</x:v>
      </x:c>
      <x:c r="D65" s="28" t="str">
        <x:v>Мясо и птица</x:v>
      </x:c>
      <x:c r="E65" s="28" t="str">
        <x:v>общие характерные молекулы; пересечение ароматических семейств; умами и солёный контраст</x:v>
      </x:c>
      <x:c r="F65" s="28" t="str">
        <x:v>Грибы имеет профиль «землистый, лесной, жареный, мясной и слегка сернистый».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6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65" s="28" t="str">
        <x:v>горячее блюдо, бульон, соус, пюре, ферментация или гарнир с свинина</x:v>
      </x:c>
      <x:c r="J65" s="28" t="str">
        <x:v>Средняя</x:v>
      </x:c>
      <x:c r="K65" s="28" t="str">
        <x:v>Тезариус вкусов (Ники Сегнит)(1).pdf</x:v>
      </x:c>
      <x:c r="L65" s="28" t="str">
        <x:v>Тезариус вкусов (Ники Сегнит)(1).pdf: 83, 202</x:v>
      </x:c>
    </x:row>
    <x:row r="66" ht="66" customHeight="1">
      <x:c r="A66" s="28" t="str">
        <x:v>VEG-0253</x:v>
      </x:c>
      <x:c r="B66" s="28" t="str">
        <x:v>грибы</x:v>
      </x:c>
      <x:c r="C66" s="28" t="str">
        <x:v>свёкла</x:v>
      </x:c>
      <x:c r="D66" s="28" t="str">
        <x:v>Корнеплоды</x:v>
      </x:c>
      <x:c r="E66" s="28" t="str">
        <x:v>пересечение ароматических семейств</x:v>
      </x:c>
      <x:c r="F66" s="28" t="str">
        <x:v>Грибы имеет профиль «землистый, лесной, жареный, мясной и слегка сернистый». Партнёр «свёкла» относится к группе «Корнеплоды» и даёт землистый, сладкий, минеральный и слегка зелёный.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6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66" s="28" t="str">
        <x:v>горячее блюдо, бульон, соус, пюре, ферментация или гарнир с свёкла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224</x:v>
      </x:c>
    </x:row>
    <x:row r="67" ht="66" customHeight="1">
      <x:c r="A67" s="28" t="str">
        <x:v>VEG-0254</x:v>
      </x:c>
      <x:c r="B67" s="28" t="str">
        <x:v>грибы</x:v>
      </x:c>
      <x:c r="C67" s="28" t="str">
        <x:v>сельдерей корневой</x:v>
      </x:c>
      <x:c r="D67" s="28" t="str">
        <x:v>Корнеплоды</x:v>
      </x:c>
      <x:c r="E67" s="28" t="str">
        <x:v>общие характерные молекулы; пересечение ароматических семейств</x:v>
      </x:c>
      <x:c r="F67" s="28" t="str">
        <x:v>Грибы имеет профиль «землистый, лесной, жареный, мясной и слегка сернистый». Партнёр «сельдерей корневой» относится к группе «Корнеплоды» и даёт землистый, ореховый, сельдерейно-пряный и слегка грибной. Вероятный молекулярный мост: метиональ. Совместимость формируется за счёт баланса сладости, кислотности, горечи, умами и текстуры.</x:v>
      </x:c>
      <x:c r="G6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67" s="28" t="str">
        <x:v>горячее блюдо, бульон, соус, пюре, ферментация или гарнир с сельдерей корневой</x:v>
      </x:c>
      <x:c r="J67" s="28" t="str">
        <x:v>Средняя</x:v>
      </x:c>
      <x:c r="K67" s="28" t="str">
        <x:v>The Art &amp; Science of Foodpairing.pdf</x:v>
      </x:c>
      <x:c r="L67" s="28" t="str">
        <x:v>The Art &amp; Science of Foodpairing.pdf: 52</x:v>
      </x:c>
    </x:row>
    <x:row r="68" ht="66" customHeight="1">
      <x:c r="A68" s="28" t="str">
        <x:v>VEG-0255</x:v>
      </x:c>
      <x:c r="B68" s="28" t="str">
        <x:v>грибы</x:v>
      </x:c>
      <x:c r="C68" s="28" t="str">
        <x:v>спаржа</x:v>
      </x:c>
      <x:c r="D68" s="28" t="str">
        <x:v>Побеговые овощи</x:v>
      </x:c>
      <x:c r="E68" s="28" t="str">
        <x:v>общие характерные молекулы; пересечение ароматических семейств</x:v>
      </x:c>
      <x:c r="F68" s="28" t="str">
        <x:v>Грибы имеет профиль «землистый, лесной, жареный, мясной и слегка сернистый». Партнёр «спаржа» относится к группе «Побеговые овощи» и даёт зелёный, сернистый, ореховый и слегка сладкий. Вероятный молекулярный мост: пиразины. Совместимость формируется за счёт баланса сладости, кислотности, горечи, умами и текстуры.</x:v>
      </x:c>
      <x:c r="G6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68" s="28" t="str">
        <x:v>горячее блюдо, бульон, соус, пюре, ферментация или гарнир с спаржа</x:v>
      </x:c>
      <x:c r="J68" s="28" t="str">
        <x:v>Средняя</x:v>
      </x:c>
      <x:c r="K68" s="28" t="str">
        <x:v>Тезариус вкусов (Ники Сегнит)(1).pdf</x:v>
      </x:c>
      <x:c r="L68" s="28" t="str">
        <x:v>Тезариус вкусов (Ники Сегнит)(1).pdf: 203, 345</x:v>
      </x:c>
    </x:row>
    <x:row r="69" ht="66" customHeight="1">
      <x:c r="A69" s="28" t="str">
        <x:v>VEG-0256</x:v>
      </x:c>
      <x:c r="B69" s="28" t="str">
        <x:v>грибы</x:v>
      </x:c>
      <x:c r="C69" s="28" t="str">
        <x:v>твердый сыр</x:v>
      </x:c>
      <x:c r="D69" s="28" t="str">
        <x:v>Молочные продукты и сыры</x:v>
      </x:c>
      <x:c r="E69" s="28" t="str">
        <x:v>пересечение ароматических семейств; жировая матрица</x:v>
      </x:c>
      <x:c r="F69" s="28" t="str">
        <x:v>Грибы имеет профиль «землистый, лесной, жареный, мясной и слегка сернистый». Партнёр «твердый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6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69" s="28" t="str">
        <x:v>горячее блюдо, бульон, соус, пюре, ферментация или гарнир с твердый сыр</x:v>
      </x:c>
      <x:c r="J69" s="28" t="str">
        <x:v>Средняя</x:v>
      </x:c>
      <x:c r="K69" s="28" t="str">
        <x:v>Тезариус вкусов (Ники Сегнит)(1).pdf</x:v>
      </x:c>
      <x:c r="L69" s="28" t="str">
        <x:v>Тезариус вкусов (Ники Сегнит)(1).pdf: 170, 203</x:v>
      </x:c>
    </x:row>
    <x:row r="70" ht="66" customHeight="1">
      <x:c r="A70" s="28" t="str">
        <x:v>VEG-0257</x:v>
      </x:c>
      <x:c r="B70" s="28" t="str">
        <x:v>грибы</x:v>
      </x:c>
      <x:c r="C70" s="28" t="str">
        <x:v>тимьян</x:v>
      </x:c>
      <x:c r="D70" s="28" t="str">
        <x:v>Травы, цветы и листья</x:v>
      </x:c>
      <x:c r="E70" s="28" t="str">
        <x:v>сенсорная комплементарность</x:v>
      </x:c>
      <x:c r="F70" s="28" t="str">
        <x:v>Грибы имеет профиль «землистый, лесной, жареный, мясной и слегка сернистый».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7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70" s="28" t="str">
        <x:v>горячее блюдо, бульон, соус, пюре, ферментация или гарнир с тимьян</x:v>
      </x:c>
      <x:c r="J70" s="28" t="str">
        <x:v>Средняя</x:v>
      </x:c>
      <x:c r="K70" s="28" t="str">
        <x:v>Тезариус вкусов (Ники Сегнит)(1).pdf</x:v>
      </x:c>
      <x:c r="L70" s="28" t="str">
        <x:v>Тезариус вкусов (Ники Сегнит)(1).pdf: 204, 857</x:v>
      </x:c>
    </x:row>
    <x:row r="71" ht="66" customHeight="1">
      <x:c r="A71" s="28" t="str">
        <x:v>VEG-0258</x:v>
      </x:c>
      <x:c r="B71" s="28" t="str">
        <x:v>грибы</x:v>
      </x:c>
      <x:c r="C71" s="28" t="str">
        <x:v>томат</x:v>
      </x:c>
      <x:c r="D71" s="28" t="str">
        <x:v>Плодовые овощи</x:v>
      </x:c>
      <x:c r="E71" s="28" t="str">
        <x:v>общие характерные молекулы; пересечение ароматических семейств</x:v>
      </x:c>
      <x:c r="F71" s="28" t="str">
        <x:v>Грибы имеет профиль «землистый, лесной, жареный, мясной и слегка сернистый». Партнёр «томат» относится к группе «Плодовые овощи» и даёт зелёный, фруктовый, листовой, сернистый и умами. Вероятный молекулярный мост: глутамат, метиональ. Совместимость формируется за счёт баланса сладости, кислотности, горечи, умами и текстуры.</x:v>
      </x:c>
      <x:c r="G7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71" s="28" t="str">
        <x:v>горячее блюдо, бульон, соус, пюре, ферментация или гарнир с томат</x:v>
      </x:c>
      <x:c r="J71" s="28" t="str">
        <x:v>Средняя</x:v>
      </x:c>
      <x:c r="K71" s="28" t="str">
        <x:v>Тезариус вкусов (Ники Сегнит)(1).pdf</x:v>
      </x:c>
      <x:c r="L71" s="28" t="str">
        <x:v>Тезариус вкусов (Ники Сегнит)(1).pdf: 204, 685</x:v>
      </x:c>
    </x:row>
    <x:row r="72" ht="66" customHeight="1">
      <x:c r="A72" s="28" t="str">
        <x:v>VEG-0259</x:v>
      </x:c>
      <x:c r="B72" s="28" t="str">
        <x:v>грибы</x:v>
      </x:c>
      <x:c r="C72" s="28" t="str">
        <x:v>трюфель</x:v>
      </x:c>
      <x:c r="D72" s="28" t="str">
        <x:v>Грибы</x:v>
      </x:c>
      <x:c r="E72" s="28" t="str">
        <x:v>общие характерные молекулы; пересечение ароматических семейств; умами и солёный контраст</x:v>
      </x:c>
      <x:c r="F72" s="28" t="str">
        <x:v>Грибы имеет профиль «землистый, лесной, жареный, мясной и слегка сернистый». Партнёр «трюфель» относится к группе «Грибы» и даёт землистый, грибной и умами. Вероятный молекулярный мост: 1-октен-3-ол. Умами, соль и нуклеотиды усиливают savoury-профиль, а жарка формирует общую систему пиразинов, фуранов и сернистых молекул.</x:v>
      </x:c>
      <x:c r="G7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72" s="28" t="str">
        <x:v>горячее блюдо, бульон, соус, пюре, ферментация или гарнир с трюфель</x:v>
      </x:c>
      <x:c r="J72" s="28" t="str">
        <x:v>Средняя</x:v>
      </x:c>
      <x:c r="K72" s="28" t="str">
        <x:v>Тезариус вкусов (Ники Сегнит)(1).pdf</x:v>
      </x:c>
      <x:c r="L72" s="28" t="str">
        <x:v>Тезариус вкусов (Ники Сегнит)(1).pdf: 205, 302</x:v>
      </x:c>
    </x:row>
    <x:row r="73" ht="66" customHeight="1">
      <x:c r="A73" s="28" t="str">
        <x:v>VEG-0260</x:v>
      </x:c>
      <x:c r="B73" s="28" t="str">
        <x:v>грибы</x:v>
      </x:c>
      <x:c r="C73" s="28" t="str">
        <x:v>тыква баттернат</x:v>
      </x:c>
      <x:c r="D73" s="28" t="str">
        <x:v>Тыквенные</x:v>
      </x:c>
      <x:c r="E73" s="28" t="str">
        <x:v>сенсорная комплементарность</x:v>
      </x:c>
      <x:c r="F73" s="28" t="str">
        <x:v>Грибы имеет профиль «землистый, лесной, жареный, мясной и слегка сернистый».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73" s="28" t="str">
        <x:v>горячее блюдо, бульон, соус, пюре, ферментация или гарнир с тыква баттернат</x:v>
      </x:c>
      <x:c r="J73" s="28" t="str">
        <x:v>Средняя</x:v>
      </x:c>
      <x:c r="K73" s="28" t="str">
        <x:v>Тезариус вкусов (Ники Сегнит)(1).pdf</x:v>
      </x:c>
      <x:c r="L73" s="28" t="str">
        <x:v>Тезариус вкусов (Ники Сегнит)(1).pdf: 205, 610</x:v>
      </x:c>
    </x:row>
    <x:row r="74" ht="66" customHeight="1">
      <x:c r="A74" s="28" t="str">
        <x:v>VEG-0261</x:v>
      </x:c>
      <x:c r="B74" s="28" t="str">
        <x:v>грибы</x:v>
      </x:c>
      <x:c r="C74" s="28" t="str">
        <x:v>укроп</x:v>
      </x:c>
      <x:c r="D74" s="28" t="str">
        <x:v>Травы, цветы и листья</x:v>
      </x:c>
      <x:c r="E74" s="28" t="str">
        <x:v>сенсорная комплементарность</x:v>
      </x:c>
      <x:c r="F74" s="28" t="str">
        <x:v>Грибы имеет профиль «землистый, лесной, жареный, мясной и слегка сернистый». Партнёр «укроп» относится к группе «Травы, цветы и листья» и даёт анисовый, зелёный.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7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74" s="28" t="str">
        <x:v>горячее блюдо, бульон, соус, пюре, ферментация или гарнир с укроп</x:v>
      </x:c>
      <x:c r="J74" s="28" t="str">
        <x:v>Средняя</x:v>
      </x:c>
      <x:c r="K74" s="28" t="str">
        <x:v>Тезариус вкусов (Ники Сегнит)(1).pdf</x:v>
      </x:c>
      <x:c r="L74" s="28" t="str">
        <x:v>Тезариус вкусов (Ники Сегнит)(1).pdf: 206, 502</x:v>
      </x:c>
    </x:row>
    <x:row r="75" ht="66" customHeight="1">
      <x:c r="A75" s="28" t="str">
        <x:v>VEG-0262</x:v>
      </x:c>
      <x:c r="B75" s="28" t="str">
        <x:v>грибы</x:v>
      </x:c>
      <x:c r="C75" s="28" t="str">
        <x:v>устрицы</x:v>
      </x:c>
      <x:c r="D75" s="28" t="str">
        <x:v>Рыба и морепродукты</x:v>
      </x:c>
      <x:c r="E75" s="28" t="str">
        <x:v>пересечение ароматических семейств; умами и солёный контраст</x:v>
      </x:c>
      <x:c r="F75" s="28" t="str">
        <x:v>Грибы имеет профиль «землистый, лесной, жареный, мясной и слегка сернистый». Партнёр «устрицы»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7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75" s="28" t="str">
        <x:v>горячее блюдо, бульон, соус, пюре, ферментация или гарнир с устрицы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206, 397</x:v>
      </x:c>
    </x:row>
    <x:row r="76" ht="66" customHeight="1">
      <x:c r="A76" s="28" t="str">
        <x:v>VEG-0263</x:v>
      </x:c>
      <x:c r="B76" s="28" t="str">
        <x:v>грибы</x:v>
      </x:c>
      <x:c r="C76" s="28" t="str">
        <x:v>хамон иберико</x:v>
      </x:c>
      <x:c r="D76" s="28" t="str">
        <x:v>Мясо и птица</x:v>
      </x:c>
      <x:c r="E76" s="28" t="str">
        <x:v>общие характерные молекулы; пересечение ароматических семейств; умами и солёный контраст</x:v>
      </x:c>
      <x:c r="F76" s="28" t="str">
        <x:v>Грибы имеет профиль «землистый, лесной, жареный, мясной и слегка сернистый». Партнёр «хамон иберико»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7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76" s="28" t="str">
        <x:v>горячее блюдо, бульон, соус, пюре, ферментация или гарнир с хамон иберико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278</x:v>
      </x:c>
    </x:row>
    <x:row r="77" ht="66" customHeight="1">
      <x:c r="A77" s="28" t="str">
        <x:v>VEG-0264</x:v>
      </x:c>
      <x:c r="B77" s="28" t="str">
        <x:v>грибы</x:v>
      </x:c>
      <x:c r="C77" s="28" t="str">
        <x:v>цыпленок</x:v>
      </x:c>
      <x:c r="D77" s="28" t="str">
        <x:v>Прочее</x:v>
      </x:c>
      <x:c r="E77" s="28" t="str">
        <x:v>сенсорная комплементарность</x:v>
      </x:c>
      <x:c r="F77" s="28" t="str">
        <x:v>Грибы имеет профиль «землистый, лесной, жареный, мясной и слегка сернистый».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77" s="28" t="str">
        <x:v>горячее блюдо, бульон, соус, пюре, ферментация или гарнир с цыпленок</x:v>
      </x:c>
      <x:c r="J77" s="28" t="str">
        <x:v>Средняя</x:v>
      </x:c>
      <x:c r="K77" s="28" t="str">
        <x:v>Тезариус вкусов (Ники Сегнит)(1).pdf</x:v>
      </x:c>
      <x:c r="L77" s="28" t="str">
        <x:v>Тезариус вкусов (Ники Сегнит)(1).pdf: 65, 206</x:v>
      </x:c>
    </x:row>
    <x:row r="78" ht="66" customHeight="1">
      <x:c r="A78" s="28" t="str">
        <x:v>VEG-0265</x:v>
      </x:c>
      <x:c r="B78" s="28" t="str">
        <x:v>грибы</x:v>
      </x:c>
      <x:c r="C78" s="28" t="str">
        <x:v>черника</x:v>
      </x:c>
      <x:c r="D78" s="28" t="str">
        <x:v>Прочее</x:v>
      </x:c>
      <x:c r="E78" s="28" t="str">
        <x:v>сенсорная комплементарность</x:v>
      </x:c>
      <x:c r="F78" s="28" t="str">
        <x:v>Грибы имеет профиль «землистый, лесной, жареный, мясной и слегка сернистый». Партнёр «черника»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7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78" s="28" t="str">
        <x:v>горячее блюдо, бульон, соус, пюре, ферментация или гарнир с черника</x:v>
      </x:c>
      <x:c r="J78" s="28" t="str">
        <x:v>Средняя</x:v>
      </x:c>
      <x:c r="K78" s="28" t="str">
        <x:v>Тезариус вкусов (Ники Сегнит)(1).pdf</x:v>
      </x:c>
      <x:c r="L78" s="28" t="str">
        <x:v>Тезариус вкусов (Ники Сегнит)(1).pdf: 206, 904</x:v>
      </x:c>
    </x:row>
    <x:row r="79" ht="66" customHeight="1">
      <x:c r="A79" s="28" t="str">
        <x:v>VEG-0266</x:v>
      </x:c>
      <x:c r="B79" s="28" t="str">
        <x:v>грибы</x:v>
      </x:c>
      <x:c r="C79" s="28" t="str">
        <x:v>чеснок</x:v>
      </x:c>
      <x:c r="D79" s="28" t="str">
        <x:v>Луковые овощи</x:v>
      </x:c>
      <x:c r="E79" s="28" t="str">
        <x:v>пересечение ароматических семейств</x:v>
      </x:c>
      <x:c r="F79" s="28" t="str">
        <x:v>Грибы имеет профиль «землистый, лесной, жареный, мясной и слегка сернистый».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сернистый, умами. Совместимость формируется за счёт баланса сладости, кислотности, горечи, умами и текстуры.</x:v>
      </x:c>
      <x:c r="G7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7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79" s="28" t="str">
        <x:v>горячее блюдо, бульон, соус, пюре, ферментация или гарнир с чеснок</x:v>
      </x:c>
      <x:c r="J79" s="28" t="str">
        <x:v>Высокая</x:v>
      </x:c>
      <x:c r="K79" s="28" t="str">
        <x:v>The Art &amp; Science of Foodpairing.pdf | Тезариус вкусов (Ники Сегнит)(1).pdf</x:v>
      </x:c>
      <x:c r="L79" s="28" t="str">
        <x:v>Тезариус вкусов (Ники Сегнит)(1).pdf: 206, 293; The Art &amp; Science of Foodpairing.pdf: 113</x:v>
      </x:c>
    </x:row>
    <x:row r="80" ht="66" customHeight="1">
      <x:c r="A80" s="28" t="str">
        <x:v>VEG-0267</x:v>
      </x:c>
      <x:c r="B80" s="28" t="str">
        <x:v>грибы</x:v>
      </x:c>
      <x:c r="C80" s="28" t="str">
        <x:v>чоризо</x:v>
      </x:c>
      <x:c r="D80" s="28" t="str">
        <x:v>Прочее</x:v>
      </x:c>
      <x:c r="E80" s="28" t="str">
        <x:v>сенсорная комплементарность</x:v>
      </x:c>
      <x:c r="F80" s="28" t="str">
        <x:v>Грибы имеет профиль «землистый, лесной, жареный, мясной и слегка сернистый».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8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80" s="28" t="str">
        <x:v>горячее блюдо, бульон, соус, пюре, ферментация или гарнир с чоризо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288</x:v>
      </x:c>
    </x:row>
    <x:row r="81" ht="66" customHeight="1">
      <x:c r="A81" s="28" t="str">
        <x:v>VEG-0268</x:v>
      </x:c>
      <x:c r="B81" s="28" t="str">
        <x:v>грибы</x:v>
      </x:c>
      <x:c r="C81" s="28" t="str">
        <x:v>яйца</x:v>
      </x:c>
      <x:c r="D81" s="28" t="str">
        <x:v>Прочее</x:v>
      </x:c>
      <x:c r="E81" s="28" t="str">
        <x:v>сенсорная комплементарность</x:v>
      </x:c>
      <x:c r="F81" s="28" t="str">
        <x:v>Грибы имеет профиль «землистый, лесной, жареный, мясной и слегка сернистый».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8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81" s="28" t="str">
        <x:v>горячее блюдо, бульон, соус, пюре, ферментация или гарнир с яйца</x:v>
      </x:c>
      <x:c r="J81" s="28" t="str">
        <x:v>Средняя</x:v>
      </x:c>
      <x:c r="K81" s="28" t="str">
        <x:v>Тезариус вкусов (Ники Сегнит)(1).pdf</x:v>
      </x:c>
      <x:c r="L81" s="28" t="str">
        <x:v>Тезариус вкусов (Ники Сегнит)(1).pdf: 207, 352</x:v>
      </x:c>
    </x:row>
    <x:row r="82" ht="66" customHeight="1">
      <x:c r="A82" s="28" t="str">
        <x:v>VEG-0712</x:v>
      </x:c>
      <x:c r="B82" s="28" t="str">
        <x:v>сельдерей</x:v>
      </x:c>
      <x:c r="C82" s="28" t="str">
        <x:v>агава</x:v>
      </x:c>
      <x:c r="D82" s="28" t="str">
        <x:v>Прочее</x:v>
      </x:c>
      <x:c r="E82" s="28" t="str">
        <x:v>сенсорная комплементарность</x:v>
      </x:c>
      <x:c r="F82" s="28" t="str">
        <x:v>Сельдерей имеет профиль «зелёный, травянистый, пряный, слегка анисовый». Партнёр «агава»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82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82" s="28" t="str">
        <x:v>быстро становится доминирующим и горьким; волокна требуют фильтрации в напитках</x:v>
      </x:c>
      <x:c r="I82" s="28" t="str">
        <x:v>сок, кордиал, гаспачо, салат, соус, маринад или коктейльный компонент с агава</x:v>
      </x:c>
      <x:c r="J82" s="28" t="str">
        <x:v>Гипотеза / практическая</x:v>
      </x:c>
      <x:c r="K82" s="28" t="str">
        <x:v>Таблица сочетания(1).pdf</x:v>
      </x:c>
      <x:c r="L82" s="28" t="str">
        <x:v>Таблица сочетания(1).pdf: 1</x:v>
      </x:c>
    </x:row>
    <x:row r="83" ht="66" customHeight="1">
      <x:c r="A83" s="28" t="str">
        <x:v>VEG-0713</x:v>
      </x:c>
      <x:c r="B83" s="28" t="str">
        <x:v>сельдерей</x:v>
      </x:c>
      <x:c r="C83" s="28" t="str">
        <x:v>арахис</x:v>
      </x:c>
      <x:c r="D83" s="28" t="str">
        <x:v>Орехи и семена</x:v>
      </x:c>
      <x:c r="E83" s="28" t="str">
        <x:v>сенсорная комплементарность</x:v>
      </x:c>
      <x:c r="F83" s="28" t="str">
        <x:v>Сельдерей имеет профиль «зелёный, травянистый, пряный, слегка анисовый».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83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83" s="28" t="str">
        <x:v>быстро становится доминирующим и горьким; волокна требуют фильтрации в напитках</x:v>
      </x:c>
      <x:c r="I83" s="28" t="str">
        <x:v>сок, кордиал, гаспачо, салат, соус, маринад или коктейльный компонент с арахис</x:v>
      </x:c>
      <x:c r="J83" s="28" t="str">
        <x:v>Средняя</x:v>
      </x:c>
      <x:c r="K83" s="28" t="str">
        <x:v>Тезариус вкусов (Ники Сегнит)(1).pdf</x:v>
      </x:c>
      <x:c r="L83" s="28" t="str">
        <x:v>Тезариус вкусов (Ники Сегнит)(1).pdf: 56, 248</x:v>
      </x:c>
    </x:row>
    <x:row r="84" ht="66" customHeight="1">
      <x:c r="A84" s="28" t="str">
        <x:v>VEG-0714</x:v>
      </x:c>
      <x:c r="B84" s="28" t="str">
        <x:v>сельдерей</x:v>
      </x:c>
      <x:c r="C84" s="28" t="str">
        <x:v>баранина</x:v>
      </x:c>
      <x:c r="D84" s="28" t="str">
        <x:v>Мясо и птица</x:v>
      </x:c>
      <x:c r="E84" s="28" t="str">
        <x:v>умами и солёный контраст</x:v>
      </x:c>
      <x:c r="F84" s="28" t="str">
        <x:v>Сельдерей имеет профиль «зелёный, травянистый, пряный, слегка анисовый».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4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84" s="28" t="str">
        <x:v>быстро становится доминирующим и горьким; волокна требуют фильтрации в напитках</x:v>
      </x:c>
      <x:c r="I84" s="28" t="str">
        <x:v>сок, кордиал, гаспачо, салат, соус, маринад или коктейльный компонент с баранина</x:v>
      </x:c>
      <x:c r="J84" s="28" t="str">
        <x:v>Средняя</x:v>
      </x:c>
      <x:c r="K84" s="28" t="str">
        <x:v>Тезариус вкусов (Ники Сегнит)(1).pdf</x:v>
      </x:c>
      <x:c r="L84" s="28" t="str">
        <x:v>Тезариус вкусов (Ники Сегнит)(1).pdf: 133, 249</x:v>
      </x:c>
    </x:row>
    <x:row r="85" ht="66" customHeight="1">
      <x:c r="A85" s="28" t="str">
        <x:v>VEG-0715</x:v>
      </x:c>
      <x:c r="B85" s="28" t="str">
        <x:v>сельдерей</x:v>
      </x:c>
      <x:c r="C85" s="28" t="str">
        <x:v>белая рыба</x:v>
      </x:c>
      <x:c r="D85" s="28" t="str">
        <x:v>Рыба и морепродукты</x:v>
      </x:c>
      <x:c r="E85" s="28" t="str">
        <x:v>умами и солёный контраст</x:v>
      </x:c>
      <x:c r="F85" s="28" t="str">
        <x:v>Сельдерей имеет профиль «зелёный, травянистый, пряный, слегка анисовый».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5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85" s="28" t="str">
        <x:v>быстро становится доминирующим и горьким; волокна требуют фильтрации в напитках</x:v>
      </x:c>
      <x:c r="I85" s="28" t="str">
        <x:v>сок, кордиал, гаспачо, салат, соус, маринад или коктейльный компонент с белая рыба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249, 388</x:v>
      </x:c>
    </x:row>
    <x:row r="86" ht="66" customHeight="1">
      <x:c r="A86" s="28" t="str">
        <x:v>VEG-0716</x:v>
      </x:c>
      <x:c r="B86" s="28" t="str">
        <x:v>сельдерей</x:v>
      </x:c>
      <x:c r="C86" s="28" t="str">
        <x:v>болгарский перец</x:v>
      </x:c>
      <x:c r="D86" s="28" t="str">
        <x:v>Плодовые овощи</x:v>
      </x:c>
      <x:c r="E86" s="28" t="str">
        <x:v>общие характерные молекулы; пересечение ароматических семейств</x:v>
      </x:c>
      <x:c r="F86" s="28" t="str">
        <x:v>Сельдерей имеет профиль «зелёный, травянистый, пряный, слегка анисовый». Партнёр «болгарский перец» относится к группе «Плодовые овощи» и даёт зелёный, травянистый, фруктовый; у красного — сладкий и жареный. Вероятный молекулярный мост: лимонен. Совместимость формируется за счёт баланса сладости, кислотности, горечи, умами и текстуры.</x:v>
      </x:c>
      <x:c r="G8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86" s="28" t="str">
        <x:v>быстро становится доминирующим и горьким; волокна требуют фильтрации в напитках</x:v>
      </x:c>
      <x:c r="I86" s="28" t="str">
        <x:v>сок, кордиал, гаспачо, салат, соус, маринад или коктейльный компонент с болгарский перец</x:v>
      </x:c>
      <x:c r="J86" s="28" t="str">
        <x:v>Средняя</x:v>
      </x:c>
      <x:c r="K86" s="28" t="str">
        <x:v>The Art &amp; Science of Foodpairing.pdf</x:v>
      </x:c>
      <x:c r="L86" s="28" t="str">
        <x:v>The Art &amp; Science of Foodpairing.pdf: 108</x:v>
      </x:c>
    </x:row>
    <x:row r="87" ht="66" customHeight="1">
      <x:c r="A87" s="28" t="str">
        <x:v>VEG-0717</x:v>
      </x:c>
      <x:c r="B87" s="28" t="str">
        <x:v>сельдерей</x:v>
      </x:c>
      <x:c r="C87" s="28" t="str">
        <x:v>говядина</x:v>
      </x:c>
      <x:c r="D87" s="28" t="str">
        <x:v>Мясо и птица</x:v>
      </x:c>
      <x:c r="E87" s="28" t="str">
        <x:v>умами и солёный контраст</x:v>
      </x:c>
      <x:c r="F87" s="28" t="str">
        <x:v>Сельдерей имеет профиль «зелёный, травянистый, пряный, слегка анисовый».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7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87" s="28" t="str">
        <x:v>быстро становится доминирующим и горьким; волокна требуют фильтрации в напитках</x:v>
      </x:c>
      <x:c r="I87" s="28" t="str">
        <x:v>сок, кордиал, гаспачо, салат, соус, маринад или коктейльный компонент с говядина</x:v>
      </x:c>
      <x:c r="J87" s="28" t="str">
        <x:v>Средняя</x:v>
      </x:c>
      <x:c r="K87" s="28" t="str">
        <x:v>Тезариус вкусов (Ники Сегнит)(1).pdf</x:v>
      </x:c>
      <x:c r="L87" s="28" t="str">
        <x:v>Тезариус вкусов (Ники Сегнит)(1).pdf: 118, 250</x:v>
      </x:c>
    </x:row>
    <x:row r="88" ht="66" customHeight="1">
      <x:c r="A88" s="28" t="str">
        <x:v>VEG-0718</x:v>
      </x:c>
      <x:c r="B88" s="28" t="str">
        <x:v>сельдерей</x:v>
      </x:c>
      <x:c r="C88" s="28" t="str">
        <x:v>голубой сыр</x:v>
      </x:c>
      <x:c r="D88" s="28" t="str">
        <x:v>Молочные продукты и сыры</x:v>
      </x:c>
      <x:c r="E88" s="28" t="str">
        <x:v>жировая матрица</x:v>
      </x:c>
      <x:c r="F88" s="28" t="str">
        <x:v>Сельдерей имеет профиль «зелёный, травянистый, пряный, слегка анисовый».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88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88" s="28" t="str">
        <x:v>быстро становится доминирующим и горьким; волокна требуют фильтрации в напитках; жир способен приглушить свежую зелёную ароматику</x:v>
      </x:c>
      <x:c r="I88" s="28" t="str">
        <x:v>сок, кордиал, гаспачо, салат, соус, маринад или коктейльный компонент с голубой сыр</x:v>
      </x:c>
      <x:c r="J88" s="28" t="str">
        <x:v>Средняя</x:v>
      </x:c>
      <x:c r="K88" s="28" t="str">
        <x:v>Тезариус вкусов (Ники Сегнит)(1).pdf</x:v>
      </x:c>
      <x:c r="L88" s="28" t="str">
        <x:v>Тезариус вкусов (Ники Сегнит)(1).pdf: 160, 250</x:v>
      </x:c>
    </x:row>
    <x:row r="89" ht="66" customHeight="1">
      <x:c r="A89" s="28" t="str">
        <x:v>VEG-0719</x:v>
      </x:c>
      <x:c r="B89" s="28" t="str">
        <x:v>сельдерей</x:v>
      </x:c>
      <x:c r="C89" s="28" t="str">
        <x:v>грецкий орех</x:v>
      </x:c>
      <x:c r="D89" s="28" t="str">
        <x:v>Орехи и семена</x:v>
      </x:c>
      <x:c r="E89" s="28" t="str">
        <x:v>сенсорная комплементарность</x:v>
      </x:c>
      <x:c r="F89" s="28" t="str">
        <x:v>Сельдерей имеет профиль «зелёный, травянистый, пряный, слегка анисовый». Партнёр «грецкий орех» относится к группе «Орехи и семена» и даёт древесный, землистый,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89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89" s="28" t="str">
        <x:v>быстро становится доминирующим и горьким; волокна требуют фильтрации в напитках</x:v>
      </x:c>
      <x:c r="I89" s="28" t="str">
        <x:v>сок, кордиал, гаспачо, салат, соус, маринад или коктейльный компонент с грецкий орех</x:v>
      </x:c>
      <x:c r="J89" s="28" t="str">
        <x:v>Средняя</x:v>
      </x:c>
      <x:c r="K89" s="28" t="str">
        <x:v>Тезариус вкусов (Ники Сегнит)(1).pdf</x:v>
      </x:c>
      <x:c r="L89" s="28" t="str">
        <x:v>Тезариус вкусов (Ники Сегнит)(1).pdf: 251, 628</x:v>
      </x:c>
    </x:row>
    <x:row r="90" ht="66" customHeight="1">
      <x:c r="A90" s="28" t="str">
        <x:v>VEG-0720</x:v>
      </x:c>
      <x:c r="B90" s="28" t="str">
        <x:v>сельдерей</x:v>
      </x:c>
      <x:c r="C90" s="28" t="str">
        <x:v>груша</x:v>
      </x:c>
      <x:c r="D90" s="28" t="str">
        <x:v>Фрукты и ягоды</x:v>
      </x:c>
      <x:c r="E90" s="28" t="str">
        <x:v>кислотно-сладкий баланс</x:v>
      </x:c>
      <x:c r="F90" s="28" t="str">
        <x:v>Сельдерей имеет профиль «зелёный, травянистый, пряный, слегка анисовый». Партнёр «груша» относится к группе «Фрукты и ягоды» и даёт сладкий, фруктовый, цветочный.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90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0" s="28" t="str">
        <x:v>быстро становится доминирующим и горьким; волокна требуют фильтрации в напитках; избыток кислоты или воды может сделать овощной вкус тонким и разрушить сливочную эмульсию</x:v>
      </x:c>
      <x:c r="I90" s="28" t="str">
        <x:v>сок, кордиал, гаспачо, салат, соус, маринад или коктейльный компонент с груша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350</x:v>
      </x:c>
    </x:row>
    <x:row r="91" ht="66" customHeight="1">
      <x:c r="A91" s="28" t="str">
        <x:v>VEG-0721</x:v>
      </x:c>
      <x:c r="B91" s="28" t="str">
        <x:v>сельдерей</x:v>
      </x:c>
      <x:c r="C91" s="28" t="str">
        <x:v>кардамон</x:v>
      </x:c>
      <x:c r="D91" s="28" t="str">
        <x:v>Специи</x:v>
      </x:c>
      <x:c r="E91" s="28" t="str">
        <x:v>сенсорная комплементарность</x:v>
      </x:c>
      <x:c r="F91" s="28" t="str">
        <x:v>Сельдерей имеет профиль «зелёный, травянистый, пряный, слегка анисовый».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91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1" s="28" t="str">
        <x:v>быстро становится доминирующим и горьким; волокна требуют фильтрации в напитках</x:v>
      </x:c>
      <x:c r="I91" s="28" t="str">
        <x:v>сок, кордиал, гаспачо, салат, соус, маринад или коктейльный компонент с кардамон</x:v>
      </x:c>
      <x:c r="J91" s="28" t="str">
        <x:v>Средняя</x:v>
      </x:c>
      <x:c r="K91" s="28" t="str">
        <x:v>The Art &amp; Science of Foodpairing.pdf</x:v>
      </x:c>
      <x:c r="L91" s="28" t="str">
        <x:v>The Art &amp; Science of Foodpairing.pdf: 256</x:v>
      </x:c>
    </x:row>
    <x:row r="92" ht="66" customHeight="1">
      <x:c r="A92" s="28" t="str">
        <x:v>VEG-0722</x:v>
      </x:c>
      <x:c r="B92" s="28" t="str">
        <x:v>сельдерей</x:v>
      </x:c>
      <x:c r="C92" s="28" t="str">
        <x:v>каштаны</x:v>
      </x:c>
      <x:c r="D92" s="28" t="str">
        <x:v>Орехи и семена</x:v>
      </x:c>
      <x:c r="E92" s="28" t="str">
        <x:v>сенсорная комплементарность</x:v>
      </x:c>
      <x:c r="F92" s="28" t="str">
        <x:v>Сельдерей имеет профиль «зелёный, травянистый, пряный, слегка анисовый». Партнёр «каштаны»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92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2" s="28" t="str">
        <x:v>быстро становится доминирующим и горьким; волокна требуют фильтрации в напитках</x:v>
      </x:c>
      <x:c r="I92" s="28" t="str">
        <x:v>сок, кордиал, гаспачо, салат, соус, маринад или коктейльный компонент с каштаны</x:v>
      </x:c>
      <x:c r="J92" s="28" t="str">
        <x:v>Средняя</x:v>
      </x:c>
      <x:c r="K92" s="28" t="str">
        <x:v>Тезариус вкусов (Ники Сегнит)(1).pdf</x:v>
      </x:c>
      <x:c r="L92" s="28" t="str">
        <x:v>Тезариус вкусов (Ники Сегнит)(1).pdf: 251, 620</x:v>
      </x:c>
    </x:row>
    <x:row r="93" ht="66" customHeight="1">
      <x:c r="A93" s="28" t="str">
        <x:v>VEG-0723</x:v>
      </x:c>
      <x:c r="B93" s="28" t="str">
        <x:v>сельдерей</x:v>
      </x:c>
      <x:c r="C93" s="28" t="str">
        <x:v>лук</x:v>
      </x:c>
      <x:c r="D93" s="28" t="str">
        <x:v>Луковые овощи</x:v>
      </x:c>
      <x:c r="E93" s="28" t="str">
        <x:v>сенсорная комплементарность</x:v>
      </x:c>
      <x:c r="F93" s="28" t="str">
        <x:v>Сельдерей имеет профиль «зелёный, травянистый, пряный, слегка анисовый». Партнёр «лук» относится к группе «Луковые овощи» и даёт сернистый, сладкий, зелёный; после жарки — карамельный и мясной.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3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3" s="28" t="str">
        <x:v>быстро становится доминирующим и горьким; волокна требуют фильтрации в напитках</x:v>
      </x:c>
      <x:c r="I93" s="28" t="str">
        <x:v>сок, кордиал, гаспачо, салат, соус, маринад или коктейльный компонент с лук</x:v>
      </x:c>
      <x:c r="J93" s="28" t="str">
        <x:v>Средняя</x:v>
      </x:c>
      <x:c r="K93" s="28" t="str">
        <x:v>Тезариус вкусов (Ники Сегнит)(1).pdf</x:v>
      </x:c>
      <x:c r="L93" s="28" t="str">
        <x:v>Тезариус вкусов (Ники Сегнит)(1).pdf: 251, 287</x:v>
      </x:c>
    </x:row>
    <x:row r="94" ht="66" customHeight="1">
      <x:c r="A94" s="28" t="str">
        <x:v>VEG-0724</x:v>
      </x:c>
      <x:c r="B94" s="28" t="str">
        <x:v>сельдерей</x:v>
      </x:c>
      <x:c r="C94" s="28" t="str">
        <x:v>моллюски</x:v>
      </x:c>
      <x:c r="D94" s="28" t="str">
        <x:v>Рыба и морепродукты</x:v>
      </x:c>
      <x:c r="E94" s="28" t="str">
        <x:v>умами и солёный контраст</x:v>
      </x:c>
      <x:c r="F94" s="28" t="str">
        <x:v>Сельдерей имеет профиль «зелёный, травянистый, пряный, слегка анисовый».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4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4" s="28" t="str">
        <x:v>быстро становится доминирующим и горьким; волокна требуют фильтрации в напитках</x:v>
      </x:c>
      <x:c r="I94" s="28" t="str">
        <x:v>сок, кордиал, гаспачо, салат, соус, маринад или коктейльный компонент с моллюски</x:v>
      </x:c>
      <x:c r="J94" s="28" t="str">
        <x:v>Средняя</x:v>
      </x:c>
      <x:c r="K94" s="28" t="str">
        <x:v>Тезариус вкусов (Ники Сегнит)(1).pdf</x:v>
      </x:c>
      <x:c r="L94" s="28" t="str">
        <x:v>Тезариус вкусов (Ники Сегнит)(1).pdf: 251, 375</x:v>
      </x:c>
    </x:row>
    <x:row r="95" ht="66" customHeight="1">
      <x:c r="A95" s="28" t="str">
        <x:v>VEG-0725</x:v>
      </x:c>
      <x:c r="B95" s="28" t="str">
        <x:v>сельдерей</x:v>
      </x:c>
      <x:c r="C95" s="28" t="str">
        <x:v>морковь</x:v>
      </x:c>
      <x:c r="D95" s="28" t="str">
        <x:v>Корнеплоды</x:v>
      </x:c>
      <x:c r="E95" s="28" t="str">
        <x:v>сенсорная комплементарность</x:v>
      </x:c>
      <x:c r="F95" s="28" t="str">
        <x:v>Сельдерей имеет профиль «зелёный, травянистый, пряный, слегка анисовый». Партнёр «морковь» относится к группе «Корнеплоды» и даёт сладкий, землистый, древесный и слегка цитрусовый.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5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5" s="28" t="str">
        <x:v>быстро становится доминирующим и горьким; волокна требуют фильтрации в напитках</x:v>
      </x:c>
      <x:c r="I95" s="28" t="str">
        <x:v>сок, кордиал, гаспачо, салат, соус, маринад или коктейльный компонент с морковь</x:v>
      </x:c>
      <x:c r="J95" s="28" t="str">
        <x:v>Высокая</x:v>
      </x:c>
      <x:c r="K95" s="28" t="str">
        <x:v>Таблица сочетания(1).pdf | Тезариус вкусов (Ники Сегнит)(1).pdf</x:v>
      </x:c>
      <x:c r="L95" s="28" t="str">
        <x:v>Таблица сочетания(1).pdf: 4; Тезариус вкусов (Ники Сегнит)(1).pdf: 253, 606</x:v>
      </x:c>
    </x:row>
    <x:row r="96" ht="66" customHeight="1">
      <x:c r="A96" s="28" t="str">
        <x:v>VEG-0726</x:v>
      </x:c>
      <x:c r="B96" s="28" t="str">
        <x:v>сельдерей</x:v>
      </x:c>
      <x:c r="C96" s="28" t="str">
        <x:v>мускатный орех</x:v>
      </x:c>
      <x:c r="D96" s="28" t="str">
        <x:v>Рыба и морепродукты</x:v>
      </x:c>
      <x:c r="E96" s="28" t="str">
        <x:v>пересечение ароматических семейств; умами и солёный контраст</x:v>
      </x:c>
      <x:c r="F96" s="28" t="str">
        <x:v>Сельдерей имеет профиль «зелёный, травянистый, пряный, слегка анисовый». Партнёр «мускатный орех» относится к группе «Рыба и морепродукты» и даёт камфорный, ореховый, пряный. Профили пересекаются в семействах: пряный. Умами, соль и нуклеотиды усиливают savoury-профиль, а жарка формирует общую систему пиразинов, фуранов и сернистых молекул.</x:v>
      </x:c>
      <x:c r="G9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6" s="28" t="str">
        <x:v>быстро становится доминирующим и горьким; волокна требуют фильтрации в напитках</x:v>
      </x:c>
      <x:c r="I96" s="28" t="str">
        <x:v>сок, кордиал, гаспачо, салат, соус, маринад или коктейльный компонент с мускатный орех</x:v>
      </x:c>
      <x:c r="J96" s="28" t="str">
        <x:v>Средняя</x:v>
      </x:c>
      <x:c r="K96" s="28" t="str">
        <x:v>Тезариус вкусов (Ники Сегнит)(1).pdf</x:v>
      </x:c>
      <x:c r="L96" s="28" t="str">
        <x:v>Тезариус вкусов (Ники Сегнит)(1).pdf: 253, 589</x:v>
      </x:c>
    </x:row>
    <x:row r="97" ht="66" customHeight="1">
      <x:c r="A97" s="28" t="str">
        <x:v>VEG-0727</x:v>
      </x:c>
      <x:c r="B97" s="28" t="str">
        <x:v>сельдерей</x:v>
      </x:c>
      <x:c r="C97" s="28" t="str">
        <x:v>мягкий сыр</x:v>
      </x:c>
      <x:c r="D97" s="28" t="str">
        <x:v>Молочные продукты и сыры</x:v>
      </x:c>
      <x:c r="E97" s="28" t="str">
        <x:v>жировая матрица</x:v>
      </x:c>
      <x:c r="F97" s="28" t="str">
        <x:v>Сельдерей имеет профиль «зелёный, травянистый, пряный, слегка анисовый».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97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7" s="28" t="str">
        <x:v>быстро становится доминирующим и горьким; волокна требуют фильтрации в напитках; жир способен приглушить свежую зелёную ароматику</x:v>
      </x:c>
      <x:c r="I97" s="28" t="str">
        <x:v>сок, кордиал, гаспачо, салат, соус, маринад или коктейльный компонент с мягкий сыр</x:v>
      </x:c>
      <x:c r="J97" s="28" t="str">
        <x:v>Средняя</x:v>
      </x:c>
      <x:c r="K97" s="28" t="str">
        <x:v>Тезариус вкусов (Ники Сегнит)(1).pdf</x:v>
      </x:c>
      <x:c r="L97" s="28" t="str">
        <x:v>Тезариус вкусов (Ники Сегнит)(1).pdf: 186, 253</x:v>
      </x:c>
    </x:row>
    <x:row r="98" ht="66" customHeight="1">
      <x:c r="A98" s="28" t="str">
        <x:v>VEG-0728</x:v>
      </x:c>
      <x:c r="B98" s="28" t="str">
        <x:v>сельдерей</x:v>
      </x:c>
      <x:c r="C98" s="28" t="str">
        <x:v>прошутто</x:v>
      </x:c>
      <x:c r="D98" s="28" t="str">
        <x:v>Мясо и птица</x:v>
      </x:c>
      <x:c r="E98" s="28" t="str">
        <x:v>умами и солёный контраст</x:v>
      </x:c>
      <x:c r="F98" s="28" t="str">
        <x:v>Сельдерей имеет профиль «зелёный, травянистый, пряный, слегка анисовый».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8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8" s="28" t="str">
        <x:v>быстро становится доминирующим и горьким; волокна требуют фильтрации в напитках</x:v>
      </x:c>
      <x:c r="I98" s="28" t="str">
        <x:v>сок, кордиал, гаспачо, салат, соус, маринад или коктейльный компонент с прошутто</x:v>
      </x:c>
      <x:c r="J98" s="28" t="str">
        <x:v>Средняя</x:v>
      </x:c>
      <x:c r="K98" s="28" t="str">
        <x:v>Тезариус вкусов (Ники Сегнит)(1).pdf</x:v>
      </x:c>
      <x:c r="L98" s="28" t="str">
        <x:v>Тезариус вкусов (Ники Сегнит)(1).pdf: 253, 459</x:v>
      </x:c>
    </x:row>
    <x:row r="99" ht="66" customHeight="1">
      <x:c r="A99" s="28" t="str">
        <x:v>VEG-0729</x:v>
      </x:c>
      <x:c r="B99" s="28" t="str">
        <x:v>сельдерей</x:v>
      </x:c>
      <x:c r="C99" s="28" t="str">
        <x:v>свинина</x:v>
      </x:c>
      <x:c r="D99" s="28" t="str">
        <x:v>Мясо и птица</x:v>
      </x:c>
      <x:c r="E99" s="28" t="str">
        <x:v>умами и солёный контраст</x:v>
      </x:c>
      <x:c r="F99" s="28" t="str">
        <x:v>Сельдерей имеет профиль «зелёный, травянистый, пряный, слегка анисовый».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9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99" s="28" t="str">
        <x:v>быстро становится доминирующим и горьким; волокна требуют фильтрации в напитках</x:v>
      </x:c>
      <x:c r="I99" s="28" t="str">
        <x:v>сок, кордиал, гаспачо, салат, соус, маринад или коктейльный компонент с свинина</x:v>
      </x:c>
      <x:c r="J99" s="28" t="str">
        <x:v>Средняя</x:v>
      </x:c>
      <x:c r="K99" s="28" t="str">
        <x:v>Тезариус вкусов (Ники Сегнит)(1).pdf</x:v>
      </x:c>
      <x:c r="L99" s="28" t="str">
        <x:v>Тезариус вкусов (Ники Сегнит)(1).pdf: 87, 253</x:v>
      </x:c>
    </x:row>
    <x:row r="100" ht="66" customHeight="1">
      <x:c r="A100" s="28" t="str">
        <x:v>VEG-0730</x:v>
      </x:c>
      <x:c r="B100" s="28" t="str">
        <x:v>сельдерей</x:v>
      </x:c>
      <x:c r="C100" s="28" t="str">
        <x:v>томат</x:v>
      </x:c>
      <x:c r="D100" s="28" t="str">
        <x:v>Плодовые овощи</x:v>
      </x:c>
      <x:c r="E100" s="28" t="str">
        <x:v>пересечение ароматических семейств</x:v>
      </x:c>
      <x:c r="F100" s="28" t="str">
        <x:v>Сельдерей имеет профиль «зелёный, травянистый, пряный, слегка анисовый».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100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00" s="28" t="str">
        <x:v>быстро становится доминирующим и горьким; волокна требуют фильтрации в напитках</x:v>
      </x:c>
      <x:c r="I100" s="28" t="str">
        <x:v>сок, кордиал, гаспачо, салат, соус, маринад или коктейльный компонент с томат</x:v>
      </x:c>
      <x:c r="J100" s="28" t="str">
        <x:v>Высокая</x:v>
      </x:c>
      <x:c r="K100" s="28" t="str">
        <x:v>The Art &amp; Science of Foodpairing.pdf | Таблица сочетания(1).pdf</x:v>
      </x:c>
      <x:c r="L100" s="28" t="str">
        <x:v>Таблица сочетания(1).pdf: 21; The Art &amp; Science of Foodpairing.pdf: 161</x:v>
      </x:c>
    </x:row>
    <x:row r="101" ht="66" customHeight="1">
      <x:c r="A101" s="28" t="str">
        <x:v>VEG-0731</x:v>
      </x:c>
      <x:c r="B101" s="28" t="str">
        <x:v>сельдерей</x:v>
      </x:c>
      <x:c r="C101" s="28" t="str">
        <x:v>трюфель</x:v>
      </x:c>
      <x:c r="D101" s="28" t="str">
        <x:v>Грибы</x:v>
      </x:c>
      <x:c r="E101" s="28" t="str">
        <x:v>умами и солёный контраст</x:v>
      </x:c>
      <x:c r="F101" s="28" t="str">
        <x:v>Сельдерей имеет профиль «зелёный, травянистый, пряный, слегка анисовый».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01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01" s="28" t="str">
        <x:v>быстро становится доминирующим и горьким; волокна требуют фильтрации в напитках</x:v>
      </x:c>
      <x:c r="I101" s="28" t="str">
        <x:v>сок, кордиал, гаспачо, салат, соус, маринад или коктейльный компонент с трюфель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251, 253, 305</x:v>
      </x:c>
    </x:row>
    <x:row r="102" ht="66" customHeight="1">
      <x:c r="A102" s="28" t="str">
        <x:v>VEG-0732</x:v>
      </x:c>
      <x:c r="B102" s="28" t="str">
        <x:v>сельдерей</x:v>
      </x:c>
      <x:c r="C102" s="28" t="str">
        <x:v>устрицы</x:v>
      </x:c>
      <x:c r="D102" s="28" t="str">
        <x:v>Рыба и морепродукты</x:v>
      </x:c>
      <x:c r="E102" s="28" t="str">
        <x:v>умами и солёный контраст</x:v>
      </x:c>
      <x:c r="F102" s="28" t="str">
        <x:v>Сельдерей имеет профиль «зелёный, травянистый, пряный, слегка анисовый».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02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02" s="28" t="str">
        <x:v>быстро становится доминирующим и горьким; волокна требуют фильтрации в напитках</x:v>
      </x:c>
      <x:c r="I102" s="28" t="str">
        <x:v>сок, кордиал, гаспачо, салат, соус, маринад или коктейльный компонент с устрицы</x:v>
      </x:c>
      <x:c r="J102" s="28" t="str">
        <x:v>Средняя</x:v>
      </x:c>
      <x:c r="K102" s="28" t="str">
        <x:v>Тезариус вкусов (Ники Сегнит)(1).pdf</x:v>
      </x:c>
      <x:c r="L102" s="28" t="str">
        <x:v>Тезариус вкусов (Ники Сегнит)(1).pdf: 253, 400</x:v>
      </x:c>
    </x:row>
    <x:row r="103" ht="66" customHeight="1">
      <x:c r="A103" s="28" t="str">
        <x:v>VEG-0733</x:v>
      </x:c>
      <x:c r="B103" s="28" t="str">
        <x:v>сельдерей</x:v>
      </x:c>
      <x:c r="C103" s="28" t="str">
        <x:v>хрен</x:v>
      </x:c>
      <x:c r="D103" s="28" t="str">
        <x:v>Прочее</x:v>
      </x:c>
      <x:c r="E103" s="28" t="str">
        <x:v>сенсорная комплементарность</x:v>
      </x:c>
      <x:c r="F103" s="28" t="str">
        <x:v>Сельдерей имеет профиль «зелёный, травянистый, пряный, слегка анисовый».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3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03" s="28" t="str">
        <x:v>быстро становится доминирующим и горьким; волокна требуют фильтрации в напитках</x:v>
      </x:c>
      <x:c r="I103" s="28" t="str">
        <x:v>сок, кордиал, гаспачо, салат, соус, маринад или коктейльный компонент с хрен</x:v>
      </x:c>
      <x:c r="J103" s="28" t="str">
        <x:v>Средняя</x:v>
      </x:c>
      <x:c r="K103" s="28" t="str">
        <x:v>Тезариус вкусов (Ники Сегнит)(1).pdf</x:v>
      </x:c>
      <x:c r="L103" s="28" t="str">
        <x:v>Тезариус вкусов (Ники Сегнит)(1).pdf: 253, 275</x:v>
      </x:c>
    </x:row>
    <x:row r="104" ht="66" customHeight="1">
      <x:c r="A104" s="28" t="str">
        <x:v>VEG-0734</x:v>
      </x:c>
      <x:c r="B104" s="28" t="str">
        <x:v>сельдерей</x:v>
      </x:c>
      <x:c r="C104" s="28" t="str">
        <x:v>цыпленок</x:v>
      </x:c>
      <x:c r="D104" s="28" t="str">
        <x:v>Прочее</x:v>
      </x:c>
      <x:c r="E104" s="28" t="str">
        <x:v>сенсорная комплементарность</x:v>
      </x:c>
      <x:c r="F104" s="28" t="str">
        <x:v>Сельдерей имеет профиль «зелёный, травянистый, пряный, слегка анисовый».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4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04" s="28" t="str">
        <x:v>быстро становится доминирующим и горьким; волокна требуют фильтрации в напитках</x:v>
      </x:c>
      <x:c r="I104" s="28" t="str">
        <x:v>сок, кордиал, гаспачо, салат, соус, маринад или коктейльный компонент с цыпленок</x:v>
      </x:c>
      <x:c r="J104" s="28" t="str">
        <x:v>Средняя</x:v>
      </x:c>
      <x:c r="K104" s="28" t="str">
        <x:v>Тезариус вкусов (Ники Сегнит)(1).pdf</x:v>
      </x:c>
      <x:c r="L104" s="28" t="str">
        <x:v>Тезариус вкусов (Ники Сегнит)(1).pdf: 71, 254, 590</x:v>
      </x:c>
    </x:row>
    <x:row r="105" ht="66" customHeight="1">
      <x:c r="A105" s="28" t="str">
        <x:v>VEG-0735</x:v>
      </x:c>
      <x:c r="B105" s="28" t="str">
        <x:v>сельдерей</x:v>
      </x:c>
      <x:c r="C105" s="28" t="str">
        <x:v>яблоко</x:v>
      </x:c>
      <x:c r="D105" s="28" t="str">
        <x:v>Фрукты и ягоды</x:v>
      </x:c>
      <x:c r="E105" s="28" t="str">
        <x:v>пересечение ароматических семейств; кислотно-сладкий баланс</x:v>
      </x:c>
      <x:c r="F105" s="28" t="str">
        <x:v>Сельдерей имеет профиль «зелёный, травянистый, пряный, слегка анисовый».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05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05" s="28" t="str">
        <x:v>быстро становится доминирующим и горьким; волокна требуют фильтрации в напитках; избыток кислоты или воды может сделать овощной вкус тонким и разрушить сливочную эмульсию</x:v>
      </x:c>
      <x:c r="I105" s="28" t="str">
        <x:v>сок, кордиал, гаспачо, салат, соус, маринад или коктейльный компонент с яблоко</x:v>
      </x:c>
      <x:c r="J105" s="28" t="str">
        <x:v>Средняя</x:v>
      </x:c>
      <x:c r="K105" s="28" t="str">
        <x:v>Тезариус вкусов (Ники Сегнит)(1).pdf</x:v>
      </x:c>
      <x:c r="L105" s="28" t="str">
        <x:v>Тезариус вкусов (Ники Сегнит)(1).pdf: 254, 716</x:v>
      </x:c>
    </x:row>
    <x:row r="106" ht="66" customHeight="1">
      <x:c r="A106" s="28" t="str">
        <x:v>VEG-0736</x:v>
      </x:c>
      <x:c r="B106" s="28" t="str">
        <x:v>сельдерей</x:v>
      </x:c>
      <x:c r="C106" s="28" t="str">
        <x:v>яйца</x:v>
      </x:c>
      <x:c r="D106" s="28" t="str">
        <x:v>Прочее</x:v>
      </x:c>
      <x:c r="E106" s="28" t="str">
        <x:v>сенсорная комплементарность</x:v>
      </x:c>
      <x:c r="F106" s="28" t="str">
        <x:v>Сельдерей имеет профиль «зелёный, травянистый, пряный, слегка анисовый».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0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06" s="28" t="str">
        <x:v>быстро становится доминирующим и горьким; волокна требуют фильтрации в напитках</x:v>
      </x:c>
      <x:c r="I106" s="28" t="str">
        <x:v>сок, кордиал, гаспачо, салат, соус, маринад или коктейльный компонент с яйца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255, 359</x:v>
      </x:c>
    </x:row>
    <x:row r="107" ht="66" customHeight="1">
      <x:c r="A107" s="28" t="str">
        <x:v>VEG-0797</x:v>
      </x:c>
      <x:c r="B107" s="28" t="str">
        <x:v>спаржа</x:v>
      </x:c>
      <x:c r="C107" s="28" t="str">
        <x:v>анис</x:v>
      </x:c>
      <x:c r="D107" s="28" t="str">
        <x:v>Прочее</x:v>
      </x:c>
      <x:c r="E107" s="28" t="str">
        <x:v>сернистая или горчичная комплементарность</x:v>
      </x:c>
      <x:c r="F107" s="28" t="str">
        <x:v>Спаржа имеет профиль «зелёный, сернистый, ореховый и слегка сладкий».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7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07" s="28" t="str">
        <x:v>переваривание усиливает сернистость и разрушает текстуру; толстые основания очищать</x:v>
      </x:c>
      <x:c r="I107" s="28" t="str">
        <x:v>горячее блюдо, бульон, соус, пюре, ферментация или гарнир с анис</x:v>
      </x:c>
      <x:c r="J107" s="28" t="str">
        <x:v>Средняя</x:v>
      </x:c>
      <x:c r="K107" s="28" t="str">
        <x:v>Тезариус вкусов (Ники Сегнит)(1).pdf</x:v>
      </x:c>
      <x:c r="L107" s="28" t="str">
        <x:v>Тезариус вкусов (Ники Сегнит)(1).pdf: 344, 486</x:v>
      </x:c>
    </x:row>
    <x:row r="108" ht="66" customHeight="1">
      <x:c r="A108" s="28" t="str">
        <x:v>VEG-0798</x:v>
      </x:c>
      <x:c r="B108" s="28" t="str">
        <x:v>спаржа</x:v>
      </x:c>
      <x:c r="C108" s="28" t="str">
        <x:v>апельсин</x:v>
      </x:c>
      <x:c r="D108" s="28" t="str">
        <x:v>Фрукты и ягоды</x:v>
      </x:c>
      <x:c r="E108" s="28" t="str">
        <x:v>кислотно-сладкий баланс; сернистая или горчичная комплементарность</x:v>
      </x:c>
      <x:c r="F108" s="28" t="str">
        <x:v>Спаржа имеет профиль «зелёный, сернистый, ореховый и слегка сладкий».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8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08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I108" s="28" t="str">
        <x:v>горячее блюдо, бульон, соус, пюре, ферментация или гарнир с апельсин</x:v>
      </x:c>
      <x:c r="J108" s="28" t="str">
        <x:v>Средняя</x:v>
      </x:c>
      <x:c r="K108" s="28" t="str">
        <x:v>Тезариус вкусов (Ники Сегнит)(1).pdf</x:v>
      </x:c>
      <x:c r="L108" s="28" t="str">
        <x:v>Тезариус вкусов (Ники Сегнит)(1).pdf: 345, 781</x:v>
      </x:c>
    </x:row>
    <x:row r="109" ht="66" customHeight="1">
      <x:c r="A109" s="28" t="str">
        <x:v>VEG-0799</x:v>
      </x:c>
      <x:c r="B109" s="28" t="str">
        <x:v>спаржа</x:v>
      </x:c>
      <x:c r="C109" s="28" t="str">
        <x:v>арахис</x:v>
      </x:c>
      <x:c r="D109" s="28" t="str">
        <x:v>Орехи и семена</x:v>
      </x:c>
      <x:c r="E109" s="28" t="str">
        <x:v>общие характерные молекулы; пересечение ароматических семейств; сернистая или горчичная комплементарность</x:v>
      </x:c>
      <x:c r="F109" s="28" t="str">
        <x:v>Спаржа имеет профиль «зелёный, сернистый, ореховый и слегка сладкий». Партнёр «арахис»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9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09" s="28" t="str">
        <x:v>переваривание усиливает сернистость и разрушает текстуру; толстые основания очищать</x:v>
      </x:c>
      <x:c r="I109" s="28" t="str">
        <x:v>горячее блюдо, бульон, соус, пюре, ферментация или гарнир с арахис</x:v>
      </x:c>
      <x:c r="J109" s="28" t="str">
        <x:v>Средняя</x:v>
      </x:c>
      <x:c r="K109" s="28" t="str">
        <x:v>Тезариус вкусов (Ники Сегнит)(1).pdf</x:v>
      </x:c>
      <x:c r="L109" s="28" t="str">
        <x:v>Тезариус вкусов (Ники Сегнит)(1).pdf: 56, 345</x:v>
      </x:c>
    </x:row>
    <x:row r="110" ht="66" customHeight="1">
      <x:c r="A110" s="28" t="str">
        <x:v>VEG-0800</x:v>
      </x:c>
      <x:c r="B110" s="28" t="str">
        <x:v>спаржа</x:v>
      </x:c>
      <x:c r="C110" s="28" t="str">
        <x:v>арбуз</x:v>
      </x:c>
      <x:c r="D110" s="28" t="str">
        <x:v>Прочее</x:v>
      </x:c>
      <x:c r="E110" s="28" t="str">
        <x:v>сернистая или горчичная комплементарность</x:v>
      </x:c>
      <x:c r="F110" s="28" t="str">
        <x:v>Спаржа имеет профиль «зелёный, сернистый, ореховый и слегка сладкий».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0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0" s="28" t="str">
        <x:v>переваривание усиливает сернистость и разрушает текстуру; толстые основания очищать</x:v>
      </x:c>
      <x:c r="I110" s="28" t="str">
        <x:v>горячее блюдо, бульон, соус, пюре, ферментация или гарнир с арбуз</x:v>
      </x:c>
      <x:c r="J110" s="28" t="str">
        <x:v>Средняя</x:v>
      </x:c>
      <x:c r="K110" s="28" t="str">
        <x:v>The Art &amp; Science of Foodpairing.pdf</x:v>
      </x:c>
      <x:c r="L110" s="28" t="str">
        <x:v>The Art &amp; Science of Foodpairing.pdf: 78</x:v>
      </x:c>
    </x:row>
    <x:row r="111" ht="66" customHeight="1">
      <x:c r="A111" s="28" t="str">
        <x:v>VEG-0801</x:v>
      </x:c>
      <x:c r="B111" s="28" t="str">
        <x:v>спаржа</x:v>
      </x:c>
      <x:c r="C111" s="28" t="str">
        <x:v>базилик</x:v>
      </x:c>
      <x:c r="D111" s="28" t="str">
        <x:v>Травы, цветы и листья</x:v>
      </x:c>
      <x:c r="E111" s="28" t="str">
        <x:v>пересечение ароматических семейств; сернистая или горчичная комплементарность</x:v>
      </x:c>
      <x:c r="F111" s="28" t="str">
        <x:v>Спаржа имеет профиль «зелёный, сернистый, ореховый и слегка сладкий».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1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1" s="28" t="str">
        <x:v>переваривание усиливает сернистость и разрушает текстуру; толстые основания очищать; длительный нагрев уносит свежие терпены и зелёные альдегиды</x:v>
      </x:c>
      <x:c r="I111" s="28" t="str">
        <x:v>горячее блюдо, бульон, соус, пюре, ферментация или гарнир с базилик</x:v>
      </x:c>
      <x:c r="J111" s="28" t="str">
        <x:v>Средняя</x:v>
      </x:c>
      <x:c r="K111" s="28" t="str">
        <x:v>The Art &amp; Science of Foodpairing.pdf</x:v>
      </x:c>
      <x:c r="L111" s="28" t="str">
        <x:v>The Art &amp; Science of Foodpairing.pdf: 74</x:v>
      </x:c>
    </x:row>
    <x:row r="112" ht="66" customHeight="1">
      <x:c r="A112" s="28" t="str">
        <x:v>VEG-0802</x:v>
      </x:c>
      <x:c r="B112" s="28" t="str">
        <x:v>спаржа</x:v>
      </x:c>
      <x:c r="C112" s="28" t="str">
        <x:v>белая рыба</x:v>
      </x:c>
      <x:c r="D112" s="28" t="str">
        <x:v>Рыба и морепродукты</x:v>
      </x:c>
      <x:c r="E112" s="28" t="str">
        <x:v>умами и солёный контраст; сернистая или горчичная комплементарность</x:v>
      </x:c>
      <x:c r="F112" s="28" t="str">
        <x:v>Спаржа имеет профиль «зелёный, сернистый, ореховый и слегка сладкий».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2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2" s="28" t="str">
        <x:v>переваривание усиливает сернистость и разрушает текстуру; толстые основания очищать</x:v>
      </x:c>
      <x:c r="I112" s="28" t="str">
        <x:v>горячее блюдо, бульон, соус, пюре, ферментация или гарнир с белая рыба</x:v>
      </x:c>
      <x:c r="J112" s="28" t="str">
        <x:v>Средняя</x:v>
      </x:c>
      <x:c r="K112" s="28" t="str">
        <x:v>Тезариус вкусов (Ники Сегнит)(1).pdf</x:v>
      </x:c>
      <x:c r="L112" s="28" t="str">
        <x:v>Тезариус вкусов (Ники Сегнит)(1).pdf: 345, 389</x:v>
      </x:c>
    </x:row>
    <x:row r="113" ht="66" customHeight="1">
      <x:c r="A113" s="28" t="str">
        <x:v>VEG-0803</x:v>
      </x:c>
      <x:c r="B113" s="28" t="str">
        <x:v>спаржа</x:v>
      </x:c>
      <x:c r="C113" s="28" t="str">
        <x:v>ваниль</x:v>
      </x:c>
      <x:c r="D113" s="28" t="str">
        <x:v>Специи</x:v>
      </x:c>
      <x:c r="E113" s="28" t="str">
        <x:v>сернистая или горчичная комплементарность</x:v>
      </x:c>
      <x:c r="F113" s="28" t="str">
        <x:v>Спаржа имеет профиль «зелёный, сернистый, ореховый и слегка сладкий». Партнёр «ваниль»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3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3" s="28" t="str">
        <x:v>переваривание усиливает сернистость и разрушает текстуру; толстые основания очищать</x:v>
      </x:c>
      <x:c r="I113" s="28" t="str">
        <x:v>горячее блюдо, бульон, соус, пюре, ферментация или гарнир с ваниль</x:v>
      </x:c>
      <x:c r="J113" s="28" t="str">
        <x:v>Средняя</x:v>
      </x:c>
      <x:c r="K113" s="28" t="str">
        <x:v>The Art &amp; Science of Foodpairing.pdf</x:v>
      </x:c>
      <x:c r="L113" s="28" t="str">
        <x:v>The Art &amp; Science of Foodpairing.pdf: 56</x:v>
      </x:c>
    </x:row>
    <x:row r="114" ht="66" customHeight="1">
      <x:c r="A114" s="28" t="str">
        <x:v>VEG-0804</x:v>
      </x:c>
      <x:c r="B114" s="28" t="str">
        <x:v>спаржа</x:v>
      </x:c>
      <x:c r="C114" s="28" t="str">
        <x:v>горох</x:v>
      </x:c>
      <x:c r="D114" s="28" t="str">
        <x:v>Бобовые</x:v>
      </x:c>
      <x:c r="E114" s="28" t="str">
        <x:v>пересечение ароматических семейств; сернистая или горчичная комплементарность</x:v>
      </x:c>
      <x:c r="F114" s="28" t="str">
        <x:v>Спаржа имеет профиль «зелёный, сернистый, ореховый и слегка сладкий».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4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4" s="28" t="str">
        <x:v>переваривание усиливает сернистость и разрушает текстуру; толстые основания очищать</x:v>
      </x:c>
      <x:c r="I114" s="28" t="str">
        <x:v>горячее блюдо, бульон, соус, пюре, ферментация или гарнир с горох</x:v>
      </x:c>
      <x:c r="J114" s="28" t="str">
        <x:v>Средняя</x:v>
      </x:c>
      <x:c r="K114" s="28" t="str">
        <x:v>Тезариус вкусов (Ники Сегнит)(1).pdf</x:v>
      </x:c>
      <x:c r="L114" s="28" t="str">
        <x:v>Тезариус вкусов (Ники Сегнит)(1).pdf: 345, 541</x:v>
      </x:c>
    </x:row>
    <x:row r="115" ht="66" customHeight="1">
      <x:c r="A115" s="28" t="str">
        <x:v>VEG-0805</x:v>
      </x:c>
      <x:c r="B115" s="28" t="str">
        <x:v>спаржа</x:v>
      </x:c>
      <x:c r="C115" s="28" t="str">
        <x:v>джин</x:v>
      </x:c>
      <x:c r="D115" s="28" t="str">
        <x:v>Алкогольные напитки</x:v>
      </x:c>
      <x:c r="E115" s="28" t="str">
        <x:v>сернистая или горчичная комплементарность</x:v>
      </x:c>
      <x:c r="F115" s="28" t="str">
        <x:v>Спаржа имеет профиль «зелёный, сернистый, ореховый и слегка сладкий».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5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5" s="28" t="str">
        <x:v>переваривание усиливает сернистость и разрушает текстуру; толстые основания очищать</x:v>
      </x:c>
      <x:c r="I115" s="28" t="str">
        <x:v>горячее блюдо, бульон, соус, пюре, ферментация или гарнир с джин</x:v>
      </x:c>
      <x:c r="J115" s="28" t="str">
        <x:v>Средняя</x:v>
      </x:c>
      <x:c r="K115" s="28" t="str">
        <x:v>The Art &amp; Science of Foodpairing.pdf</x:v>
      </x:c>
      <x:c r="L115" s="28" t="str">
        <x:v>The Art &amp; Science of Foodpairing.pdf: 215</x:v>
      </x:c>
    </x:row>
    <x:row r="116" ht="66" customHeight="1">
      <x:c r="A116" s="28" t="str">
        <x:v>VEG-0806</x:v>
      </x:c>
      <x:c r="B116" s="28" t="str">
        <x:v>спаржа</x:v>
      </x:c>
      <x:c r="C116" s="28" t="str">
        <x:v>жасмин</x:v>
      </x:c>
      <x:c r="D116" s="28" t="str">
        <x:v>Травы, цветы и листья</x:v>
      </x:c>
      <x:c r="E116" s="28" t="str">
        <x:v>пересечение ароматических семейств; сернистая или горчичная комплементарность</x:v>
      </x:c>
      <x:c r="F116" s="28" t="str">
        <x:v>Спаржа имеет профиль «зелёный, сернистый, ореховый и слегка сладкий». Партнёр «жасмин» относится к группе «Травы, цветы и листья» и даёт зелёный, цветочный и терпеновый.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6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6" s="28" t="str">
        <x:v>переваривание усиливает сернистость и разрушает текстуру; толстые основания очищать; длительный нагрев уносит свежие терпены и зелёные альдегиды</x:v>
      </x:c>
      <x:c r="I116" s="28" t="str">
        <x:v>горячее блюдо, бульон, соус, пюре, ферментация или гарнир с жасмин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210</x:v>
      </x:c>
    </x:row>
    <x:row r="117" ht="66" customHeight="1">
      <x:c r="A117" s="28" t="str">
        <x:v>VEG-0807</x:v>
      </x:c>
      <x:c r="B117" s="28" t="str">
        <x:v>спаржа</x:v>
      </x:c>
      <x:c r="C117" s="28" t="str">
        <x:v>жирная рыба</x:v>
      </x:c>
      <x:c r="D117" s="28" t="str">
        <x:v>Рыба и морепродукты</x:v>
      </x:c>
      <x:c r="E117" s="28" t="str">
        <x:v>умами и солёный контраст; сернистая или горчичная комплементарность</x:v>
      </x:c>
      <x:c r="F117" s="28" t="str">
        <x:v>Спаржа имеет профиль «зелёный, сернистый, ореховый и слегка сладкий».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7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7" s="28" t="str">
        <x:v>переваривание усиливает сернистость и разрушает текстуру; толстые основания очищать</x:v>
      </x:c>
      <x:c r="I117" s="28" t="str">
        <x:v>горячее блюдо, бульон, соус, пюре, ферментация или гарнир с жирная рыба</x:v>
      </x:c>
      <x:c r="J117" s="28" t="str">
        <x:v>Средняя</x:v>
      </x:c>
      <x:c r="K117" s="28" t="str">
        <x:v>Тезариус вкусов (Ники Сегнит)(1).pdf</x:v>
      </x:c>
      <x:c r="L117" s="28" t="str">
        <x:v>Тезариус вкусов (Ники Сегнит)(1).pdf: 346, 417</x:v>
      </x:c>
    </x:row>
    <x:row r="118" ht="66" customHeight="1">
      <x:c r="A118" s="28" t="str">
        <x:v>VEG-0808</x:v>
      </x:c>
      <x:c r="B118" s="28" t="str">
        <x:v>спаржа</x:v>
      </x:c>
      <x:c r="C118" s="28" t="str">
        <x:v>кардамон</x:v>
      </x:c>
      <x:c r="D118" s="28" t="str">
        <x:v>Специи</x:v>
      </x:c>
      <x:c r="E118" s="28" t="str">
        <x:v>сернистая или горчичная комплементарность</x:v>
      </x:c>
      <x:c r="F118" s="28" t="str">
        <x:v>Спаржа имеет профиль «зелёный, сернистый, ореховый и слегка сладкий».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8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8" s="28" t="str">
        <x:v>переваривание усиливает сернистость и разрушает текстуру; толстые основания очищать</x:v>
      </x:c>
      <x:c r="I118" s="28" t="str">
        <x:v>горячее блюдо, бульон, соус, пюре, ферментация или гарнир с кардамон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256</x:v>
      </x:c>
    </x:row>
    <x:row r="119" ht="66" customHeight="1">
      <x:c r="A119" s="28" t="str">
        <x:v>VEG-0809</x:v>
      </x:c>
      <x:c r="B119" s="28" t="str">
        <x:v>спаржа</x:v>
      </x:c>
      <x:c r="C119" s="28" t="str">
        <x:v>комбу</x:v>
      </x:c>
      <x:c r="D119" s="28" t="str">
        <x:v>Прочее</x:v>
      </x:c>
      <x:c r="E119" s="28" t="str">
        <x:v>сернистая или горчичная комплементарность</x:v>
      </x:c>
      <x:c r="F119" s="28" t="str">
        <x:v>Спаржа имеет профиль «зелёный, сернистый, ореховый и слегка сладкий». Партнёр «комбу»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9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19" s="28" t="str">
        <x:v>переваривание усиливает сернистость и разрушает текстуру; толстые основания очищать</x:v>
      </x:c>
      <x:c r="I119" s="28" t="str">
        <x:v>горячее блюдо, бульон, соус, пюре, ферментация или гарнир с комбу</x:v>
      </x:c>
      <x:c r="J119" s="28" t="str">
        <x:v>Высокая</x:v>
      </x:c>
      <x:c r="K119" s="28" t="str">
        <x:v>The Art &amp; Science of Foodpairing.pdf</x:v>
      </x:c>
      <x:c r="L119" s="28" t="str">
        <x:v>The Art &amp; Science of Foodpairing.pdf: 267</x:v>
      </x:c>
    </x:row>
    <x:row r="120" ht="66" customHeight="1">
      <x:c r="A120" s="28" t="str">
        <x:v>VEG-0810</x:v>
      </x:c>
      <x:c r="B120" s="28" t="str">
        <x:v>спаржа</x:v>
      </x:c>
      <x:c r="C120" s="28" t="str">
        <x:v>лимон</x:v>
      </x:c>
      <x:c r="D120" s="28" t="str">
        <x:v>Фрукты и ягоды</x:v>
      </x:c>
      <x:c r="E120" s="28" t="str">
        <x:v>кислотно-сладкий баланс; сернистая или горчичная комплементарность</x:v>
      </x:c>
      <x:c r="F120" s="28" t="str">
        <x:v>Спаржа имеет профиль «зелёный, сернистый, ореховый и слегка сладкий».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0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0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I120" s="28" t="str">
        <x:v>горячее блюдо, бульон, соус, пюре, ферментация или гарнир с лимон</x:v>
      </x:c>
      <x:c r="J120" s="28" t="str">
        <x:v>Средняя</x:v>
      </x:c>
      <x:c r="K120" s="28" t="str">
        <x:v>Тезариус вкусов (Ники Сегнит)(1).pdf</x:v>
      </x:c>
      <x:c r="L120" s="28" t="str">
        <x:v>Тезариус вкусов (Ники Сегнит)(1).pdf: 346, 807</x:v>
      </x:c>
    </x:row>
    <x:row r="121" ht="66" customHeight="1">
      <x:c r="A121" s="28" t="str">
        <x:v>VEG-0811</x:v>
      </x:c>
      <x:c r="B121" s="28" t="str">
        <x:v>спаржа</x:v>
      </x:c>
      <x:c r="C121" s="28" t="str">
        <x:v>манго</x:v>
      </x:c>
      <x:c r="D121" s="28" t="str">
        <x:v>Фрукты и ягоды</x:v>
      </x:c>
      <x:c r="E121" s="28" t="str">
        <x:v>кислотно-сладкий баланс; сернистая или горчичная комплементарность</x:v>
      </x:c>
      <x:c r="F121" s="28" t="str">
        <x:v>Спаржа имеет профиль «зелёный, сернистый, ореховый и слегка сладкий».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1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1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I121" s="28" t="str">
        <x:v>горячее блюдо, бульон, соус, пюре, ферментация или гарнир с манго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312</x:v>
      </x:c>
    </x:row>
    <x:row r="122" ht="66" customHeight="1">
      <x:c r="A122" s="28" t="str">
        <x:v>VEG-0812</x:v>
      </x:c>
      <x:c r="B122" s="28" t="str">
        <x:v>спаржа</x:v>
      </x:c>
      <x:c r="C122" s="28" t="str">
        <x:v>миндаль</x:v>
      </x:c>
      <x:c r="D122" s="28" t="str">
        <x:v>Орехи и семена</x:v>
      </x:c>
      <x:c r="E122" s="28" t="str">
        <x:v>общие характерные молекулы; пересечение ароматических семейств; сернистая или горчичная комплементарность</x:v>
      </x:c>
      <x:c r="F122" s="28" t="str">
        <x:v>Спаржа имеет профиль «зелёный, сернистый, ореховый и слегка сладкий». Партнёр «миндаль» относится к группе «Орехи и семена» и даёт жареный, миндальный,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2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2" s="28" t="str">
        <x:v>переваривание усиливает сернистость и разрушает текстуру; толстые основания очищать</x:v>
      </x:c>
      <x:c r="I122" s="28" t="str">
        <x:v>горячее блюдо, бульон, соус, пюре, ферментация или гарнир с миндаль</x:v>
      </x:c>
      <x:c r="J122" s="28" t="str">
        <x:v>Средняя</x:v>
      </x:c>
      <x:c r="K122" s="28" t="str">
        <x:v>Тезариус вкусов (Ники Сегнит)(1).pdf</x:v>
      </x:c>
      <x:c r="L122" s="28" t="str">
        <x:v>Тезариус вкусов (Ники Сегнит)(1).pdf: 347, 648</x:v>
      </x:c>
    </x:row>
    <x:row r="123" ht="66" customHeight="1">
      <x:c r="A123" s="28" t="str">
        <x:v>VEG-0813</x:v>
      </x:c>
      <x:c r="B123" s="28" t="str">
        <x:v>спаржа</x:v>
      </x:c>
      <x:c r="C123" s="28" t="str">
        <x:v>моллюски</x:v>
      </x:c>
      <x:c r="D123" s="28" t="str">
        <x:v>Рыба и морепродукты</x:v>
      </x:c>
      <x:c r="E123" s="28" t="str">
        <x:v>умами и солёный контраст; сернистая или горчичная комплементарность</x:v>
      </x:c>
      <x:c r="F123" s="28" t="str">
        <x:v>Спаржа имеет профиль «зелёный, сернистый, ореховый и слегка сладкий».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3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3" s="28" t="str">
        <x:v>переваривание усиливает сернистость и разрушает текстуру; толстые основания очищать</x:v>
      </x:c>
      <x:c r="I123" s="28" t="str">
        <x:v>горячее блюдо, бульон, соус, пюре, ферментация или гарнир с моллюски</x:v>
      </x:c>
      <x:c r="J123" s="28" t="str">
        <x:v>Средняя</x:v>
      </x:c>
      <x:c r="K123" s="28" t="str">
        <x:v>Тезариус вкусов (Ники Сегнит)(1).pdf</x:v>
      </x:c>
      <x:c r="L123" s="28" t="str">
        <x:v>Тезариус вкусов (Ники Сегнит)(1).pdf: 347, 375</x:v>
      </x:c>
    </x:row>
    <x:row r="124" ht="66" customHeight="1">
      <x:c r="A124" s="28" t="str">
        <x:v>VEG-0814</x:v>
      </x:c>
      <x:c r="B124" s="28" t="str">
        <x:v>спаржа</x:v>
      </x:c>
      <x:c r="C124" s="28" t="str">
        <x:v>мята</x:v>
      </x:c>
      <x:c r="D124" s="28" t="str">
        <x:v>Травы, цветы и листья</x:v>
      </x:c>
      <x:c r="E124" s="28" t="str">
        <x:v>пересечение ароматических семейств; сернистая или горчичная комплементарность</x:v>
      </x:c>
      <x:c r="F124" s="28" t="str">
        <x:v>Спаржа имеет профиль «зелёный, сернистый, ореховый и слегка сладкий».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4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4" s="28" t="str">
        <x:v>переваривание усиливает сернистость и разрушает текстуру; толстые основания очищать; длительный нагрев уносит свежие терпены и зелёные альдегиды</x:v>
      </x:c>
      <x:c r="I124" s="28" t="str">
        <x:v>горячее блюдо, бульон, соус, пюре, ферментация или гарнир с мята</x:v>
      </x:c>
      <x:c r="J124" s="28" t="str">
        <x:v>Средняя</x:v>
      </x:c>
      <x:c r="K124" s="28" t="str">
        <x:v>Тезариус вкусов (Ники Сегнит)(1).pdf</x:v>
      </x:c>
      <x:c r="L124" s="28" t="str">
        <x:v>Тезариус вкусов (Ники Сегнит)(1).pdf: 347, 869</x:v>
      </x:c>
    </x:row>
    <x:row r="125" ht="66" customHeight="1">
      <x:c r="A125" s="28" t="str">
        <x:v>VEG-0815</x:v>
      </x:c>
      <x:c r="B125" s="28" t="str">
        <x:v>спаржа</x:v>
      </x:c>
      <x:c r="C125" s="28" t="str">
        <x:v>пармезан</x:v>
      </x:c>
      <x:c r="D125" s="28" t="str">
        <x:v>Прочее</x:v>
      </x:c>
      <x:c r="E125" s="28" t="str">
        <x:v>сернистая или горчичная комплементарность</x:v>
      </x:c>
      <x:c r="F125" s="28" t="str">
        <x:v>Спаржа имеет профиль «зелёный, сернистый, ореховый и слегка сладкий».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5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5" s="28" t="str">
        <x:v>переваривание усиливает сернистость и разрушает текстуру; толстые основания очищать</x:v>
      </x:c>
      <x:c r="I125" s="28" t="str">
        <x:v>горячее блюдо, бульон, соус, пюре, ферментация или гарнир с пармезан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282</x:v>
      </x:c>
    </x:row>
    <x:row r="126" ht="66" customHeight="1">
      <x:c r="A126" s="28" t="str">
        <x:v>VEG-0816</x:v>
      </x:c>
      <x:c r="B126" s="28" t="str">
        <x:v>спаржа</x:v>
      </x:c>
      <x:c r="C126" s="28" t="str">
        <x:v>прошутто</x:v>
      </x:c>
      <x:c r="D126" s="28" t="str">
        <x:v>Мясо и птица</x:v>
      </x:c>
      <x:c r="E126" s="28" t="str">
        <x:v>общие характерные молекулы; умами и солёный контраст; сернистая или горчичная комплементарность</x:v>
      </x:c>
      <x:c r="F126" s="28" t="str">
        <x:v>Спаржа имеет профиль «зелёный, сернистый, ореховый и слегка сладкий». Партнёр «прошутто»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6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6" s="28" t="str">
        <x:v>переваривание усиливает сернистость и разрушает текстуру; толстые основания очищать</x:v>
      </x:c>
      <x:c r="I126" s="28" t="str">
        <x:v>горячее блюдо, бульон, соус, пюре, ферментация или гарнир с прошутто</x:v>
      </x:c>
      <x:c r="J126" s="28" t="str">
        <x:v>Средняя</x:v>
      </x:c>
      <x:c r="K126" s="28" t="str">
        <x:v>Тезариус вкусов (Ники Сегнит)(1).pdf</x:v>
      </x:c>
      <x:c r="L126" s="28" t="str">
        <x:v>Тезариус вкусов (Ники Сегнит)(1).pdf: 347, 460</x:v>
      </x:c>
    </x:row>
    <x:row r="127" ht="66" customHeight="1">
      <x:c r="A127" s="28" t="str">
        <x:v>VEG-0817</x:v>
      </x:c>
      <x:c r="B127" s="28" t="str">
        <x:v>спаржа</x:v>
      </x:c>
      <x:c r="C127" s="28" t="str">
        <x:v>твердый сыр</x:v>
      </x:c>
      <x:c r="D127" s="28" t="str">
        <x:v>Молочные продукты и сыры</x:v>
      </x:c>
      <x:c r="E127" s="28" t="str">
        <x:v>жировая матрица; сернистая или горчичная комплементарность</x:v>
      </x:c>
      <x:c r="F127" s="28" t="str">
        <x:v>Спаржа имеет профиль «зелёный, сернистый, ореховый и слегка сладкий».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7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7" s="28" t="str">
        <x:v>переваривание усиливает сернистость и разрушает текстуру; толстые основания очищать; жир способен приглушить свежую зелёную ароматику</x:v>
      </x:c>
      <x:c r="I127" s="28" t="str">
        <x:v>горячее блюдо, бульон, соус, пюре, ферментация или гарнир с твердый сыр</x:v>
      </x:c>
      <x:c r="J127" s="28" t="str">
        <x:v>Средняя</x:v>
      </x:c>
      <x:c r="K127" s="28" t="str">
        <x:v>Тезариус вкусов (Ники Сегнит)(1).pdf</x:v>
      </x:c>
      <x:c r="L127" s="28" t="str">
        <x:v>Тезариус вкусов (Ники Сегнит)(1).pdf: 175, 347</x:v>
      </x:c>
    </x:row>
    <x:row r="128" ht="66" customHeight="1">
      <x:c r="A128" s="28" t="str">
        <x:v>VEG-0818</x:v>
      </x:c>
      <x:c r="B128" s="28" t="str">
        <x:v>спаржа</x:v>
      </x:c>
      <x:c r="C128" s="28" t="str">
        <x:v>трюфель</x:v>
      </x:c>
      <x:c r="D128" s="28" t="str">
        <x:v>Грибы</x:v>
      </x:c>
      <x:c r="E128" s="28" t="str">
        <x:v>умами и солёный контраст; сернистая или горчичная комплементарность</x:v>
      </x:c>
      <x:c r="F128" s="28" t="str">
        <x:v>Спаржа имеет профиль «зелёный, сернистый, ореховый и слегка сладкий».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8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8" s="28" t="str">
        <x:v>переваривание усиливает сернистость и разрушает текстуру; толстые основания очищать</x:v>
      </x:c>
      <x:c r="I128" s="28" t="str">
        <x:v>горячее блюдо, бульон, соус, пюре, ферментация или гарнир с трюфель</x:v>
      </x:c>
      <x:c r="J128" s="28" t="str">
        <x:v>Средняя</x:v>
      </x:c>
      <x:c r="K128" s="28" t="str">
        <x:v>Тезариус вкусов (Ники Сегнит)(1).pdf</x:v>
      </x:c>
      <x:c r="L128" s="28" t="str">
        <x:v>Тезариус вкусов (Ники Сегнит)(1).pdf: 306, 347</x:v>
      </x:c>
    </x:row>
    <x:row r="129" ht="66" customHeight="1">
      <x:c r="A129" s="28" t="str">
        <x:v>VEG-0819</x:v>
      </x:c>
      <x:c r="B129" s="28" t="str">
        <x:v>спаржа</x:v>
      </x:c>
      <x:c r="C129" s="28" t="str">
        <x:v>фундук</x:v>
      </x:c>
      <x:c r="D129" s="28" t="str">
        <x:v>Орехи и семена</x:v>
      </x:c>
      <x:c r="E129" s="28" t="str">
        <x:v>общие характерные молекулы; пересечение ароматических семейств; сернистая или горчичная комплементарность</x:v>
      </x:c>
      <x:c r="F129" s="28" t="str">
        <x:v>Спаржа имеет профиль «зелёный, сернистый, ореховый и слегка сладкий».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9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29" s="28" t="str">
        <x:v>переваривание усиливает сернистость и разрушает текстуру; толстые основания очищать</x:v>
      </x:c>
      <x:c r="I129" s="28" t="str">
        <x:v>горячее блюдо, бульон, соус, пюре, ферментация или гарнир с фундук</x:v>
      </x:c>
      <x:c r="J129" s="28" t="str">
        <x:v>Средняя</x:v>
      </x:c>
      <x:c r="K129" s="28" t="str">
        <x:v>The Art &amp; Science of Foodpairing.pdf</x:v>
      </x:c>
      <x:c r="L129" s="28" t="str">
        <x:v>The Art &amp; Science of Foodpairing.pdf: 332</x:v>
      </x:c>
    </x:row>
    <x:row r="130" ht="66" customHeight="1">
      <x:c r="A130" s="28" t="str">
        <x:v>VEG-0820</x:v>
      </x:c>
      <x:c r="B130" s="28" t="str">
        <x:v>спаржа</x:v>
      </x:c>
      <x:c r="C130" s="28" t="str">
        <x:v>чоризо</x:v>
      </x:c>
      <x:c r="D130" s="28" t="str">
        <x:v>Прочее</x:v>
      </x:c>
      <x:c r="E130" s="28" t="str">
        <x:v>сернистая или горчичная комплементарность</x:v>
      </x:c>
      <x:c r="F130" s="28" t="str">
        <x:v>Спаржа имеет профиль «зелёный, сернистый, ореховый и слегка сладкий».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0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30" s="28" t="str">
        <x:v>переваривание усиливает сернистость и разрушает текстуру; толстые основания очищать</x:v>
      </x:c>
      <x:c r="I130" s="28" t="str">
        <x:v>горячее блюдо, бульон, соус, пюре, ферментация или гарнир с чоризо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288</x:v>
      </x:c>
    </x:row>
    <x:row r="131" ht="66" customHeight="1">
      <x:c r="A131" s="28" t="str">
        <x:v>VEG-0821</x:v>
      </x:c>
      <x:c r="B131" s="28" t="str">
        <x:v>спаржа</x:v>
      </x:c>
      <x:c r="C131" s="28" t="str">
        <x:v>яйца</x:v>
      </x:c>
      <x:c r="D131" s="28" t="str">
        <x:v>Прочее</x:v>
      </x:c>
      <x:c r="E131" s="28" t="str">
        <x:v>сернистая или горчичная комплементарность</x:v>
      </x:c>
      <x:c r="F131" s="28" t="str">
        <x:v>Спаржа имеет профиль «зелёный, сернистый, ореховый и слегка сладкий».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31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31" s="28" t="str">
        <x:v>переваривание усиливает сернистость и разрушает текстуру; толстые основания очищать</x:v>
      </x:c>
      <x:c r="I131" s="28" t="str">
        <x:v>горячее блюдо, бульон, соус, пюре, ферментация или гарнир с яйца</x:v>
      </x:c>
      <x:c r="J131" s="28" t="str">
        <x:v>Средняя</x:v>
      </x:c>
      <x:c r="K131" s="28" t="str">
        <x:v>Тезариус вкусов (Ники Сегнит)(1).pdf</x:v>
      </x:c>
      <x:c r="L131" s="28" t="str">
        <x:v>Тезариус вкусов (Ники Сегнит)(1).pdf: 348, 360</x:v>
      </x:c>
    </x:row>
    <x:row r="132" ht="66" customHeight="1">
      <x:c r="A132" s="28" t="str">
        <x:v>VEG-0967</x:v>
      </x:c>
      <x:c r="B132" s="28" t="str">
        <x:v>фенхель</x:v>
      </x:c>
      <x:c r="C132" s="28" t="str">
        <x:v>анис</x:v>
      </x:c>
      <x:c r="D132" s="28" t="str">
        <x:v>Прочее</x:v>
      </x:c>
      <x:c r="E132" s="28" t="str">
        <x:v>сенсорная комплементарность</x:v>
      </x:c>
      <x:c r="F132" s="28" t="str">
        <x:v>Фенхель имеет профиль «анисовый, зелёный, свежий и сладковатый».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2" s="28" t="str">
        <x:v>сырой сохраняет свежий анис; запекание смягчает аромат и усиливает сладость. </x:v>
      </x:c>
      <x:c r="H132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132" s="28" t="str">
        <x:v>салат, гарнир, суп, соус, маринад, ферментация или напиток с анис</x:v>
      </x:c>
      <x:c r="J132" s="28" t="str">
        <x:v>Гипотеза / практическая</x:v>
      </x:c>
      <x:c r="K132" s="28" t="str">
        <x:v>Таблица сочетания(1).pdf</x:v>
      </x:c>
      <x:c r="L132" s="28" t="str">
        <x:v>Таблица сочетания(1).pdf: 8</x:v>
      </x:c>
    </x:row>
    <x:row r="133" ht="66" customHeight="1">
      <x:c r="A133" s="28" t="str">
        <x:v>VEG-0968</x:v>
      </x:c>
      <x:c r="B133" s="28" t="str">
        <x:v>фенхель</x:v>
      </x:c>
      <x:c r="C133" s="28" t="str">
        <x:v>апельсин</x:v>
      </x:c>
      <x:c r="D133" s="28" t="str">
        <x:v>Фрукты и ягоды</x:v>
      </x:c>
      <x:c r="E133" s="28" t="str">
        <x:v>общие характерные молекулы; пересечение ароматических семейств; кислотно-сладкий баланс</x:v>
      </x:c>
      <x:c r="F133" s="28" t="str">
        <x:v>Фенхель имеет профиль «анисовый, зелёный, свежий и сладковатый». Партнёр «апельсин» относится к группе «Фрукты и ягоды» и даёт сладкий, цветочный,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3" s="28" t="str">
        <x:v>сырой сохраняет свежий анис; запекание смягчает аромат и усиливает сладость. </x:v>
      </x:c>
      <x:c r="H133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133" s="28" t="str">
        <x:v>салат, гарнир, суп, соус, маринад, ферментация или напиток с апельсин</x:v>
      </x:c>
      <x:c r="J133" s="28" t="str">
        <x:v>Высокая</x:v>
      </x:c>
      <x:c r="K133" s="28" t="str">
        <x:v>The Art &amp; Science of Foodpairing.pdf | Таблица сочетания(1).pdf</x:v>
      </x:c>
      <x:c r="L133" s="28" t="str">
        <x:v>Таблица сочетания(1).pdf: 8; The Art &amp; Science of Foodpairing.pdf: 236</x:v>
      </x:c>
    </x:row>
    <x:row r="134" ht="66" customHeight="1">
      <x:c r="A134" s="28" t="str">
        <x:v>VEG-0969</x:v>
      </x:c>
      <x:c r="B134" s="28" t="str">
        <x:v>фенхель</x:v>
      </x:c>
      <x:c r="C134" s="28" t="str">
        <x:v>банан</x:v>
      </x:c>
      <x:c r="D134" s="28" t="str">
        <x:v>Фрукты и ягоды</x:v>
      </x:c>
      <x:c r="E134" s="28" t="str">
        <x:v>кислотно-сладкий баланс</x:v>
      </x:c>
      <x:c r="F134" s="28" t="str">
        <x:v>Фенхель имеет профиль «анисовый, зелёный, свежий и сладковатый».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4" s="28" t="str">
        <x:v>сырой сохраняет свежий анис; запекание смягчает аромат и усиливает сладость. </x:v>
      </x:c>
      <x:c r="H134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134" s="28" t="str">
        <x:v>салат, гарнир, суп, соус, маринад, ферментация или напиток с банан</x:v>
      </x:c>
      <x:c r="J134" s="28" t="str">
        <x:v>Средняя</x:v>
      </x:c>
      <x:c r="K134" s="28" t="str">
        <x:v>The Art &amp; Science of Foodpairing.pdf</x:v>
      </x:c>
      <x:c r="L134" s="28" t="str">
        <x:v>The Art &amp; Science of Foodpairing.pdf: 342</x:v>
      </x:c>
    </x:row>
    <x:row r="135" ht="66" customHeight="1">
      <x:c r="A135" s="28" t="str">
        <x:v>VEG-0970</x:v>
      </x:c>
      <x:c r="B135" s="28" t="str">
        <x:v>фенхель</x:v>
      </x:c>
      <x:c r="C135" s="28" t="str">
        <x:v>груша</x:v>
      </x:c>
      <x:c r="D135" s="28" t="str">
        <x:v>Фрукты и ягоды</x:v>
      </x:c>
      <x:c r="E135" s="28" t="str">
        <x:v>пересечение ароматических семейств; кислотно-сладкий баланс</x:v>
      </x:c>
      <x:c r="F135" s="28" t="str">
        <x:v>Фенхель имеет профиль «анисовый, зелёный, свежий и сладковатый».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5" s="28" t="str">
        <x:v>сырой сохраняет свежий анис; запекание смягчает аромат и усиливает сладость. </x:v>
      </x:c>
      <x:c r="H135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135" s="28" t="str">
        <x:v>салат, гарнир, суп, соус, маринад, ферментация или напиток с груша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350</x:v>
      </x:c>
    </x:row>
    <x:row r="136" ht="66" customHeight="1">
      <x:c r="A136" s="28" t="str">
        <x:v>VEG-0971</x:v>
      </x:c>
      <x:c r="B136" s="28" t="str">
        <x:v>фенхель</x:v>
      </x:c>
      <x:c r="C136" s="28" t="str">
        <x:v>джин</x:v>
      </x:c>
      <x:c r="D136" s="28" t="str">
        <x:v>Алкогольные напитки</x:v>
      </x:c>
      <x:c r="E136" s="28" t="str">
        <x:v>сенсорная комплементарность</x:v>
      </x:c>
      <x:c r="F136" s="28" t="str">
        <x:v>Фенхель имеет профиль «анисовый, зелёный, свежий и сладковатый».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6" s="28" t="str">
        <x:v>сырой сохраняет свежий анис; запекание смягчает аромат и усиливает сладость. </x:v>
      </x:c>
      <x:c r="H136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136" s="28" t="str">
        <x:v>салат, гарнир, суп, соус, маринад, ферментация или напиток с джин</x:v>
      </x:c>
      <x:c r="J136" s="28" t="str">
        <x:v>Средняя</x:v>
      </x:c>
      <x:c r="K136" s="28" t="str">
        <x:v>The Art &amp; Science of Foodpairing.pdf</x:v>
      </x:c>
      <x:c r="L136" s="28" t="str">
        <x:v>The Art &amp; Science of Foodpairing.pdf: 215</x:v>
      </x:c>
    </x:row>
    <x:row r="137" ht="66" customHeight="1">
      <x:c r="A137" s="28" t="str">
        <x:v>VEG-0972</x:v>
      </x:c>
      <x:c r="B137" s="28" t="str">
        <x:v>фенхель</x:v>
      </x:c>
      <x:c r="C137" s="28" t="str">
        <x:v>имбирь</x:v>
      </x:c>
      <x:c r="D137" s="28" t="str">
        <x:v>Специи</x:v>
      </x:c>
      <x:c r="E137" s="28" t="str">
        <x:v>сенсорная комплементарность</x:v>
      </x:c>
      <x:c r="F137" s="28" t="str">
        <x:v>Фенхель имеет профиль «анисовый, зелёный, свежий и сладковатый».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37" s="28" t="str">
        <x:v>сырой сохраняет свежий анис; запекание смягчает аромат и усиливает сладость. </x:v>
      </x:c>
      <x:c r="H137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137" s="28" t="str">
        <x:v>салат, гарнир, суп, соус, маринад, ферментация или напиток с имбирь</x:v>
      </x:c>
      <x:c r="J137" s="28" t="str">
        <x:v>Высокая</x:v>
      </x:c>
      <x:c r="K137" s="28" t="str">
        <x:v>The Art &amp; Science of Foodpairing.pdf</x:v>
      </x:c>
      <x:c r="L137" s="28" t="str">
        <x:v>The Art &amp; Science of Foodpairing.pdf: 142</x:v>
      </x:c>
    </x:row>
    <x:row r="138" ht="66" customHeight="1">
      <x:c r="A138" s="28" t="str">
        <x:v>VEG-0973</x:v>
      </x:c>
      <x:c r="B138" s="28" t="str">
        <x:v>фенхель</x:v>
      </x:c>
      <x:c r="C138" s="28" t="str">
        <x:v>кленовый сироп</x:v>
      </x:c>
      <x:c r="D138" s="28" t="str">
        <x:v>Выпечка, крупы, сахара и десерты</x:v>
      </x:c>
      <x:c r="E138" s="28" t="str">
        <x:v>пересечение ароматических семейств</x:v>
      </x:c>
      <x:c r="F138" s="28" t="str">
        <x:v>Фенхель имеет профиль «анисовый, зелёный, свежий и сладковатый». Партнёр «кленовый сироп»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G138" s="28" t="str">
        <x:v>сырой сохраняет свежий анис; запекание смягчает аромат и усиливает сладость. </x:v>
      </x:c>
      <x:c r="H138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138" s="28" t="str">
        <x:v>салат, гарнир, суп, соус, маринад, ферментация или напиток с кленовый сироп</x:v>
      </x:c>
      <x:c r="J138" s="28" t="str">
        <x:v>Гипотеза / практическая</x:v>
      </x:c>
      <x:c r="K138" s="28" t="str">
        <x:v>Таблица сочетания(1).pdf</x:v>
      </x:c>
      <x:c r="L138" s="28" t="str">
        <x:v>Таблица сочетания(1).pdf: 8</x:v>
      </x:c>
    </x:row>
    <x:row r="139" ht="66" customHeight="1">
      <x:c r="A139" s="28" t="str">
        <x:v>VEG-0974</x:v>
      </x:c>
      <x:c r="B139" s="28" t="str">
        <x:v>фенхель</x:v>
      </x:c>
      <x:c r="C139" s="28" t="str">
        <x:v>клубника</x:v>
      </x:c>
      <x:c r="D139" s="28" t="str">
        <x:v>Фрукты и ягоды</x:v>
      </x:c>
      <x:c r="E139" s="28" t="str">
        <x:v>пересечение ароматических семейств; кислотно-сладкий баланс</x:v>
      </x:c>
      <x:c r="F139" s="28" t="str">
        <x:v>Фенхель имеет профиль «анисовый, зелёный, свежий и сладковатый». Партнёр «клубника» относится к группе «Фрукты и ягоды» и даёт зелёный, карамельный,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9" s="28" t="str">
        <x:v>сырой сохраняет свежий анис; запекание смягчает аромат и усиливает сладость. </x:v>
      </x:c>
      <x:c r="H139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139" s="28" t="str">
        <x:v>салат, гарнир, суп, соус, маринад, ферментация или напиток с клубника</x:v>
      </x:c>
      <x:c r="J139" s="28" t="str">
        <x:v>Гипотеза / практическая</x:v>
      </x:c>
      <x:c r="K139" s="28" t="str">
        <x:v>Таблица сочетания(1).pdf</x:v>
      </x:c>
      <x:c r="L139" s="28" t="str">
        <x:v>Таблица сочетания(1).pdf: 8</x:v>
      </x:c>
    </x:row>
    <x:row r="140" ht="66" customHeight="1">
      <x:c r="A140" s="28" t="str">
        <x:v>VEG-0975</x:v>
      </x:c>
      <x:c r="B140" s="28" t="str">
        <x:v>фенхель</x:v>
      </x:c>
      <x:c r="C140" s="28" t="str">
        <x:v>коньяк</x:v>
      </x:c>
      <x:c r="D140" s="28" t="str">
        <x:v>Алкогольные напитки</x:v>
      </x:c>
      <x:c r="E140" s="28" t="str">
        <x:v>сенсорная комплементарность</x:v>
      </x:c>
      <x:c r="F140" s="28" t="str">
        <x:v>Фенхель имеет профиль «анисовый, зелёный, свежий и сладковатый».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0" s="28" t="str">
        <x:v>сырой сохраняет свежий анис; запекание смягчает аромат и усиливает сладость. </x:v>
      </x:c>
      <x:c r="H140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140" s="28" t="str">
        <x:v>салат, гарнир, суп, соус, маринад, ферментация или напиток с коньяк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123</x:v>
      </x:c>
    </x:row>
    <x:row r="141" ht="66" customHeight="1">
      <x:c r="A141" s="28" t="str">
        <x:v>VEG-0976</x:v>
      </x:c>
      <x:c r="B141" s="28" t="str">
        <x:v>фенхель</x:v>
      </x:c>
      <x:c r="C141" s="28" t="str">
        <x:v>лимон</x:v>
      </x:c>
      <x:c r="D141" s="28" t="str">
        <x:v>Фрукты и ягоды</x:v>
      </x:c>
      <x:c r="E141" s="28" t="str">
        <x:v>общие характерные молекулы; кислотно-сладкий баланс</x:v>
      </x:c>
      <x:c r="F141" s="28" t="str">
        <x:v>Фенхель имеет профиль «анисовый, зелёный, свежий и сладковатый». Партнёр «лимон» относится к группе «Фрукты и ягоды» и даёт кислый, свежий,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1" s="28" t="str">
        <x:v>сырой сохраняет свежий анис; запекание смягчает аромат и усиливает сладость. </x:v>
      </x:c>
      <x:c r="H141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141" s="28" t="str">
        <x:v>салат, гарнир, суп, соус, маринад, ферментация или напиток с лимон</x:v>
      </x:c>
      <x:c r="J141" s="28" t="str">
        <x:v>Гипотеза / практическая</x:v>
      </x:c>
      <x:c r="K141" s="28" t="str">
        <x:v>Таблица сочетания(1).pdf</x:v>
      </x:c>
      <x:c r="L141" s="28" t="str">
        <x:v>Таблица сочетания(1).pdf: 8</x:v>
      </x:c>
    </x:row>
    <x:row r="142" ht="66" customHeight="1">
      <x:c r="A142" s="28" t="str">
        <x:v>VEG-0977</x:v>
      </x:c>
      <x:c r="B142" s="28" t="str">
        <x:v>фенхель</x:v>
      </x:c>
      <x:c r="C142" s="28" t="str">
        <x:v>манго</x:v>
      </x:c>
      <x:c r="D142" s="28" t="str">
        <x:v>Фрукты и ягоды</x:v>
      </x:c>
      <x:c r="E142" s="28" t="str">
        <x:v>кислотно-сладкий баланс</x:v>
      </x:c>
      <x:c r="F142" s="28" t="str">
        <x:v>Фенхель имеет профиль «анисовый, зелёный, свежий и сладковатый».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2" s="28" t="str">
        <x:v>сырой сохраняет свежий анис; запекание смягчает аромат и усиливает сладость. </x:v>
      </x:c>
      <x:c r="H142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142" s="28" t="str">
        <x:v>салат, гарнир, суп, соус, маринад, ферментация или напиток с манго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312</x:v>
      </x:c>
    </x:row>
    <x:row r="143" ht="66" customHeight="1">
      <x:c r="A143" s="28" t="str">
        <x:v>VEG-0978</x:v>
      </x:c>
      <x:c r="B143" s="28" t="str">
        <x:v>фенхель</x:v>
      </x:c>
      <x:c r="C143" s="28" t="str">
        <x:v>мята</x:v>
      </x:c>
      <x:c r="D143" s="28" t="str">
        <x:v>Травы, цветы и листья</x:v>
      </x:c>
      <x:c r="E143" s="28" t="str">
        <x:v>пересечение ароматических семейств</x:v>
      </x:c>
      <x:c r="F143" s="28" t="str">
        <x:v>Фенхель имеет профиль «анисовый, зелёный, свежий и сладковатый».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43" s="28" t="str">
        <x:v>сырой сохраняет свежий анис; запекание смягчает аромат и усиливает сладость. </x:v>
      </x:c>
      <x:c r="H143" s="28" t="str">
        <x:v>анетол быстро доминирует; длительная варка стирает свежесть; зелень и семена значительно концентрированнее луковицы; длительный нагрев уносит свежие терпены и зелёные альдегиды</x:v>
      </x:c>
      <x:c r="I143" s="28" t="str">
        <x:v>салат, гарнир, суп, соус, маринад, ферментация или напиток с мята</x:v>
      </x:c>
      <x:c r="J143" s="28" t="str">
        <x:v>Гипотеза / практическая</x:v>
      </x:c>
      <x:c r="K143" s="28" t="str">
        <x:v>Таблица сочетания(1).pdf</x:v>
      </x:c>
      <x:c r="L143" s="28" t="str">
        <x:v>Таблица сочетания(1).pdf: 8</x:v>
      </x:c>
    </x:row>
    <x:row r="144" ht="66" customHeight="1">
      <x:c r="A144" s="28" t="str">
        <x:v>VEG-0979</x:v>
      </x:c>
      <x:c r="B144" s="28" t="str">
        <x:v>фенхель</x:v>
      </x:c>
      <x:c r="C144" s="28" t="str">
        <x:v>мёд</x:v>
      </x:c>
      <x:c r="D144" s="28" t="str">
        <x:v>Выпечка, крупы, сахара и десерты</x:v>
      </x:c>
      <x:c r="E144" s="28" t="str">
        <x:v>пересечение ароматических семейств</x:v>
      </x:c>
      <x:c r="F144" s="28" t="str">
        <x:v>Фенхель имеет профиль «анисовый, зелёный, свежий и сладковатый».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G144" s="28" t="str">
        <x:v>сырой сохраняет свежий анис; запекание смягчает аромат и усиливает сладость. </x:v>
      </x:c>
      <x:c r="H144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144" s="28" t="str">
        <x:v>салат, гарнир, суп, соус, маринад, ферментация или напиток с мёд</x:v>
      </x:c>
      <x:c r="J144" s="28" t="str">
        <x:v>Гипотеза / практическая</x:v>
      </x:c>
      <x:c r="K144" s="28" t="str">
        <x:v>Таблица сочетания(1).pdf</x:v>
      </x:c>
      <x:c r="L144" s="28" t="str">
        <x:v>Таблица сочетания(1).pdf: 8</x:v>
      </x:c>
    </x:row>
    <x:row r="145" ht="66" customHeight="1">
      <x:c r="A145" s="28" t="str">
        <x:v>VEG-0980</x:v>
      </x:c>
      <x:c r="B145" s="28" t="str">
        <x:v>фенхель</x:v>
      </x:c>
      <x:c r="C145" s="28" t="str">
        <x:v>ревень</x:v>
      </x:c>
      <x:c r="D145" s="28" t="str">
        <x:v>Фрукты и ягоды</x:v>
      </x:c>
      <x:c r="E145" s="28" t="str">
        <x:v>кислотно-сладкий баланс</x:v>
      </x:c>
      <x:c r="F145" s="28" t="str">
        <x:v>Фенхель имеет профиль «анисовый, зелёный, свежий и сладковатый». Партнёр «ревень»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5" s="28" t="str">
        <x:v>сырой сохраняет свежий анис; запекание смягчает аромат и усиливает сладость. </x:v>
      </x:c>
      <x:c r="H145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145" s="28" t="str">
        <x:v>салат, гарнир, суп, соус, маринад, ферментация или напиток с ревень</x:v>
      </x:c>
      <x:c r="J145" s="28" t="str">
        <x:v>Гипотеза / практическая</x:v>
      </x:c>
      <x:c r="K145" s="28" t="str">
        <x:v>Таблица сочетания(1).pdf</x:v>
      </x:c>
      <x:c r="L145" s="28" t="str">
        <x:v>Таблица сочетания(1).pdf: 8</x:v>
      </x:c>
    </x:row>
    <x:row r="146" ht="66" customHeight="1">
      <x:c r="A146" s="28" t="str">
        <x:v>VEG-0981</x:v>
      </x:c>
      <x:c r="B146" s="28" t="str">
        <x:v>фенхель</x:v>
      </x:c>
      <x:c r="C146" s="28" t="str">
        <x:v>рыба</x:v>
      </x:c>
      <x:c r="D146" s="28" t="str">
        <x:v>Рыба и морепродукты</x:v>
      </x:c>
      <x:c r="E146" s="28" t="str">
        <x:v>умами и солёный контраст</x:v>
      </x:c>
      <x:c r="F146" s="28" t="str">
        <x:v>Фенхель имеет профиль «анисовый, зелёный, свежий и сладковатый».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46" s="28" t="str">
        <x:v>сырой сохраняет свежий анис; запекание смягчает аромат и усиливает сладость. </x:v>
      </x:c>
      <x:c r="H146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146" s="28" t="str">
        <x:v>салат, гарнир, суп, соус, маринад, ферментация или напиток с рыба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104</x:v>
      </x:c>
    </x:row>
    <x:row r="147" ht="66" customHeight="1">
      <x:c r="A147" s="28" t="str">
        <x:v>VEG-0982</x:v>
      </x:c>
      <x:c r="B147" s="28" t="str">
        <x:v>фенхель</x:v>
      </x:c>
      <x:c r="C147" s="28" t="str">
        <x:v>чёрная смородина</x:v>
      </x:c>
      <x:c r="D147" s="28" t="str">
        <x:v>Фрукты и ягоды</x:v>
      </x:c>
      <x:c r="E147" s="28" t="str">
        <x:v>кислотно-сладкий баланс</x:v>
      </x:c>
      <x:c r="F147" s="28" t="str">
        <x:v>Фенхель имеет профиль «анисовый, зелёный, свежий и сладковатый».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7" s="28" t="str">
        <x:v>сырой сохраняет свежий анис; запекание смягчает аромат и усиливает сладость. </x:v>
      </x:c>
      <x:c r="H147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147" s="28" t="str">
        <x:v>салат, гарнир, суп, соус, маринад, ферментация или напиток с чёрная смородина</x:v>
      </x:c>
      <x:c r="J147" s="28" t="str">
        <x:v>Гипотеза / практическая</x:v>
      </x:c>
      <x:c r="K147" s="28" t="str">
        <x:v>Таблица сочетания(1).pdf</x:v>
      </x:c>
      <x:c r="L147" s="28" t="str">
        <x:v>Таблица сочетания(1).pdf: 2</x:v>
      </x:c>
    </x:row>
    <x:row r="148" ht="66" customHeight="1">
      <x:c r="A148" s="28" t="str">
        <x:v>VEG-0983</x:v>
      </x:c>
      <x:c r="B148" s="28" t="str">
        <x:v>фенхель</x:v>
      </x:c>
      <x:c r="C148" s="28" t="str">
        <x:v>чёрный перец</x:v>
      </x:c>
      <x:c r="D148" s="28" t="str">
        <x:v>Специи</x:v>
      </x:c>
      <x:c r="E148" s="28" t="str">
        <x:v>общие характерные молекулы</x:v>
      </x:c>
      <x:c r="F148" s="28" t="str">
        <x:v>Фенхель имеет профиль «анисовый, зелёный, свежий и сладковатый». Партнёр «чёрный перец» относится к группе «Специи» и даёт древесный, пряный, цитрусовый. Вероятный молекулярный мост: лимонен.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48" s="28" t="str">
        <x:v>сырой сохраняет свежий анис; запекание смягчает аромат и усиливает сладость. </x:v>
      </x:c>
      <x:c r="H148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148" s="28" t="str">
        <x:v>салат, гарнир, суп, соус, маринад, ферментация или напиток с чёрный перец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273, 274</x:v>
      </x:c>
    </x:row>
    <x:row r="149" ht="66" customHeight="1">
      <x:c r="A149" s="28" t="str">
        <x:v>VEG-0984</x:v>
      </x:c>
      <x:c r="B149" s="28" t="str">
        <x:v>фенхель</x:v>
      </x:c>
      <x:c r="C149" s="28" t="str">
        <x:v>шоколад</x:v>
      </x:c>
      <x:c r="D149" s="28" t="str">
        <x:v>Какао и шоколад</x:v>
      </x:c>
      <x:c r="E149" s="28" t="str">
        <x:v>сенсорная комплементарность</x:v>
      </x:c>
      <x:c r="F149" s="28" t="str">
        <x:v>Фенхель имеет профиль «анисовый, зелёный, свежий и сладковатый».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49" s="28" t="str">
        <x:v>сырой сохраняет свежий анис; запекание смягчает аромат и усиливает сладость. </x:v>
      </x:c>
      <x:c r="H149" s="28" t="str">
        <x:v>анетол быстро доминирует; длительная варка стирает свежесть; зелень и семена значительно концентрированнее луковицы; жареная горечь легко маскирует нежный овощной аромат</x:v>
      </x:c>
      <x:c r="I149" s="28" t="str">
        <x:v>салат, гарнир, суп, соус, маринад, ферментация или напиток с шоколад</x:v>
      </x:c>
      <x:c r="J149" s="28" t="str">
        <x:v>Средняя</x:v>
      </x:c>
      <x:c r="K149" s="28" t="str">
        <x:v>The Art &amp; Science of Foodpairing.pdf</x:v>
      </x:c>
      <x:c r="L149" s="28" t="str">
        <x:v>The Art &amp; Science of Foodpairing.pdf: 62</x:v>
      </x:c>
    </x:row>
  </x:sheetData>
  <x:conditionalFormatting sqref="J2:J149">
    <x:cfRule type="expression" dxfId="18" priority="1">
      <x:formula>J2="Высокая"</x:formula>
    </x:cfRule>
    <x:cfRule type="expression" dxfId="19" priority="2">
      <x:formula>J2="Средняя"</x:formula>
    </x:cfRule>
    <x:cfRule type="expression" dxfId="20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f8cf9bb280416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VEG-0008</x:v>
      </x:c>
      <x:c r="B2" s="28" t="str">
        <x:v>артишок</x:v>
      </x:c>
      <x:c r="C2" s="28" t="str">
        <x:v>коньяк</x:v>
      </x:c>
      <x:c r="D2" s="28" t="str">
        <x:v>Алкогольные напитки</x:v>
      </x:c>
      <x:c r="E2" s="28" t="str">
        <x:v>сенсорная комплементарность</x:v>
      </x:c>
      <x:c r="F2" s="28" t="str">
        <x:v>Артишок имеет профиль «зелёный, ореховый, травянистый и слегка цветочный».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" s="28" t="str">
        <x:v>кислота ограничивает потемнение; варка и гриль смягчают горечь и усиливают ореховые ноты. </x:v>
      </x:c>
      <x:c r="H2" s="28" t="str">
        <x:v>быстро темнеет; цинарин изменяет восприятие последующей сладости и может мешать винным сочетаниям</x:v>
      </x:c>
      <x:c r="I2" s="28" t="str">
        <x:v>горячее блюдо, бульон, соус, пюре, ферментация или гарнир с коньяк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123</x:v>
      </x:c>
    </x:row>
    <x:row r="3" ht="66" customHeight="1">
      <x:c r="A3" s="28" t="str">
        <x:v>VEG-0024</x:v>
      </x:c>
      <x:c r="B3" s="28" t="str">
        <x:v>артишок</x:v>
      </x:c>
      <x:c r="C3" s="28" t="str">
        <x:v>чай</x:v>
      </x:c>
      <x:c r="D3" s="28" t="str">
        <x:v>Чай</x:v>
      </x:c>
      <x:c r="E3" s="28" t="str">
        <x:v>пересечение ароматических семейств</x:v>
      </x:c>
      <x:c r="F3" s="28" t="str">
        <x:v>Артишок имеет профиль «зелёный, ореховый, травянистый и слегка цветочный». Партнёр «чай» относится к группе «Чай» и даёт цветочный, древесный или зелёный. Профили пересекаются в семействах: зелёный, цветочный. Совместимость формируется за счёт баланса сладости, кислотности, горечи, умами и текстуры.</x:v>
      </x:c>
      <x:c r="G3" s="28" t="str">
        <x:v>кислота ограничивает потемнение; варка и гриль смягчают горечь и усиливают ореховые ноты. </x:v>
      </x:c>
      <x:c r="H3" s="28" t="str">
        <x:v>быстро темнеет; цинарин изменяет восприятие последующей сладости и может мешать винным сочетаниям</x:v>
      </x:c>
      <x:c r="I3" s="28" t="str">
        <x:v>горячее блюдо, бульон, соус, пюре, ферментация или гарнир с чай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364</x:v>
      </x:c>
    </x:row>
    <x:row r="4" ht="66" customHeight="1">
      <x:c r="A4" s="28" t="str">
        <x:v>VEG-0033</x:v>
      </x:c>
      <x:c r="B4" s="28" t="str">
        <x:v>баклажан</x:v>
      </x:c>
      <x:c r="C4" s="28" t="str">
        <x:v>джин</x:v>
      </x:c>
      <x:c r="D4" s="28" t="str">
        <x:v>Алкогольные напитки</x:v>
      </x:c>
      <x:c r="E4" s="28" t="str">
        <x:v>сенсорная комплементарность</x:v>
      </x:c>
      <x:c r="F4" s="28" t="str">
        <x:v>Баклажан имеет профиль «зелёный, землистый, слегка грибной и дымный после жарки».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" s="28" t="str">
        <x:v>гриль и жарка формируют дымные и жареные ноты; соль и нагрев смягчают горечь. </x:v>
      </x:c>
      <x:c r="H4" s="28" t="str">
        <x:v>избыток масла делает продукт тяжёлым; недоготовленная мякоть остаётся губчатой</x:v>
      </x:c>
      <x:c r="I4" s="28" t="str">
        <x:v>салат, гарнир, суп, соус, маринад, ферментация или напиток с джин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215</x:v>
      </x:c>
    </x:row>
    <x:row r="5" ht="66" customHeight="1">
      <x:c r="A5" s="28" t="str">
        <x:v>VEG-0037</x:v>
      </x:c>
      <x:c r="B5" s="28" t="str">
        <x:v>баклажан</x:v>
      </x:c>
      <x:c r="C5" s="28" t="str">
        <x:v>коньяк</x:v>
      </x:c>
      <x:c r="D5" s="28" t="str">
        <x:v>Алкогольные напитки</x:v>
      </x:c>
      <x:c r="E5" s="28" t="str">
        <x:v>сенсорная комплементарность</x:v>
      </x:c>
      <x:c r="F5" s="28" t="str">
        <x:v>Баклажан имеет профиль «зелёный, землистый, слегка грибной и дымный после жарки».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5" s="28" t="str">
        <x:v>гриль и жарка формируют дымные и жареные ноты; соль и нагрев смягчают горечь. </x:v>
      </x:c>
      <x:c r="H5" s="28" t="str">
        <x:v>избыток масла делает продукт тяжёлым; недоготовленная мякоть остаётся губчатой</x:v>
      </x:c>
      <x:c r="I5" s="28" t="str">
        <x:v>салат, гарнир, суп, соус, маринад, ферментация или напиток с коньяк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123</x:v>
      </x:c>
    </x:row>
    <x:row r="6" ht="66" customHeight="1">
      <x:c r="A6" s="28" t="str">
        <x:v>VEG-0066</x:v>
      </x:c>
      <x:c r="B6" s="28" t="str">
        <x:v>батат</x:v>
      </x:c>
      <x:c r="C6" s="28" t="str">
        <x:v>клюквенный сок</x:v>
      </x:c>
      <x:c r="D6" s="28" t="str">
        <x:v>Прочее</x:v>
      </x:c>
      <x:c r="E6" s="28" t="str">
        <x:v>сенсорная комплементарность</x:v>
      </x:c>
      <x:c r="F6" s="28" t="str">
        <x:v>Батат имеет профиль «сладкий, крахмалистый, цветочный, карамельный и ореховый после запекания». Партнёр «клюквенный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" s="28" t="str">
        <x:v>водянистое пюре размывает аромат; сильная сладость требует кислоты, соли или горечи</x:v>
      </x:c>
      <x:c r="I6" s="28" t="str">
        <x:v>пюре, суп, запекание, крем, гарнир, соус или десертная разработка с клюквенный сок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119</x:v>
      </x:c>
    </x:row>
    <x:row r="7" ht="66" customHeight="1">
      <x:c r="A7" s="28" t="str">
        <x:v>VEG-0067</x:v>
      </x:c>
      <x:c r="B7" s="28" t="str">
        <x:v>батат</x:v>
      </x:c>
      <x:c r="C7" s="28" t="str">
        <x:v>коньяк</x:v>
      </x:c>
      <x:c r="D7" s="28" t="str">
        <x:v>Алкогольные напитки</x:v>
      </x:c>
      <x:c r="E7" s="28" t="str">
        <x:v>сенсорная комплементарность</x:v>
      </x:c>
      <x:c r="F7" s="28" t="str">
        <x:v>Батат имеет профиль «сладкий, крахмалистый, цветочный, карамельный и ореховый после запекания».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" s="28" t="str">
        <x:v>водянистое пюре размывает аромат; сильная сладость требует кислоты, соли или горечи</x:v>
      </x:c>
      <x:c r="I7" s="28" t="str">
        <x:v>пюре, суп, запекание, крем, гарнир, соус или десертная разработка с коньяк</x:v>
      </x:c>
      <x:c r="J7" s="28" t="str">
        <x:v>Высокая</x:v>
      </x:c>
      <x:c r="K7" s="28" t="str">
        <x:v>The Art &amp; Science of Foodpairing.pdf</x:v>
      </x:c>
      <x:c r="L7" s="28" t="str">
        <x:v>The Art &amp; Science of Foodpairing.pdf: 119</x:v>
      </x:c>
    </x:row>
    <x:row r="8" ht="66" customHeight="1">
      <x:c r="A8" s="28" t="str">
        <x:v>VEG-0069</x:v>
      </x:c>
      <x:c r="B8" s="28" t="str">
        <x:v>батат</x:v>
      </x:c>
      <x:c r="C8" s="28" t="str">
        <x:v>кофе</x:v>
      </x:c>
      <x:c r="D8" s="28" t="str">
        <x:v>Кофе</x:v>
      </x:c>
      <x:c r="E8" s="28" t="str">
        <x:v>общие характерные молекулы; пересечение ароматических семейств</x:v>
      </x:c>
      <x:c r="F8" s="28" t="str">
        <x:v>Батат имеет профиль «сладкий, крахмалистый, цветочный, карамельный и ореховый после запекания». Партнёр «кофе» относится к группе «Кофе» и даёт жареный, карамельный, ореховый.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8" s="28" t="str">
        <x:v>пюре, суп, запекание, крем, гарнир, соус или десертная разработка с кофе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119</x:v>
      </x:c>
    </x:row>
    <x:row r="9" ht="66" customHeight="1">
      <x:c r="A9" s="28" t="str">
        <x:v>VEG-0131</x:v>
      </x:c>
      <x:c r="B9" s="28" t="str">
        <x:v>болгарский перец</x:v>
      </x:c>
      <x:c r="C9" s="28" t="str">
        <x:v>зелёный чай</x:v>
      </x:c>
      <x:c r="D9" s="28" t="str">
        <x:v>Чай</x:v>
      </x:c>
      <x:c r="E9" s="28" t="str">
        <x:v>пересечение ароматических семейств</x:v>
      </x:c>
      <x:c r="F9" s="28" t="str">
        <x:v>Болгарский перец имеет профиль «зелёный, травянистый, фруктовый; у красного — сладкий и жареный». Партнёр «зелёный 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" s="28" t="str">
        <x:v>зелёный перец может доминировать метоксипиразином; обугленную кожицу удалять</x:v>
      </x:c>
      <x:c r="I9" s="28" t="str">
        <x:v>сок, кордиал, гаспачо, салат, соус, маринад или коктейльный компонент с зелёный чай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108</x:v>
      </x:c>
    </x:row>
    <x:row r="10" ht="66" customHeight="1">
      <x:c r="A10" s="28" t="str">
        <x:v>VEG-0134</x:v>
      </x:c>
      <x:c r="B10" s="28" t="str">
        <x:v>болгарский перец</x:v>
      </x:c>
      <x:c r="C10" s="28" t="str">
        <x:v>колумбийский кофе</x:v>
      </x:c>
      <x:c r="D10" s="28" t="str">
        <x:v>Кофе</x:v>
      </x:c>
      <x:c r="E10" s="28" t="str">
        <x:v>сенсорная комплементарность</x:v>
      </x:c>
      <x:c r="F10" s="28" t="str">
        <x:v>Болгарский перец имеет профиль «зелёный, травянистый, фруктовый; у красного — сладкий и жареный». Партнёр «колумбийский 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10" s="28" t="str">
        <x:v>зелёный перец может доминировать метоксипиразином; обугленную кожицу удалять; жареная горечь легко маскирует нежный овощной аромат</x:v>
      </x:c>
      <x:c r="I10" s="28" t="str">
        <x:v>сок, кордиал, гаспачо, салат, соус, маринад или коктейльный компонент с колумбийский кофе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108</x:v>
      </x:c>
    </x:row>
    <x:row r="11" ht="66" customHeight="1">
      <x:c r="A11" s="28" t="str">
        <x:v>VEG-0167</x:v>
      </x:c>
      <x:c r="B11" s="28" t="str">
        <x:v>болгарский перец</x:v>
      </x:c>
      <x:c r="C11" s="28" t="str">
        <x:v>чёрный чай</x:v>
      </x:c>
      <x:c r="D11" s="28" t="str">
        <x:v>Чай</x:v>
      </x:c>
      <x:c r="E11" s="28" t="str">
        <x:v>пересечение ароматических семейств</x:v>
      </x:c>
      <x:c r="F11" s="28" t="str">
        <x:v>Болгарский перец имеет профиль «зелёный, травянистый, фруктовый; у красного — сладкий и жареный». Партнёр «чёрный 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1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11" s="28" t="str">
        <x:v>зелёный перец может доминировать метоксипиразином; обугленную кожицу удалять</x:v>
      </x:c>
      <x:c r="I11" s="28" t="str">
        <x:v>сок, кордиал, гаспачо, салат, соус, маринад или коктейльный компонент с чёрный чай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108</x:v>
      </x:c>
    </x:row>
    <x:row r="12" ht="66" customHeight="1">
      <x:c r="A12" s="28" t="str">
        <x:v>VEG-0177</x:v>
      </x:c>
      <x:c r="B12" s="28" t="str">
        <x:v>брокколи</x:v>
      </x:c>
      <x:c r="C12" s="28" t="str">
        <x:v>джин</x:v>
      </x:c>
      <x:c r="D12" s="28" t="str">
        <x:v>Алкогольные напитки</x:v>
      </x:c>
      <x:c r="E12" s="28" t="str">
        <x:v>сернистая или горчичная комплементарность</x:v>
      </x:c>
      <x:c r="F12" s="28" t="str">
        <x:v>Брокколи имеет профиль «зелёный, капустный, сернистый и ореховый после жарки».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2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2" s="28" t="str">
        <x:v>переваривание даёт сернистый запах и тусклый цвет; толстые стебли требуют отдельной обработки</x:v>
      </x:c>
      <x:c r="I12" s="28" t="str">
        <x:v>горячее блюдо, бульон, соус, пюре, ферментация или гарнир с джин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215</x:v>
      </x:c>
    </x:row>
    <x:row r="13" ht="66" customHeight="1">
      <x:c r="A13" s="28" t="str">
        <x:v>VEG-0228</x:v>
      </x:c>
      <x:c r="B13" s="28" t="str">
        <x:v>грибы</x:v>
      </x:c>
      <x:c r="C13" s="28" t="str">
        <x:v>джин</x:v>
      </x:c>
      <x:c r="D13" s="28" t="str">
        <x:v>Алкогольные напитки</x:v>
      </x:c>
      <x:c r="E13" s="28" t="str">
        <x:v>сенсорная комплементарность</x:v>
      </x:c>
      <x:c r="F13" s="28" t="str">
        <x:v>Грибы имеет профиль «землистый, лесной, жареный, мясной и слегка сернистый».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3" s="28" t="str">
        <x:v>горячее блюдо, бульон, соус, пюре, ферментация или гарнир с джин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215</x:v>
      </x:c>
    </x:row>
    <x:row r="14" ht="66" customHeight="1">
      <x:c r="A14" s="28" t="str">
        <x:v>VEG-0237</x:v>
      </x:c>
      <x:c r="B14" s="28" t="str">
        <x:v>грибы</x:v>
      </x:c>
      <x:c r="C14" s="28" t="str">
        <x:v>коньяк</x:v>
      </x:c>
      <x:c r="D14" s="28" t="str">
        <x:v>Алкогольные напитки</x:v>
      </x:c>
      <x:c r="E14" s="28" t="str">
        <x:v>сенсорная комплементарность</x:v>
      </x:c>
      <x:c r="F14" s="28" t="str">
        <x:v>Грибы имеет профиль «землистый, лесной, жареный, мясной и слегка сернистый».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" s="28" t="str">
        <x:v>горячее блюдо, бульон, соус, пюре, ферментация или гарнир с коньяк</x:v>
      </x:c>
      <x:c r="J14" s="28" t="str">
        <x:v>Высокая</x:v>
      </x:c>
      <x:c r="K14" s="28" t="str">
        <x:v>The Art &amp; Science of Foodpairing.pdf</x:v>
      </x:c>
      <x:c r="L14" s="28" t="str">
        <x:v>The Art &amp; Science of Foodpairing.pdf: 123</x:v>
      </x:c>
    </x:row>
    <x:row r="15" ht="66" customHeight="1">
      <x:c r="A15" s="28" t="str">
        <x:v>VEG-0353</x:v>
      </x:c>
      <x:c r="B15" s="28" t="str">
        <x:v>картофель</x:v>
      </x:c>
      <x:c r="C15" s="28" t="str">
        <x:v>кофе</x:v>
      </x:c>
      <x:c r="D15" s="28" t="str">
        <x:v>Кофе</x:v>
      </x:c>
      <x:c r="E15" s="28" t="str">
        <x:v>общие характерные молекулы; пересечение ароматических семейств</x:v>
      </x:c>
      <x:c r="F15" s="28" t="str">
        <x:v>Картофель имеет профиль «крахмалистый, землистый, ореховый и жареный после нагрева».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5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I15" s="28" t="str">
        <x:v>пюре, суп, запекание, крем, гарнир, соус или десертная разработка с кофе</x:v>
      </x:c>
      <x:c r="J15" s="28" t="str">
        <x:v>Средняя</x:v>
      </x:c>
      <x:c r="K15" s="28" t="str">
        <x:v>The Art &amp; Science of Foodpairing.pdf</x:v>
      </x:c>
      <x:c r="L15" s="28" t="str">
        <x:v>The Art &amp; Science of Foodpairing.pdf: 196</x:v>
      </x:c>
    </x:row>
    <x:row r="16" ht="66" customHeight="1">
      <x:c r="A16" s="28" t="str">
        <x:v>VEG-0381</x:v>
      </x:c>
      <x:c r="B16" s="28" t="str">
        <x:v>картофель</x:v>
      </x:c>
      <x:c r="C16" s="28" t="str">
        <x:v>пиво</x:v>
      </x:c>
      <x:c r="D16" s="28" t="str">
        <x:v>Алкогольные напитки</x:v>
      </x:c>
      <x:c r="E16" s="28" t="str">
        <x:v>общие характерные молекулы</x:v>
      </x:c>
      <x:c r="F16" s="28" t="str">
        <x:v>Картофель имеет профиль «крахмалистый, землистый, ореховый и жареный после нагрева». Партнёр «пиво»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1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6" s="28" t="str">
        <x:v>зелёные или проросшие клубни не использовать; пережаривание даёт горечь и чрезмерно тёмную корку</x:v>
      </x:c>
      <x:c r="I16" s="28" t="str">
        <x:v>пюре, суп, запекание, крем, гарнир, соус или десертная разработка с пиво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196</x:v>
      </x:c>
    </x:row>
    <x:row r="17" ht="66" customHeight="1">
      <x:c r="A17" s="28" t="str">
        <x:v>VEG-0394</x:v>
      </x:c>
      <x:c r="B17" s="28" t="str">
        <x:v>картофель</x:v>
      </x:c>
      <x:c r="C17" s="28" t="str">
        <x:v>томатный сок</x:v>
      </x:c>
      <x:c r="D17" s="28" t="str">
        <x:v>Плодовые и тыквенные овощи</x:v>
      </x:c>
      <x:c r="E17" s="28" t="str">
        <x:v>общие характерные молекулы</x:v>
      </x:c>
      <x:c r="F17" s="28" t="str">
        <x:v>Картофель имеет профиль «крахмалистый, землистый, ореховый и жареный после нагрева». Партнёр «томатный сок»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1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7" s="28" t="str">
        <x:v>зелёные или проросшие клубни не использовать; пережаривание даёт горечь и чрезмерно тёмную корку</x:v>
      </x:c>
      <x:c r="I17" s="28" t="str">
        <x:v>пюре, суп, запекание, крем, гарнир, соус или десертная разработка с томатный сок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196</x:v>
      </x:c>
    </x:row>
    <x:row r="18" ht="66" customHeight="1">
      <x:c r="A18" s="28" t="str">
        <x:v>VEG-0403</x:v>
      </x:c>
      <x:c r="B18" s="28" t="str">
        <x:v>картофель</x:v>
      </x:c>
      <x:c r="C18" s="28" t="str">
        <x:v>чай</x:v>
      </x:c>
      <x:c r="D18" s="28" t="str">
        <x:v>Чай</x:v>
      </x:c>
      <x:c r="E18" s="28" t="str">
        <x:v>сенсорная комплементарность</x:v>
      </x:c>
      <x:c r="F18" s="28" t="str">
        <x:v>Картофель имеет профиль «крахмалистый, землистый, ореховый и жареный после нагрева».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8" s="28" t="str">
        <x:v>зелёные или проросшие клубни не использовать; пережаривание даёт горечь и чрезмерно тёмную корку</x:v>
      </x:c>
      <x:c r="I18" s="28" t="str">
        <x:v>пюре, суп, запекание, крем, гарнир, соус или десертная разработка с чай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196</x:v>
      </x:c>
    </x:row>
    <x:row r="19" ht="66" customHeight="1">
      <x:c r="A19" s="28" t="str">
        <x:v>VEG-0413</x:v>
      </x:c>
      <x:c r="B19" s="28" t="str">
        <x:v>картофель</x:v>
      </x:c>
      <x:c r="C19" s="28" t="str">
        <x:v>чёрный чай</x:v>
      </x:c>
      <x:c r="D19" s="28" t="str">
        <x:v>Чай</x:v>
      </x:c>
      <x:c r="E19" s="28" t="str">
        <x:v>сенсорная комплементарность</x:v>
      </x:c>
      <x:c r="F19" s="28" t="str">
        <x:v>Картофель имеет профиль «крахмалистый, землистый, ореховый и жареный после нагрева». Партнёр «чёрный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19" s="28" t="str">
        <x:v>зелёные или проросшие клубни не использовать; пережаривание даёт горечь и чрезмерно тёмную корку</x:v>
      </x:c>
      <x:c r="I19" s="28" t="str">
        <x:v>пюре, суп, запекание, крем, гарнир, соус или десертная разработка с чёрный чай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196</x:v>
      </x:c>
    </x:row>
    <x:row r="20" ht="66" customHeight="1">
      <x:c r="A20" s="28" t="str">
        <x:v>VEG-0452</x:v>
      </x:c>
      <x:c r="B20" s="28" t="str">
        <x:v>морковь</x:v>
      </x:c>
      <x:c r="C20" s="28" t="str">
        <x:v>апельсиновый сок</x:v>
      </x:c>
      <x:c r="D20" s="28" t="str">
        <x:v>Фрукты и ягоды</x:v>
      </x:c>
      <x:c r="E20" s="28" t="str">
        <x:v>пересечение ароматических семейств; кислотно-сладкий баланс</x:v>
      </x:c>
      <x:c r="F20" s="28" t="str">
        <x:v>Морковь имеет профиль «сладкий, землистый, древесный и слегка цитрусовый». Партнёр «апельсиновый сок»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0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20" s="28" t="str">
        <x:v>сок, кордиал, гаспачо, салат, соус, маринад или коктейльный компонент с апельсиновый сок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232</x:v>
      </x:c>
    </x:row>
    <x:row r="21" ht="66" customHeight="1">
      <x:c r="A21" s="28" t="str">
        <x:v>VEG-0457</x:v>
      </x:c>
      <x:c r="B21" s="28" t="str">
        <x:v>морковь</x:v>
      </x:c>
      <x:c r="C21" s="28" t="str">
        <x:v>бурбон</x:v>
      </x:c>
      <x:c r="D21" s="28" t="str">
        <x:v>Алкогольные напитки</x:v>
      </x:c>
      <x:c r="E21" s="28" t="str">
        <x:v>пересечение ароматических семейств</x:v>
      </x:c>
      <x:c r="F21" s="28" t="str">
        <x:v>Морковь имеет профиль «сладкий, землистый, древесный и слегка цитрусовый». Партнёр «бурбон»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1" s="28" t="str">
        <x:v>сырая землистость может доминировать; перегрев делает профиль варёно-сладким</x:v>
      </x:c>
      <x:c r="I21" s="28" t="str">
        <x:v>сок, кордиал, гаспачо, салат, соус, маринад или коктейльный компонент с бурбон</x:v>
      </x:c>
      <x:c r="J21" s="28" t="str">
        <x:v>Средняя</x:v>
      </x:c>
      <x:c r="K21" s="28" t="str">
        <x:v>The Art &amp; Science of Foodpairing.pdf</x:v>
      </x:c>
      <x:c r="L21" s="28" t="str">
        <x:v>The Art &amp; Science of Foodpairing.pdf: 232</x:v>
      </x:c>
    </x:row>
    <x:row r="22" ht="66" customHeight="1">
      <x:c r="A22" s="28" t="str">
        <x:v>VEG-0460</x:v>
      </x:c>
      <x:c r="B22" s="28" t="str">
        <x:v>морковь</x:v>
      </x:c>
      <x:c r="C22" s="28" t="str">
        <x:v>водка</x:v>
      </x:c>
      <x:c r="D22" s="28" t="str">
        <x:v>Алкогольные напитки</x:v>
      </x:c>
      <x:c r="E22" s="28" t="str">
        <x:v>пересечение ароматических семейств</x:v>
      </x:c>
      <x:c r="F22" s="28" t="str">
        <x:v>Морковь имеет профиль «сладкий, землистый, древесный и слегка цитрусовый». Партнёр «водка»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2" s="28" t="str">
        <x:v>сырая землистость может доминировать; перегрев делает профиль варёно-сладким</x:v>
      </x:c>
      <x:c r="I22" s="28" t="str">
        <x:v>сок, кордиал, гаспачо, салат, соус, маринад или коктейльный компонент с водка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232</x:v>
      </x:c>
    </x:row>
    <x:row r="23" ht="66" customHeight="1">
      <x:c r="A23" s="28" t="str">
        <x:v>VEG-0465</x:v>
      </x:c>
      <x:c r="B23" s="28" t="str">
        <x:v>морковь</x:v>
      </x:c>
      <x:c r="C23" s="28" t="str">
        <x:v>грейпфрутовый сок</x:v>
      </x:c>
      <x:c r="D23" s="28" t="str">
        <x:v>Фрукты и ягоды</x:v>
      </x:c>
      <x:c r="E23" s="28" t="str">
        <x:v>кислотно-сладкий баланс</x:v>
      </x:c>
      <x:c r="F23" s="28" t="str">
        <x:v>Морковь имеет профиль «сладкий, землистый, древесный и слегка цитрусовый». Партнёр «грейпфрутовый сок» относится к группе «Фрукты и ягоды» и даёт горький, сернистый,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3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23" s="28" t="str">
        <x:v>сок, кордиал, гаспачо, салат, соус, маринад или коктейльный компонент с грейпфрутовый сок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232</x:v>
      </x:c>
    </x:row>
    <x:row r="24" ht="66" customHeight="1">
      <x:c r="A24" s="28" t="str">
        <x:v>VEG-0484</x:v>
      </x:c>
      <x:c r="B24" s="28" t="str">
        <x:v>морковь</x:v>
      </x:c>
      <x:c r="C24" s="28" t="str">
        <x:v>коньяк</x:v>
      </x:c>
      <x:c r="D24" s="28" t="str">
        <x:v>Алкогольные напитки</x:v>
      </x:c>
      <x:c r="E24" s="28" t="str">
        <x:v>пересечение ароматических семейств</x:v>
      </x:c>
      <x:c r="F24" s="28" t="str">
        <x:v>Морковь имеет профиль «сладкий, землистый, древесный и слегка цитрусовый». Партнёр «коньяк» относится к группе «Алкогольные напитки» и даёт спиртовой, фруктовый или древесный. Профили пересекаются в семействах: древесный.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4" s="28" t="str">
        <x:v>сырая землистость может доминировать; перегрев делает профиль варёно-сладким</x:v>
      </x:c>
      <x:c r="I24" s="28" t="str">
        <x:v>сок, кордиал, гаспачо, салат, соус, маринад или коктейльный компонент с коньяк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123</x:v>
      </x:c>
    </x:row>
    <x:row r="25" ht="66" customHeight="1">
      <x:c r="A25" s="28" t="str">
        <x:v>VEG-0486</x:v>
      </x:c>
      <x:c r="B25" s="28" t="str">
        <x:v>морковь</x:v>
      </x:c>
      <x:c r="C25" s="28" t="str">
        <x:v>кофе</x:v>
      </x:c>
      <x:c r="D25" s="28" t="str">
        <x:v>Кофе</x:v>
      </x:c>
      <x:c r="E25" s="28" t="str">
        <x:v>сенсорная комплементарность</x:v>
      </x:c>
      <x:c r="F25" s="28" t="str">
        <x:v>Морковь имеет профиль «сладкий, землистый, древесный и слегка цитрусовый».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5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I25" s="28" t="str">
        <x:v>сок, кордиал, гаспачо, салат, соус, маринад или коктейльный компонент с кофе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297</x:v>
      </x:c>
    </x:row>
    <x:row r="26" ht="66" customHeight="1">
      <x:c r="A26" s="28" t="str">
        <x:v>VEG-0509</x:v>
      </x:c>
      <x:c r="B26" s="28" t="str">
        <x:v>морковь</x:v>
      </x:c>
      <x:c r="C26" s="28" t="str">
        <x:v>сок бузины</x:v>
      </x:c>
      <x:c r="D26" s="28" t="str">
        <x:v>Травы, цветы и листья</x:v>
      </x:c>
      <x:c r="E26" s="28" t="str">
        <x:v>сенсорная комплементарность</x:v>
      </x:c>
      <x:c r="F26" s="28" t="str">
        <x:v>Морковь имеет профиль «сладкий, землистый, древесный и слегка цитрусовый». Партнёр «сок бузины»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6" s="28" t="str">
        <x:v>сырая землистость может доминировать; перегрев делает профиль варёно-сладким; длительный нагрев уносит свежие терпены и зелёные альдегиды</x:v>
      </x:c>
      <x:c r="I26" s="28" t="str">
        <x:v>сок, кордиал, гаспачо, салат, соус, маринад или коктейльный компонент с сок бузины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232</x:v>
      </x:c>
    </x:row>
    <x:row r="27" ht="66" customHeight="1">
      <x:c r="A27" s="28" t="str">
        <x:v>VEG-0513</x:v>
      </x:c>
      <x:c r="B27" s="28" t="str">
        <x:v>морковь</x:v>
      </x:c>
      <x:c r="C27" s="28" t="str">
        <x:v>томатный сок</x:v>
      </x:c>
      <x:c r="D27" s="28" t="str">
        <x:v>Плодовые и тыквенные овощи</x:v>
      </x:c>
      <x:c r="E27" s="28" t="str">
        <x:v>сенсорная комплементарность</x:v>
      </x:c>
      <x:c r="F27" s="28" t="str">
        <x:v>Морковь имеет профиль «сладкий, землистый, древесный и слегка цитрусовый». Партнёр «томатный сок»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27" s="28" t="str">
        <x:v>сырая землистость может доминировать; перегрев делает профиль варёно-сладким</x:v>
      </x:c>
      <x:c r="I27" s="28" t="str">
        <x:v>сок, кордиал, гаспачо, салат, соус, маринад или коктейльный компонент с томатный сок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232</x:v>
      </x:c>
    </x:row>
    <x:row r="28" ht="66" customHeight="1">
      <x:c r="A28" s="28" t="str">
        <x:v>VEG-0612</x:v>
      </x:c>
      <x:c r="B28" s="28" t="str">
        <x:v>редис</x:v>
      </x:c>
      <x:c r="C28" s="28" t="str">
        <x:v>джин</x:v>
      </x:c>
      <x:c r="D28" s="28" t="str">
        <x:v>Алкогольные напитки</x:v>
      </x:c>
      <x:c r="E28" s="28" t="str">
        <x:v>сернистая или горчичная комплементарность</x:v>
      </x:c>
      <x:c r="F28" s="28" t="str">
        <x:v>Редис имеет профиль «горчичный, зелёный, перечный и водянистый».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8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28" s="28" t="str">
        <x:v>вялая текстура и чрезмерная острота; некоторые сорта значительно сильнее других</x:v>
      </x:c>
      <x:c r="I28" s="28" t="str">
        <x:v>салат, гарнир, суп, соус, маринад, ферментация или напиток с джин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215</x:v>
      </x:c>
    </x:row>
    <x:row r="29" ht="66" customHeight="1">
      <x:c r="A29" s="28" t="str">
        <x:v>VEG-0621</x:v>
      </x:c>
      <x:c r="B29" s="28" t="str">
        <x:v>репа</x:v>
      </x:c>
      <x:c r="C29" s="28" t="str">
        <x:v>кофе</x:v>
      </x:c>
      <x:c r="D29" s="28" t="str">
        <x:v>Кофе</x:v>
      </x:c>
      <x:c r="E29" s="28" t="str">
        <x:v>сернистая или горчичная комплементарность</x:v>
      </x:c>
      <x:c r="F29" s="28" t="str">
        <x:v>Репа имеет профиль «горчичный, зелёный, землистый и мягко сладкий».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9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29" s="28" t="str">
        <x:v>старая репа может быть древесной и горькой; передозировка горчичных нот; жареная горечь легко маскирует нежный овощной аромат</x:v>
      </x:c>
      <x:c r="I29" s="28" t="str">
        <x:v>салат, гарнир, суп, соус, маринад, ферментация или напиток с кофе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297</x:v>
      </x:c>
    </x:row>
    <x:row r="30" ht="66" customHeight="1">
      <x:c r="A30" s="28" t="str">
        <x:v>VEG-0635</x:v>
      </x:c>
      <x:c r="B30" s="28" t="str">
        <x:v>свёкла</x:v>
      </x:c>
      <x:c r="C30" s="28" t="str">
        <x:v>водка</x:v>
      </x:c>
      <x:c r="D30" s="28" t="str">
        <x:v>Алкогольные напитки</x:v>
      </x:c>
      <x:c r="E30" s="28" t="str">
        <x:v>общие характерные молекулы</x:v>
      </x:c>
      <x:c r="F30" s="28" t="str">
        <x:v>Свёкла имеет профиль «землистый, сладкий, минеральный и слегка зелёный». Партнёр «водка»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0" s="28" t="str">
        <x:v>геосмин легко доминирует; беталаины отвечают за цвет, а не за запах; сильный нагрев снижает яркость цвета</x:v>
      </x:c>
      <x:c r="I30" s="28" t="str">
        <x:v>сок, кордиал, гаспачо, салат, соус, маринад или коктейльный компонент с водка</x:v>
      </x:c>
      <x:c r="J30" s="28" t="str">
        <x:v>Высокая</x:v>
      </x:c>
      <x:c r="K30" s="28" t="str">
        <x:v>The Art &amp; Science of Foodpairing.pdf</x:v>
      </x:c>
      <x:c r="L30" s="28" t="str">
        <x:v>The Art &amp; Science of Foodpairing.pdf: 223</x:v>
      </x:c>
    </x:row>
    <x:row r="31" ht="66" customHeight="1">
      <x:c r="A31" s="28" t="str">
        <x:v>VEG-0656</x:v>
      </x:c>
      <x:c r="B31" s="28" t="str">
        <x:v>свёкла</x:v>
      </x:c>
      <x:c r="C31" s="28" t="str">
        <x:v>коньяк</x:v>
      </x:c>
      <x:c r="D31" s="28" t="str">
        <x:v>Алкогольные напитки</x:v>
      </x:c>
      <x:c r="E31" s="28" t="str">
        <x:v>общие характерные молекулы</x:v>
      </x:c>
      <x:c r="F31" s="28" t="str">
        <x:v>Свёкла имеет профиль «землистый, сладкий, минеральный и слегка зелёный». Партнёр «коньяк»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1" s="28" t="str">
        <x:v>геосмин легко доминирует; беталаины отвечают за цвет, а не за запах; сильный нагрев снижает яркость цвета</x:v>
      </x:c>
      <x:c r="I31" s="28" t="str">
        <x:v>сок, кордиал, гаспачо, салат, соус, маринад или коктейльный компонент с коньяк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123</x:v>
      </x:c>
    </x:row>
    <x:row r="32" ht="66" customHeight="1">
      <x:c r="A32" s="28" t="str">
        <x:v>VEG-0659</x:v>
      </x:c>
      <x:c r="B32" s="28" t="str">
        <x:v>свёкла</x:v>
      </x:c>
      <x:c r="C32" s="28" t="str">
        <x:v>кофе</x:v>
      </x:c>
      <x:c r="D32" s="28" t="str">
        <x:v>Кофе</x:v>
      </x:c>
      <x:c r="E32" s="28" t="str">
        <x:v>сенсорная комплементарность</x:v>
      </x:c>
      <x:c r="F32" s="28" t="str">
        <x:v>Свёкла имеет профиль «землистый, сладкий, минеральный и слегка зелёный».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2" s="28" t="str">
        <x:v>геосмин легко доминирует; беталаины отвечают за цвет, а не за запах; сильный нагрев снижает яркость цвета; жареная горечь легко маскирует нежный овощной аромат</x:v>
      </x:c>
      <x:c r="I32" s="28" t="str">
        <x:v>сок, кордиал, гаспачо, салат, соус, маринад или коктейльный компонент с кофе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297</x:v>
      </x:c>
    </x:row>
    <x:row r="33" ht="66" customHeight="1">
      <x:c r="A33" s="28" t="str">
        <x:v>VEG-0701</x:v>
      </x:c>
      <x:c r="B33" s="28" t="str">
        <x:v>свёкла</x:v>
      </x:c>
      <x:c r="C33" s="28" t="str">
        <x:v>чай</x:v>
      </x:c>
      <x:c r="D33" s="28" t="str">
        <x:v>Чай</x:v>
      </x:c>
      <x:c r="E33" s="28" t="str">
        <x:v>пересечение ароматических семейств</x:v>
      </x:c>
      <x:c r="F33" s="28" t="str">
        <x:v>Свёкла имеет профиль «землистый, сладкий, минеральный и слегка зелёный». Партнёр «чай» относится к группе «Чай» и даёт цветочный, древесный или зелёный.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3" s="28" t="str">
        <x:v>геосмин легко доминирует; беталаины отвечают за цвет, а не за запах; сильный нагрев снижает яркость цвета</x:v>
      </x:c>
      <x:c r="I33" s="28" t="str">
        <x:v>сок, кордиал, гаспачо, салат, соус, маринад или коктейльный компонент с чай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224</x:v>
      </x:c>
    </x:row>
    <x:row r="34" ht="66" customHeight="1">
      <x:c r="A34" s="28" t="str">
        <x:v>VEG-0805</x:v>
      </x:c>
      <x:c r="B34" s="28" t="str">
        <x:v>спаржа</x:v>
      </x:c>
      <x:c r="C34" s="28" t="str">
        <x:v>джин</x:v>
      </x:c>
      <x:c r="D34" s="28" t="str">
        <x:v>Алкогольные напитки</x:v>
      </x:c>
      <x:c r="E34" s="28" t="str">
        <x:v>сернистая или горчичная комплементарность</x:v>
      </x:c>
      <x:c r="F34" s="28" t="str">
        <x:v>Спаржа имеет профиль «зелёный, сернистый, ореховый и слегка сладкий».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34" s="28" t="str">
        <x:v>переваривание усиливает сернистость и разрушает текстуру; толстые основания очищать</x:v>
      </x:c>
      <x:c r="I34" s="28" t="str">
        <x:v>горячее блюдо, бульон, соус, пюре, ферментация или гарнир с джин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215</x:v>
      </x:c>
    </x:row>
    <x:row r="35" ht="66" customHeight="1">
      <x:c r="A35" s="28" t="str">
        <x:v>VEG-0853</x:v>
      </x:c>
      <x:c r="B35" s="28" t="str">
        <x:v>томат</x:v>
      </x:c>
      <x:c r="C35" s="28" t="str">
        <x:v>коньяк</x:v>
      </x:c>
      <x:c r="D35" s="28" t="str">
        <x:v>Алкогольные напитки</x:v>
      </x:c>
      <x:c r="E35" s="28" t="str">
        <x:v>пересечение ароматических семейств</x:v>
      </x:c>
      <x:c r="F35" s="28" t="str">
        <x:v>Томат имеет профиль «зелёный, фруктовый, листовой, сернистый и умами». Партнёр «коньяк» относится к группе «Алкогольные напитки» и даёт спиртовой, фруктовый или древесный. Профили пересекаются в семействах: фруктовый. Совместимость формируется за счёт баланса сладости, кислотности, горечи, умами и текстуры.</x:v>
      </x:c>
      <x:c r="G3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35" s="28" t="str">
        <x:v>незрелые плоды слишком зелёные; длительное кипячение стирает свежесть; кислота влияет на молочные эмульсии</x:v>
      </x:c>
      <x:c r="I35" s="28" t="str">
        <x:v>сок, кордиал, гаспачо, салат, соус, маринад или коктейльный компонент с коньяк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123</x:v>
      </x:c>
    </x:row>
    <x:row r="36" ht="66" customHeight="1">
      <x:c r="A36" s="28" t="str">
        <x:v>VEG-0855</x:v>
      </x:c>
      <x:c r="B36" s="28" t="str">
        <x:v>томат</x:v>
      </x:c>
      <x:c r="C36" s="28" t="str">
        <x:v>кофе</x:v>
      </x:c>
      <x:c r="D36" s="28" t="str">
        <x:v>Кофе</x:v>
      </x:c>
      <x:c r="E36" s="28" t="str">
        <x:v>сенсорная комплементарность</x:v>
      </x:c>
      <x:c r="F36" s="28" t="str">
        <x:v>Томат имеет профиль «зелёный, фруктовый, листовой, сернистый и умами». Партнёр «кофе» относится к группе «Кофе» и даёт жареный, карамельный,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3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36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I36" s="28" t="str">
        <x:v>сок, кордиал, гаспачо, салат, соус, маринад или коктейльный компонент с кофе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297</x:v>
      </x:c>
    </x:row>
    <x:row r="37" ht="66" customHeight="1">
      <x:c r="A37" s="28" t="str">
        <x:v>VEG-0898</x:v>
      </x:c>
      <x:c r="B37" s="28" t="str">
        <x:v>томат</x:v>
      </x:c>
      <x:c r="C37" s="28" t="str">
        <x:v>томатный сок</x:v>
      </x:c>
      <x:c r="D37" s="28" t="str">
        <x:v>Плодовые и тыквенные овощи</x:v>
      </x:c>
      <x:c r="E37" s="28" t="str">
        <x:v>пересечение ароматических семейств</x:v>
      </x:c>
      <x:c r="F37" s="28" t="str">
        <x:v>Томат имеет профиль «зелёный, фруктовый, листовой, сернистый и умами». Партнёр «томатный сок»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G3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37" s="28" t="str">
        <x:v>незрелые плоды слишком зелёные; длительное кипячение стирает свежесть; кислота влияет на молочные эмульсии</x:v>
      </x:c>
      <x:c r="I37" s="28" t="str">
        <x:v>сок, кордиал, гаспачо, салат, соус, маринад или коктейльный компонент с томатный сок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161</x:v>
      </x:c>
    </x:row>
    <x:row r="38" ht="66" customHeight="1">
      <x:c r="A38" s="28" t="str">
        <x:v>VEG-0927</x:v>
      </x:c>
      <x:c r="B38" s="28" t="str">
        <x:v>тыква</x:v>
      </x:c>
      <x:c r="C38" s="28" t="str">
        <x:v>кофе</x:v>
      </x:c>
      <x:c r="D38" s="28" t="str">
        <x:v>Кофе</x:v>
      </x:c>
      <x:c r="E38" s="28" t="str">
        <x:v>общие характерные молекулы; пересечение ароматических семейств</x:v>
      </x:c>
      <x:c r="F38" s="28" t="str">
        <x:v>Тыква имеет профиль «сладкий, крахмалистый, ореховый и слегка цветочный». Партнёр «кофе» относится к группе «Кофе» и даёт жареный, карамельный, ореховый.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8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38" s="28" t="str">
        <x:v>водянистые сорта размывают вкус; сильная сладость требует кислоты, соли или горечи; жареная горечь легко маскирует нежный овощной аромат</x:v>
      </x:c>
      <x:c r="I38" s="28" t="str">
        <x:v>пюре, суп, запекание, крем, гарнир, соус или десертная разработка с кофе</x:v>
      </x:c>
      <x:c r="J38" s="28" t="str">
        <x:v>Высокая</x:v>
      </x:c>
      <x:c r="K38" s="28" t="str">
        <x:v>The Art &amp; Science of Foodpairing.pdf | Таблица сочетания(1).pdf</x:v>
      </x:c>
      <x:c r="L38" s="28" t="str">
        <x:v>Таблица сочетания(1).pdf: 6, 18; The Art &amp; Science of Foodpairing.pdf: 297</x:v>
      </x:c>
    </x:row>
    <x:row r="39" ht="66" customHeight="1">
      <x:c r="A39" s="28" t="str">
        <x:v>VEG-0971</x:v>
      </x:c>
      <x:c r="B39" s="28" t="str">
        <x:v>фенхель</x:v>
      </x:c>
      <x:c r="C39" s="28" t="str">
        <x:v>джин</x:v>
      </x:c>
      <x:c r="D39" s="28" t="str">
        <x:v>Алкогольные напитки</x:v>
      </x:c>
      <x:c r="E39" s="28" t="str">
        <x:v>сенсорная комплементарность</x:v>
      </x:c>
      <x:c r="F39" s="28" t="str">
        <x:v>Фенхель имеет профиль «анисовый, зелёный, свежий и сладковатый».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9" s="28" t="str">
        <x:v>сырой сохраняет свежий анис; запекание смягчает аромат и усиливает сладость. </x:v>
      </x:c>
      <x:c r="H39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39" s="28" t="str">
        <x:v>салат, гарнир, суп, соус, маринад, ферментация или напиток с джин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215</x:v>
      </x:c>
    </x:row>
    <x:row r="40" ht="66" customHeight="1">
      <x:c r="A40" s="28" t="str">
        <x:v>VEG-0973</x:v>
      </x:c>
      <x:c r="B40" s="28" t="str">
        <x:v>фенхель</x:v>
      </x:c>
      <x:c r="C40" s="28" t="str">
        <x:v>кленовый сироп</x:v>
      </x:c>
      <x:c r="D40" s="28" t="str">
        <x:v>Выпечка, крупы, сахара и десерты</x:v>
      </x:c>
      <x:c r="E40" s="28" t="str">
        <x:v>пересечение ароматических семейств</x:v>
      </x:c>
      <x:c r="F40" s="28" t="str">
        <x:v>Фенхель имеет профиль «анисовый, зелёный, свежий и сладковатый». Партнёр «кленовый сироп»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G40" s="28" t="str">
        <x:v>сырой сохраняет свежий анис; запекание смягчает аромат и усиливает сладость. </x:v>
      </x:c>
      <x:c r="H40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40" s="28" t="str">
        <x:v>салат, гарнир, суп, соус, маринад, ферментация или напиток с кленовый сироп</x:v>
      </x:c>
      <x:c r="J40" s="28" t="str">
        <x:v>Гипотеза / практическая</x:v>
      </x:c>
      <x:c r="K40" s="28" t="str">
        <x:v>Таблица сочетания(1).pdf</x:v>
      </x:c>
      <x:c r="L40" s="28" t="str">
        <x:v>Таблица сочетания(1).pdf: 8</x:v>
      </x:c>
    </x:row>
    <x:row r="41" ht="66" customHeight="1">
      <x:c r="A41" s="28" t="str">
        <x:v>VEG-0975</x:v>
      </x:c>
      <x:c r="B41" s="28" t="str">
        <x:v>фенхель</x:v>
      </x:c>
      <x:c r="C41" s="28" t="str">
        <x:v>коньяк</x:v>
      </x:c>
      <x:c r="D41" s="28" t="str">
        <x:v>Алкогольные напитки</x:v>
      </x:c>
      <x:c r="E41" s="28" t="str">
        <x:v>сенсорная комплементарность</x:v>
      </x:c>
      <x:c r="F41" s="28" t="str">
        <x:v>Фенхель имеет профиль «анисовый, зелёный, свежий и сладковатый».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1" s="28" t="str">
        <x:v>сырой сохраняет свежий анис; запекание смягчает аромат и усиливает сладость. </x:v>
      </x:c>
      <x:c r="H41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41" s="28" t="str">
        <x:v>салат, гарнир, суп, соус, маринад, ферментация или напиток с коньяк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123</x:v>
      </x:c>
    </x:row>
    <x:row r="42" ht="66" customHeight="1">
      <x:c r="A42" s="28" t="str">
        <x:v>VEG-0995</x:v>
      </x:c>
      <x:c r="B42" s="28" t="str">
        <x:v>цветная капуста</x:v>
      </x:c>
      <x:c r="C42" s="28" t="str">
        <x:v>кофе</x:v>
      </x:c>
      <x:c r="D42" s="28" t="str">
        <x:v>Кофе</x:v>
      </x:c>
      <x:c r="E42" s="28" t="str">
        <x:v>общие характерные молекулы; пересечение ароматических семейств; сернистая или горчичная комплементарность</x:v>
      </x:c>
      <x:c r="F42" s="28" t="str">
        <x:v>Цветная капуста имеет профиль «мягко капустный, ореховый, сернистый и сливочный после запекания».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2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I42" s="28" t="str">
        <x:v>горячее блюдо, бульон, соус, пюре, ферментация или гарнир с кофе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297</x:v>
      </x:c>
    </x:row>
    <x:row r="43" ht="66" customHeight="1">
      <x:c r="A43" s="28" t="str">
        <x:v>VEG-1026</x:v>
      </x:c>
      <x:c r="B43" s="28" t="str">
        <x:v>чеснок</x:v>
      </x:c>
      <x:c r="C43" s="28" t="str">
        <x:v>гранатовый сок</x:v>
      </x:c>
      <x:c r="D43" s="28" t="str">
        <x:v>Прочее</x:v>
      </x:c>
      <x:c r="E43" s="28" t="str">
        <x:v>сернистая или горчичная комплементарность</x:v>
      </x:c>
      <x:c r="F43" s="28" t="str">
        <x:v>Чеснок имеет профиль «резкий сернистый, зелёный и мясной; после запекания — сладкий и ореховый». Партнёр «гранатовый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3" s="28" t="str">
        <x:v>сырой чеснок быстро доминирует; пережжённый чеснок очень горький; хранить и обрабатывать по пищевым нормам</x:v>
      </x:c>
      <x:c r="I43" s="28" t="str">
        <x:v>горячее блюдо, бульон, соус, пюре, ферментация или гарнир с гранатовый сок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113</x:v>
      </x:c>
    </x:row>
    <x:row r="44" ht="66" customHeight="1">
      <x:c r="A44" s="28" t="str">
        <x:v>VEG-1037</x:v>
      </x:c>
      <x:c r="B44" s="28" t="str">
        <x:v>чеснок</x:v>
      </x:c>
      <x:c r="C44" s="28" t="str">
        <x:v>зелёный чай</x:v>
      </x:c>
      <x:c r="D44" s="28" t="str">
        <x:v>Чай</x:v>
      </x:c>
      <x:c r="E44" s="28" t="str">
        <x:v>сернистая или горчичная комплементарность</x:v>
      </x:c>
      <x:c r="F44" s="28" t="str">
        <x:v>Чеснок имеет профиль «резкий сернистый, зелёный и мясной; после запекания — сладкий и ореховый». Партнёр «зелёный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4" s="28" t="str">
        <x:v>сырой чеснок быстро доминирует; пережжённый чеснок очень горький; хранить и обрабатывать по пищевым нормам</x:v>
      </x:c>
      <x:c r="I44" s="28" t="str">
        <x:v>горячее блюдо, бульон, соус, пюре, ферментация или гарнир с зелёный чай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113</x:v>
      </x:c>
    </x:row>
    <x:row r="45" ht="66" customHeight="1">
      <x:c r="A45" s="28" t="str">
        <x:v>VEG-1050</x:v>
      </x:c>
      <x:c r="B45" s="28" t="str">
        <x:v>чеснок</x:v>
      </x:c>
      <x:c r="C45" s="28" t="str">
        <x:v>коньяк</x:v>
      </x:c>
      <x:c r="D45" s="28" t="str">
        <x:v>Алкогольные напитки</x:v>
      </x:c>
      <x:c r="E45" s="28" t="str">
        <x:v>сернистая или горчичная комплементарность</x:v>
      </x:c>
      <x:c r="F45" s="28" t="str">
        <x:v>Чеснок имеет профиль «резкий сернистый, зелёный и мясной; после запекания — сладкий и ореховый».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5" s="28" t="str">
        <x:v>сырой чеснок быстро доминирует; пережжённый чеснок очень горький; хранить и обрабатывать по пищевым нормам</x:v>
      </x:c>
      <x:c r="I45" s="28" t="str">
        <x:v>горячее блюдо, бульон, соус, пюре, ферментация или гарнир с коньяк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123</x:v>
      </x:c>
    </x:row>
    <x:row r="46" ht="66" customHeight="1">
      <x:c r="A46" s="28" t="str">
        <x:v>VEG-1053</x:v>
      </x:c>
      <x:c r="B46" s="28" t="str">
        <x:v>чеснок</x:v>
      </x:c>
      <x:c r="C46" s="28" t="str">
        <x:v>кофе</x:v>
      </x:c>
      <x:c r="D46" s="28" t="str">
        <x:v>Кофе</x:v>
      </x:c>
      <x:c r="E46" s="28" t="str">
        <x:v>пересечение ароматических семейств; сернистая или горчичная комплементарность</x:v>
      </x:c>
      <x:c r="F46" s="28" t="str">
        <x:v>Чеснок имеет профиль «резкий сернистый, зелёный и мясной; после запекания — сладкий и ореховый». Партнёр «кофе» относится к группе «Кофе» и даёт жареный, карамельный,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6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46" s="28" t="str">
        <x:v>горячее блюдо, бульон, соус, пюре, ферментация или гарнир с кофе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113</x:v>
      </x:c>
    </x:row>
    <x:row r="47" ht="66" customHeight="1">
      <x:c r="A47" s="28" t="str">
        <x:v>VEG-1067</x:v>
      </x:c>
      <x:c r="B47" s="28" t="str">
        <x:v>чеснок</x:v>
      </x:c>
      <x:c r="C47" s="28" t="str">
        <x:v>матча</x:v>
      </x:c>
      <x:c r="D47" s="28" t="str">
        <x:v>Чай</x:v>
      </x:c>
      <x:c r="E47" s="28" t="str">
        <x:v>сернистая или горчичная комплементарность</x:v>
      </x:c>
      <x:c r="F47" s="28" t="str">
        <x:v>Чеснок имеет профиль «резкий сернистый, зелёный и мясной; после запекания — сладкий и ореховый». Партнёр «матча»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7" s="28" t="str">
        <x:v>сырой чеснок быстро доминирует; пережжённый чеснок очень горький; хранить и обрабатывать по пищевым нормам</x:v>
      </x:c>
      <x:c r="I47" s="28" t="str">
        <x:v>горячее блюдо, бульон, соус, пюре, ферментация или гарнир с матча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113</x:v>
      </x:c>
    </x:row>
    <x:row r="48" ht="66" customHeight="1">
      <x:c r="A48" s="28" t="str">
        <x:v>VEG-1094</x:v>
      </x:c>
      <x:c r="B48" s="28" t="str">
        <x:v>чеснок</x:v>
      </x:c>
      <x:c r="C48" s="28" t="str">
        <x:v>соевый напиток</x:v>
      </x:c>
      <x:c r="D48" s="28" t="str">
        <x:v>Прочее</x:v>
      </x:c>
      <x:c r="E48" s="28" t="str">
        <x:v>сернистая или горчичная комплементарность</x:v>
      </x:c>
      <x:c r="F48" s="28" t="str">
        <x:v>Чеснок имеет профиль «резкий сернистый, зелёный и мясной; после запекания — сладкий и ореховый». Партнёр «соевый напиток»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8" s="28" t="str">
        <x:v>сырой чеснок быстро доминирует; пережжённый чеснок очень горький; хранить и обрабатывать по пищевым нормам</x:v>
      </x:c>
      <x:c r="I48" s="28" t="str">
        <x:v>горячее блюдо, бульон, соус, пюре, ферментация или гарнир с соевый напиток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113</x:v>
      </x:c>
    </x:row>
    <x:row r="49" ht="66" customHeight="1">
      <x:c r="A49" s="28" t="str">
        <x:v>VEG-1116</x:v>
      </x:c>
      <x:c r="B49" s="28" t="str">
        <x:v>чеснок</x:v>
      </x:c>
      <x:c r="C49" s="28" t="str">
        <x:v>чай</x:v>
      </x:c>
      <x:c r="D49" s="28" t="str">
        <x:v>Чай</x:v>
      </x:c>
      <x:c r="E49" s="28" t="str">
        <x:v>сернистая или горчичная комплементарность</x:v>
      </x:c>
      <x:c r="F49" s="28" t="str">
        <x:v>Чеснок имеет профиль «резкий сернистый, зелёный и мясной; после запекания — сладкий и ореховый».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49" s="28" t="str">
        <x:v>сырой чеснок быстро доминирует; пережжённый чеснок очень горький; хранить и обрабатывать по пищевым нормам</x:v>
      </x:c>
      <x:c r="I49" s="28" t="str">
        <x:v>горячее блюдо, бульон, соус, пюре, ферментация или гарнир с чай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113</x:v>
      </x:c>
    </x:row>
  </x:sheetData>
  <x:conditionalFormatting sqref="J2:J49">
    <x:cfRule type="expression" dxfId="21" priority="1">
      <x:formula>J2="Высокая"</x:formula>
    </x:cfRule>
    <x:cfRule type="expression" dxfId="22" priority="2">
      <x:formula>J2="Средняя"</x:formula>
    </x:cfRule>
    <x:cfRule type="expression" dxfId="23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b50f18ef80435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VEG-0003</x:v>
      </x:c>
      <x:c r="B2" s="28" t="str">
        <x:v>артишок</x:v>
      </x:c>
      <x:c r="C2" s="28" t="str">
        <x:v>баранина</x:v>
      </x:c>
      <x:c r="D2" s="28" t="str">
        <x:v>Мясо и птица</x:v>
      </x:c>
      <x:c r="E2" s="28" t="str">
        <x:v>умами и солёный контраст</x:v>
      </x:c>
      <x:c r="F2" s="28" t="str">
        <x:v>Артишок имеет профиль «зелёный, ореховый, травянистый и слегка цветочный».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" s="28" t="str">
        <x:v>кислота ограничивает потемнение; варка и гриль смягчают горечь и усиливают ореховые ноты. </x:v>
      </x:c>
      <x:c r="H2" s="28" t="str">
        <x:v>быстро темнеет; цинарин изменяет восприятие последующей сладости и может мешать винным сочетаниям</x:v>
      </x:c>
      <x:c r="I2" s="28" t="str">
        <x:v>горячее блюдо, бульон, соус, пюре, ферментация или гарнир с баранина</x:v>
      </x:c>
      <x:c r="J2" s="28" t="str">
        <x:v>Средняя</x:v>
      </x:c>
      <x:c r="K2" s="28" t="str">
        <x:v>Тезариус вкусов (Ники Сегнит)(1).pdf</x:v>
      </x:c>
      <x:c r="L2" s="28" t="str">
        <x:v>Тезариус вкусов (Ники Сегнит)(1).pdf: 126, 335, 336</x:v>
      </x:c>
    </x:row>
    <x:row r="3" ht="66" customHeight="1">
      <x:c r="A3" s="28" t="str">
        <x:v>VEG-0004</x:v>
      </x:c>
      <x:c r="B3" s="28" t="str">
        <x:v>артишок</x:v>
      </x:c>
      <x:c r="C3" s="28" t="str">
        <x:v>бекон</x:v>
      </x:c>
      <x:c r="D3" s="28" t="str">
        <x:v>Мясо и птица</x:v>
      </x:c>
      <x:c r="E3" s="28" t="str">
        <x:v>умами и солёный контраст</x:v>
      </x:c>
      <x:c r="F3" s="28" t="str">
        <x:v>Артишок имеет профиль «зелёный, ореховый, травянистый и слегка цветочный».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" s="28" t="str">
        <x:v>кислота ограничивает потемнение; варка и гриль смягчают горечь и усиливают ореховые ноты. </x:v>
      </x:c>
      <x:c r="H3" s="28" t="str">
        <x:v>быстро темнеет; цинарин изменяет восприятие последующей сладости и может мешать винным сочетаниям</x:v>
      </x:c>
      <x:c r="I3" s="28" t="str">
        <x:v>горячее блюдо, бульон, соус, пюре, ферментация или гарнир с бекон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337, 442</x:v>
      </x:c>
    </x:row>
    <x:row r="4" ht="66" customHeight="1">
      <x:c r="A4" s="28" t="str">
        <x:v>VEG-0005</x:v>
      </x:c>
      <x:c r="B4" s="28" t="str">
        <x:v>артишок</x:v>
      </x:c>
      <x:c r="C4" s="28" t="str">
        <x:v>говядина</x:v>
      </x:c>
      <x:c r="D4" s="28" t="str">
        <x:v>Мясо и птица</x:v>
      </x:c>
      <x:c r="E4" s="28" t="str">
        <x:v>умами и солёный контраст</x:v>
      </x:c>
      <x:c r="F4" s="28" t="str">
        <x:v>Артишок имеет профиль «зелёный, ореховый, травянистый и слегка цветочный».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" s="28" t="str">
        <x:v>кислота ограничивает потемнение; варка и гриль смягчают горечь и усиливают ореховые ноты. </x:v>
      </x:c>
      <x:c r="H4" s="28" t="str">
        <x:v>быстро темнеет; цинарин изменяет восприятие последующей сладости и может мешать винным сочетаниям</x:v>
      </x:c>
      <x:c r="I4" s="28" t="str">
        <x:v>горячее блюдо, бульон, соус, пюре, ферментация или гарнир с говядина</x:v>
      </x:c>
      <x:c r="J4" s="28" t="str">
        <x:v>Высокая</x:v>
      </x:c>
      <x:c r="K4" s="28" t="str">
        <x:v>The Art &amp; Science of Foodpairing.pdf</x:v>
      </x:c>
      <x:c r="L4" s="28" t="str">
        <x:v>The Art &amp; Science of Foodpairing.pdf: 329</x:v>
      </x:c>
    </x:row>
    <x:row r="5" ht="66" customHeight="1">
      <x:c r="A5" s="28" t="str">
        <x:v>VEG-0006</x:v>
      </x:c>
      <x:c r="B5" s="28" t="str">
        <x:v>артишок</x:v>
      </x:c>
      <x:c r="C5" s="28" t="str">
        <x:v>горох</x:v>
      </x:c>
      <x:c r="D5" s="28" t="str">
        <x:v>Бобовые</x:v>
      </x:c>
      <x:c r="E5" s="28" t="str">
        <x:v>пересечение ароматических семейств</x:v>
      </x:c>
      <x:c r="F5" s="28" t="str">
        <x:v>Артишок имеет профиль «зелёный, ореховый, травянистый и слегка цветочный».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5" s="28" t="str">
        <x:v>кислота ограничивает потемнение; варка и гриль смягчают горечь и усиливают ореховые ноты. </x:v>
      </x:c>
      <x:c r="H5" s="28" t="str">
        <x:v>быстро темнеет; цинарин изменяет восприятие последующей сладости и может мешать винным сочетаниям</x:v>
      </x:c>
      <x:c r="I5" s="28" t="str">
        <x:v>горячее блюдо, бульон, соус, пюре, ферментация или гарнир с горох</x:v>
      </x:c>
      <x:c r="J5" s="28" t="str">
        <x:v>Средняя</x:v>
      </x:c>
      <x:c r="K5" s="28" t="str">
        <x:v>Тезариус вкусов (Ники Сегнит)(1).pdf</x:v>
      </x:c>
      <x:c r="L5" s="28" t="str">
        <x:v>Тезариус вкусов (Ники Сегнит)(1).pdf: 338, 535</x:v>
      </x:c>
    </x:row>
    <x:row r="6" ht="66" customHeight="1">
      <x:c r="A6" s="28" t="str">
        <x:v>VEG-0010</x:v>
      </x:c>
      <x:c r="B6" s="28" t="str">
        <x:v>артишок</x:v>
      </x:c>
      <x:c r="C6" s="28" t="str">
        <x:v>лосось</x:v>
      </x:c>
      <x:c r="D6" s="28" t="str">
        <x:v>Рыба и морепродукты</x:v>
      </x:c>
      <x:c r="E6" s="28" t="str">
        <x:v>умами и солёный контраст</x:v>
      </x:c>
      <x:c r="F6" s="28" t="str">
        <x:v>Артишок имеет профиль «зелёный, ореховый, травянистый и слегка цветочный».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6" s="28" t="str">
        <x:v>кислота ограничивает потемнение; варка и гриль смягчают горечь и усиливают ореховые ноты. </x:v>
      </x:c>
      <x:c r="H6" s="28" t="str">
        <x:v>быстро темнеет; цинарин изменяет восприятие последующей сладости и может мешать винным сочетаниям</x:v>
      </x:c>
      <x:c r="I6" s="28" t="str">
        <x:v>горячее блюдо, бульон, соус, пюре, ферментация или гарнир с лосось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328</x:v>
      </x:c>
    </x:row>
    <x:row r="7" ht="66" customHeight="1">
      <x:c r="A7" s="28" t="str">
        <x:v>VEG-0012</x:v>
      </x:c>
      <x:c r="B7" s="28" t="str">
        <x:v>артишок</x:v>
      </x:c>
      <x:c r="C7" s="28" t="str">
        <x:v>моллюски</x:v>
      </x:c>
      <x:c r="D7" s="28" t="str">
        <x:v>Рыба и морепродукты</x:v>
      </x:c>
      <x:c r="E7" s="28" t="str">
        <x:v>умами и солёный контраст</x:v>
      </x:c>
      <x:c r="F7" s="28" t="str">
        <x:v>Артишок имеет профиль «зелёный, ореховый, травянистый и слегка цветочный».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7" s="28" t="str">
        <x:v>кислота ограничивает потемнение; варка и гриль смягчают горечь и усиливают ореховые ноты. </x:v>
      </x:c>
      <x:c r="H7" s="28" t="str">
        <x:v>быстро темнеет; цинарин изменяет восприятие последующей сладости и может мешать винным сочетаниям</x:v>
      </x:c>
      <x:c r="I7" s="28" t="str">
        <x:v>горячее блюдо, бульон, соус, пюре, ферментация или гарнир с моллюски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340, 365</x:v>
      </x:c>
    </x:row>
    <x:row r="8" ht="66" customHeight="1">
      <x:c r="A8" s="28" t="str">
        <x:v>VEG-0015</x:v>
      </x:c>
      <x:c r="B8" s="28" t="str">
        <x:v>артишок</x:v>
      </x:c>
      <x:c r="C8" s="28" t="str">
        <x:v>прошутто</x:v>
      </x:c>
      <x:c r="D8" s="28" t="str">
        <x:v>Мясо и птица</x:v>
      </x:c>
      <x:c r="E8" s="28" t="str">
        <x:v>умами и солёный контраст</x:v>
      </x:c>
      <x:c r="F8" s="28" t="str">
        <x:v>Артишок имеет профиль «зелёный, ореховый, травянистый и слегка цветочный».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" s="28" t="str">
        <x:v>кислота ограничивает потемнение; варка и гриль смягчают горечь и усиливают ореховые ноты. </x:v>
      </x:c>
      <x:c r="H8" s="28" t="str">
        <x:v>быстро темнеет; цинарин изменяет восприятие последующей сладости и может мешать винным сочетаниям</x:v>
      </x:c>
      <x:c r="I8" s="28" t="str">
        <x:v>горячее блюдо, бульон, соус, пюре, ферментация или гарнир с прошутто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341, 454</x:v>
      </x:c>
    </x:row>
    <x:row r="9" ht="66" customHeight="1">
      <x:c r="A9" s="28" t="str">
        <x:v>VEG-0016</x:v>
      </x:c>
      <x:c r="B9" s="28" t="str">
        <x:v>артишок</x:v>
      </x:c>
      <x:c r="C9" s="28" t="str">
        <x:v>свинина</x:v>
      </x:c>
      <x:c r="D9" s="28" t="str">
        <x:v>Мясо и птица</x:v>
      </x:c>
      <x:c r="E9" s="28" t="str">
        <x:v>умами и солёный контраст</x:v>
      </x:c>
      <x:c r="F9" s="28" t="str">
        <x:v>Артишок имеет профиль «зелёный, ореховый, травянистый и слегка цветочный».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" s="28" t="str">
        <x:v>кислота ограничивает потемнение; варка и гриль смягчают горечь и усиливают ореховые ноты. </x:v>
      </x:c>
      <x:c r="H9" s="28" t="str">
        <x:v>быстро темнеет; цинарин изменяет восприятие последующей сладости и может мешать винным сочетаниям</x:v>
      </x:c>
      <x:c r="I9" s="28" t="str">
        <x:v>горячее блюдо, бульон, соус, пюре, ферментация или гарнир с свинина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79, 341</x:v>
      </x:c>
    </x:row>
    <x:row r="10" ht="66" customHeight="1">
      <x:c r="A10" s="28" t="str">
        <x:v>VEG-0019</x:v>
      </x:c>
      <x:c r="B10" s="28" t="str">
        <x:v>артишок</x:v>
      </x:c>
      <x:c r="C10" s="28" t="str">
        <x:v>трюфель</x:v>
      </x:c>
      <x:c r="D10" s="28" t="str">
        <x:v>Грибы</x:v>
      </x:c>
      <x:c r="E10" s="28" t="str">
        <x:v>умами и солёный контраст</x:v>
      </x:c>
      <x:c r="F10" s="28" t="str">
        <x:v>Артишок имеет профиль «зелёный, ореховый, травянистый и слегка цветочный».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0" s="28" t="str">
        <x:v>кислота ограничивает потемнение; варка и гриль смягчают горечь и усиливают ореховые ноты. </x:v>
      </x:c>
      <x:c r="H10" s="28" t="str">
        <x:v>быстро темнеет; цинарин изменяет восприятие последующей сладости и может мешать винным сочетаниям</x:v>
      </x:c>
      <x:c r="I10" s="28" t="str">
        <x:v>горячее блюдо, бульон, соус, пюре, ферментация или гарнир с трюфель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301, 342</x:v>
      </x:c>
    </x:row>
    <x:row r="11" ht="66" customHeight="1">
      <x:c r="A11" s="28" t="str">
        <x:v>VEG-0020</x:v>
      </x:c>
      <x:c r="B11" s="28" t="str">
        <x:v>артишок</x:v>
      </x:c>
      <x:c r="C11" s="28" t="str">
        <x:v>устрицы</x:v>
      </x:c>
      <x:c r="D11" s="28" t="str">
        <x:v>Рыба и морепродукты</x:v>
      </x:c>
      <x:c r="E11" s="28" t="str">
        <x:v>умами и солёный контраст</x:v>
      </x:c>
      <x:c r="F11" s="28" t="str">
        <x:v>Артишок имеет профиль «зелёный, ореховый, травянистый и слегка цветочный».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1" s="28" t="str">
        <x:v>кислота ограничивает потемнение; варка и гриль смягчают горечь и усиливают ореховые ноты. </x:v>
      </x:c>
      <x:c r="H11" s="28" t="str">
        <x:v>быстро темнеет; цинарин изменяет восприятие последующей сладости и может мешать винным сочетаниям</x:v>
      </x:c>
      <x:c r="I11" s="28" t="str">
        <x:v>горячее блюдо, бульон, соус, пюре, ферментация или гарнир с устрицы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342, 396</x:v>
      </x:c>
    </x:row>
    <x:row r="12" ht="66" customHeight="1">
      <x:c r="A12" s="28" t="str">
        <x:v>VEG-0022</x:v>
      </x:c>
      <x:c r="B12" s="28" t="str">
        <x:v>артишок</x:v>
      </x:c>
      <x:c r="C12" s="28" t="str">
        <x:v>хамон иберико</x:v>
      </x:c>
      <x:c r="D12" s="28" t="str">
        <x:v>Мясо и птица</x:v>
      </x:c>
      <x:c r="E12" s="28" t="str">
        <x:v>умами и солёный контраст</x:v>
      </x:c>
      <x:c r="F12" s="28" t="str">
        <x:v>Артишок имеет профиль «зелёный, ореховый, травянистый и слегка цветочный».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" s="28" t="str">
        <x:v>кислота ограничивает потемнение; варка и гриль смягчают горечь и усиливают ореховые ноты. </x:v>
      </x:c>
      <x:c r="H12" s="28" t="str">
        <x:v>быстро темнеет; цинарин изменяет восприятие последующей сладости и может мешать винным сочетаниям</x:v>
      </x:c>
      <x:c r="I12" s="28" t="str">
        <x:v>горячее блюдо, бульон, соус, пюре, ферментация или гарнир с хамон иберико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278</x:v>
      </x:c>
    </x:row>
    <x:row r="13" ht="66" customHeight="1">
      <x:c r="A13" s="28" t="str">
        <x:v>VEG-0029</x:v>
      </x:c>
      <x:c r="B13" s="28" t="str">
        <x:v>баклажан</x:v>
      </x:c>
      <x:c r="C13" s="28" t="str">
        <x:v>баранина</x:v>
      </x:c>
      <x:c r="D13" s="28" t="str">
        <x:v>Мясо и птица</x:v>
      </x:c>
      <x:c r="E13" s="28" t="str">
        <x:v>общие характерные молекулы; пересечение ароматических семейств; умами и солёный контраст</x:v>
      </x:c>
      <x:c r="F13" s="28" t="str">
        <x:v>Баклажан имеет профиль «зелёный, землистый, слегка грибной и дымный после жарки». Партнёр «баранина»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3" s="28" t="str">
        <x:v>гриль и жарка формируют дымные и жареные ноты; соль и нагрев смягчают горечь. </x:v>
      </x:c>
      <x:c r="H13" s="28" t="str">
        <x:v>избыток масла делает продукт тяжёлым; недоготовленная мякоть остаётся губчатой</x:v>
      </x:c>
      <x:c r="I13" s="28" t="str">
        <x:v>салат, гарнир, суп, соус, маринад, ферментация или напиток с баранина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126, 209</x:v>
      </x:c>
    </x:row>
    <x:row r="14" ht="66" customHeight="1">
      <x:c r="A14" s="28" t="str">
        <x:v>VEG-0030</x:v>
      </x:c>
      <x:c r="B14" s="28" t="str">
        <x:v>баклажан</x:v>
      </x:c>
      <x:c r="C14" s="28" t="str">
        <x:v>батат</x:v>
      </x:c>
      <x:c r="D14" s="28" t="str">
        <x:v>Корнеплоды и клубни</x:v>
      </x:c>
      <x:c r="E14" s="28" t="str">
        <x:v>общие характерные молекулы; пересечение ароматических семейств</x:v>
      </x:c>
      <x:c r="F14" s="28" t="str">
        <x:v>Баклажан имеет профиль «зелёный, землистый, слегка грибной и дымный после жарки».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14" s="28" t="str">
        <x:v>гриль и жарка формируют дымные и жареные ноты; соль и нагрев смягчают горечь. </x:v>
      </x:c>
      <x:c r="H14" s="28" t="str">
        <x:v>избыток масла делает продукт тяжёлым; недоготовленная мякоть остаётся губчатой</x:v>
      </x:c>
      <x:c r="I14" s="28" t="str">
        <x:v>салат, гарнир, суп, соус, маринад, ферментация или напиток с батат</x:v>
      </x:c>
      <x:c r="J14" s="28" t="str">
        <x:v>Средняя</x:v>
      </x:c>
      <x:c r="K14" s="28" t="str">
        <x:v>The Art &amp; Science of Foodpairing.pdf</x:v>
      </x:c>
      <x:c r="L14" s="28" t="str">
        <x:v>The Art &amp; Science of Foodpairing.pdf: 119</x:v>
      </x:c>
    </x:row>
    <x:row r="15" ht="66" customHeight="1">
      <x:c r="A15" s="28" t="str">
        <x:v>VEG-0040</x:v>
      </x:c>
      <x:c r="B15" s="28" t="str">
        <x:v>баклажан</x:v>
      </x:c>
      <x:c r="C15" s="28" t="str">
        <x:v>мускатный орех</x:v>
      </x:c>
      <x:c r="D15" s="28" t="str">
        <x:v>Рыба и морепродукты</x:v>
      </x:c>
      <x:c r="E15" s="28" t="str">
        <x:v>умами и солёный контраст</x:v>
      </x:c>
      <x:c r="F15" s="28" t="str">
        <x:v>Баклажан имеет профиль «зелёный, землистый, слегка грибной и дымный после жарки».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5" s="28" t="str">
        <x:v>гриль и жарка формируют дымные и жареные ноты; соль и нагрев смягчают горечь. </x:v>
      </x:c>
      <x:c r="H15" s="28" t="str">
        <x:v>избыток масла делает продукт тяжёлым; недоготовленная мякоть остаётся губчатой</x:v>
      </x:c>
      <x:c r="I15" s="28" t="str">
        <x:v>салат, гарнир, суп, соус, маринад, ферментация или напиток с мускатный орех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211, 587</x:v>
      </x:c>
    </x:row>
    <x:row r="16" ht="66" customHeight="1">
      <x:c r="A16" s="28" t="str">
        <x:v>VEG-0042</x:v>
      </x:c>
      <x:c r="B16" s="28" t="str">
        <x:v>баклажан</x:v>
      </x:c>
      <x:c r="C16" s="28" t="str">
        <x:v>мясо</x:v>
      </x:c>
      <x:c r="D16" s="28" t="str">
        <x:v>Мясо и птица</x:v>
      </x:c>
      <x:c r="E16" s="28" t="str">
        <x:v>общие характерные молекулы; пересечение ароматических семейств; умами и солёный контраст</x:v>
      </x:c>
      <x:c r="F16" s="28" t="str">
        <x:v>Баклажан имеет профиль «зелёный, землистый, слегка грибной и дымный после жарки».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6" s="28" t="str">
        <x:v>гриль и жарка формируют дымные и жареные ноты; соль и нагрев смягчают горечь. </x:v>
      </x:c>
      <x:c r="H16" s="28" t="str">
        <x:v>избыток масла делает продукт тяжёлым; недоготовленная мякоть остаётся губчатой</x:v>
      </x:c>
      <x:c r="I16" s="28" t="str">
        <x:v>салат, гарнир, суп, соус, маринад, ферментация или напиток с мясо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186</x:v>
      </x:c>
    </x:row>
    <x:row r="17" ht="66" customHeight="1">
      <x:c r="A17" s="28" t="str">
        <x:v>VEG-0044</x:v>
      </x:c>
      <x:c r="B17" s="28" t="str">
        <x:v>баклажан</x:v>
      </x:c>
      <x:c r="C17" s="28" t="str">
        <x:v>прошутто</x:v>
      </x:c>
      <x:c r="D17" s="28" t="str">
        <x:v>Мясо и птица</x:v>
      </x:c>
      <x:c r="E17" s="28" t="str">
        <x:v>общие характерные молекулы; пересечение ароматических семейств; умами и солёный контраст</x:v>
      </x:c>
      <x:c r="F17" s="28" t="str">
        <x:v>Баклажан имеет профиль «зелёный, землистый, слегка грибной и дымный после жарки». Партнёр «прошутто»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7" s="28" t="str">
        <x:v>гриль и жарка формируют дымные и жареные ноты; соль и нагрев смягчают горечь. </x:v>
      </x:c>
      <x:c r="H17" s="28" t="str">
        <x:v>избыток масла делает продукт тяжёлым; недоготовленная мякоть остаётся губчатой</x:v>
      </x:c>
      <x:c r="I17" s="28" t="str">
        <x:v>салат, гарнир, суп, соус, маринад, ферментация или напиток с прошутто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211, 454</x:v>
      </x:c>
    </x:row>
    <x:row r="18" ht="66" customHeight="1">
      <x:c r="A18" s="28" t="str">
        <x:v>VEG-0045</x:v>
      </x:c>
      <x:c r="B18" s="28" t="str">
        <x:v>баклажан</x:v>
      </x:c>
      <x:c r="C18" s="28" t="str">
        <x:v>рыба</x:v>
      </x:c>
      <x:c r="D18" s="28" t="str">
        <x:v>Рыба и морепродукты</x:v>
      </x:c>
      <x:c r="E18" s="28" t="str">
        <x:v>умами и солёный контраст</x:v>
      </x:c>
      <x:c r="F18" s="28" t="str">
        <x:v>Баклажан имеет профиль «зелёный, землистый, слегка грибной и дымный после жарки».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8" s="28" t="str">
        <x:v>гриль и жарка формируют дымные и жареные ноты; соль и нагрев смягчают горечь. </x:v>
      </x:c>
      <x:c r="H18" s="28" t="str">
        <x:v>избыток масла делает продукт тяжёлым; недоготовленная мякоть остаётся губчатой</x:v>
      </x:c>
      <x:c r="I18" s="28" t="str">
        <x:v>салат, гарнир, суп, соус, маринад, ферментация или напиток с рыба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104</x:v>
      </x:c>
    </x:row>
    <x:row r="19" ht="66" customHeight="1">
      <x:c r="A19" s="28" t="str">
        <x:v>VEG-0047</x:v>
      </x:c>
      <x:c r="B19" s="28" t="str">
        <x:v>баклажан</x:v>
      </x:c>
      <x:c r="C19" s="28" t="str">
        <x:v>чеснок</x:v>
      </x:c>
      <x:c r="D19" s="28" t="str">
        <x:v>Луковые овощи</x:v>
      </x:c>
      <x:c r="E19" s="28" t="str">
        <x:v>пересечение ароматических семейств</x:v>
      </x:c>
      <x:c r="F19" s="28" t="str">
        <x:v>Баклажан имеет профиль «зелёный, землистый, слегка грибной и дымный после жарки».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формируется за счёт баланса сладости, кислотности, горечи, умами и текстуры.</x:v>
      </x:c>
      <x:c r="G19" s="28" t="str">
        <x:v>гриль и жарка формируют дымные и жареные ноты; соль и нагрев смягчают горечь. </x:v>
      </x:c>
      <x:c r="H19" s="28" t="str">
        <x:v>избыток масла делает продукт тяжёлым; недоготовленная мякоть остаётся губчатой</x:v>
      </x:c>
      <x:c r="I19" s="28" t="str">
        <x:v>салат, гарнир, суп, соус, маринад, ферментация или напиток с чеснок</x:v>
      </x:c>
      <x:c r="J19" s="28" t="str">
        <x:v>Высокая</x:v>
      </x:c>
      <x:c r="K19" s="28" t="str">
        <x:v>The Art &amp; Science of Foodpairing.pdf | Тезариус вкусов (Ники Сегнит)(1).pdf</x:v>
      </x:c>
      <x:c r="L19" s="28" t="str">
        <x:v>Тезариус вкусов (Ники Сегнит)(1).pdf: 212, 292; The Art &amp; Science of Foodpairing.pdf: 113</x:v>
      </x:c>
    </x:row>
    <x:row r="20" ht="66" customHeight="1">
      <x:c r="A20" s="28" t="str">
        <x:v>VEG-0050</x:v>
      </x:c>
      <x:c r="B20" s="28" t="str">
        <x:v>батат</x:v>
      </x:c>
      <x:c r="C20" s="28" t="str">
        <x:v>арахис</x:v>
      </x:c>
      <x:c r="D20" s="28" t="str">
        <x:v>Орехи и семена</x:v>
      </x:c>
      <x:c r="E20" s="28" t="str">
        <x:v>общие характерные молекулы; пересечение ароматических семейств</x:v>
      </x:c>
      <x:c r="F20" s="28" t="str">
        <x:v>Батат имеет профиль «сладкий, крахмалистый, цветочный, карамельный и ореховый после запекания». Партнёр «арахис»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0" s="28" t="str">
        <x:v>водянистое пюре размывает аромат; сильная сладость требует кислоты, соли или горечи</x:v>
      </x:c>
      <x:c r="I20" s="28" t="str">
        <x:v>пюре, суп, запекание, крем, гарнир, соус или десертная разработка с арахис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119</x:v>
      </x:c>
    </x:row>
    <x:row r="21" ht="66" customHeight="1">
      <x:c r="A21" s="28" t="str">
        <x:v>VEG-0051</x:v>
      </x:c>
      <x:c r="B21" s="28" t="str">
        <x:v>батат</x:v>
      </x:c>
      <x:c r="C21" s="28" t="str">
        <x:v>базилик</x:v>
      </x:c>
      <x:c r="D21" s="28" t="str">
        <x:v>Травы, цветы и листья</x:v>
      </x:c>
      <x:c r="E21" s="28" t="str">
        <x:v>сенсорная комплементарность</x:v>
      </x:c>
      <x:c r="F21" s="28" t="str">
        <x:v>Батат имеет профиль «сладкий, крахмалистый, цветочный, карамельный и ореховый после запекания».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1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21" s="28" t="str">
        <x:v>пюре, суп, запекание, крем, гарнир, соус или десертная разработка с базилик</x:v>
      </x:c>
      <x:c r="J21" s="28" t="str">
        <x:v>Средняя</x:v>
      </x:c>
      <x:c r="K21" s="28" t="str">
        <x:v>The Art &amp; Science of Foodpairing.pdf</x:v>
      </x:c>
      <x:c r="L21" s="28" t="str">
        <x:v>The Art &amp; Science of Foodpairing.pdf: 119</x:v>
      </x:c>
    </x:row>
    <x:row r="22" ht="66" customHeight="1">
      <x:c r="A22" s="28" t="str">
        <x:v>VEG-0052</x:v>
      </x:c>
      <x:c r="B22" s="28" t="str">
        <x:v>батат</x:v>
      </x:c>
      <x:c r="C22" s="28" t="str">
        <x:v>бальзамический уксус</x:v>
      </x:c>
      <x:c r="D22" s="28" t="str">
        <x:v>Ферментированные продукты и соусы</x:v>
      </x:c>
      <x:c r="E22" s="28" t="str">
        <x:v>общие характерные молекулы; пересечение ароматических семейств; умами и солёный контраст</x:v>
      </x:c>
      <x:c r="F22" s="28" t="str">
        <x:v>Батат имеет профиль «сладкий, крахмалистый, цветочный, карамельный и ореховый после запекания». Партнёр «бальзамический уксус» относится к группе «Ферментированные продукты и соусы» и даёт ферментированный, умами и сложный. Вероятный молекулярный мост: пиразины, фураны.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2" s="28" t="str">
        <x:v>водянистое пюре размывает аромат; сильная сладость требует кислоты, соли или горечи</x:v>
      </x:c>
      <x:c r="I22" s="28" t="str">
        <x:v>пюре, суп, запекание, крем, гарнир, соус или десертная разработка с бальзамический уксус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316</x:v>
      </x:c>
    </x:row>
    <x:row r="23" ht="66" customHeight="1">
      <x:c r="A23" s="28" t="str">
        <x:v>VEG-0053</x:v>
      </x:c>
      <x:c r="B23" s="28" t="str">
        <x:v>батат</x:v>
      </x:c>
      <x:c r="C23" s="28" t="str">
        <x:v>барбарис</x:v>
      </x:c>
      <x:c r="D23" s="28" t="str">
        <x:v>Выпечка, крупы, сахара и десерты</x:v>
      </x:c>
      <x:c r="E23" s="28" t="str">
        <x:v>общие характерные молекулы; пересечение ароматических семейств</x:v>
      </x:c>
      <x:c r="F23" s="28" t="str">
        <x:v>Батат имеет профиль «сладкий, крахмалистый, цветочный, карамельный и ореховый после запекания». Партнёр «барбарис»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3" s="28" t="str">
        <x:v>водянистое пюре размывает аромат; сильная сладость требует кислоты, соли или горечи</x:v>
      </x:c>
      <x:c r="I23" s="28" t="str">
        <x:v>пюре, суп, запекание, крем, гарнир, соус или десертная разработка с барбарис</x:v>
      </x:c>
      <x:c r="J23" s="28" t="str">
        <x:v>Высокая</x:v>
      </x:c>
      <x:c r="K23" s="28" t="str">
        <x:v>The Art &amp; Science of Foodpairing.pdf</x:v>
      </x:c>
      <x:c r="L23" s="28" t="str">
        <x:v>The Art &amp; Science of Foodpairing.pdf: 118</x:v>
      </x:c>
    </x:row>
    <x:row r="24" ht="66" customHeight="1">
      <x:c r="A24" s="28" t="str">
        <x:v>VEG-0054</x:v>
      </x:c>
      <x:c r="B24" s="28" t="str">
        <x:v>батат</x:v>
      </x:c>
      <x:c r="C24" s="28" t="str">
        <x:v>бекон</x:v>
      </x:c>
      <x:c r="D24" s="28" t="str">
        <x:v>Мясо и птица</x:v>
      </x:c>
      <x:c r="E24" s="28" t="str">
        <x:v>общие характерные молекулы; пересечение ароматических семейств; умами и солёный контраст</x:v>
      </x:c>
      <x:c r="F24" s="28" t="str">
        <x:v>Батат имеет профиль «сладкий, крахмалистый, цветочный, карамельный и ореховый после запекания».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4" s="28" t="str">
        <x:v>водянистое пюре размывает аромат; сильная сладость требует кислоты, соли или горечи</x:v>
      </x:c>
      <x:c r="I24" s="28" t="str">
        <x:v>пюре, суп, запекание, крем, гарнир, соус или десертная разработка с бекон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119</x:v>
      </x:c>
    </x:row>
    <x:row r="25" ht="66" customHeight="1">
      <x:c r="A25" s="28" t="str">
        <x:v>VEG-0055</x:v>
      </x:c>
      <x:c r="B25" s="28" t="str">
        <x:v>батат</x:v>
      </x:c>
      <x:c r="C25" s="28" t="str">
        <x:v>бергамот</x:v>
      </x:c>
      <x:c r="D25" s="28" t="str">
        <x:v>Прочее</x:v>
      </x:c>
      <x:c r="E25" s="28" t="str">
        <x:v>сенсорная комплементарность</x:v>
      </x:c>
      <x:c r="F25" s="28" t="str">
        <x:v>Батат имеет профиль «сладкий, крахмалистый, цветочный, карамельный и ореховый после запекания». Партнёр «бергамот»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5" s="28" t="str">
        <x:v>водянистое пюре размывает аромат; сильная сладость требует кислоты, соли или горечи</x:v>
      </x:c>
      <x:c r="I25" s="28" t="str">
        <x:v>пюре, суп, запекание, крем, гарнир, соус или десертная разработка с бергамот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119</x:v>
      </x:c>
    </x:row>
    <x:row r="26" ht="66" customHeight="1">
      <x:c r="A26" s="28" t="str">
        <x:v>VEG-0056</x:v>
      </x:c>
      <x:c r="B26" s="28" t="str">
        <x:v>батат</x:v>
      </x:c>
      <x:c r="C26" s="28" t="str">
        <x:v>гамбургер</x:v>
      </x:c>
      <x:c r="D26" s="28" t="str">
        <x:v>Прочее</x:v>
      </x:c>
      <x:c r="E26" s="28" t="str">
        <x:v>сенсорная комплементарность</x:v>
      </x:c>
      <x:c r="F26" s="28" t="str">
        <x:v>Батат имеет профиль «сладкий, крахмалистый, цветочный, карамельный и ореховый после запекания». Партнёр «гамбургер»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6" s="28" t="str">
        <x:v>водянистое пюре размывает аромат; сильная сладость требует кислоты, соли или горечи</x:v>
      </x:c>
      <x:c r="I26" s="28" t="str">
        <x:v>пюре, суп, запекание, крем, гарнир, соус или десертная разработка с гамбургер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119</x:v>
      </x:c>
    </x:row>
    <x:row r="27" ht="66" customHeight="1">
      <x:c r="A27" s="28" t="str">
        <x:v>VEG-0057</x:v>
      </x:c>
      <x:c r="B27" s="28" t="str">
        <x:v>батат</x:v>
      </x:c>
      <x:c r="C27" s="28" t="str">
        <x:v>грецкий орех</x:v>
      </x:c>
      <x:c r="D27" s="28" t="str">
        <x:v>Орехи и семена</x:v>
      </x:c>
      <x:c r="E27" s="28" t="str">
        <x:v>общие характерные молекулы</x:v>
      </x:c>
      <x:c r="F27" s="28" t="str">
        <x:v>Батат имеет профиль «сладкий, крахмалистый, цветочный, карамельный и ореховый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7" s="28" t="str">
        <x:v>водянистое пюре размывает аромат; сильная сладость требует кислоты, соли или горечи</x:v>
      </x:c>
      <x:c r="I27" s="28" t="str">
        <x:v>пюре, суп, запекание, крем, гарнир, соус или десертная разработка с грецкий орех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119</x:v>
      </x:c>
    </x:row>
    <x:row r="28" ht="66" customHeight="1">
      <x:c r="A28" s="28" t="str">
        <x:v>VEG-0058</x:v>
      </x:c>
      <x:c r="B28" s="28" t="str">
        <x:v>батат</x:v>
      </x:c>
      <x:c r="C28" s="28" t="str">
        <x:v>грюйер</x:v>
      </x:c>
      <x:c r="D28" s="28" t="str">
        <x:v>Прочее</x:v>
      </x:c>
      <x:c r="E28" s="28" t="str">
        <x:v>сенсорная комплементарность</x:v>
      </x:c>
      <x:c r="F28" s="28" t="str">
        <x:v>Батат имеет профиль «сладкий, крахмалистый, цветочный, карамельный и ореховый после запекания».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8" s="28" t="str">
        <x:v>водянистое пюре размывает аромат; сильная сладость требует кислоты, соли или горечи</x:v>
      </x:c>
      <x:c r="I28" s="28" t="str">
        <x:v>пюре, суп, запекание, крем, гарнир, соус или десертная разработка с грюйер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119</x:v>
      </x:c>
    </x:row>
    <x:row r="29" ht="66" customHeight="1">
      <x:c r="A29" s="28" t="str">
        <x:v>VEG-0059</x:v>
      </x:c>
      <x:c r="B29" s="28" t="str">
        <x:v>батат</x:v>
      </x:c>
      <x:c r="C29" s="28" t="str">
        <x:v>дыня</x:v>
      </x:c>
      <x:c r="D29" s="28" t="str">
        <x:v>Фрукты и ягоды</x:v>
      </x:c>
      <x:c r="E29" s="28" t="str">
        <x:v>кислотно-сладкий баланс</x:v>
      </x:c>
      <x:c r="F29" s="28" t="str">
        <x:v>Батат имеет профиль «сладкий, крахмалистый, цветочный, карамельный и ореховый после запекания».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9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9" s="28" t="str">
        <x:v>пюре, суп, запекание, крем, гарнир, соус или десертная разработка с дыня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119</x:v>
      </x:c>
    </x:row>
    <x:row r="30" ht="66" customHeight="1">
      <x:c r="A30" s="28" t="str">
        <x:v>VEG-0060</x:v>
      </x:c>
      <x:c r="B30" s="28" t="str">
        <x:v>батат</x:v>
      </x:c>
      <x:c r="C30" s="28" t="str">
        <x:v>жареная индейка</x:v>
      </x:c>
      <x:c r="D30" s="28" t="str">
        <x:v>Мясо и птица</x:v>
      </x:c>
      <x:c r="E30" s="28" t="str">
        <x:v>общие характерные молекулы; пересечение ароматических семейств; умами и солёный контраст</x:v>
      </x:c>
      <x:c r="F30" s="28" t="str">
        <x:v>Батат имеет профиль «сладкий, крахмалистый, цветочный, карамельный и ореховый после запекания». Партнёр «жареная индейка»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0" s="28" t="str">
        <x:v>водянистое пюре размывает аромат; сильная сладость требует кислоты, соли или горечи</x:v>
      </x:c>
      <x:c r="I30" s="28" t="str">
        <x:v>пюре, суп, запекание, крем, гарнир, соус или десертная разработка с жареная индейка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119</x:v>
      </x:c>
    </x:row>
    <x:row r="31" ht="66" customHeight="1">
      <x:c r="A31" s="28" t="str">
        <x:v>VEG-0061</x:v>
      </x:c>
      <x:c r="B31" s="28" t="str">
        <x:v>батат</x:v>
      </x:c>
      <x:c r="C31" s="28" t="str">
        <x:v>жареная курица</x:v>
      </x:c>
      <x:c r="D31" s="28" t="str">
        <x:v>Мясо и птица</x:v>
      </x:c>
      <x:c r="E31" s="28" t="str">
        <x:v>общие характерные молекулы; пересечение ароматических семейств; умами и солёный контраст</x:v>
      </x:c>
      <x:c r="F31" s="28" t="str">
        <x:v>Батат имеет профиль «сладкий, крахмалистый, цветочный, карамельный и ореховый после запекания». Партнёр «жареная курица»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1" s="28" t="str">
        <x:v>водянистое пюре размывает аромат; сильная сладость требует кислоты, соли или горечи</x:v>
      </x:c>
      <x:c r="I31" s="28" t="str">
        <x:v>пюре, суп, запекание, крем, гарнир, соус или десертная разработка с жареная курица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119</x:v>
      </x:c>
    </x:row>
    <x:row r="32" ht="66" customHeight="1">
      <x:c r="A32" s="28" t="str">
        <x:v>VEG-0062</x:v>
      </x:c>
      <x:c r="B32" s="28" t="str">
        <x:v>батат</x:v>
      </x:c>
      <x:c r="C32" s="28" t="str">
        <x:v>индейка</x:v>
      </x:c>
      <x:c r="D32" s="28" t="str">
        <x:v>Мясо и птица</x:v>
      </x:c>
      <x:c r="E32" s="28" t="str">
        <x:v>общие характерные молекулы; пересечение ароматических семейств; умами и солёный контраст</x:v>
      </x:c>
      <x:c r="F32" s="28" t="str">
        <x:v>Батат имеет профиль «сладкий, крахмалистый, цветочный, карамельный и ореховый после запекания». Партнёр «индейка»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2" s="28" t="str">
        <x:v>водянистое пюре размывает аромат; сильная сладость требует кислоты, соли или горечи</x:v>
      </x:c>
      <x:c r="I32" s="28" t="str">
        <x:v>пюре, суп, запекание, крем, гарнир, соус или десертная разработка с индейка</x:v>
      </x:c>
      <x:c r="J32" s="28" t="str">
        <x:v>Высокая</x:v>
      </x:c>
      <x:c r="K32" s="28" t="str">
        <x:v>The Art &amp; Science of Foodpairing.pdf</x:v>
      </x:c>
      <x:c r="L32" s="28" t="str">
        <x:v>The Art &amp; Science of Foodpairing.pdf: 119</x:v>
      </x:c>
    </x:row>
    <x:row r="33" ht="66" customHeight="1">
      <x:c r="A33" s="28" t="str">
        <x:v>VEG-0063</x:v>
      </x:c>
      <x:c r="B33" s="28" t="str">
        <x:v>батат</x:v>
      </x:c>
      <x:c r="C33" s="28" t="str">
        <x:v>инжир</x:v>
      </x:c>
      <x:c r="D33" s="28" t="str">
        <x:v>Фрукты и ягоды</x:v>
      </x:c>
      <x:c r="E33" s="28" t="str">
        <x:v>кислотно-сладкий баланс</x:v>
      </x:c>
      <x:c r="F33" s="28" t="str">
        <x:v>Батат имеет профиль «сладкий, крахмалистый, цветочный, карамельный и ореховый после запекания». Партнёр «инжир»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3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33" s="28" t="str">
        <x:v>пюре, суп, запекание, крем, гарнир, соус или десертная разработка с инжир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119</x:v>
      </x:c>
    </x:row>
    <x:row r="34" ht="66" customHeight="1">
      <x:c r="A34" s="28" t="str">
        <x:v>VEG-0064</x:v>
      </x:c>
      <x:c r="B34" s="28" t="str">
        <x:v>батат</x:v>
      </x:c>
      <x:c r="C34" s="28" t="str">
        <x:v>какао-порошок</x:v>
      </x:c>
      <x:c r="D34" s="28" t="str">
        <x:v>Какао и шоколад</x:v>
      </x:c>
      <x:c r="E34" s="28" t="str">
        <x:v>общие характерные молекулы; пересечение ароматических семейств</x:v>
      </x:c>
      <x:c r="F34" s="28" t="str">
        <x:v>Батат имеет профиль «сладкий, крахмалистый, цветочный, карамельный и ореховый после запекания». Партнёр «какао-порошок» относится к группе «Какао и шоколад» и даёт какаовый, жареный и горько-сладкий.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4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34" s="28" t="str">
        <x:v>пюре, суп, запекание, крем, гарнир, соус или десертная разработка с какао-порошок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119</x:v>
      </x:c>
    </x:row>
    <x:row r="35" ht="66" customHeight="1">
      <x:c r="A35" s="28" t="str">
        <x:v>VEG-0065</x:v>
      </x:c>
      <x:c r="B35" s="28" t="str">
        <x:v>батат</x:v>
      </x:c>
      <x:c r="C35" s="28" t="str">
        <x:v>кефаль</x:v>
      </x:c>
      <x:c r="D35" s="28" t="str">
        <x:v>Рыба и морепродукты</x:v>
      </x:c>
      <x:c r="E35" s="28" t="str">
        <x:v>умами и солёный контраст</x:v>
      </x:c>
      <x:c r="F35" s="28" t="str">
        <x:v>Батат имеет профиль «сладкий, крахмалистый, цветочный, карамельный и ореховый после запекания». Партнёр «кефаль»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5" s="28" t="str">
        <x:v>водянистое пюре размывает аромат; сильная сладость требует кислоты, соли или горечи</x:v>
      </x:c>
      <x:c r="I35" s="28" t="str">
        <x:v>пюре, суп, запекание, крем, гарнир, соус или десертная разработка с кефаль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119</x:v>
      </x:c>
    </x:row>
    <x:row r="36" ht="66" customHeight="1">
      <x:c r="A36" s="28" t="str">
        <x:v>VEG-0066</x:v>
      </x:c>
      <x:c r="B36" s="28" t="str">
        <x:v>батат</x:v>
      </x:c>
      <x:c r="C36" s="28" t="str">
        <x:v>клюквенный сок</x:v>
      </x:c>
      <x:c r="D36" s="28" t="str">
        <x:v>Прочее</x:v>
      </x:c>
      <x:c r="E36" s="28" t="str">
        <x:v>сенсорная комплементарность</x:v>
      </x:c>
      <x:c r="F36" s="28" t="str">
        <x:v>Батат имеет профиль «сладкий, крахмалистый, цветочный, карамельный и ореховый после запекания». Партнёр «клюквенный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6" s="28" t="str">
        <x:v>водянистое пюре размывает аромат; сильная сладость требует кислоты, соли или горечи</x:v>
      </x:c>
      <x:c r="I36" s="28" t="str">
        <x:v>пюре, суп, запекание, крем, гарнир, соус или десертная разработка с клюквенный сок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119</x:v>
      </x:c>
    </x:row>
    <x:row r="37" ht="66" customHeight="1">
      <x:c r="A37" s="28" t="str">
        <x:v>VEG-0067</x:v>
      </x:c>
      <x:c r="B37" s="28" t="str">
        <x:v>батат</x:v>
      </x:c>
      <x:c r="C37" s="28" t="str">
        <x:v>коньяк</x:v>
      </x:c>
      <x:c r="D37" s="28" t="str">
        <x:v>Алкогольные напитки</x:v>
      </x:c>
      <x:c r="E37" s="28" t="str">
        <x:v>сенсорная комплементарность</x:v>
      </x:c>
      <x:c r="F37" s="28" t="str">
        <x:v>Батат имеет профиль «сладкий, крахмалистый, цветочный, карамельный и ореховый после запекания».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7" s="28" t="str">
        <x:v>водянистое пюре размывает аромат; сильная сладость требует кислоты, соли или горечи</x:v>
      </x:c>
      <x:c r="I37" s="28" t="str">
        <x:v>пюре, суп, запекание, крем, гарнир, соус или десертная разработка с коньяк</x:v>
      </x:c>
      <x:c r="J37" s="28" t="str">
        <x:v>Высокая</x:v>
      </x:c>
      <x:c r="K37" s="28" t="str">
        <x:v>The Art &amp; Science of Foodpairing.pdf</x:v>
      </x:c>
      <x:c r="L37" s="28" t="str">
        <x:v>The Art &amp; Science of Foodpairing.pdf: 119</x:v>
      </x:c>
    </x:row>
    <x:row r="38" ht="66" customHeight="1">
      <x:c r="A38" s="28" t="str">
        <x:v>VEG-0068</x:v>
      </x:c>
      <x:c r="B38" s="28" t="str">
        <x:v>батат</x:v>
      </x:c>
      <x:c r="C38" s="28" t="str">
        <x:v>корица</x:v>
      </x:c>
      <x:c r="D38" s="28" t="str">
        <x:v>Специи</x:v>
      </x:c>
      <x:c r="E38" s="28" t="str">
        <x:v>пересечение ароматических семейств</x:v>
      </x:c>
      <x:c r="F38" s="28" t="str">
        <x:v>Батат имеет профиль «сладкий, крахмалистый, цветочный, карамельный и ореховый после запекания».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3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8" s="28" t="str">
        <x:v>водянистое пюре размывает аромат; сильная сладость требует кислоты, соли или горечи</x:v>
      </x:c>
      <x:c r="I38" s="28" t="str">
        <x:v>пюре, суп, запекание, крем, гарнир, соус или десертная разработка с корица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119</x:v>
      </x:c>
    </x:row>
    <x:row r="39" ht="66" customHeight="1">
      <x:c r="A39" s="28" t="str">
        <x:v>VEG-0069</x:v>
      </x:c>
      <x:c r="B39" s="28" t="str">
        <x:v>батат</x:v>
      </x:c>
      <x:c r="C39" s="28" t="str">
        <x:v>кофе</x:v>
      </x:c>
      <x:c r="D39" s="28" t="str">
        <x:v>Кофе</x:v>
      </x:c>
      <x:c r="E39" s="28" t="str">
        <x:v>общие характерные молекулы; пересечение ароматических семейств</x:v>
      </x:c>
      <x:c r="F39" s="28" t="str">
        <x:v>Батат имеет профиль «сладкий, крахмалистый, цветочный, карамельный и ореховый после запекания». Партнёр «кофе» относится к группе «Кофе» и даёт жареный, карамельный, ореховый.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9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39" s="28" t="str">
        <x:v>пюре, суп, запекание, крем, гарнир, соус или десертная разработка с кофе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119</x:v>
      </x:c>
    </x:row>
    <x:row r="40" ht="66" customHeight="1">
      <x:c r="A40" s="28" t="str">
        <x:v>VEG-0070</x:v>
      </x:c>
      <x:c r="B40" s="28" t="str">
        <x:v>батат</x:v>
      </x:c>
      <x:c r="C40" s="28" t="str">
        <x:v>красный виноград</x:v>
      </x:c>
      <x:c r="D40" s="28" t="str">
        <x:v>Фрукты и ягоды</x:v>
      </x:c>
      <x:c r="E40" s="28" t="str">
        <x:v>кислотно-сладкий баланс</x:v>
      </x:c>
      <x:c r="F40" s="28" t="str">
        <x:v>Батат имеет профиль «сладкий, крахмалистый, цветочный, карамельный и ореховый после запекания». Партнёр «красный 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4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0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40" s="28" t="str">
        <x:v>пюре, суп, запекание, крем, гарнир, соус или десертная разработка с красный виноград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119</x:v>
      </x:c>
    </x:row>
    <x:row r="41" ht="66" customHeight="1">
      <x:c r="A41" s="28" t="str">
        <x:v>VEG-0071</x:v>
      </x:c>
      <x:c r="B41" s="28" t="str">
        <x:v>батат</x:v>
      </x:c>
      <x:c r="C41" s="28" t="str">
        <x:v>куркума</x:v>
      </x:c>
      <x:c r="D41" s="28" t="str">
        <x:v>Прочее</x:v>
      </x:c>
      <x:c r="E41" s="28" t="str">
        <x:v>сенсорная комплементарность</x:v>
      </x:c>
      <x:c r="F41" s="28" t="str">
        <x:v>Батат имеет профиль «сладкий, крахмалистый, цветочный, карамельный и ореховый после запекания».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1" s="28" t="str">
        <x:v>водянистое пюре размывает аромат; сильная сладость требует кислоты, соли или горечи</x:v>
      </x:c>
      <x:c r="I41" s="28" t="str">
        <x:v>пюре, суп, запекание, крем, гарнир, соус или десертная разработка с куркума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119</x:v>
      </x:c>
    </x:row>
    <x:row r="42" ht="66" customHeight="1">
      <x:c r="A42" s="28" t="str">
        <x:v>VEG-0072</x:v>
      </x:c>
      <x:c r="B42" s="28" t="str">
        <x:v>батат</x:v>
      </x:c>
      <x:c r="C42" s="28" t="str">
        <x:v>лапша соба</x:v>
      </x:c>
      <x:c r="D42" s="28" t="str">
        <x:v>Прочее</x:v>
      </x:c>
      <x:c r="E42" s="28" t="str">
        <x:v>сенсорная комплементарность</x:v>
      </x:c>
      <x:c r="F42" s="28" t="str">
        <x:v>Батат имеет профиль «сладкий, крахмалистый, цветочный, карамельный и ореховый после запекания». Партнёр «лапша соба»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2" s="28" t="str">
        <x:v>водянистое пюре размывает аромат; сильная сладость требует кислоты, соли или горечи</x:v>
      </x:c>
      <x:c r="I42" s="28" t="str">
        <x:v>пюре, суп, запекание, крем, гарнир, соус или десертная разработка с лапша соба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119</x:v>
      </x:c>
    </x:row>
    <x:row r="43" ht="66" customHeight="1">
      <x:c r="A43" s="28" t="str">
        <x:v>VEG-0073</x:v>
      </x:c>
      <x:c r="B43" s="28" t="str">
        <x:v>батат</x:v>
      </x:c>
      <x:c r="C43" s="28" t="str">
        <x:v>логанова ягода</x:v>
      </x:c>
      <x:c r="D43" s="28" t="str">
        <x:v>Фрукты и ягоды</x:v>
      </x:c>
      <x:c r="E43" s="28" t="str">
        <x:v>кислотно-сладкий баланс</x:v>
      </x:c>
      <x:c r="F43" s="28" t="str">
        <x:v>Батат имеет профиль «сладкий, крахмалистый, цветочный, карамельный и ореховый после запекания». Партнёр «логанова ягода»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4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3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43" s="28" t="str">
        <x:v>пюре, суп, запекание, крем, гарнир, соус или десертная разработка с логанова ягода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119</x:v>
      </x:c>
    </x:row>
    <x:row r="44" ht="66" customHeight="1">
      <x:c r="A44" s="28" t="str">
        <x:v>VEG-0074</x:v>
      </x:c>
      <x:c r="B44" s="28" t="str">
        <x:v>батат</x:v>
      </x:c>
      <x:c r="C44" s="28" t="str">
        <x:v>лосось</x:v>
      </x:c>
      <x:c r="D44" s="28" t="str">
        <x:v>Рыба и морепродукты</x:v>
      </x:c>
      <x:c r="E44" s="28" t="str">
        <x:v>умами и солёный контраст</x:v>
      </x:c>
      <x:c r="F44" s="28" t="str">
        <x:v>Батат имеет профиль «сладкий, крахмалистый, цветочный, карамельный и ореховый после запекания».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4" s="28" t="str">
        <x:v>водянистое пюре размывает аромат; сильная сладость требует кислоты, соли или горечи</x:v>
      </x:c>
      <x:c r="I44" s="28" t="str">
        <x:v>пюре, суп, запекание, крем, гарнир, соус или десертная разработка с лосось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119</x:v>
      </x:c>
    </x:row>
    <x:row r="45" ht="66" customHeight="1">
      <x:c r="A45" s="28" t="str">
        <x:v>VEG-0075</x:v>
      </x:c>
      <x:c r="B45" s="28" t="str">
        <x:v>батат</x:v>
      </x:c>
      <x:c r="C45" s="28" t="str">
        <x:v>мадера мальвазия</x:v>
      </x:c>
      <x:c r="D45" s="28" t="str">
        <x:v>Прочее</x:v>
      </x:c>
      <x:c r="E45" s="28" t="str">
        <x:v>сенсорная комплементарность</x:v>
      </x:c>
      <x:c r="F45" s="28" t="str">
        <x:v>Батат имеет профиль «сладкий, крахмалистый, цветочный, карамельный и ореховый после запекания». Партнёр «мадера мальвазия»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5" s="28" t="str">
        <x:v>водянистое пюре размывает аромат; сильная сладость требует кислоты, соли или горечи</x:v>
      </x:c>
      <x:c r="I45" s="28" t="str">
        <x:v>пюре, суп, запекание, крем, гарнир, соус или десертная разработка с мадера мальвазия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119</x:v>
      </x:c>
    </x:row>
    <x:row r="46" ht="66" customHeight="1">
      <x:c r="A46" s="28" t="str">
        <x:v>VEG-0076</x:v>
      </x:c>
      <x:c r="B46" s="28" t="str">
        <x:v>батат</x:v>
      </x:c>
      <x:c r="C46" s="28" t="str">
        <x:v>манго</x:v>
      </x:c>
      <x:c r="D46" s="28" t="str">
        <x:v>Фрукты и ягоды</x:v>
      </x:c>
      <x:c r="E46" s="28" t="str">
        <x:v>кислотно-сладкий баланс</x:v>
      </x:c>
      <x:c r="F46" s="28" t="str">
        <x:v>Батат имеет профиль «сладкий, крахмалистый, цветочный, карамельный и ореховый после запекания».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4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6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46" s="28" t="str">
        <x:v>пюре, суп, запекание, крем, гарнир, соус или десертная разработка с манго</x:v>
      </x:c>
      <x:c r="J46" s="28" t="str">
        <x:v>Высокая</x:v>
      </x:c>
      <x:c r="K46" s="28" t="str">
        <x:v>The Art &amp; Science of Foodpairing.pdf</x:v>
      </x:c>
      <x:c r="L46" s="28" t="str">
        <x:v>The Art &amp; Science of Foodpairing.pdf: 118, 119</x:v>
      </x:c>
    </x:row>
    <x:row r="47" ht="66" customHeight="1">
      <x:c r="A47" s="28" t="str">
        <x:v>VEG-0077</x:v>
      </x:c>
      <x:c r="B47" s="28" t="str">
        <x:v>батат</x:v>
      </x:c>
      <x:c r="C47" s="28" t="str">
        <x:v>мангольд</x:v>
      </x:c>
      <x:c r="D47" s="28" t="str">
        <x:v>Фрукты и ягоды</x:v>
      </x:c>
      <x:c r="E47" s="28" t="str">
        <x:v>кислотно-сладкий баланс</x:v>
      </x:c>
      <x:c r="F47" s="28" t="str">
        <x:v>Батат имеет профиль «сладкий, крахмалистый, цветочный, карамельный и ореховый после запекания». Партнёр «мангольд»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4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7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47" s="28" t="str">
        <x:v>пюре, суп, запекание, крем, гарнир, соус или десертная разработка с мангольд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119</x:v>
      </x:c>
    </x:row>
    <x:row r="48" ht="66" customHeight="1">
      <x:c r="A48" s="28" t="str">
        <x:v>VEG-0078</x:v>
      </x:c>
      <x:c r="B48" s="28" t="str">
        <x:v>батат</x:v>
      </x:c>
      <x:c r="C48" s="28" t="str">
        <x:v>маниок</x:v>
      </x:c>
      <x:c r="D48" s="28" t="str">
        <x:v>Прочее</x:v>
      </x:c>
      <x:c r="E48" s="28" t="str">
        <x:v>сенсорная комплементарность</x:v>
      </x:c>
      <x:c r="F48" s="28" t="str">
        <x:v>Батат имеет профиль «сладкий, крахмалистый, цветочный, карамельный и ореховый после запекания».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8" s="28" t="str">
        <x:v>водянистое пюре размывает аромат; сильная сладость требует кислоты, соли или горечи</x:v>
      </x:c>
      <x:c r="I48" s="28" t="str">
        <x:v>пюре, суп, запекание, крем, гарнир, соус или десертная разработка с маниок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251</x:v>
      </x:c>
    </x:row>
    <x:row r="49" ht="66" customHeight="1">
      <x:c r="A49" s="28" t="str">
        <x:v>VEG-0079</x:v>
      </x:c>
      <x:c r="B49" s="28" t="str">
        <x:v>батат</x:v>
      </x:c>
      <x:c r="C49" s="28" t="str">
        <x:v>маракуйя</x:v>
      </x:c>
      <x:c r="D49" s="28" t="str">
        <x:v>Прочее</x:v>
      </x:c>
      <x:c r="E49" s="28" t="str">
        <x:v>сенсорная комплементарность</x:v>
      </x:c>
      <x:c r="F49" s="28" t="str">
        <x:v>Батат имеет профиль «сладкий, крахмалистый, цветочный, карамельный и ореховый после запекания».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9" s="28" t="str">
        <x:v>водянистое пюре размывает аромат; сильная сладость требует кислоты, соли или горечи</x:v>
      </x:c>
      <x:c r="I49" s="28" t="str">
        <x:v>пюре, суп, запекание, крем, гарнир, соус или десертная разработка с маракуйя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119</x:v>
      </x:c>
    </x:row>
    <x:row r="50" ht="66" customHeight="1">
      <x:c r="A50" s="28" t="str">
        <x:v>VEG-0080</x:v>
      </x:c>
      <x:c r="B50" s="28" t="str">
        <x:v>батат</x:v>
      </x:c>
      <x:c r="C50" s="28" t="str">
        <x:v>морской ёж</x:v>
      </x:c>
      <x:c r="D50" s="28" t="str">
        <x:v>Прочее</x:v>
      </x:c>
      <x:c r="E50" s="28" t="str">
        <x:v>сенсорная комплементарность</x:v>
      </x:c>
      <x:c r="F50" s="28" t="str">
        <x:v>Батат имеет профиль «сладкий, крахмалистый, цветочный, карамельный и ореховый после запекания». Партнёр «морской ёж»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0" s="28" t="str">
        <x:v>водянистое пюре размывает аромат; сильная сладость требует кислоты, соли или горечи</x:v>
      </x:c>
      <x:c r="I50" s="28" t="str">
        <x:v>пюре, суп, запекание, крем, гарнир, соус или десертная разработка с морской ёж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119</x:v>
      </x:c>
    </x:row>
    <x:row r="51" ht="66" customHeight="1">
      <x:c r="A51" s="28" t="str">
        <x:v>VEG-0081</x:v>
      </x:c>
      <x:c r="B51" s="28" t="str">
        <x:v>батат</x:v>
      </x:c>
      <x:c r="C51" s="28" t="str">
        <x:v>мята колосистая</x:v>
      </x:c>
      <x:c r="D51" s="28" t="str">
        <x:v>Травы, цветы и листья</x:v>
      </x:c>
      <x:c r="E51" s="28" t="str">
        <x:v>сенсорная комплементарность</x:v>
      </x:c>
      <x:c r="F51" s="28" t="str">
        <x:v>Батат имеет профиль «сладкий, крахмалистый, цветочный, карамельный и ореховый после запекания». Партнёр «мята колосистая»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5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1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51" s="28" t="str">
        <x:v>пюре, суп, запекание, крем, гарнир, соус или десертная разработка с мята колосистая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119</x:v>
      </x:c>
    </x:row>
    <x:row r="52" ht="66" customHeight="1">
      <x:c r="A52" s="28" t="str">
        <x:v>VEG-0082</x:v>
      </x:c>
      <x:c r="B52" s="28" t="str">
        <x:v>батат</x:v>
      </x:c>
      <x:c r="C52" s="28" t="str">
        <x:v>нут</x:v>
      </x:c>
      <x:c r="D52" s="28" t="str">
        <x:v>Бобовые</x:v>
      </x:c>
      <x:c r="E52" s="28" t="str">
        <x:v>пересечение ароматических семейств</x:v>
      </x:c>
      <x:c r="F52" s="28" t="str">
        <x:v>Батат имеет профиль «сладкий, крахмалистый, цветочный, карамельный и ореховый после запекания». Партнёр «нут» относится к группе «Бобовые» и даёт зелёный, бобовый и крахмалистый. Профили пересекаются в семействах: крахмалистый.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2" s="28" t="str">
        <x:v>водянистое пюре размывает аромат; сильная сладость требует кислоты, соли или горечи</x:v>
      </x:c>
      <x:c r="I52" s="28" t="str">
        <x:v>пюре, суп, запекание, крем, гарнир, соус или десертная разработка с нут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119</x:v>
      </x:c>
    </x:row>
    <x:row r="53" ht="66" customHeight="1">
      <x:c r="A53" s="28" t="str">
        <x:v>VEG-0083</x:v>
      </x:c>
      <x:c r="B53" s="28" t="str">
        <x:v>батат</x:v>
      </x:c>
      <x:c r="C53" s="28" t="str">
        <x:v>огурец</x:v>
      </x:c>
      <x:c r="D53" s="28" t="str">
        <x:v>Тыквенные</x:v>
      </x:c>
      <x:c r="E53" s="28" t="str">
        <x:v>сенсорная комплементарность</x:v>
      </x:c>
      <x:c r="F53" s="28" t="str">
        <x:v>Батат имеет профиль «сладкий, крахмалистый, цветочный, карамельный и ореховый после запекания».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3" s="28" t="str">
        <x:v>водянистое пюре размывает аромат; сильная сладость требует кислоты, соли или горечи</x:v>
      </x:c>
      <x:c r="I53" s="28" t="str">
        <x:v>пюре, суп, запекание, крем, гарнир, соус или десертная разработка с огурец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119</x:v>
      </x:c>
    </x:row>
    <x:row r="54" ht="66" customHeight="1">
      <x:c r="A54" s="28" t="str">
        <x:v>VEG-0084</x:v>
      </x:c>
      <x:c r="B54" s="28" t="str">
        <x:v>батат</x:v>
      </x:c>
      <x:c r="C54" s="28" t="str">
        <x:v>пак-чой</x:v>
      </x:c>
      <x:c r="D54" s="28" t="str">
        <x:v>Прочее</x:v>
      </x:c>
      <x:c r="E54" s="28" t="str">
        <x:v>сенсорная комплементарность</x:v>
      </x:c>
      <x:c r="F54" s="28" t="str">
        <x:v>Батат имеет профиль «сладкий, крахмалистый, цветочный, карамельный и ореховый после запекания». Партнёр «пак-чой»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4" s="28" t="str">
        <x:v>водянистое пюре размывает аромат; сильная сладость требует кислоты, соли или горечи</x:v>
      </x:c>
      <x:c r="I54" s="28" t="str">
        <x:v>пюре, суп, запекание, крем, гарнир, соус или десертная разработка с пак-чой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119</x:v>
      </x:c>
    </x:row>
    <x:row r="55" ht="66" customHeight="1">
      <x:c r="A55" s="28" t="str">
        <x:v>VEG-0085</x:v>
      </x:c>
      <x:c r="B55" s="28" t="str">
        <x:v>батат</x:v>
      </x:c>
      <x:c r="C55" s="28" t="str">
        <x:v>паста карри мадрас</x:v>
      </x:c>
      <x:c r="D55" s="28" t="str">
        <x:v>Выпечка, крупы, сахара и десерты</x:v>
      </x:c>
      <x:c r="E55" s="28" t="str">
        <x:v>общие характерные молекулы; пересечение ароматических семейств</x:v>
      </x:c>
      <x:c r="F55" s="28" t="str">
        <x:v>Батат имеет профиль «сладкий, крахмалистый, цветочный, карамельный и ореховый после запекания». Партнёр «паста карри мадрас»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5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5" s="28" t="str">
        <x:v>водянистое пюре размывает аромат; сильная сладость требует кислоты, соли или горечи</x:v>
      </x:c>
      <x:c r="I55" s="28" t="str">
        <x:v>пюре, суп, запекание, крем, гарнир, соус или десертная разработка с паста карри мадрас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119</x:v>
      </x:c>
    </x:row>
    <x:row r="56" ht="66" customHeight="1">
      <x:c r="A56" s="28" t="str">
        <x:v>VEG-0086</x:v>
      </x:c>
      <x:c r="B56" s="28" t="str">
        <x:v>батат</x:v>
      </x:c>
      <x:c r="C56" s="28" t="str">
        <x:v>паста тикка масала</x:v>
      </x:c>
      <x:c r="D56" s="28" t="str">
        <x:v>Выпечка, крупы, сахара и десерты</x:v>
      </x:c>
      <x:c r="E56" s="28" t="str">
        <x:v>общие характерные молекулы; пересечение ароматических семейств</x:v>
      </x:c>
      <x:c r="F56" s="28" t="str">
        <x:v>Батат имеет профиль «сладкий, крахмалистый, цветочный, карамельный и ореховый после запекания». Партнёр «паста тикка масала»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5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6" s="28" t="str">
        <x:v>водянистое пюре размывает аромат; сильная сладость требует кислоты, соли или горечи</x:v>
      </x:c>
      <x:c r="I56" s="28" t="str">
        <x:v>пюре, суп, запекание, крем, гарнир, соус или десертная разработка с паста тикка масала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119</x:v>
      </x:c>
    </x:row>
    <x:row r="57" ht="66" customHeight="1">
      <x:c r="A57" s="28" t="str">
        <x:v>VEG-0087</x:v>
      </x:c>
      <x:c r="B57" s="28" t="str">
        <x:v>батат</x:v>
      </x:c>
      <x:c r="C57" s="28" t="str">
        <x:v>петрушка</x:v>
      </x:c>
      <x:c r="D57" s="28" t="str">
        <x:v>Травы, цветы и листья</x:v>
      </x:c>
      <x:c r="E57" s="28" t="str">
        <x:v>сенсорная комплементарность</x:v>
      </x:c>
      <x:c r="F57" s="28" t="str">
        <x:v>Батат имеет профиль «сладкий, крахмалистый, цветочный, карамельный и ореховый после запекания».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5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7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57" s="28" t="str">
        <x:v>пюре, суп, запекание, крем, гарнир, соус или десертная разработка с петрушка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119</x:v>
      </x:c>
    </x:row>
    <x:row r="58" ht="66" customHeight="1">
      <x:c r="A58" s="28" t="str">
        <x:v>VEG-0088</x:v>
      </x:c>
      <x:c r="B58" s="28" t="str">
        <x:v>батат</x:v>
      </x:c>
      <x:c r="C58" s="28" t="str">
        <x:v>пурпурный шалфей</x:v>
      </x:c>
      <x:c r="D58" s="28" t="str">
        <x:v>Травы, цветы и листья</x:v>
      </x:c>
      <x:c r="E58" s="28" t="str">
        <x:v>сенсорная комплементарность</x:v>
      </x:c>
      <x:c r="F58" s="28" t="str">
        <x:v>Батат имеет профиль «сладкий, крахмалистый, цветочный, карамельный и ореховый после запекания». Партнёр «пурпурный 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5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8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58" s="28" t="str">
        <x:v>пюре, суп, запекание, крем, гарнир, соус или десертная разработка с пурпурный шалфей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119</x:v>
      </x:c>
    </x:row>
    <x:row r="59" ht="66" customHeight="1">
      <x:c r="A59" s="28" t="str">
        <x:v>VEG-0089</x:v>
      </x:c>
      <x:c r="B59" s="28" t="str">
        <x:v>батат</x:v>
      </x:c>
      <x:c r="C59" s="28" t="str">
        <x:v>пюре маракуйи</x:v>
      </x:c>
      <x:c r="D59" s="28" t="str">
        <x:v>Прочее</x:v>
      </x:c>
      <x:c r="E59" s="28" t="str">
        <x:v>сенсорная комплементарность</x:v>
      </x:c>
      <x:c r="F59" s="28" t="str">
        <x:v>Батат имеет профиль «сладкий, крахмалистый, цветочный, карамельный и ореховый после запекания». Партнёр «пюре маракуйи»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9" s="28" t="str">
        <x:v>водянистое пюре размывает аромат; сильная сладость требует кислоты, соли или горечи</x:v>
      </x:c>
      <x:c r="I59" s="28" t="str">
        <x:v>пюре, суп, запекание, крем, гарнир, соус или десертная разработка с пюре маракуйи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119</x:v>
      </x:c>
    </x:row>
    <x:row r="60" ht="66" customHeight="1">
      <x:c r="A60" s="28" t="str">
        <x:v>VEG-0090</x:v>
      </x:c>
      <x:c r="B60" s="28" t="str">
        <x:v>батат</x:v>
      </x:c>
      <x:c r="C60" s="28" t="str">
        <x:v>рис басмати</x:v>
      </x:c>
      <x:c r="D60" s="28" t="str">
        <x:v>Выпечка, крупы, сахара и десерты</x:v>
      </x:c>
      <x:c r="E60" s="28" t="str">
        <x:v>общие характерные молекулы; пересечение ароматических семейств</x:v>
      </x:c>
      <x:c r="F60" s="28" t="str">
        <x:v>Батат имеет профиль «сладкий, крахмалистый, цветочный, карамельный и ореховый после запекания». Партнёр «рис басмати»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0" s="28" t="str">
        <x:v>водянистое пюре размывает аромат; сильная сладость требует кислоты, соли или горечи</x:v>
      </x:c>
      <x:c r="I60" s="28" t="str">
        <x:v>пюре, суп, запекание, крем, гарнир, соус или десертная разработка с рис басмати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119</x:v>
      </x:c>
    </x:row>
    <x:row r="61" ht="66" customHeight="1">
      <x:c r="A61" s="28" t="str">
        <x:v>VEG-0091</x:v>
      </x:c>
      <x:c r="B61" s="28" t="str">
        <x:v>батат</x:v>
      </x:c>
      <x:c r="C61" s="28" t="str">
        <x:v>салями милано</x:v>
      </x:c>
      <x:c r="D61" s="28" t="str">
        <x:v>Прочее</x:v>
      </x:c>
      <x:c r="E61" s="28" t="str">
        <x:v>сенсорная комплементарность</x:v>
      </x:c>
      <x:c r="F61" s="28" t="str">
        <x:v>Батат имеет профиль «сладкий, крахмалистый, цветочный, карамельный и ореховый после запекания». Партнёр «салями милано»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1" s="28" t="str">
        <x:v>водянистое пюре размывает аромат; сильная сладость требует кислоты, соли или горечи</x:v>
      </x:c>
      <x:c r="I61" s="28" t="str">
        <x:v>пюре, суп, запекание, крем, гарнир, соус или десертная разработка с салями милано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119</x:v>
      </x:c>
    </x:row>
    <x:row r="62" ht="66" customHeight="1">
      <x:c r="A62" s="28" t="str">
        <x:v>VEG-0092</x:v>
      </x:c>
      <x:c r="B62" s="28" t="str">
        <x:v>батат</x:v>
      </x:c>
      <x:c r="C62" s="28" t="str">
        <x:v>сельдерей корневой</x:v>
      </x:c>
      <x:c r="D62" s="28" t="str">
        <x:v>Корнеплоды</x:v>
      </x:c>
      <x:c r="E62" s="28" t="str">
        <x:v>сенсорная комплементарность</x:v>
      </x:c>
      <x:c r="F62" s="28" t="str">
        <x:v>Батат имеет профиль «сладкий, крахмалистый, цветочный, карамельный и ореховый после запекания». Партнёр «сельдерей корневой» относится к группе «Корнеплоды» и даёт землистый, ореховый, сельдерейно-пряный и слегка грибной.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2" s="28" t="str">
        <x:v>водянистое пюре размывает аромат; сильная сладость требует кислоты, соли или горечи</x:v>
      </x:c>
      <x:c r="I62" s="28" t="str">
        <x:v>пюре, суп, запекание, крем, гарнир, соус или десертная разработка с сельдерей корневой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52, 119</x:v>
      </x:c>
    </x:row>
    <x:row r="63" ht="66" customHeight="1">
      <x:c r="A63" s="28" t="str">
        <x:v>VEG-0093</x:v>
      </x:c>
      <x:c r="B63" s="28" t="str">
        <x:v>батат</x:v>
      </x:c>
      <x:c r="C63" s="28" t="str">
        <x:v>семена нигеллы</x:v>
      </x:c>
      <x:c r="D63" s="28" t="str">
        <x:v>Орехи и семена</x:v>
      </x:c>
      <x:c r="E63" s="28" t="str">
        <x:v>общие характерные молекулы; пересечение ароматических семейств</x:v>
      </x:c>
      <x:c r="F63" s="28" t="str">
        <x:v>Батат имеет профиль «сладкий, крахмалистый, цветочный, карамельный и ореховый после запекания». Партнёр «семена нигеллы»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3" s="28" t="str">
        <x:v>водянистое пюре размывает аромат; сильная сладость требует кислоты, соли или горечи</x:v>
      </x:c>
      <x:c r="I63" s="28" t="str">
        <x:v>пюре, суп, запекание, крем, гарнир, соус или десертная разработка с семена нигеллы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119</x:v>
      </x:c>
    </x:row>
    <x:row r="64" ht="66" customHeight="1">
      <x:c r="A64" s="28" t="str">
        <x:v>VEG-0094</x:v>
      </x:c>
      <x:c r="B64" s="28" t="str">
        <x:v>батат</x:v>
      </x:c>
      <x:c r="C64" s="28" t="str">
        <x:v>соевая паста</x:v>
      </x:c>
      <x:c r="D64" s="28" t="str">
        <x:v>Выпечка, крупы, сахара и десерты</x:v>
      </x:c>
      <x:c r="E64" s="28" t="str">
        <x:v>общие характерные молекулы; пересечение ароматических семейств</x:v>
      </x:c>
      <x:c r="F64" s="28" t="str">
        <x:v>Батат имеет профиль «сладкий, крахмалистый, цветочный, карамельный и ореховый после запекания». Партнёр «соевая паста»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4" s="28" t="str">
        <x:v>водянистое пюре размывает аромат; сильная сладость требует кислоты, соли или горечи</x:v>
      </x:c>
      <x:c r="I64" s="28" t="str">
        <x:v>пюре, суп, запекание, крем, гарнир, соус или десертная разработка с соевая паста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119</x:v>
      </x:c>
    </x:row>
    <x:row r="65" ht="66" customHeight="1">
      <x:c r="A65" s="28" t="str">
        <x:v>VEG-0095</x:v>
      </x:c>
      <x:c r="B65" s="28" t="str">
        <x:v>батат</x:v>
      </x:c>
      <x:c r="C65" s="28" t="str">
        <x:v>сушёный барбарис</x:v>
      </x:c>
      <x:c r="D65" s="28" t="str">
        <x:v>Выпечка, крупы, сахара и десерты</x:v>
      </x:c>
      <x:c r="E65" s="28" t="str">
        <x:v>общие характерные молекулы; пересечение ароматических семейств</x:v>
      </x:c>
      <x:c r="F65" s="28" t="str">
        <x:v>Батат имеет профиль «сладкий, крахмалистый, цветочный, карамельный и ореховый после запекания». Партнёр «сушёный 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5" s="28" t="str">
        <x:v>водянистое пюре размывает аромат; сильная сладость требует кислоты, соли или горечи</x:v>
      </x:c>
      <x:c r="I65" s="28" t="str">
        <x:v>пюре, суп, запекание, крем, гарнир, соус или десертная разработка с сушёный барбарис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119</x:v>
      </x:c>
    </x:row>
    <x:row r="66" ht="66" customHeight="1">
      <x:c r="A66" s="28" t="str">
        <x:v>VEG-0096</x:v>
      </x:c>
      <x:c r="B66" s="28" t="str">
        <x:v>батат</x:v>
      </x:c>
      <x:c r="C66" s="28" t="str">
        <x:v>сушёный корень дягиля</x:v>
      </x:c>
      <x:c r="D66" s="28" t="str">
        <x:v>Прочее</x:v>
      </x:c>
      <x:c r="E66" s="28" t="str">
        <x:v>сенсорная комплементарность</x:v>
      </x:c>
      <x:c r="F66" s="28" t="str">
        <x:v>Батат имеет профиль «сладкий, крахмалистый, цветочный, карамельный и ореховый после запекания». Партнёр «сушёный корень дягиля»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6" s="28" t="str">
        <x:v>водянистое пюре размывает аромат; сильная сладость требует кислоты, соли или горечи</x:v>
      </x:c>
      <x:c r="I66" s="28" t="str">
        <x:v>пюре, суп, запекание, крем, гарнир, соус или десертная разработка с сушёный корень дягиля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119</x:v>
      </x:c>
    </x:row>
    <x:row r="67" ht="66" customHeight="1">
      <x:c r="A67" s="28" t="str">
        <x:v>VEG-0097</x:v>
      </x:c>
      <x:c r="B67" s="28" t="str">
        <x:v>батат</x:v>
      </x:c>
      <x:c r="C67" s="28" t="str">
        <x:v>сыр ронкаль</x:v>
      </x:c>
      <x:c r="D67" s="28" t="str">
        <x:v>Молочные продукты и сыры</x:v>
      </x:c>
      <x:c r="E67" s="28" t="str">
        <x:v>жировая матрица</x:v>
      </x:c>
      <x:c r="F67" s="28" t="str">
        <x:v>Батат имеет профиль «сладкий, крахмалистый, цветочный, карамельный и ореховый после запекания». Партнёр «сыр ронкаль»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6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7" s="28" t="str">
        <x:v>водянистое пюре размывает аромат; сильная сладость требует кислоты, соли или горечи; жир способен приглушить свежую зелёную ароматику</x:v>
      </x:c>
      <x:c r="I67" s="28" t="str">
        <x:v>пюре, суп, запекание, крем, гарнир, соус или десертная разработка с сыр ронкаль</x:v>
      </x:c>
      <x:c r="J67" s="28" t="str">
        <x:v>Средняя</x:v>
      </x:c>
      <x:c r="K67" s="28" t="str">
        <x:v>The Art &amp; Science of Foodpairing.pdf</x:v>
      </x:c>
      <x:c r="L67" s="28" t="str">
        <x:v>The Art &amp; Science of Foodpairing.pdf: 119</x:v>
      </x:c>
    </x:row>
    <x:row r="68" ht="66" customHeight="1">
      <x:c r="A68" s="28" t="str">
        <x:v>VEG-0098</x:v>
      </x:c>
      <x:c r="B68" s="28" t="str">
        <x:v>батат</x:v>
      </x:c>
      <x:c r="C68" s="28" t="str">
        <x:v>тимьян</x:v>
      </x:c>
      <x:c r="D68" s="28" t="str">
        <x:v>Травы, цветы и листья</x:v>
      </x:c>
      <x:c r="E68" s="28" t="str">
        <x:v>сенсорная комплементарность</x:v>
      </x:c>
      <x:c r="F68" s="28" t="str">
        <x:v>Батат имеет профиль «сладкий, крахмалистый, цветочный, карамельный и ореховый после запекания».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6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8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68" s="28" t="str">
        <x:v>пюре, суп, запекание, крем, гарнир, соус или десертная разработка с тимьян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119</x:v>
      </x:c>
    </x:row>
    <x:row r="69" ht="66" customHeight="1">
      <x:c r="A69" s="28" t="str">
        <x:v>VEG-0099</x:v>
      </x:c>
      <x:c r="B69" s="28" t="str">
        <x:v>батат</x:v>
      </x:c>
      <x:c r="C69" s="28" t="str">
        <x:v>томат</x:v>
      </x:c>
      <x:c r="D69" s="28" t="str">
        <x:v>Плодовые овощи</x:v>
      </x:c>
      <x:c r="E69" s="28" t="str">
        <x:v>сенсорная комплементарность</x:v>
      </x:c>
      <x:c r="F69" s="28" t="str">
        <x:v>Батат имеет профиль «сладкий, крахмалистый, цветочный, карамельный и ореховый после запекания». Партнёр «томат» относится к группе «Плодовые овощи» и даёт зелёный, фруктовый, листовой,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9" s="28" t="str">
        <x:v>водянистое пюре размывает аромат; сильная сладость требует кислоты, соли или горечи</x:v>
      </x:c>
      <x:c r="I69" s="28" t="str">
        <x:v>пюре, суп, запекание, крем, гарнир, соус или десертная разработка с томат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161</x:v>
      </x:c>
    </x:row>
    <x:row r="70" ht="66" customHeight="1">
      <x:c r="A70" s="28" t="str">
        <x:v>VEG-0100</x:v>
      </x:c>
      <x:c r="B70" s="28" t="str">
        <x:v>батат</x:v>
      </x:c>
      <x:c r="C70" s="28" t="str">
        <x:v>треска</x:v>
      </x:c>
      <x:c r="D70" s="28" t="str">
        <x:v>Рыба и морепродукты</x:v>
      </x:c>
      <x:c r="E70" s="28" t="str">
        <x:v>умами и солёный контраст</x:v>
      </x:c>
      <x:c r="F70" s="28" t="str">
        <x:v>Батат имеет профиль «сладкий, крахмалистый, цветочный, карамельный и ореховый после запекания».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7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0" s="28" t="str">
        <x:v>водянистое пюре размывает аромат; сильная сладость требует кислоты, соли или горечи</x:v>
      </x:c>
      <x:c r="I70" s="28" t="str">
        <x:v>пюре, суп, запекание, крем, гарнир, соус или десертная разработка с треска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119</x:v>
      </x:c>
    </x:row>
    <x:row r="71" ht="66" customHeight="1">
      <x:c r="A71" s="28" t="str">
        <x:v>VEG-0101</x:v>
      </x:c>
      <x:c r="B71" s="28" t="str">
        <x:v>батат</x:v>
      </x:c>
      <x:c r="C71" s="28" t="str">
        <x:v>фундук</x:v>
      </x:c>
      <x:c r="D71" s="28" t="str">
        <x:v>Орехи и семена</x:v>
      </x:c>
      <x:c r="E71" s="28" t="str">
        <x:v>общие характерные молекулы; пересечение ароматических семейств</x:v>
      </x:c>
      <x:c r="F71" s="28" t="str">
        <x:v>Батат имеет профиль «сладкий, крахмалистый, цветочный, карамельный и ореховый после запекания».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7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1" s="28" t="str">
        <x:v>водянистое пюре размывает аромат; сильная сладость требует кислоты, соли или горечи</x:v>
      </x:c>
      <x:c r="I71" s="28" t="str">
        <x:v>пюре, суп, запекание, крем, гарнир, соус или десертная разработка с фундук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119, 332</x:v>
      </x:c>
    </x:row>
    <x:row r="72" ht="66" customHeight="1">
      <x:c r="A72" s="28" t="str">
        <x:v>VEG-0102</x:v>
      </x:c>
      <x:c r="B72" s="28" t="str">
        <x:v>батат</x:v>
      </x:c>
      <x:c r="C72" s="28" t="str">
        <x:v>цукаты из апельсиновой корки</x:v>
      </x:c>
      <x:c r="D72" s="28" t="str">
        <x:v>Фрукты и ягоды</x:v>
      </x:c>
      <x:c r="E72" s="28" t="str">
        <x:v>пересечение ароматических семейств; кислотно-сладкий баланс</x:v>
      </x:c>
      <x:c r="F72" s="28" t="str">
        <x:v>Батат имеет профиль «сладкий, крахмалистый, цветочный, карамельный и ореховый после запекания». Партнёр «цукаты из апельсиновой корки»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7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2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72" s="28" t="str">
        <x:v>пюре, суп, запекание, крем, гарнир, соус или десертная разработка с цукаты из апельсиновой корки</x:v>
      </x:c>
      <x:c r="J72" s="28" t="str">
        <x:v>Средняя</x:v>
      </x:c>
      <x:c r="K72" s="28" t="str">
        <x:v>The Art &amp; Science of Foodpairing.pdf</x:v>
      </x:c>
      <x:c r="L72" s="28" t="str">
        <x:v>The Art &amp; Science of Foodpairing.pdf: 119</x:v>
      </x:c>
    </x:row>
    <x:row r="73" ht="66" customHeight="1">
      <x:c r="A73" s="28" t="str">
        <x:v>VEG-0103</x:v>
      </x:c>
      <x:c r="B73" s="28" t="str">
        <x:v>батат</x:v>
      </x:c>
      <x:c r="C73" s="28" t="str">
        <x:v>чабер</x:v>
      </x:c>
      <x:c r="D73" s="28" t="str">
        <x:v>Прочее</x:v>
      </x:c>
      <x:c r="E73" s="28" t="str">
        <x:v>сенсорная комплементарность</x:v>
      </x:c>
      <x:c r="F73" s="28" t="str">
        <x:v>Батат имеет профиль «сладкий, крахмалистый, цветочный, карамельный и ореховый после запекания». Партнёр «чабер»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3" s="28" t="str">
        <x:v>водянистое пюре размывает аромат; сильная сладость требует кислоты, соли или горечи</x:v>
      </x:c>
      <x:c r="I73" s="28" t="str">
        <x:v>пюре, суп, запекание, крем, гарнир, соус или десертная разработка с чабер</x:v>
      </x:c>
      <x:c r="J73" s="28" t="str">
        <x:v>Средняя</x:v>
      </x:c>
      <x:c r="K73" s="28" t="str">
        <x:v>The Art &amp; Science of Foodpairing.pdf</x:v>
      </x:c>
      <x:c r="L73" s="28" t="str">
        <x:v>The Art &amp; Science of Foodpairing.pdf: 119</x:v>
      </x:c>
    </x:row>
    <x:row r="74" ht="66" customHeight="1">
      <x:c r="A74" s="28" t="str">
        <x:v>VEG-0104</x:v>
      </x:c>
      <x:c r="B74" s="28" t="str">
        <x:v>батат</x:v>
      </x:c>
      <x:c r="C74" s="28" t="str">
        <x:v>черешня</x:v>
      </x:c>
      <x:c r="D74" s="28" t="str">
        <x:v>Прочее</x:v>
      </x:c>
      <x:c r="E74" s="28" t="str">
        <x:v>сенсорная комплементарность</x:v>
      </x:c>
      <x:c r="F74" s="28" t="str">
        <x:v>Батат имеет профиль «сладкий, крахмалистый, цветочный, карамельный и ореховый после запекания». Партнёр «черешня»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4" s="28" t="str">
        <x:v>водянистое пюре размывает аромат; сильная сладость требует кислоты, соли или горечи</x:v>
      </x:c>
      <x:c r="I74" s="28" t="str">
        <x:v>пюре, суп, запекание, крем, гарнир, соус или десертная разработка с черешня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119</x:v>
      </x:c>
    </x:row>
    <x:row r="75" ht="66" customHeight="1">
      <x:c r="A75" s="28" t="str">
        <x:v>VEG-0105</x:v>
      </x:c>
      <x:c r="B75" s="28" t="str">
        <x:v>батат</x:v>
      </x:c>
      <x:c r="C75" s="28" t="str">
        <x:v>чеснок</x:v>
      </x:c>
      <x:c r="D75" s="28" t="str">
        <x:v>Луковые овощи</x:v>
      </x:c>
      <x:c r="E75" s="28" t="str">
        <x:v>пересечение ароматических семейств</x:v>
      </x:c>
      <x:c r="F75" s="28" t="str">
        <x:v>Батат имеет профиль «сладкий, крахмалистый, цветочный, карамельный и ореховый после запекания».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5" s="28" t="str">
        <x:v>водянистое пюре размывает аромат; сильная сладость требует кислоты, соли или горечи</x:v>
      </x:c>
      <x:c r="I75" s="28" t="str">
        <x:v>пюре, суп, запекание, крем, гарнир, соус или десертная разработка с чеснок</x:v>
      </x:c>
      <x:c r="J75" s="28" t="str">
        <x:v>Высокая</x:v>
      </x:c>
      <x:c r="K75" s="28" t="str">
        <x:v>The Art &amp; Science of Foodpairing.pdf</x:v>
      </x:c>
      <x:c r="L75" s="28" t="str">
        <x:v>The Art &amp; Science of Foodpairing.pdf: 115</x:v>
      </x:c>
    </x:row>
    <x:row r="76" ht="66" customHeight="1">
      <x:c r="A76" s="28" t="str">
        <x:v>VEG-0106</x:v>
      </x:c>
      <x:c r="B76" s="28" t="str">
        <x:v>батат</x:v>
      </x:c>
      <x:c r="C76" s="28" t="str">
        <x:v>чили ахи панка</x:v>
      </x:c>
      <x:c r="D76" s="28" t="str">
        <x:v>Специи</x:v>
      </x:c>
      <x:c r="E76" s="28" t="str">
        <x:v>сенсорная комплементарность</x:v>
      </x:c>
      <x:c r="F76" s="28" t="str">
        <x:v>Батат имеет профиль «сладкий, крахмалистый, цветочный, карамельный и ореховый после запекания». Партнёр «чили ахи панка»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7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6" s="28" t="str">
        <x:v>водянистое пюре размывает аромат; сильная сладость требует кислоты, соли или горечи</x:v>
      </x:c>
      <x:c r="I76" s="28" t="str">
        <x:v>пюре, суп, запекание, крем, гарнир, соус или десертная разработка с чили ахи панка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119</x:v>
      </x:c>
    </x:row>
    <x:row r="77" ht="66" customHeight="1">
      <x:c r="A77" s="28" t="str">
        <x:v>VEG-0107</x:v>
      </x:c>
      <x:c r="B77" s="28" t="str">
        <x:v>батат</x:v>
      </x:c>
      <x:c r="C77" s="28" t="str">
        <x:v>чёрный кардамон</x:v>
      </x:c>
      <x:c r="D77" s="28" t="str">
        <x:v>Специи</x:v>
      </x:c>
      <x:c r="E77" s="28" t="str">
        <x:v>сенсорная комплементарность</x:v>
      </x:c>
      <x:c r="F77" s="28" t="str">
        <x:v>Батат имеет профиль «сладкий, крахмалистый, цветочный, карамельный и ореховый после запекания». Партнёр «чёрный 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7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7" s="28" t="str">
        <x:v>водянистое пюре размывает аромат; сильная сладость требует кислоты, соли или горечи</x:v>
      </x:c>
      <x:c r="I77" s="28" t="str">
        <x:v>пюре, суп, запекание, крем, гарнир, соус или десертная разработка с чёрный кардамон</x:v>
      </x:c>
      <x:c r="J77" s="28" t="str">
        <x:v>Средняя</x:v>
      </x:c>
      <x:c r="K77" s="28" t="str">
        <x:v>The Art &amp; Science of Foodpairing.pdf</x:v>
      </x:c>
      <x:c r="L77" s="28" t="str">
        <x:v>The Art &amp; Science of Foodpairing.pdf: 119</x:v>
      </x:c>
    </x:row>
    <x:row r="78" ht="66" customHeight="1">
      <x:c r="A78" s="28" t="str">
        <x:v>VEG-0108</x:v>
      </x:c>
      <x:c r="B78" s="28" t="str">
        <x:v>батат</x:v>
      </x:c>
      <x:c r="C78" s="28" t="str">
        <x:v>чёрный перец</x:v>
      </x:c>
      <x:c r="D78" s="28" t="str">
        <x:v>Специи</x:v>
      </x:c>
      <x:c r="E78" s="28" t="str">
        <x:v>сенсорная комплементарность</x:v>
      </x:c>
      <x:c r="F78" s="28" t="str">
        <x:v>Батат имеет профиль «сладкий, крахмалистый, цветочный, карамельный и ореховый после запекания».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7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8" s="28" t="str">
        <x:v>водянистое пюре размывает аромат; сильная сладость требует кислоты, соли или горечи</x:v>
      </x:c>
      <x:c r="I78" s="28" t="str">
        <x:v>пюре, суп, запекание, крем, гарнир, соус или десертная разработка с чёрный перец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274</x:v>
      </x:c>
    </x:row>
    <x:row r="79" ht="66" customHeight="1">
      <x:c r="A79" s="28" t="str">
        <x:v>VEG-0109</x:v>
      </x:c>
      <x:c r="B79" s="28" t="str">
        <x:v>батат</x:v>
      </x:c>
      <x:c r="C79" s="28" t="str">
        <x:v>шисо</x:v>
      </x:c>
      <x:c r="D79" s="28" t="str">
        <x:v>Прочее</x:v>
      </x:c>
      <x:c r="E79" s="28" t="str">
        <x:v>сенсорная комплементарность</x:v>
      </x:c>
      <x:c r="F79" s="28" t="str">
        <x:v>Батат имеет профиль «сладкий, крахмалистый, цветочный, карамельный и ореховый после запекания». Партнёр «шисо»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9" s="28" t="str">
        <x:v>водянистое пюре размывает аромат; сильная сладость требует кислоты, соли или горечи</x:v>
      </x:c>
      <x:c r="I79" s="28" t="str">
        <x:v>пюре, суп, запекание, крем, гарнир, соус или десертная разработка с шисо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119</x:v>
      </x:c>
    </x:row>
    <x:row r="80" ht="66" customHeight="1">
      <x:c r="A80" s="28" t="str">
        <x:v>VEG-0110</x:v>
      </x:c>
      <x:c r="B80" s="28" t="str">
        <x:v>батат</x:v>
      </x:c>
      <x:c r="C80" s="28" t="str">
        <x:v>шоколадная паста</x:v>
      </x:c>
      <x:c r="D80" s="28" t="str">
        <x:v>Какао и шоколад</x:v>
      </x:c>
      <x:c r="E80" s="28" t="str">
        <x:v>общие характерные молекулы; пересечение ароматических семейств</x:v>
      </x:c>
      <x:c r="F80" s="28" t="str">
        <x:v>Батат имеет профиль «сладкий, крахмалистый, цветочный, карамельный и ореховый после запекания». Партнёр «шоколадная паста» относится к группе «Какао и шоколад» и даёт жареный, какаовый, карамельный.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8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0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80" s="28" t="str">
        <x:v>пюре, суп, запекание, крем, гарнир, соус или десертная разработка с шоколадная паста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119</x:v>
      </x:c>
    </x:row>
    <x:row r="81" ht="66" customHeight="1">
      <x:c r="A81" s="28" t="str">
        <x:v>VEG-0111</x:v>
      </x:c>
      <x:c r="B81" s="28" t="str">
        <x:v>батат</x:v>
      </x:c>
      <x:c r="C81" s="28" t="str">
        <x:v>эвкалиптовый мёд</x:v>
      </x:c>
      <x:c r="D81" s="28" t="str">
        <x:v>Выпечка, крупы, сахара и десерты</x:v>
      </x:c>
      <x:c r="E81" s="28" t="str">
        <x:v>общие характерные молекулы; пересечение ароматических семейств</x:v>
      </x:c>
      <x:c r="F81" s="28" t="str">
        <x:v>Батат имеет профиль «сладкий, крахмалистый, цветочный, карамельный и ореховый после запекания». Партнёр «эвкалиптовый мёд» относится к группе «Выпечка, крупы, сахара и десерты» и даёт медовый, сладкий, цветочный. Вероятный молекулярный мост: норизопреноиды.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8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1" s="28" t="str">
        <x:v>водянистое пюре размывает аромат; сильная сладость требует кислоты, соли или горечи</x:v>
      </x:c>
      <x:c r="I81" s="28" t="str">
        <x:v>пюре, суп, запекание, крем, гарнир, соус или десертная разработка с эвкалиптовый мёд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119</x:v>
      </x:c>
    </x:row>
    <x:row r="82" ht="66" customHeight="1">
      <x:c r="A82" s="28" t="str">
        <x:v>VEG-0112</x:v>
      </x:c>
      <x:c r="B82" s="28" t="str">
        <x:v>батат</x:v>
      </x:c>
      <x:c r="C82" s="28" t="str">
        <x:v>эпазот</x:v>
      </x:c>
      <x:c r="D82" s="28" t="str">
        <x:v>Прочее</x:v>
      </x:c>
      <x:c r="E82" s="28" t="str">
        <x:v>сенсорная комплементарность</x:v>
      </x:c>
      <x:c r="F82" s="28" t="str">
        <x:v>Батат имеет профиль «сладкий, крахмалистый, цветочный, карамельный и ореховый после запекания». Партнёр «эпазот»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8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2" s="28" t="str">
        <x:v>водянистое пюре размывает аромат; сильная сладость требует кислоты, соли или горечи</x:v>
      </x:c>
      <x:c r="I82" s="28" t="str">
        <x:v>пюре, суп, запекание, крем, гарнир, соус или десертная разработка с эпазот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119</x:v>
      </x:c>
    </x:row>
    <x:row r="83" ht="66" customHeight="1">
      <x:c r="A83" s="28" t="str">
        <x:v>VEG-0113</x:v>
      </x:c>
      <x:c r="B83" s="28" t="str">
        <x:v>батат</x:v>
      </x:c>
      <x:c r="C83" s="28" t="str">
        <x:v>яблоко</x:v>
      </x:c>
      <x:c r="D83" s="28" t="str">
        <x:v>Фрукты и ягоды</x:v>
      </x:c>
      <x:c r="E83" s="28" t="str">
        <x:v>кислотно-сладкий баланс</x:v>
      </x:c>
      <x:c r="F83" s="28" t="str">
        <x:v>Батат имеет профиль «сладкий, крахмалистый, цветочный, карамельный и ореховый после запекания».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8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3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83" s="28" t="str">
        <x:v>пюре, суп, запекание, крем, гарнир, соус или десертная разработка с яблоко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119</x:v>
      </x:c>
    </x:row>
    <x:row r="84" ht="66" customHeight="1">
      <x:c r="A84" s="28" t="str">
        <x:v>VEG-0119</x:v>
      </x:c>
      <x:c r="B84" s="28" t="str">
        <x:v>болгарский перец</x:v>
      </x:c>
      <x:c r="C84" s="28" t="str">
        <x:v>баранина</x:v>
      </x:c>
      <x:c r="D84" s="28" t="str">
        <x:v>Мясо и птица</x:v>
      </x:c>
      <x:c r="E84" s="28" t="str">
        <x:v>умами и солёный контраст</x:v>
      </x:c>
      <x:c r="F84" s="28" t="str">
        <x:v>Болгарский перец имеет профиль «зелёный, травянистый, фруктовый; у красного — сладкий и жареный».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4" s="28" t="str">
        <x:v>зелёный перец может доминировать метоксипиразином; обугленную кожицу удалять</x:v>
      </x:c>
      <x:c r="I84" s="28" t="str">
        <x:v>сок, кордиал, гаспачо, салат, соус, маринад или коктейльный компонент с баранина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108</x:v>
      </x:c>
    </x:row>
    <x:row r="85" ht="66" customHeight="1">
      <x:c r="A85" s="28" t="str">
        <x:v>VEG-0120</x:v>
      </x:c>
      <x:c r="B85" s="28" t="str">
        <x:v>болгарский перец</x:v>
      </x:c>
      <x:c r="C85" s="28" t="str">
        <x:v>бекон</x:v>
      </x:c>
      <x:c r="D85" s="28" t="str">
        <x:v>Мясо и птица</x:v>
      </x:c>
      <x:c r="E85" s="28" t="str">
        <x:v>умами и солёный контраст</x:v>
      </x:c>
      <x:c r="F85" s="28" t="str">
        <x:v>Болгарский перец имеет профиль «зелёный, травянистый, фруктовый; у красного — сладкий и жареный».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5" s="28" t="str">
        <x:v>зелёный перец может доминировать метоксипиразином; обугленную кожицу удалять</x:v>
      </x:c>
      <x:c r="I85" s="28" t="str">
        <x:v>сок, кордиал, гаспачо, салат, соус, маринад или коктейльный компонент с бекон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442, 545</x:v>
      </x:c>
    </x:row>
    <x:row r="86" ht="66" customHeight="1">
      <x:c r="A86" s="28" t="str">
        <x:v>VEG-0126</x:v>
      </x:c>
      <x:c r="B86" s="28" t="str">
        <x:v>болгарский перец</x:v>
      </x:c>
      <x:c r="C86" s="28" t="str">
        <x:v>говядина</x:v>
      </x:c>
      <x:c r="D86" s="28" t="str">
        <x:v>Мясо и птица</x:v>
      </x:c>
      <x:c r="E86" s="28" t="str">
        <x:v>умами и солёный контраст</x:v>
      </x:c>
      <x:c r="F86" s="28" t="str">
        <x:v>Болгарский перец имеет профиль «зелёный, травянистый, фруктовый; у красного — сладкий и жареный».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6" s="28" t="str">
        <x:v>зелёный перец может доминировать метоксипиразином; обугленную кожицу удалять</x:v>
      </x:c>
      <x:c r="I86" s="28" t="str">
        <x:v>сок, кордиал, гаспачо, салат, соус, маринад или коктейльный компонент с говядина</x:v>
      </x:c>
      <x:c r="J86" s="28" t="str">
        <x:v>Высокая</x:v>
      </x:c>
      <x:c r="K86" s="28" t="str">
        <x:v>The Art &amp; Science of Foodpairing.pdf | Тезариус вкусов (Ники Сегнит)(1).pdf</x:v>
      </x:c>
      <x:c r="L86" s="28" t="str">
        <x:v>Тезариус вкусов (Ники Сегнит)(1).pdf: 106, 546; The Art &amp; Science of Foodpairing.pdf: 108</x:v>
      </x:c>
    </x:row>
    <x:row r="87" ht="66" customHeight="1">
      <x:c r="A87" s="28" t="str">
        <x:v>VEG-0129</x:v>
      </x:c>
      <x:c r="B87" s="28" t="str">
        <x:v>болгарский перец</x:v>
      </x:c>
      <x:c r="C87" s="28" t="str">
        <x:v>гребешок</x:v>
      </x:c>
      <x:c r="D87" s="28" t="str">
        <x:v>Рыба и морепродукты</x:v>
      </x:c>
      <x:c r="E87" s="28" t="str">
        <x:v>умами и солёный контраст</x:v>
      </x:c>
      <x:c r="F87" s="28" t="str">
        <x:v>Болгарский перец имеет профиль «зелёный, травянистый, фруктовый; у красного — сладкий и жареный». Партнёр «гребешок»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7" s="28" t="str">
        <x:v>зелёный перец может доминировать метоксипиразином; обугленную кожицу удалять</x:v>
      </x:c>
      <x:c r="I87" s="28" t="str">
        <x:v>сок, кордиал, гаспачо, салат, соус, маринад или коктейльный компонент с гребешок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108</x:v>
      </x:c>
    </x:row>
    <x:row r="88" ht="66" customHeight="1">
      <x:c r="A88" s="28" t="str">
        <x:v>VEG-0130</x:v>
      </x:c>
      <x:c r="B88" s="28" t="str">
        <x:v>болгарский перец</x:v>
      </x:c>
      <x:c r="C88" s="28" t="str">
        <x:v>жареная индейка</x:v>
      </x:c>
      <x:c r="D88" s="28" t="str">
        <x:v>Мясо и птица</x:v>
      </x:c>
      <x:c r="E88" s="28" t="str">
        <x:v>умами и солёный контраст</x:v>
      </x:c>
      <x:c r="F88" s="28" t="str">
        <x:v>Болгарский перец имеет профиль «зелёный, травянистый, фруктовый; у красного — сладкий и жареный». Партнёр «жареная индейка»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8" s="28" t="str">
        <x:v>зелёный перец может доминировать метоксипиразином; обугленную кожицу удалять</x:v>
      </x:c>
      <x:c r="I88" s="28" t="str">
        <x:v>сок, кордиал, гаспачо, салат, соус, маринад или коктейльный компонент с жареная индейка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108</x:v>
      </x:c>
    </x:row>
    <x:row r="89" ht="66" customHeight="1">
      <x:c r="A89" s="28" t="str">
        <x:v>VEG-0136</x:v>
      </x:c>
      <x:c r="B89" s="28" t="str">
        <x:v>болгарский перец</x:v>
      </x:c>
      <x:c r="C89" s="28" t="str">
        <x:v>красный болгарский перец</x:v>
      </x:c>
      <x:c r="D89" s="28" t="str">
        <x:v>Плодовые и тыквенные овощи</x:v>
      </x:c>
      <x:c r="E89" s="28" t="str">
        <x:v>общие характерные молекулы; пересечение ароматических семейств</x:v>
      </x:c>
      <x:c r="F89" s="28" t="str">
        <x:v>Болгарский перец имеет профиль «зелёный, травянистый, фруктовый; у красного — сладкий и жареный». Партнёр «красный болгарский перец» относится к группе «Плодовые и тыквенные овощи» и даёт зелёный, фруктовый или водянистый. Вероятный молекулярный мост: эфиры. Совместимость формируется за счёт баланса сладости, кислотности, горечи, умами и текстуры.</x:v>
      </x:c>
      <x:c r="G8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9" s="28" t="str">
        <x:v>зелёный перец может доминировать метоксипиразином; обугленную кожицу удалять</x:v>
      </x:c>
      <x:c r="I89" s="28" t="str">
        <x:v>сок, кордиал, гаспачо, салат, соус, маринад или коктейльный компонент с красный болгарский перец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108</x:v>
      </x:c>
    </x:row>
    <x:row r="90" ht="66" customHeight="1">
      <x:c r="A90" s="28" t="str">
        <x:v>VEG-0138</x:v>
      </x:c>
      <x:c r="B90" s="28" t="str">
        <x:v>болгарский перец</x:v>
      </x:c>
      <x:c r="C90" s="28" t="str">
        <x:v>лук-порей</x:v>
      </x:c>
      <x:c r="D90" s="28" t="str">
        <x:v>Луковые овощи</x:v>
      </x:c>
      <x:c r="E90" s="28" t="str">
        <x:v>пересечение ароматических семейств</x:v>
      </x:c>
      <x:c r="F90" s="28" t="str">
        <x:v>Болгарский перец имеет профиль «зелёный, травянистый, фруктовый; у красного — сладкий и жареный». Партнёр «лук-порей» относится к группе «Луковые овощи» и даёт сернистый,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9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0" s="28" t="str">
        <x:v>зелёный перец может доминировать метоксипиразином; обугленную кожицу удалять</x:v>
      </x:c>
      <x:c r="I90" s="28" t="str">
        <x:v>сок, кордиал, гаспачо, салат, соус, маринад или коктейльный компонент с лук-порей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108</x:v>
      </x:c>
    </x:row>
    <x:row r="91" ht="66" customHeight="1">
      <x:c r="A91" s="28" t="str">
        <x:v>VEG-0140</x:v>
      </x:c>
      <x:c r="B91" s="28" t="str">
        <x:v>болгарский перец</x:v>
      </x:c>
      <x:c r="C91" s="28" t="str">
        <x:v>моллюски</x:v>
      </x:c>
      <x:c r="D91" s="28" t="str">
        <x:v>Рыба и морепродукты</x:v>
      </x:c>
      <x:c r="E91" s="28" t="str">
        <x:v>умами и солёный контраст</x:v>
      </x:c>
      <x:c r="F91" s="28" t="str">
        <x:v>Болгарский перец имеет профиль «зелёный, травянистый, фруктовый; у красного — сладкий и жареный».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1" s="28" t="str">
        <x:v>зелёный перец может доминировать метоксипиразином; обугленную кожицу удалять</x:v>
      </x:c>
      <x:c r="I91" s="28" t="str">
        <x:v>сок, кордиал, гаспачо, салат, соус, маринад или коктейльный компонент с моллюски</x:v>
      </x:c>
      <x:c r="J91" s="28" t="str">
        <x:v>Высокая</x:v>
      </x:c>
      <x:c r="K91" s="28" t="str">
        <x:v>The Art &amp; Science of Foodpairing.pdf | Тезариус вкусов (Ники Сегнит)(1).pdf</x:v>
      </x:c>
      <x:c r="L91" s="28" t="str">
        <x:v>Тезариус вкусов (Ники Сегнит)(1).pdf: 367, 547; The Art &amp; Science of Foodpairing.pdf: 108</x:v>
      </x:c>
    </x:row>
    <x:row r="92" ht="66" customHeight="1">
      <x:c r="A92" s="28" t="str">
        <x:v>VEG-0141</x:v>
      </x:c>
      <x:c r="B92" s="28" t="str">
        <x:v>болгарский перец</x:v>
      </x:c>
      <x:c r="C92" s="28" t="str">
        <x:v>морской гребешок</x:v>
      </x:c>
      <x:c r="D92" s="28" t="str">
        <x:v>Рыба и морепродукты</x:v>
      </x:c>
      <x:c r="E92" s="28" t="str">
        <x:v>умами и солёный контраст</x:v>
      </x:c>
      <x:c r="F92" s="28" t="str">
        <x:v>Болгарский перец имеет профиль «зелёный, травянистый, фруктовый; у красного — сладкий и жареный». Партнёр «морской гребешок»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2" s="28" t="str">
        <x:v>зелёный перец может доминировать метоксипиразином; обугленную кожицу удалять</x:v>
      </x:c>
      <x:c r="I92" s="28" t="str">
        <x:v>сок, кордиал, гаспачо, салат, соус, маринад или коктейльный компонент с морской гребешок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108</x:v>
      </x:c>
    </x:row>
    <x:row r="93" ht="66" customHeight="1">
      <x:c r="A93" s="28" t="str">
        <x:v>VEG-0148</x:v>
      </x:c>
      <x:c r="B93" s="28" t="str">
        <x:v>болгарский перец</x:v>
      </x:c>
      <x:c r="C93" s="28" t="str">
        <x:v>сардина</x:v>
      </x:c>
      <x:c r="D93" s="28" t="str">
        <x:v>Рыба и морепродукты</x:v>
      </x:c>
      <x:c r="E93" s="28" t="str">
        <x:v>умами и солёный контраст</x:v>
      </x:c>
      <x:c r="F93" s="28" t="str">
        <x:v>Болгарский перец имеет профиль «зелёный, травянистый, фруктовый; у красного — сладкий и жареный». Партнёр «сардина»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3" s="28" t="str">
        <x:v>зелёный перец может доминировать метоксипиразином; обугленную кожицу удалять</x:v>
      </x:c>
      <x:c r="I93" s="28" t="str">
        <x:v>сок, кордиал, гаспачо, салат, соус, маринад или коктейльный компонент с сардина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108</x:v>
      </x:c>
    </x:row>
    <x:row r="94" ht="66" customHeight="1">
      <x:c r="A94" s="28" t="str">
        <x:v>VEG-0150</x:v>
      </x:c>
      <x:c r="B94" s="28" t="str">
        <x:v>болгарский перец</x:v>
      </x:c>
      <x:c r="C94" s="28" t="str">
        <x:v>соевый соус</x:v>
      </x:c>
      <x:c r="D94" s="28" t="str">
        <x:v>Ферментированные продукты и соусы</x:v>
      </x:c>
      <x:c r="E94" s="28" t="str">
        <x:v>общие характерные молекулы; умами и солёный контраст</x:v>
      </x:c>
      <x:c r="F94" s="28" t="str">
        <x:v>Болгарский перец имеет профиль «зелёный, травянистый, фруктовый; у красного — сладкий и жареный». Партнёр «соевый соус» относится к группе «Ферментированные продукты и соусы» и даёт жареный, умами, ферментированный. Вероятный молекулярный мост: эфиры. Умами, соль и нуклеотиды усиливают savoury-профиль, а жарка формирует общую систему пиразинов, фуранов и сернистых молекул.</x:v>
      </x:c>
      <x:c r="G9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4" s="28" t="str">
        <x:v>зелёный перец может доминировать метоксипиразином; обугленную кожицу удалять</x:v>
      </x:c>
      <x:c r="I94" s="28" t="str">
        <x:v>сок, кордиал, гаспачо, салат, соус, маринад или коктейльный компонент с соевый соус</x:v>
      </x:c>
      <x:c r="J94" s="28" t="str">
        <x:v>Средняя</x:v>
      </x:c>
      <x:c r="K94" s="28" t="str">
        <x:v>The Art &amp; Science of Foodpairing.pdf</x:v>
      </x:c>
      <x:c r="L94" s="28" t="str">
        <x:v>The Art &amp; Science of Foodpairing.pdf: 108</x:v>
      </x:c>
    </x:row>
    <x:row r="95" ht="66" customHeight="1">
      <x:c r="A95" s="28" t="str">
        <x:v>VEG-0151</x:v>
      </x:c>
      <x:c r="B95" s="28" t="str">
        <x:v>болгарский перец</x:v>
      </x:c>
      <x:c r="C95" s="28" t="str">
        <x:v>соевый соус сайсикоми</x:v>
      </x:c>
      <x:c r="D95" s="28" t="str">
        <x:v>Ферментированные продукты и соусы</x:v>
      </x:c>
      <x:c r="E95" s="28" t="str">
        <x:v>общие характерные молекулы; умами и солёный контраст</x:v>
      </x:c>
      <x:c r="F95" s="28" t="str">
        <x:v>Болгарский перец имеет профиль «зелёный, травянистый, фруктовый; у красного — сладкий и жареный». Партнёр «соевый соус сайсикоми» относится к группе «Ферментированные продукты и соусы» и даёт жареный, умами, ферментированный. Вероятный молекулярный мост: эфиры. Умами, соль и нуклеотиды усиливают savoury-профиль, а жарка формирует общую систему пиразинов, фуранов и сернистых молекул.</x:v>
      </x:c>
      <x:c r="G9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5" s="28" t="str">
        <x:v>зелёный перец может доминировать метоксипиразином; обугленную кожицу удалять</x:v>
      </x:c>
      <x:c r="I95" s="28" t="str">
        <x:v>сок, кордиал, гаспачо, салат, соус, маринад или коктейльный компонент с соевый соус сайсикоми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108</x:v>
      </x:c>
    </x:row>
    <x:row r="96" ht="66" customHeight="1">
      <x:c r="A96" s="28" t="str">
        <x:v>VEG-0157</x:v>
      </x:c>
      <x:c r="B96" s="28" t="str">
        <x:v>болгарский перец</x:v>
      </x:c>
      <x:c r="C96" s="28" t="str">
        <x:v>томат черри</x:v>
      </x:c>
      <x:c r="D96" s="28" t="str">
        <x:v>Плодовые и тыквенные овощи</x:v>
      </x:c>
      <x:c r="E96" s="28" t="str">
        <x:v>общие характерные молекулы; пересечение ароматических семейств</x:v>
      </x:c>
      <x:c r="F96" s="28" t="str">
        <x:v>Болгарский перец имеет профиль «зелёный, травянистый, фруктовый; у красного — сладкий и жареный». Партнёр «томат черри» относится к группе «Плодовые и тыквенные овощи» и даёт зелёный, фруктовый или водянистый. Вероятный молекулярный мост: эфиры. Совместимость формируется за счёт баланса сладости, кислотности, горечи, умами и текстуры.</x:v>
      </x:c>
      <x:c r="G9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6" s="28" t="str">
        <x:v>зелёный перец может доминировать метоксипиразином; обугленную кожицу удалять</x:v>
      </x:c>
      <x:c r="I96" s="28" t="str">
        <x:v>сок, кордиал, гаспачо, салат, соус, маринад или коктейльный компонент с томат черри</x:v>
      </x:c>
      <x:c r="J96" s="28" t="str">
        <x:v>Средняя</x:v>
      </x:c>
      <x:c r="K96" s="28" t="str">
        <x:v>The Art &amp; Science of Foodpairing.pdf</x:v>
      </x:c>
      <x:c r="L96" s="28" t="str">
        <x:v>The Art &amp; Science of Foodpairing.pdf: 108</x:v>
      </x:c>
    </x:row>
    <x:row r="97" ht="66" customHeight="1">
      <x:c r="A97" s="28" t="str">
        <x:v>VEG-0171</x:v>
      </x:c>
      <x:c r="B97" s="28" t="str">
        <x:v>брокколи</x:v>
      </x:c>
      <x:c r="C97" s="28" t="str">
        <x:v>анчоусы</x:v>
      </x:c>
      <x:c r="D97" s="28" t="str">
        <x:v>Рыба и морепродукты</x:v>
      </x:c>
      <x:c r="E97" s="28" t="str">
        <x:v>умами и солёный контраст; сернистая или горчичная комплементарность</x:v>
      </x:c>
      <x:c r="F97" s="28" t="str">
        <x:v>Брокколи имеет профиль «зелёный, капустный, сернистый и ореховый после жарки».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7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97" s="28" t="str">
        <x:v>переваривание даёт сернистый запах и тусклый цвет; толстые стебли требуют отдельной обработки</x:v>
      </x:c>
      <x:c r="I97" s="28" t="str">
        <x:v>горячее блюдо, бульон, соус, пюре, ферментация или гарнир с анчоусы</x:v>
      </x:c>
      <x:c r="J97" s="28" t="str">
        <x:v>Средняя</x:v>
      </x:c>
      <x:c r="K97" s="28" t="str">
        <x:v>Тезариус вкусов (Ники Сегнит)(1).pdf</x:v>
      </x:c>
      <x:c r="L97" s="28" t="str">
        <x:v>Тезариус вкусов (Ники Сегнит)(1).pdf: 329, 424</x:v>
      </x:c>
    </x:row>
    <x:row r="98" ht="66" customHeight="1">
      <x:c r="A98" s="28" t="str">
        <x:v>VEG-0172</x:v>
      </x:c>
      <x:c r="B98" s="28" t="str">
        <x:v>брокколи</x:v>
      </x:c>
      <x:c r="C98" s="28" t="str">
        <x:v>арахис</x:v>
      </x:c>
      <x:c r="D98" s="28" t="str">
        <x:v>Орехи и семена</x:v>
      </x:c>
      <x:c r="E98" s="28" t="str">
        <x:v>общие характерные молекулы; пересечение ароматических семейств; сернистая или горчичная комплементарность</x:v>
      </x:c>
      <x:c r="F98" s="28" t="str">
        <x:v>Брокколи имеет профиль «зелёный, капустный, сернистый и ореховый после жарки». Партнёр «арахис»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8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98" s="28" t="str">
        <x:v>переваривание даёт сернистый запах и тусклый цвет; толстые стебли требуют отдельной обработки</x:v>
      </x:c>
      <x:c r="I98" s="28" t="str">
        <x:v>горячее блюдо, бульон, соус, пюре, ферментация или гарнир с арахис</x:v>
      </x:c>
      <x:c r="J98" s="28" t="str">
        <x:v>Средняя</x:v>
      </x:c>
      <x:c r="K98" s="28" t="str">
        <x:v>Тезариус вкусов (Ники Сегнит)(1).pdf</x:v>
      </x:c>
      <x:c r="L98" s="28" t="str">
        <x:v>Тезариус вкусов (Ники Сегнит)(1).pdf: 51, 329</x:v>
      </x:c>
    </x:row>
    <x:row r="99" ht="66" customHeight="1">
      <x:c r="A99" s="28" t="str">
        <x:v>VEG-0173</x:v>
      </x:c>
      <x:c r="B99" s="28" t="str">
        <x:v>брокколи</x:v>
      </x:c>
      <x:c r="C99" s="28" t="str">
        <x:v>бекон</x:v>
      </x:c>
      <x:c r="D99" s="28" t="str">
        <x:v>Мясо и птица</x:v>
      </x:c>
      <x:c r="E99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99" s="28" t="str">
        <x:v>Брокколи имеет профиль «зелёный, капустный, сернистый и ореховый после жарки».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9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99" s="28" t="str">
        <x:v>переваривание даёт сернистый запах и тусклый цвет; толстые стебли требуют отдельной обработки</x:v>
      </x:c>
      <x:c r="I99" s="28" t="str">
        <x:v>горячее блюдо, бульон, соус, пюре, ферментация или гарнир с бекон</x:v>
      </x:c>
      <x:c r="J99" s="28" t="str">
        <x:v>Средняя</x:v>
      </x:c>
      <x:c r="K99" s="28" t="str">
        <x:v>Тезариус вкусов (Ники Сегнит)(1).pdf</x:v>
      </x:c>
      <x:c r="L99" s="28" t="str">
        <x:v>Тезариус вкусов (Ники Сегнит)(1).pdf: 329, 442</x:v>
      </x:c>
    </x:row>
    <x:row r="100" ht="66" customHeight="1">
      <x:c r="A100" s="28" t="str">
        <x:v>VEG-0174</x:v>
      </x:c>
      <x:c r="B100" s="28" t="str">
        <x:v>брокколи</x:v>
      </x:c>
      <x:c r="C100" s="28" t="str">
        <x:v>говядина</x:v>
      </x:c>
      <x:c r="D100" s="28" t="str">
        <x:v>Мясо и птица</x:v>
      </x:c>
      <x:c r="E100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100" s="28" t="str">
        <x:v>Брокколи имеет профиль «зелёный, капустный, сернистый и ореховый после жарки».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0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0" s="28" t="str">
        <x:v>переваривание даёт сернистый запах и тусклый цвет; толстые стебли требуют отдельной обработки</x:v>
      </x:c>
      <x:c r="I100" s="28" t="str">
        <x:v>горячее блюдо, бульон, соус, пюре, ферментация или гарнир с говядина</x:v>
      </x:c>
      <x:c r="J100" s="28" t="str">
        <x:v>Средняя</x:v>
      </x:c>
      <x:c r="K100" s="28" t="str">
        <x:v>Тезариус вкусов (Ники Сегнит)(1).pdf</x:v>
      </x:c>
      <x:c r="L100" s="28" t="str">
        <x:v>Тезариус вкусов (Ники Сегнит)(1).pdf: 106, 330</x:v>
      </x:c>
    </x:row>
    <x:row r="101" ht="66" customHeight="1">
      <x:c r="A101" s="28" t="str">
        <x:v>VEG-0175</x:v>
      </x:c>
      <x:c r="B101" s="28" t="str">
        <x:v>брокколи</x:v>
      </x:c>
      <x:c r="C101" s="28" t="str">
        <x:v>голубой сыр</x:v>
      </x:c>
      <x:c r="D101" s="28" t="str">
        <x:v>Молочные продукты и сыры</x:v>
      </x:c>
      <x:c r="E101" s="28" t="str">
        <x:v>жировая матрица; сернистая или горчичная комплементарность</x:v>
      </x:c>
      <x:c r="F101" s="28" t="str">
        <x:v>Брокколи имеет профиль «зелёный, капустный, сернистый и ореховый после жарки».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1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1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I101" s="28" t="str">
        <x:v>горячее блюдо, бульон, соус, пюре, ферментация или гарнир с голубой сыр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155, 331</x:v>
      </x:c>
    </x:row>
    <x:row r="102" ht="66" customHeight="1">
      <x:c r="A102" s="28" t="str">
        <x:v>VEG-0176</x:v>
      </x:c>
      <x:c r="B102" s="28" t="str">
        <x:v>брокколи</x:v>
      </x:c>
      <x:c r="C102" s="28" t="str">
        <x:v>грецкий орех</x:v>
      </x:c>
      <x:c r="D102" s="28" t="str">
        <x:v>Орехи и семена</x:v>
      </x:c>
      <x:c r="E102" s="28" t="str">
        <x:v>общие характерные молекулы; сернистая или горчичная комплементарность</x:v>
      </x:c>
      <x:c r="F102" s="28" t="str">
        <x:v>Брокколи имеет профиль «зелёный, капустный, сернистый и ореховый после жарки».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2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2" s="28" t="str">
        <x:v>переваривание даёт сернистый запах и тусклый цвет; толстые стебли требуют отдельной обработки</x:v>
      </x:c>
      <x:c r="I102" s="28" t="str">
        <x:v>горячее блюдо, бульон, соус, пюре, ферментация или гарнир с грецкий орех</x:v>
      </x:c>
      <x:c r="J102" s="28" t="str">
        <x:v>Средняя</x:v>
      </x:c>
      <x:c r="K102" s="28" t="str">
        <x:v>Тезариус вкусов (Ники Сегнит)(1).pdf</x:v>
      </x:c>
      <x:c r="L102" s="28" t="str">
        <x:v>Тезариус вкусов (Ники Сегнит)(1).pdf: 331, 624</x:v>
      </x:c>
    </x:row>
    <x:row r="103" ht="66" customHeight="1">
      <x:c r="A103" s="28" t="str">
        <x:v>VEG-0177</x:v>
      </x:c>
      <x:c r="B103" s="28" t="str">
        <x:v>брокколи</x:v>
      </x:c>
      <x:c r="C103" s="28" t="str">
        <x:v>джин</x:v>
      </x:c>
      <x:c r="D103" s="28" t="str">
        <x:v>Алкогольные напитки</x:v>
      </x:c>
      <x:c r="E103" s="28" t="str">
        <x:v>сернистая или горчичная комплементарность</x:v>
      </x:c>
      <x:c r="F103" s="28" t="str">
        <x:v>Брокколи имеет профиль «зелёный, капустный, сернистый и ореховый после жарки».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3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3" s="28" t="str">
        <x:v>переваривание даёт сернистый запах и тусклый цвет; толстые стебли требуют отдельной обработки</x:v>
      </x:c>
      <x:c r="I103" s="28" t="str">
        <x:v>горячее блюдо, бульон, соус, пюре, ферментация или гарнир с джин</x:v>
      </x:c>
      <x:c r="J103" s="28" t="str">
        <x:v>Средняя</x:v>
      </x:c>
      <x:c r="K103" s="28" t="str">
        <x:v>The Art &amp; Science of Foodpairing.pdf</x:v>
      </x:c>
      <x:c r="L103" s="28" t="str">
        <x:v>The Art &amp; Science of Foodpairing.pdf: 215</x:v>
      </x:c>
    </x:row>
    <x:row r="104" ht="66" customHeight="1">
      <x:c r="A104" s="28" t="str">
        <x:v>VEG-0178</x:v>
      </x:c>
      <x:c r="B104" s="28" t="str">
        <x:v>брокколи</x:v>
      </x:c>
      <x:c r="C104" s="28" t="str">
        <x:v>имбирь</x:v>
      </x:c>
      <x:c r="D104" s="28" t="str">
        <x:v>Специи</x:v>
      </x:c>
      <x:c r="E104" s="28" t="str">
        <x:v>сернистая или горчичная комплементарность</x:v>
      </x:c>
      <x:c r="F104" s="28" t="str">
        <x:v>Брокколи имеет профиль «зелёный, капустный, сернистый и ореховый после жарки».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4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4" s="28" t="str">
        <x:v>переваривание даёт сернистый запах и тусклый цвет; толстые стебли требуют отдельной обработки</x:v>
      </x:c>
      <x:c r="I104" s="28" t="str">
        <x:v>горячее блюдо, бульон, соус, пюре, ферментация или гарнир с имбирь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142</x:v>
      </x:c>
    </x:row>
    <x:row r="105" ht="66" customHeight="1">
      <x:c r="A105" s="28" t="str">
        <x:v>VEG-0179</x:v>
      </x:c>
      <x:c r="B105" s="28" t="str">
        <x:v>брокколи</x:v>
      </x:c>
      <x:c r="C105" s="28" t="str">
        <x:v>кунжут, халва и тахини</x:v>
      </x:c>
      <x:c r="D105" s="28" t="str">
        <x:v>Орехи и семена</x:v>
      </x:c>
      <x:c r="E105" s="28" t="str">
        <x:v>общие характерные молекулы; пересечение ароматических семейств; сернистая или горчичная комплементарность</x:v>
      </x:c>
      <x:c r="F105" s="28" t="str">
        <x:v>Брокколи имеет профиль «зелёный, капустный, сернистый и ореховый после жарки». Партнёр «кунжут, халва и тахини»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5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5" s="28" t="str">
        <x:v>переваривание даёт сернистый запах и тусклый цвет; толстые стебли требуют отдельной обработки</x:v>
      </x:c>
      <x:c r="I105" s="28" t="str">
        <x:v>горячее блюдо, бульон, соус, пюре, ферментация или гарнир с кунжут, халва и тахини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308</x:v>
      </x:c>
    </x:row>
    <x:row r="106" ht="66" customHeight="1">
      <x:c r="A106" s="28" t="str">
        <x:v>VEG-0180</x:v>
      </x:c>
      <x:c r="B106" s="28" t="str">
        <x:v>брокколи</x:v>
      </x:c>
      <x:c r="C106" s="28" t="str">
        <x:v>лимон</x:v>
      </x:c>
      <x:c r="D106" s="28" t="str">
        <x:v>Фрукты и ягоды</x:v>
      </x:c>
      <x:c r="E106" s="28" t="str">
        <x:v>кислотно-сладкий баланс; сернистая или горчичная комплементарность</x:v>
      </x:c>
      <x:c r="F106" s="28" t="str">
        <x:v>Брокколи имеет профиль «зелёный, капустный, сернистый и ореховый после жарки».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6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6" s="28" t="str">
        <x:v>переваривание даёт сернистый запах и тусклый цвет; толстые стебли требуют отдельной обработки; избыток кислоты или воды может сделать овощной вкус тонким и разрушить сливочную эмульсию</x:v>
      </x:c>
      <x:c r="I106" s="28" t="str">
        <x:v>горячее блюдо, бульон, соус, пюре, ферментация или гарнир с лимон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331, 801</x:v>
      </x:c>
    </x:row>
    <x:row r="107" ht="66" customHeight="1">
      <x:c r="A107" s="28" t="str">
        <x:v>VEG-0181</x:v>
      </x:c>
      <x:c r="B107" s="28" t="str">
        <x:v>брокколи</x:v>
      </x:c>
      <x:c r="C107" s="28" t="str">
        <x:v>пармезан</x:v>
      </x:c>
      <x:c r="D107" s="28" t="str">
        <x:v>Прочее</x:v>
      </x:c>
      <x:c r="E107" s="28" t="str">
        <x:v>сернистая или горчичная комплементарность</x:v>
      </x:c>
      <x:c r="F107" s="28" t="str">
        <x:v>Брокколи имеет профиль «зелёный, капустный, сернистый и ореховый после жарки».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7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7" s="28" t="str">
        <x:v>переваривание даёт сернистый запах и тусклый цвет; толстые стебли требуют отдельной обработки</x:v>
      </x:c>
      <x:c r="I107" s="28" t="str">
        <x:v>горячее блюдо, бульон, соус, пюре, ферментация или гарнир с пармезан</x:v>
      </x:c>
      <x:c r="J107" s="28" t="str">
        <x:v>Средняя</x:v>
      </x:c>
      <x:c r="K107" s="28" t="str">
        <x:v>The Art &amp; Science of Foodpairing.pdf</x:v>
      </x:c>
      <x:c r="L107" s="28" t="str">
        <x:v>The Art &amp; Science of Foodpairing.pdf: 282</x:v>
      </x:c>
    </x:row>
    <x:row r="108" ht="66" customHeight="1">
      <x:c r="A108" s="28" t="str">
        <x:v>VEG-0182</x:v>
      </x:c>
      <x:c r="B108" s="28" t="str">
        <x:v>брокколи</x:v>
      </x:c>
      <x:c r="C108" s="28" t="str">
        <x:v>свинина</x:v>
      </x:c>
      <x:c r="D108" s="28" t="str">
        <x:v>Мясо и птица</x:v>
      </x:c>
      <x:c r="E108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108" s="28" t="str">
        <x:v>Брокколи имеет профиль «зелёный, капустный, сернистый и ореховый после жарки».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8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8" s="28" t="str">
        <x:v>переваривание даёт сернистый запах и тусклый цвет; толстые стебли требуют отдельной обработки</x:v>
      </x:c>
      <x:c r="I108" s="28" t="str">
        <x:v>горячее блюдо, бульон, соус, пюре, ферментация или гарнир с свинина</x:v>
      </x:c>
      <x:c r="J108" s="28" t="str">
        <x:v>Средняя</x:v>
      </x:c>
      <x:c r="K108" s="28" t="str">
        <x:v>Тезариус вкусов (Ники Сегнит)(1).pdf</x:v>
      </x:c>
      <x:c r="L108" s="28" t="str">
        <x:v>Тезариус вкусов (Ники Сегнит)(1).pdf: 80, 332</x:v>
      </x:c>
    </x:row>
    <x:row r="109" ht="66" customHeight="1">
      <x:c r="A109" s="28" t="str">
        <x:v>VEG-0183</x:v>
      </x:c>
      <x:c r="B109" s="28" t="str">
        <x:v>брокколи</x:v>
      </x:c>
      <x:c r="C109" s="28" t="str">
        <x:v>твердый сыр</x:v>
      </x:c>
      <x:c r="D109" s="28" t="str">
        <x:v>Молочные продукты и сыры</x:v>
      </x:c>
      <x:c r="E109" s="28" t="str">
        <x:v>жировая матрица; сернистая или горчичная комплементарность</x:v>
      </x:c>
      <x:c r="F109" s="28" t="str">
        <x:v>Брокколи имеет профиль «зелёный, капустный, сернистый и ореховый после жарки».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9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9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I109" s="28" t="str">
        <x:v>горячее блюдо, бульон, соус, пюре, ферментация или гарнир с твердый сыр</x:v>
      </x:c>
      <x:c r="J109" s="28" t="str">
        <x:v>Средняя</x:v>
      </x:c>
      <x:c r="K109" s="28" t="str">
        <x:v>Тезариус вкусов (Ники Сегнит)(1).pdf</x:v>
      </x:c>
      <x:c r="L109" s="28" t="str">
        <x:v>Тезариус вкусов (Ники Сегнит)(1).pdf: 168, 332</x:v>
      </x:c>
    </x:row>
    <x:row r="110" ht="66" customHeight="1">
      <x:c r="A110" s="28" t="str">
        <x:v>VEG-0184</x:v>
      </x:c>
      <x:c r="B110" s="28" t="str">
        <x:v>брокколи</x:v>
      </x:c>
      <x:c r="C110" s="28" t="str">
        <x:v>тёмный шоколад</x:v>
      </x:c>
      <x:c r="D110" s="28" t="str">
        <x:v>Какао и шоколад</x:v>
      </x:c>
      <x:c r="E110" s="28" t="str">
        <x:v>общие характерные молекулы; пересечение ароматических семейств; сернистая или горчичная комплементарность</x:v>
      </x:c>
      <x:c r="F110" s="28" t="str">
        <x:v>Брокколи имеет профиль «зелёный, капустный, сернистый и ореховый после жарки». Партнёр «тёмный 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0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10" s="28" t="str">
        <x:v>переваривание даёт сернистый запах и тусклый цвет; толстые стебли требуют отдельной обработки; жареная горечь легко маскирует нежный овощной аромат</x:v>
      </x:c>
      <x:c r="I110" s="28" t="str">
        <x:v>горячее блюдо, бульон, соус, пюре, ферментация или гарнир с тёмный шоколад</x:v>
      </x:c>
      <x:c r="J110" s="28" t="str">
        <x:v>Высокая</x:v>
      </x:c>
      <x:c r="K110" s="28" t="str">
        <x:v>The Art &amp; Science of Foodpairing.pdf</x:v>
      </x:c>
      <x:c r="L110" s="28" t="str">
        <x:v>The Art &amp; Science of Foodpairing.pdf: 60</x:v>
      </x:c>
    </x:row>
    <x:row r="111" ht="66" customHeight="1">
      <x:c r="A111" s="28" t="str">
        <x:v>VEG-0185</x:v>
      </x:c>
      <x:c r="B111" s="28" t="str">
        <x:v>брокколи</x:v>
      </x:c>
      <x:c r="C111" s="28" t="str">
        <x:v>чили</x:v>
      </x:c>
      <x:c r="D111" s="28" t="str">
        <x:v>Специи</x:v>
      </x:c>
      <x:c r="E111" s="28" t="str">
        <x:v>сернистая или горчичная комплементарность</x:v>
      </x:c>
      <x:c r="F111" s="28" t="str">
        <x:v>Брокколи имеет профиль «зелёный, капустный, сернистый и ореховый после жарки».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1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11" s="28" t="str">
        <x:v>переваривание даёт сернистый запах и тусклый цвет; толстые стебли требуют отдельной обработки</x:v>
      </x:c>
      <x:c r="I111" s="28" t="str">
        <x:v>горячее блюдо, бульон, соус, пюре, ферментация или гарнир с чили</x:v>
      </x:c>
      <x:c r="J111" s="28" t="str">
        <x:v>Средняя</x:v>
      </x:c>
      <x:c r="K111" s="28" t="str">
        <x:v>Тезариус вкусов (Ники Сегнит)(1).pdf</x:v>
      </x:c>
      <x:c r="L111" s="28" t="str">
        <x:v>Тезариус вкусов (Ники Сегнит)(1).pdf: 333, 554</x:v>
      </x:c>
    </x:row>
    <x:row r="112" ht="66" customHeight="1">
      <x:c r="A112" s="28" t="str">
        <x:v>VEG-0187</x:v>
      </x:c>
      <x:c r="B112" s="28" t="str">
        <x:v>брюква</x:v>
      </x:c>
      <x:c r="C112" s="28" t="str">
        <x:v>баранина</x:v>
      </x:c>
      <x:c r="D112" s="28" t="str">
        <x:v>Мясо и птица</x:v>
      </x:c>
      <x:c r="E112" s="28" t="str">
        <x:v>умами и солёный контраст; сернистая или горчичная комплементарность</x:v>
      </x:c>
      <x:c r="F112" s="28" t="str">
        <x:v>Брюква имеет профиль «землистый, капустный, сладкий и слегка горчичный».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2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2" s="28" t="str">
        <x:v>переваривание усиливает сернистость; крупные старые корнеплоды могут быть волокнистыми</x:v>
      </x:c>
      <x:c r="I112" s="28" t="str">
        <x:v>салат, гарнир, суп, соус, маринад, ферментация или напиток с баранина</x:v>
      </x:c>
      <x:c r="J112" s="28" t="str">
        <x:v>Средняя</x:v>
      </x:c>
      <x:c r="K112" s="28" t="str">
        <x:v>Тезариус вкусов (Ники Сегнит)(1).pdf</x:v>
      </x:c>
      <x:c r="L112" s="28" t="str">
        <x:v>Тезариус вкусов (Ники Сегнит)(1).pdf: 126, 318</x:v>
      </x:c>
    </x:row>
    <x:row r="113" ht="66" customHeight="1">
      <x:c r="A113" s="28" t="str">
        <x:v>VEG-0189</x:v>
      </x:c>
      <x:c r="B113" s="28" t="str">
        <x:v>брюква</x:v>
      </x:c>
      <x:c r="C113" s="28" t="str">
        <x:v>говядина</x:v>
      </x:c>
      <x:c r="D113" s="28" t="str">
        <x:v>Мясо и птица</x:v>
      </x:c>
      <x:c r="E113" s="28" t="str">
        <x:v>умами и солёный контраст; сернистая или горчичная комплементарность</x:v>
      </x:c>
      <x:c r="F113" s="28" t="str">
        <x:v>Брюква имеет профиль «землистый, капустный, сладкий и слегка горчичный».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3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3" s="28" t="str">
        <x:v>переваривание усиливает сернистость; крупные старые корнеплоды могут быть волокнистыми</x:v>
      </x:c>
      <x:c r="I113" s="28" t="str">
        <x:v>салат, гарнир, суп, соус, маринад, ферментация или напиток с говядина</x:v>
      </x:c>
      <x:c r="J113" s="28" t="str">
        <x:v>Средняя</x:v>
      </x:c>
      <x:c r="K113" s="28" t="str">
        <x:v>Тезариус вкусов (Ники Сегнит)(1).pdf</x:v>
      </x:c>
      <x:c r="L113" s="28" t="str">
        <x:v>Тезариус вкусов (Ники Сегнит)(1).pdf: 106, 318</x:v>
      </x:c>
    </x:row>
    <x:row r="114" ht="66" customHeight="1">
      <x:c r="A114" s="28" t="str">
        <x:v>VEG-0191</x:v>
      </x:c>
      <x:c r="B114" s="28" t="str">
        <x:v>брюква</x:v>
      </x:c>
      <x:c r="C114" s="28" t="str">
        <x:v>мускатный орех</x:v>
      </x:c>
      <x:c r="D114" s="28" t="str">
        <x:v>Рыба и морепродукты</x:v>
      </x:c>
      <x:c r="E114" s="28" t="str">
        <x:v>умами и солёный контраст; сернистая или горчичная комплементарность</x:v>
      </x:c>
      <x:c r="F114" s="28" t="str">
        <x:v>Брюква имеет профиль «землистый, капустный, сладкий и слегка горчичный».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4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4" s="28" t="str">
        <x:v>переваривание усиливает сернистость; крупные старые корнеплоды могут быть волокнистыми</x:v>
      </x:c>
      <x:c r="I114" s="28" t="str">
        <x:v>салат, гарнир, суп, соус, маринад, ферментация или напиток с мускатный орех</x:v>
      </x:c>
      <x:c r="J114" s="28" t="str">
        <x:v>Средняя</x:v>
      </x:c>
      <x:c r="K114" s="28" t="str">
        <x:v>Тезариус вкусов (Ники Сегнит)(1).pdf</x:v>
      </x:c>
      <x:c r="L114" s="28" t="str">
        <x:v>Тезариус вкусов (Ники Сегнит)(1).pdf: 319, 588</x:v>
      </x:c>
    </x:row>
    <x:row r="115" ht="66" customHeight="1">
      <x:c r="A115" s="28" t="str">
        <x:v>VEG-0192</x:v>
      </x:c>
      <x:c r="B115" s="28" t="str">
        <x:v>брюква</x:v>
      </x:c>
      <x:c r="C115" s="28" t="str">
        <x:v>мясо</x:v>
      </x:c>
      <x:c r="D115" s="28" t="str">
        <x:v>Мясо и птица</x:v>
      </x:c>
      <x:c r="E115" s="28" t="str">
        <x:v>умами и солёный контраст; сернистая или горчичная комплементарность</x:v>
      </x:c>
      <x:c r="F115" s="28" t="str">
        <x:v>Брюква имеет профиль «землистый, капустный, сладкий и слегка горчичный». Партнёр «мясо» относится к группе «Мясо и птица» и даёт жареный, жирный,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5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5" s="28" t="str">
        <x:v>переваривание усиливает сернистость; крупные старые корнеплоды могут быть волокнистыми</x:v>
      </x:c>
      <x:c r="I115" s="28" t="str">
        <x:v>салат, гарнир, суп, соус, маринад, ферментация или напиток с мясо</x:v>
      </x:c>
      <x:c r="J115" s="28" t="str">
        <x:v>Средняя</x:v>
      </x:c>
      <x:c r="K115" s="28" t="str">
        <x:v>The Art &amp; Science of Foodpairing.pdf</x:v>
      </x:c>
      <x:c r="L115" s="28" t="str">
        <x:v>The Art &amp; Science of Foodpairing.pdf: 186</x:v>
      </x:c>
    </x:row>
    <x:row r="116" ht="66" customHeight="1">
      <x:c r="A116" s="28" t="str">
        <x:v>VEG-0193</x:v>
      </x:c>
      <x:c r="B116" s="28" t="str">
        <x:v>брюква</x:v>
      </x:c>
      <x:c r="C116" s="28" t="str">
        <x:v>свинина</x:v>
      </x:c>
      <x:c r="D116" s="28" t="str">
        <x:v>Мясо и птица</x:v>
      </x:c>
      <x:c r="E116" s="28" t="str">
        <x:v>умами и солёный контраст; сернистая или горчичная комплементарность</x:v>
      </x:c>
      <x:c r="F116" s="28" t="str">
        <x:v>Брюква имеет профиль «землистый, капустный, сладкий и слегка горчичный».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6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6" s="28" t="str">
        <x:v>переваривание усиливает сернистость; крупные старые корнеплоды могут быть волокнистыми</x:v>
      </x:c>
      <x:c r="I116" s="28" t="str">
        <x:v>салат, гарнир, суп, соус, маринад, ферментация или напиток с свинина</x:v>
      </x:c>
      <x:c r="J116" s="28" t="str">
        <x:v>Средняя</x:v>
      </x:c>
      <x:c r="K116" s="28" t="str">
        <x:v>Тезариус вкусов (Ники Сегнит)(1).pdf</x:v>
      </x:c>
      <x:c r="L116" s="28" t="str">
        <x:v>Тезариус вкусов (Ники Сегнит)(1).pdf: 81, 320</x:v>
      </x:c>
    </x:row>
    <x:row r="117" ht="66" customHeight="1">
      <x:c r="A117" s="28" t="str">
        <x:v>VEG-0194</x:v>
      </x:c>
      <x:c r="B117" s="28" t="str">
        <x:v>горох</x:v>
      </x:c>
      <x:c r="C117" s="28" t="str">
        <x:v>анис</x:v>
      </x:c>
      <x:c r="D117" s="28" t="str">
        <x:v>Прочее</x:v>
      </x:c>
      <x:c r="E117" s="28" t="str">
        <x:v>сенсорная комплементарность</x:v>
      </x:c>
      <x:c r="F117" s="28" t="str">
        <x:v>Горох имеет профиль «зелёный, сладкий, бобовый и слегка цветочный».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17" s="28" t="str">
        <x:v>старый горох мучнистый; длительное хранение и нагрев снижают цвет и свежий аромат</x:v>
      </x:c>
      <x:c r="I117" s="28" t="str">
        <x:v>салат, гарнир, суп, соус, маринад, ферментация или напиток с анис</x:v>
      </x:c>
      <x:c r="J117" s="28" t="str">
        <x:v>Средняя</x:v>
      </x:c>
      <x:c r="K117" s="28" t="str">
        <x:v>Тезариус вкусов (Ники Сегнит)(1).pdf</x:v>
      </x:c>
      <x:c r="L117" s="28" t="str">
        <x:v>Тезариус вкусов (Ники Сегнит)(1).pdf: 483, 534</x:v>
      </x:c>
    </x:row>
    <x:row r="118" ht="66" customHeight="1">
      <x:c r="A118" s="28" t="str">
        <x:v>VEG-0195</x:v>
      </x:c>
      <x:c r="B118" s="28" t="str">
        <x:v>горох</x:v>
      </x:c>
      <x:c r="C118" s="28" t="str">
        <x:v>апельсин</x:v>
      </x:c>
      <x:c r="D118" s="28" t="str">
        <x:v>Фрукты и ягоды</x:v>
      </x:c>
      <x:c r="E118" s="28" t="str">
        <x:v>пересечение ароматических семейств; кислотно-сладкий баланс</x:v>
      </x:c>
      <x:c r="F118" s="28" t="str">
        <x:v>Горох имеет профиль «зелёный, сладкий, бобовый и слегка цветочный».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1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18" s="28" t="str">
        <x:v>старый горох мучнистый; длительное хранение и нагрев снижают цвет и свежий аромат; избыток кислоты или воды может сделать овощной вкус тонким и разрушить сливочную эмульсию</x:v>
      </x:c>
      <x:c r="I118" s="28" t="str">
        <x:v>салат, гарнир, суп, соус, маринад, ферментация или напиток с апельсин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236</x:v>
      </x:c>
    </x:row>
    <x:row r="119" ht="66" customHeight="1">
      <x:c r="A119" s="28" t="str">
        <x:v>VEG-0196</x:v>
      </x:c>
      <x:c r="B119" s="28" t="str">
        <x:v>горох</x:v>
      </x:c>
      <x:c r="C119" s="28" t="str">
        <x:v>баранина</x:v>
      </x:c>
      <x:c r="D119" s="28" t="str">
        <x:v>Мясо и птица</x:v>
      </x:c>
      <x:c r="E119" s="28" t="str">
        <x:v>умами и солёный контраст</x:v>
      </x:c>
      <x:c r="F119" s="28" t="str">
        <x:v>Горох имеет профиль «зелёный, сладкий, бобовый и слегка цветочный».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1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19" s="28" t="str">
        <x:v>старый горох мучнистый; длительное хранение и нагрев снижают цвет и свежий аромат</x:v>
      </x:c>
      <x:c r="I119" s="28" t="str">
        <x:v>салат, гарнир, суп, соус, маринад, ферментация или напиток с баранина</x:v>
      </x:c>
      <x:c r="J119" s="28" t="str">
        <x:v>Средняя</x:v>
      </x:c>
      <x:c r="K119" s="28" t="str">
        <x:v>Тезариус вкусов (Ники Сегнит)(1).pdf</x:v>
      </x:c>
      <x:c r="L119" s="28" t="str">
        <x:v>Тезариус вкусов (Ники Сегнит)(1).pdf: 128, 536</x:v>
      </x:c>
    </x:row>
    <x:row r="120" ht="66" customHeight="1">
      <x:c r="A120" s="28" t="str">
        <x:v>VEG-0197</x:v>
      </x:c>
      <x:c r="B120" s="28" t="str">
        <x:v>горох</x:v>
      </x:c>
      <x:c r="C120" s="28" t="str">
        <x:v>бекон</x:v>
      </x:c>
      <x:c r="D120" s="28" t="str">
        <x:v>Мясо и птица</x:v>
      </x:c>
      <x:c r="E120" s="28" t="str">
        <x:v>умами и солёный контраст</x:v>
      </x:c>
      <x:c r="F120" s="28" t="str">
        <x:v>Горох имеет профиль «зелёный, сладкий, бобовый и слегка цветочный».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0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0" s="28" t="str">
        <x:v>старый горох мучнистый; длительное хранение и нагрев снижают цвет и свежий аромат</x:v>
      </x:c>
      <x:c r="I120" s="28" t="str">
        <x:v>салат, гарнир, суп, соус, маринад, ферментация или напиток с бекон</x:v>
      </x:c>
      <x:c r="J120" s="28" t="str">
        <x:v>Средняя</x:v>
      </x:c>
      <x:c r="K120" s="28" t="str">
        <x:v>Тезариус вкусов (Ники Сегнит)(1).pdf</x:v>
      </x:c>
      <x:c r="L120" s="28" t="str">
        <x:v>Тезариус вкусов (Ники Сегнит)(1).pdf: 444, 536</x:v>
      </x:c>
    </x:row>
    <x:row r="121" ht="66" customHeight="1">
      <x:c r="A121" s="28" t="str">
        <x:v>VEG-0198</x:v>
      </x:c>
      <x:c r="B121" s="28" t="str">
        <x:v>горох</x:v>
      </x:c>
      <x:c r="C121" s="28" t="str">
        <x:v>белая рыба</x:v>
      </x:c>
      <x:c r="D121" s="28" t="str">
        <x:v>Рыба и морепродукты</x:v>
      </x:c>
      <x:c r="E121" s="28" t="str">
        <x:v>умами и солёный контраст</x:v>
      </x:c>
      <x:c r="F121" s="28" t="str">
        <x:v>Горох имеет профиль «зелёный, сладкий, бобовый и слегка цветочный».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1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1" s="28" t="str">
        <x:v>старый горох мучнистый; длительное хранение и нагрев снижают цвет и свежий аромат</x:v>
      </x:c>
      <x:c r="I121" s="28" t="str">
        <x:v>салат, гарнир, суп, соус, маринад, ферментация или напиток с белая рыба</x:v>
      </x:c>
      <x:c r="J121" s="28" t="str">
        <x:v>Средняя</x:v>
      </x:c>
      <x:c r="K121" s="28" t="str">
        <x:v>Тезариус вкусов (Ники Сегнит)(1).pdf</x:v>
      </x:c>
      <x:c r="L121" s="28" t="str">
        <x:v>Тезариус вкусов (Ники Сегнит)(1).pdf: 384, 536</x:v>
      </x:c>
    </x:row>
    <x:row r="122" ht="66" customHeight="1">
      <x:c r="A122" s="28" t="str">
        <x:v>VEG-0199</x:v>
      </x:c>
      <x:c r="B122" s="28" t="str">
        <x:v>горох</x:v>
      </x:c>
      <x:c r="C122" s="28" t="str">
        <x:v>говядина</x:v>
      </x:c>
      <x:c r="D122" s="28" t="str">
        <x:v>Мясо и птица</x:v>
      </x:c>
      <x:c r="E122" s="28" t="str">
        <x:v>умами и солёный контраст</x:v>
      </x:c>
      <x:c r="F122" s="28" t="str">
        <x:v>Горох имеет профиль «зелёный, сладкий, бобовый и слегка цветочный».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2" s="28" t="str">
        <x:v>старый горох мучнистый; длительное хранение и нагрев снижают цвет и свежий аромат</x:v>
      </x:c>
      <x:c r="I122" s="28" t="str">
        <x:v>салат, гарнир, суп, соус, маринад, ферментация или напиток с говядина</x:v>
      </x:c>
      <x:c r="J122" s="28" t="str">
        <x:v>Средняя</x:v>
      </x:c>
      <x:c r="K122" s="28" t="str">
        <x:v>Тезариус вкусов (Ники Сегнит)(1).pdf</x:v>
      </x:c>
      <x:c r="L122" s="28" t="str">
        <x:v>Тезариус вкусов (Ники Сегнит)(1).pdf: 108, 537</x:v>
      </x:c>
    </x:row>
    <x:row r="123" ht="66" customHeight="1">
      <x:c r="A123" s="28" t="str">
        <x:v>VEG-0200</x:v>
      </x:c>
      <x:c r="B123" s="28" t="str">
        <x:v>горох</x:v>
      </x:c>
      <x:c r="C123" s="28" t="str">
        <x:v>жирная рыба</x:v>
      </x:c>
      <x:c r="D123" s="28" t="str">
        <x:v>Рыба и морепродукты</x:v>
      </x:c>
      <x:c r="E123" s="28" t="str">
        <x:v>умами и солёный контраст</x:v>
      </x:c>
      <x:c r="F123" s="28" t="str">
        <x:v>Горох имеет профиль «зелёный, сладкий, бобовый и слегка цветочный».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3" s="28" t="str">
        <x:v>старый горох мучнистый; длительное хранение и нагрев снижают цвет и свежий аромат</x:v>
      </x:c>
      <x:c r="I123" s="28" t="str">
        <x:v>салат, гарнир, суп, соус, маринад, ферментация или напиток с жирная рыба</x:v>
      </x:c>
      <x:c r="J123" s="28" t="str">
        <x:v>Средняя</x:v>
      </x:c>
      <x:c r="K123" s="28" t="str">
        <x:v>Тезариус вкусов (Ники Сегнит)(1).pdf</x:v>
      </x:c>
      <x:c r="L123" s="28" t="str">
        <x:v>Тезариус вкусов (Ники Сегнит)(1).pdf: 412, 538</x:v>
      </x:c>
    </x:row>
    <x:row r="124" ht="66" customHeight="1">
      <x:c r="A124" s="28" t="str">
        <x:v>VEG-0201</x:v>
      </x:c>
      <x:c r="B124" s="28" t="str">
        <x:v>горох</x:v>
      </x:c>
      <x:c r="C124" s="28" t="str">
        <x:v>копченая рыба</x:v>
      </x:c>
      <x:c r="D124" s="28" t="str">
        <x:v>Рыба и морепродукты</x:v>
      </x:c>
      <x:c r="E124" s="28" t="str">
        <x:v>умами и солёный контраст</x:v>
      </x:c>
      <x:c r="F124" s="28" t="str">
        <x:v>Горох имеет профиль «зелёный, сладкий, бобовый и слегка цветочный».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4" s="28" t="str">
        <x:v>старый горох мучнистый; длительное хранение и нагрев снижают цвет и свежий аромат</x:v>
      </x:c>
      <x:c r="I124" s="28" t="str">
        <x:v>салат, гарнир, суп, соус, маринад, ферментация или напиток с копченая рыба</x:v>
      </x:c>
      <x:c r="J124" s="28" t="str">
        <x:v>Средняя</x:v>
      </x:c>
      <x:c r="K124" s="28" t="str">
        <x:v>Тезариус вкусов (Ники Сегнит)(1).pdf</x:v>
      </x:c>
      <x:c r="L124" s="28" t="str">
        <x:v>Тезариус вкусов (Ники Сегнит)(1).pdf: 435, 538</x:v>
      </x:c>
    </x:row>
    <x:row r="125" ht="66" customHeight="1">
      <x:c r="A125" s="28" t="str">
        <x:v>VEG-0202</x:v>
      </x:c>
      <x:c r="B125" s="28" t="str">
        <x:v>горох</x:v>
      </x:c>
      <x:c r="C125" s="28" t="str">
        <x:v>кунжут, халва и тахини</x:v>
      </x:c>
      <x:c r="D125" s="28" t="str">
        <x:v>Орехи и семена</x:v>
      </x:c>
      <x:c r="E125" s="28" t="str">
        <x:v>сенсорная комплементарность</x:v>
      </x:c>
      <x:c r="F125" s="28" t="str">
        <x:v>Горох имеет профиль «зелёный, сладкий, бобовый и слегка цветочный».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2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5" s="28" t="str">
        <x:v>старый горох мучнистый; длительное хранение и нагрев снижают цвет и свежий аромат</x:v>
      </x:c>
      <x:c r="I125" s="28" t="str">
        <x:v>салат, гарнир, суп, соус, маринад, ферментация или напиток с кунжут, халва и тахини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308</x:v>
      </x:c>
    </x:row>
    <x:row r="126" ht="66" customHeight="1">
      <x:c r="A126" s="28" t="str">
        <x:v>VEG-0203</x:v>
      </x:c>
      <x:c r="B126" s="28" t="str">
        <x:v>горох</x:v>
      </x:c>
      <x:c r="C126" s="28" t="str">
        <x:v>моллюски</x:v>
      </x:c>
      <x:c r="D126" s="28" t="str">
        <x:v>Рыба и морепродукты</x:v>
      </x:c>
      <x:c r="E126" s="28" t="str">
        <x:v>умами и солёный контраст</x:v>
      </x:c>
      <x:c r="F126" s="28" t="str">
        <x:v>Горох имеет профиль «зелёный, сладкий, бобовый и слегка цветочный».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6" s="28" t="str">
        <x:v>старый горох мучнистый; длительное хранение и нагрев снижают цвет и свежий аромат</x:v>
      </x:c>
      <x:c r="I126" s="28" t="str">
        <x:v>салат, гарнир, суп, соус, маринад, ферментация или напиток с моллюски</x:v>
      </x:c>
      <x:c r="J126" s="28" t="str">
        <x:v>Средняя</x:v>
      </x:c>
      <x:c r="K126" s="28" t="str">
        <x:v>Тезариус вкусов (Ники Сегнит)(1).pdf</x:v>
      </x:c>
      <x:c r="L126" s="28" t="str">
        <x:v>Тезариус вкусов (Ники Сегнит)(1).pdf: 369, 539</x:v>
      </x:c>
    </x:row>
    <x:row r="127" ht="66" customHeight="1">
      <x:c r="A127" s="28" t="str">
        <x:v>VEG-0204</x:v>
      </x:c>
      <x:c r="B127" s="28" t="str">
        <x:v>горох</x:v>
      </x:c>
      <x:c r="C127" s="28" t="str">
        <x:v>морковь</x:v>
      </x:c>
      <x:c r="D127" s="28" t="str">
        <x:v>Корнеплоды</x:v>
      </x:c>
      <x:c r="E127" s="28" t="str">
        <x:v>пересечение ароматических семейств</x:v>
      </x:c>
      <x:c r="F127" s="28" t="str">
        <x:v>Горох имеет профиль «зелёный, сладкий, бобовый и слегка цветочный».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12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7" s="28" t="str">
        <x:v>старый горох мучнистый; длительное хранение и нагрев снижают цвет и свежий аромат</x:v>
      </x:c>
      <x:c r="I127" s="28" t="str">
        <x:v>салат, гарнир, суп, соус, маринад, ферментация или напиток с морковь</x:v>
      </x:c>
      <x:c r="J127" s="28" t="str">
        <x:v>Средняя</x:v>
      </x:c>
      <x:c r="K127" s="28" t="str">
        <x:v>The Art &amp; Science of Foodpairing.pdf</x:v>
      </x:c>
      <x:c r="L127" s="28" t="str">
        <x:v>The Art &amp; Science of Foodpairing.pdf: 232</x:v>
      </x:c>
    </x:row>
    <x:row r="128" ht="66" customHeight="1">
      <x:c r="A128" s="28" t="str">
        <x:v>VEG-0205</x:v>
      </x:c>
      <x:c r="B128" s="28" t="str">
        <x:v>горох</x:v>
      </x:c>
      <x:c r="C128" s="28" t="str">
        <x:v>мята</x:v>
      </x:c>
      <x:c r="D128" s="28" t="str">
        <x:v>Травы, цветы и листья</x:v>
      </x:c>
      <x:c r="E128" s="28" t="str">
        <x:v>пересечение ароматических семейств</x:v>
      </x:c>
      <x:c r="F128" s="28" t="str">
        <x:v>Горох имеет профиль «зелёный, сладкий, бобовый и слегка цветочный».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2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8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128" s="28" t="str">
        <x:v>салат, гарнир, суп, соус, маринад, ферментация или напиток с мята</x:v>
      </x:c>
      <x:c r="J128" s="28" t="str">
        <x:v>Средняя</x:v>
      </x:c>
      <x:c r="K128" s="28" t="str">
        <x:v>Тезариус вкусов (Ники Сегнит)(1).pdf</x:v>
      </x:c>
      <x:c r="L128" s="28" t="str">
        <x:v>Тезариус вкусов (Ники Сегнит)(1).pdf: 866</x:v>
      </x:c>
    </x:row>
    <x:row r="129" ht="66" customHeight="1">
      <x:c r="A129" s="28" t="str">
        <x:v>VEG-0206</x:v>
      </x:c>
      <x:c r="B129" s="28" t="str">
        <x:v>горох</x:v>
      </x:c>
      <x:c r="C129" s="28" t="str">
        <x:v>оливковое масло</x:v>
      </x:c>
      <x:c r="D129" s="28" t="str">
        <x:v>Масла и жиры</x:v>
      </x:c>
      <x:c r="E129" s="28" t="str">
        <x:v>жировая матрица</x:v>
      </x:c>
      <x:c r="F129" s="28" t="str">
        <x:v>Горох имеет профиль «зелёный, сладкий, бобовый и слегка цветочный».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2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9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I129" s="28" t="str">
        <x:v>салат, гарнир, суп, соус, маринад, ферментация или напиток с оливковое масло</x:v>
      </x:c>
      <x:c r="J129" s="28" t="str">
        <x:v>Средняя</x:v>
      </x:c>
      <x:c r="K129" s="28" t="str">
        <x:v>The Art &amp; Science of Foodpairing.pdf</x:v>
      </x:c>
      <x:c r="L129" s="28" t="str">
        <x:v>The Art &amp; Science of Foodpairing.pdf: 172</x:v>
      </x:c>
    </x:row>
    <x:row r="130" ht="66" customHeight="1">
      <x:c r="A130" s="28" t="str">
        <x:v>VEG-0207</x:v>
      </x:c>
      <x:c r="B130" s="28" t="str">
        <x:v>горох</x:v>
      </x:c>
      <x:c r="C130" s="28" t="str">
        <x:v>пастернак</x:v>
      </x:c>
      <x:c r="D130" s="28" t="str">
        <x:v>Корнеплоды</x:v>
      </x:c>
      <x:c r="E130" s="28" t="str">
        <x:v>пересечение ароматических семейств</x:v>
      </x:c>
      <x:c r="F130" s="28" t="str">
        <x:v>Горох имеет профиль «зелёный, сладкий, бобовый и слегка цветочный».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130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0" s="28" t="str">
        <x:v>старый горох мучнистый; длительное хранение и нагрев снижают цвет и свежий аромат</x:v>
      </x:c>
      <x:c r="I130" s="28" t="str">
        <x:v>салат, гарнир, суп, соус, маринад, ферментация или напиток с пастернак</x:v>
      </x:c>
      <x:c r="J130" s="28" t="str">
        <x:v>Средняя</x:v>
      </x:c>
      <x:c r="K130" s="28" t="str">
        <x:v>Тезариус вкусов (Ники Сегнит)(1).pdf</x:v>
      </x:c>
      <x:c r="L130" s="28" t="str">
        <x:v>Тезариус вкусов (Ники Сегнит)(1).pdf: 539, 596</x:v>
      </x:c>
    </x:row>
    <x:row r="131" ht="66" customHeight="1">
      <x:c r="A131" s="28" t="str">
        <x:v>VEG-0208</x:v>
      </x:c>
      <x:c r="B131" s="28" t="str">
        <x:v>горох</x:v>
      </x:c>
      <x:c r="C131" s="28" t="str">
        <x:v>прошутто</x:v>
      </x:c>
      <x:c r="D131" s="28" t="str">
        <x:v>Мясо и птица</x:v>
      </x:c>
      <x:c r="E131" s="28" t="str">
        <x:v>умами и солёный контраст</x:v>
      </x:c>
      <x:c r="F131" s="28" t="str">
        <x:v>Горох имеет профиль «зелёный, сладкий, бобовый и слегка цветочный».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1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1" s="28" t="str">
        <x:v>старый горох мучнистый; длительное хранение и нагрев снижают цвет и свежий аромат</x:v>
      </x:c>
      <x:c r="I131" s="28" t="str">
        <x:v>салат, гарнир, суп, соус, маринад, ферментация или напиток с прошутто</x:v>
      </x:c>
      <x:c r="J131" s="28" t="str">
        <x:v>Средняя</x:v>
      </x:c>
      <x:c r="K131" s="28" t="str">
        <x:v>Тезариус вкусов (Ники Сегнит)(1).pdf</x:v>
      </x:c>
      <x:c r="L131" s="28" t="str">
        <x:v>Тезариус вкусов (Ники Сегнит)(1).pdf: 455, 539</x:v>
      </x:c>
    </x:row>
    <x:row r="132" ht="66" customHeight="1">
      <x:c r="A132" s="28" t="str">
        <x:v>VEG-0209</x:v>
      </x:c>
      <x:c r="B132" s="28" t="str">
        <x:v>горох</x:v>
      </x:c>
      <x:c r="C132" s="28" t="str">
        <x:v>розмарин</x:v>
      </x:c>
      <x:c r="D132" s="28" t="str">
        <x:v>Травы, цветы и листья</x:v>
      </x:c>
      <x:c r="E132" s="28" t="str">
        <x:v>сенсорная комплементарность</x:v>
      </x:c>
      <x:c r="F132" s="28" t="str">
        <x:v>Горох имеет профиль «зелёный, сладкий, бобовый и слегка цветочный».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3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2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132" s="28" t="str">
        <x:v>салат, гарнир, суп, соус, маринад, ферментация или напиток с розмарин</x:v>
      </x:c>
      <x:c r="J132" s="28" t="str">
        <x:v>Средняя</x:v>
      </x:c>
      <x:c r="K132" s="28" t="str">
        <x:v>Тезариус вкусов (Ники Сегнит)(1).pdf</x:v>
      </x:c>
      <x:c r="L132" s="28" t="str">
        <x:v>Тезариус вкусов (Ники Сегнит)(1).pdf: 539, 836</x:v>
      </x:c>
    </x:row>
    <x:row r="133" ht="66" customHeight="1">
      <x:c r="A133" s="28" t="str">
        <x:v>VEG-0210</x:v>
      </x:c>
      <x:c r="B133" s="28" t="str">
        <x:v>горох</x:v>
      </x:c>
      <x:c r="C133" s="28" t="str">
        <x:v>свинина</x:v>
      </x:c>
      <x:c r="D133" s="28" t="str">
        <x:v>Мясо и птица</x:v>
      </x:c>
      <x:c r="E133" s="28" t="str">
        <x:v>умами и солёный контраст</x:v>
      </x:c>
      <x:c r="F133" s="28" t="str">
        <x:v>Горох имеет профиль «зелёный, сладкий, бобовый и слегка цветочный».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3" s="28" t="str">
        <x:v>старый горох мучнистый; длительное хранение и нагрев снижают цвет и свежий аромат</x:v>
      </x:c>
      <x:c r="I133" s="28" t="str">
        <x:v>салат, гарнир, суп, соус, маринад, ферментация или напиток с свинина</x:v>
      </x:c>
      <x:c r="J133" s="28" t="str">
        <x:v>Средняя</x:v>
      </x:c>
      <x:c r="K133" s="28" t="str">
        <x:v>Тезариус вкусов (Ники Сегнит)(1).pdf</x:v>
      </x:c>
      <x:c r="L133" s="28" t="str">
        <x:v>Тезариус вкусов (Ники Сегнит)(1).pdf: 82, 540</x:v>
      </x:c>
    </x:row>
    <x:row r="134" ht="66" customHeight="1">
      <x:c r="A134" s="28" t="str">
        <x:v>VEG-0211</x:v>
      </x:c>
      <x:c r="B134" s="28" t="str">
        <x:v>горох</x:v>
      </x:c>
      <x:c r="C134" s="28" t="str">
        <x:v>твердый сыр</x:v>
      </x:c>
      <x:c r="D134" s="28" t="str">
        <x:v>Молочные продукты и сыры</x:v>
      </x:c>
      <x:c r="E134" s="28" t="str">
        <x:v>жировая матрица</x:v>
      </x:c>
      <x:c r="F134" s="28" t="str">
        <x:v>Горох имеет профиль «зелёный, сладкий, бобовый и слегка цветочный».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3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4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I134" s="28" t="str">
        <x:v>салат, гарнир, суп, соус, маринад, ферментация или напиток с твердый сыр</x:v>
      </x:c>
      <x:c r="J134" s="28" t="str">
        <x:v>Средняя</x:v>
      </x:c>
      <x:c r="K134" s="28" t="str">
        <x:v>Тезариус вкусов (Ники Сегнит)(1).pdf</x:v>
      </x:c>
      <x:c r="L134" s="28" t="str">
        <x:v>Тезариус вкусов (Ники Сегнит)(1).pdf: 170, 541</x:v>
      </x:c>
    </x:row>
    <x:row r="135" ht="66" customHeight="1">
      <x:c r="A135" s="28" t="str">
        <x:v>VEG-0212</x:v>
      </x:c>
      <x:c r="B135" s="28" t="str">
        <x:v>горох</x:v>
      </x:c>
      <x:c r="C135" s="28" t="str">
        <x:v>укроп</x:v>
      </x:c>
      <x:c r="D135" s="28" t="str">
        <x:v>Травы, цветы и листья</x:v>
      </x:c>
      <x:c r="E135" s="28" t="str">
        <x:v>пересечение ароматических семейств</x:v>
      </x:c>
      <x:c r="F135" s="28" t="str">
        <x:v>Горох имеет профиль «зелёный, сладкий, бобовый и слегка цветочный». Партнёр «укроп» относится к группе «Травы, цветы и листья» и даёт анисовый, зелёный.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3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5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135" s="28" t="str">
        <x:v>салат, гарнир, суп, соус, маринад, ферментация или напиток с укроп</x:v>
      </x:c>
      <x:c r="J135" s="28" t="str">
        <x:v>Средняя</x:v>
      </x:c>
      <x:c r="K135" s="28" t="str">
        <x:v>Тезариус вкусов (Ники Сегнит)(1).pdf</x:v>
      </x:c>
      <x:c r="L135" s="28" t="str">
        <x:v>Тезариус вкусов (Ники Сегнит)(1).pdf: 502, 542</x:v>
      </x:c>
    </x:row>
    <x:row r="136" ht="66" customHeight="1">
      <x:c r="A136" s="28" t="str">
        <x:v>VEG-0213</x:v>
      </x:c>
      <x:c r="B136" s="28" t="str">
        <x:v>горох</x:v>
      </x:c>
      <x:c r="C136" s="28" t="str">
        <x:v>хрен</x:v>
      </x:c>
      <x:c r="D136" s="28" t="str">
        <x:v>Прочее</x:v>
      </x:c>
      <x:c r="E136" s="28" t="str">
        <x:v>сенсорная комплементарность</x:v>
      </x:c>
      <x:c r="F136" s="28" t="str">
        <x:v>Горох имеет профиль «зелёный, сладкий, бобовый и слегка цветочный».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6" s="28" t="str">
        <x:v>старый горох мучнистый; длительное хранение и нагрев снижают цвет и свежий аромат</x:v>
      </x:c>
      <x:c r="I136" s="28" t="str">
        <x:v>салат, гарнир, суп, соус, маринад, ферментация или напиток с хрен</x:v>
      </x:c>
      <x:c r="J136" s="28" t="str">
        <x:v>Средняя</x:v>
      </x:c>
      <x:c r="K136" s="28" t="str">
        <x:v>Тезариус вкусов (Ники Сегнит)(1).pdf</x:v>
      </x:c>
      <x:c r="L136" s="28" t="str">
        <x:v>Тезариус вкусов (Ники Сегнит)(1).pdf: 274, 542</x:v>
      </x:c>
    </x:row>
    <x:row r="137" ht="66" customHeight="1">
      <x:c r="A137" s="28" t="str">
        <x:v>VEG-0214</x:v>
      </x:c>
      <x:c r="B137" s="28" t="str">
        <x:v>горох</x:v>
      </x:c>
      <x:c r="C137" s="28" t="str">
        <x:v>цыпленок</x:v>
      </x:c>
      <x:c r="D137" s="28" t="str">
        <x:v>Прочее</x:v>
      </x:c>
      <x:c r="E137" s="28" t="str">
        <x:v>сенсорная комплементарность</x:v>
      </x:c>
      <x:c r="F137" s="28" t="str">
        <x:v>Горох имеет профиль «зелёный, сладкий, бобовый и слегка цветочный».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7" s="28" t="str">
        <x:v>старый горох мучнистый; длительное хранение и нагрев снижают цвет и свежий аромат</x:v>
      </x:c>
      <x:c r="I137" s="28" t="str">
        <x:v>салат, гарнир, суп, соус, маринад, ферментация или напиток с цыпленок</x:v>
      </x:c>
      <x:c r="J137" s="28" t="str">
        <x:v>Средняя</x:v>
      </x:c>
      <x:c r="K137" s="28" t="str">
        <x:v>Тезариус вкусов (Ники Сегнит)(1).pdf</x:v>
      </x:c>
      <x:c r="L137" s="28" t="str">
        <x:v>Тезариус вкусов (Ники Сегнит)(1).pdf: 64, 543</x:v>
      </x:c>
    </x:row>
    <x:row r="138" ht="66" customHeight="1">
      <x:c r="A138" s="28" t="str">
        <x:v>VEG-0215</x:v>
      </x:c>
      <x:c r="B138" s="28" t="str">
        <x:v>горох</x:v>
      </x:c>
      <x:c r="C138" s="28" t="str">
        <x:v>яйца</x:v>
      </x:c>
      <x:c r="D138" s="28" t="str">
        <x:v>Прочее</x:v>
      </x:c>
      <x:c r="E138" s="28" t="str">
        <x:v>сенсорная комплементарность</x:v>
      </x:c>
      <x:c r="F138" s="28" t="str">
        <x:v>Горох имеет профиль «зелёный, сладкий, бобовый и слегка цветочный».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8" s="28" t="str">
        <x:v>старый горох мучнистый; длительное хранение и нагрев снижают цвет и свежий аромат</x:v>
      </x:c>
      <x:c r="I138" s="28" t="str">
        <x:v>салат, гарнир, суп, соус, маринад, ферментация или напиток с яйца</x:v>
      </x:c>
      <x:c r="J138" s="28" t="str">
        <x:v>Средняя</x:v>
      </x:c>
      <x:c r="K138" s="28" t="str">
        <x:v>Тезариус вкусов (Ники Сегнит)(1).pdf</x:v>
      </x:c>
      <x:c r="L138" s="28" t="str">
        <x:v>Тезариус вкусов (Ники Сегнит)(1).pdf: 351, 544</x:v>
      </x:c>
    </x:row>
    <x:row r="139" ht="66" customHeight="1">
      <x:c r="A139" s="28" t="str">
        <x:v>VEG-0216</x:v>
      </x:c>
      <x:c r="B139" s="28" t="str">
        <x:v>грибы</x:v>
      </x:c>
      <x:c r="C139" s="28" t="str">
        <x:v>абрикос</x:v>
      </x:c>
      <x:c r="D139" s="28" t="str">
        <x:v>Фрукты и ягоды</x:v>
      </x:c>
      <x:c r="E139" s="28" t="str">
        <x:v>кислотно-сладкий баланс</x:v>
      </x:c>
      <x:c r="F139" s="28" t="str">
        <x:v>Грибы имеет профиль «землистый, лесной, жареный, мясной и слегка сернистый». Партнёр «абрикос»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3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I139" s="28" t="str">
        <x:v>горячее блюдо, бульон, соус, пюре, ферментация или гарнир с абрикос</x:v>
      </x:c>
      <x:c r="J139" s="28" t="str">
        <x:v>Высокая</x:v>
      </x:c>
      <x:c r="K139" s="28" t="str">
        <x:v>The Art &amp; Science of Foodpairing.pdf | Тезариус вкусов (Ники Сегнит)(1).pdf</x:v>
      </x:c>
      <x:c r="L139" s="28" t="str">
        <x:v>Тезариус вкусов (Ники Сегнит)(1).pdf: 192, 742; The Art &amp; Science of Foodpairing.pdf: 206</x:v>
      </x:c>
    </x:row>
    <x:row r="140" ht="66" customHeight="1">
      <x:c r="A140" s="28" t="str">
        <x:v>VEG-0217</x:v>
      </x:c>
      <x:c r="B140" s="28" t="str">
        <x:v>грибы</x:v>
      </x:c>
      <x:c r="C140" s="28" t="str">
        <x:v>анис</x:v>
      </x:c>
      <x:c r="D140" s="28" t="str">
        <x:v>Прочее</x:v>
      </x:c>
      <x:c r="E140" s="28" t="str">
        <x:v>сенсорная комплементарность</x:v>
      </x:c>
      <x:c r="F140" s="28" t="str">
        <x:v>Грибы имеет профиль «землистый, лесной, жареный, мясной и слегка сернистый».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0" s="28" t="str">
        <x:v>горячее блюдо, бульон, соус, пюре, ферментация или гарнир с анис</x:v>
      </x:c>
      <x:c r="J140" s="28" t="str">
        <x:v>Средняя</x:v>
      </x:c>
      <x:c r="K140" s="28" t="str">
        <x:v>Тезариус вкусов (Ники Сегнит)(1).pdf</x:v>
      </x:c>
      <x:c r="L140" s="28" t="str">
        <x:v>Тезариус вкусов (Ники Сегнит)(1).pdf: 193, 483</x:v>
      </x:c>
    </x:row>
    <x:row r="141" ht="66" customHeight="1">
      <x:c r="A141" s="28" t="str">
        <x:v>VEG-0218</x:v>
      </x:c>
      <x:c r="B141" s="28" t="str">
        <x:v>грибы</x:v>
      </x:c>
      <x:c r="C141" s="28" t="str">
        <x:v>арбуз</x:v>
      </x:c>
      <x:c r="D141" s="28" t="str">
        <x:v>Прочее</x:v>
      </x:c>
      <x:c r="E141" s="28" t="str">
        <x:v>сенсорная комплементарность</x:v>
      </x:c>
      <x:c r="F141" s="28" t="str">
        <x:v>Грибы имеет профиль «землистый, лесной, жареный, мясной и слегка сернистый».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1" s="28" t="str">
        <x:v>горячее блюдо, бульон, соус, пюре, ферментация или гарнир с арбуз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78</x:v>
      </x:c>
    </x:row>
    <x:row r="142" ht="66" customHeight="1">
      <x:c r="A142" s="28" t="str">
        <x:v>VEG-0219</x:v>
      </x:c>
      <x:c r="B142" s="28" t="str">
        <x:v>грибы</x:v>
      </x:c>
      <x:c r="C142" s="28" t="str">
        <x:v>бальзамический уксус</x:v>
      </x:c>
      <x:c r="D142" s="28" t="str">
        <x:v>Ферментированные продукты и соусы</x:v>
      </x:c>
      <x:c r="E142" s="28" t="str">
        <x:v>общие характерные молекулы; пересечение ароматических семейств; умами и солёный контраст</x:v>
      </x:c>
      <x:c r="F142" s="28" t="str">
        <x:v>Грибы имеет профиль «землистый, лесной, жареный, мясной и слегка сернистый». Партнёр «бальзамический уксус»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4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2" s="28" t="str">
        <x:v>горячее блюдо, бульон, соус, пюре, ферментация или гарнир с бальзамический уксус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316</x:v>
      </x:c>
    </x:row>
    <x:row r="143" ht="66" customHeight="1">
      <x:c r="A143" s="28" t="str">
        <x:v>VEG-0220</x:v>
      </x:c>
      <x:c r="B143" s="28" t="str">
        <x:v>грибы</x:v>
      </x:c>
      <x:c r="C143" s="28" t="str">
        <x:v>банан</x:v>
      </x:c>
      <x:c r="D143" s="28" t="str">
        <x:v>Фрукты и ягоды</x:v>
      </x:c>
      <x:c r="E143" s="28" t="str">
        <x:v>кислотно-сладкий баланс</x:v>
      </x:c>
      <x:c r="F143" s="28" t="str">
        <x:v>Грибы имеет профиль «землистый, лесной, жареный, мясной и слегка сернистый».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I143" s="28" t="str">
        <x:v>горячее блюдо, бульон, соус, пюре, ферментация или гарнир с банан</x:v>
      </x:c>
      <x:c r="J143" s="28" t="str">
        <x:v>Средняя</x:v>
      </x:c>
      <x:c r="K143" s="28" t="str">
        <x:v>The Art &amp; Science of Foodpairing.pdf</x:v>
      </x:c>
      <x:c r="L143" s="28" t="str">
        <x:v>The Art &amp; Science of Foodpairing.pdf: 342</x:v>
      </x:c>
    </x:row>
    <x:row r="144" ht="66" customHeight="1">
      <x:c r="A144" s="28" t="str">
        <x:v>VEG-0221</x:v>
      </x:c>
      <x:c r="B144" s="28" t="str">
        <x:v>грибы</x:v>
      </x:c>
      <x:c r="C144" s="28" t="str">
        <x:v>батат</x:v>
      </x:c>
      <x:c r="D144" s="28" t="str">
        <x:v>Корнеплоды и клубни</x:v>
      </x:c>
      <x:c r="E144" s="28" t="str">
        <x:v>общие характерные молекулы; пересечение ароматических семейств</x:v>
      </x:c>
      <x:c r="F144" s="28" t="str">
        <x:v>Грибы имеет профиль «землистый, лесной, жареный, мясной и слегка сернистый».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14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4" s="28" t="str">
        <x:v>горячее блюдо, бульон, соус, пюре, ферментация или гарнир с батат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119</x:v>
      </x:c>
    </x:row>
    <x:row r="145" ht="66" customHeight="1">
      <x:c r="A145" s="28" t="str">
        <x:v>VEG-0222</x:v>
      </x:c>
      <x:c r="B145" s="28" t="str">
        <x:v>грибы</x:v>
      </x:c>
      <x:c r="C145" s="28" t="str">
        <x:v>бекон</x:v>
      </x:c>
      <x:c r="D145" s="28" t="str">
        <x:v>Мясо и птица</x:v>
      </x:c>
      <x:c r="E145" s="28" t="str">
        <x:v>общие характерные молекулы; пересечение ароматических семейств; умами и солёный контраст</x:v>
      </x:c>
      <x:c r="F145" s="28" t="str">
        <x:v>Грибы имеет профиль «землистый, лесной, жареный, мясной и слегка сернистый».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4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5" s="28" t="str">
        <x:v>горячее блюдо, бульон, соус, пюре, ферментация или гарнир с бекон</x:v>
      </x:c>
      <x:c r="J145" s="28" t="str">
        <x:v>Средняя</x:v>
      </x:c>
      <x:c r="K145" s="28" t="str">
        <x:v>Тезариус вкусов (Ники Сегнит)(1).pdf</x:v>
      </x:c>
      <x:c r="L145" s="28" t="str">
        <x:v>Тезариус вкусов (Ники Сегнит)(1).pdf: 194, 445</x:v>
      </x:c>
    </x:row>
    <x:row r="146" ht="66" customHeight="1">
      <x:c r="A146" s="28" t="str">
        <x:v>VEG-0223</x:v>
      </x:c>
      <x:c r="B146" s="28" t="str">
        <x:v>грибы</x:v>
      </x:c>
      <x:c r="C146" s="28" t="str">
        <x:v>белая рыба</x:v>
      </x:c>
      <x:c r="D146" s="28" t="str">
        <x:v>Рыба и морепродукты</x:v>
      </x:c>
      <x:c r="E146" s="28" t="str">
        <x:v>пересечение ароматических семейств; умами и солёный контраст</x:v>
      </x:c>
      <x:c r="F146" s="28" t="str">
        <x:v>Грибы имеет профиль «землистый, лесной, жареный, мясной и слегка сернистый».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4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6" s="28" t="str">
        <x:v>горячее блюдо, бульон, соус, пюре, ферментация или гарнир с белая рыба</x:v>
      </x:c>
      <x:c r="J146" s="28" t="str">
        <x:v>Средняя</x:v>
      </x:c>
      <x:c r="K146" s="28" t="str">
        <x:v>Тезариус вкусов (Ники Сегнит)(1).pdf</x:v>
      </x:c>
      <x:c r="L146" s="28" t="str">
        <x:v>Тезариус вкусов (Ники Сегнит)(1).pdf: 194, 384</x:v>
      </x:c>
    </x:row>
    <x:row r="147" ht="66" customHeight="1">
      <x:c r="A147" s="28" t="str">
        <x:v>VEG-0224</x:v>
      </x:c>
      <x:c r="B147" s="28" t="str">
        <x:v>грибы</x:v>
      </x:c>
      <x:c r="C147" s="28" t="str">
        <x:v>гибискус</x:v>
      </x:c>
      <x:c r="D147" s="28" t="str">
        <x:v>Прочее</x:v>
      </x:c>
      <x:c r="E147" s="28" t="str">
        <x:v>сенсорная комплементарность</x:v>
      </x:c>
      <x:c r="F147" s="28" t="str">
        <x:v>Грибы имеет профиль «землистый, лесной, жареный, мясной и слегка сернистый».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7" s="28" t="str">
        <x:v>горячее блюдо, бульон, соус, пюре, ферментация или гарнир с гибискус</x:v>
      </x:c>
      <x:c r="J147" s="28" t="str">
        <x:v>Высокая</x:v>
      </x:c>
      <x:c r="K147" s="28" t="str">
        <x:v>The Art &amp; Science of Foodpairing.pdf</x:v>
      </x:c>
      <x:c r="L147" s="28" t="str">
        <x:v>The Art &amp; Science of Foodpairing.pdf: 127</x:v>
      </x:c>
    </x:row>
    <x:row r="148" ht="66" customHeight="1">
      <x:c r="A148" s="28" t="str">
        <x:v>VEG-0225</x:v>
      </x:c>
      <x:c r="B148" s="28" t="str">
        <x:v>грибы</x:v>
      </x:c>
      <x:c r="C148" s="28" t="str">
        <x:v>говядина</x:v>
      </x:c>
      <x:c r="D148" s="28" t="str">
        <x:v>Мясо и птица</x:v>
      </x:c>
      <x:c r="E148" s="28" t="str">
        <x:v>общие характерные молекулы; пересечение ароматических семейств; умами и солёный контраст</x:v>
      </x:c>
      <x:c r="F148" s="28" t="str">
        <x:v>Грибы имеет профиль «землистый, лесной, жареный, мясной и слегка сернистый».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4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8" s="28" t="str">
        <x:v>горячее блюдо, бульон, соус, пюре, ферментация или гарнир с говядина</x:v>
      </x:c>
      <x:c r="J148" s="28" t="str">
        <x:v>Средняя</x:v>
      </x:c>
      <x:c r="K148" s="28" t="str">
        <x:v>Тезариус вкусов (Ники Сегнит)(1).pdf</x:v>
      </x:c>
      <x:c r="L148" s="28" t="str">
        <x:v>Тезариус вкусов (Ники Сегнит)(1).pdf: 108, 195</x:v>
      </x:c>
    </x:row>
    <x:row r="149" ht="66" customHeight="1">
      <x:c r="A149" s="28" t="str">
        <x:v>VEG-0226</x:v>
      </x:c>
      <x:c r="B149" s="28" t="str">
        <x:v>грибы</x:v>
      </x:c>
      <x:c r="C149" s="28" t="str">
        <x:v>голубой сыр</x:v>
      </x:c>
      <x:c r="D149" s="28" t="str">
        <x:v>Молочные продукты и сыры</x:v>
      </x:c>
      <x:c r="E149" s="28" t="str">
        <x:v>пересечение ароматических семейств; жировая матрица</x:v>
      </x:c>
      <x:c r="F149" s="28" t="str">
        <x:v>Грибы имеет профиль «землистый, лесной, жареный, мясной и слегка сернистый». Партнёр «голубой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4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49" s="28" t="str">
        <x:v>горячее блюдо, бульон, соус, пюре, ферментация или гарнир с голубой сыр</x:v>
      </x:c>
      <x:c r="J149" s="28" t="str">
        <x:v>Средняя</x:v>
      </x:c>
      <x:c r="K149" s="28" t="str">
        <x:v>Тезариус вкусов (Ники Сегнит)(1).pdf</x:v>
      </x:c>
      <x:c r="L149" s="28" t="str">
        <x:v>Тезариус вкусов (Ники Сегнит)(1).pdf: 157, 195</x:v>
      </x:c>
    </x:row>
    <x:row r="150" ht="66" customHeight="1">
      <x:c r="A150" s="28" t="str">
        <x:v>VEG-0227</x:v>
      </x:c>
      <x:c r="B150" s="28" t="str">
        <x:v>грибы</x:v>
      </x:c>
      <x:c r="C150" s="28" t="str">
        <x:v>грецкий орех</x:v>
      </x:c>
      <x:c r="D150" s="28" t="str">
        <x:v>Орехи и семена</x:v>
      </x:c>
      <x:c r="E150" s="28" t="str">
        <x:v>общие характерные молекулы; пересечение ароматических семейств</x:v>
      </x:c>
      <x:c r="F150" s="28" t="str">
        <x:v>Грибы имеет профиль «землистый, лесной, жареный, мясной и слегка сернистый».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5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0" s="28" t="str">
        <x:v>горячее блюдо, бульон, соус, пюре, ферментация или гарнир с грецкий орех</x:v>
      </x:c>
      <x:c r="J150" s="28" t="str">
        <x:v>Средняя</x:v>
      </x:c>
      <x:c r="K150" s="28" t="str">
        <x:v>Тезариус вкусов (Ники Сегнит)(1).pdf</x:v>
      </x:c>
      <x:c r="L150" s="28" t="str">
        <x:v>Тезариус вкусов (Ники Сегнит)(1).pdf: 195, 625</x:v>
      </x:c>
    </x:row>
    <x:row r="151" ht="66" customHeight="1">
      <x:c r="A151" s="28" t="str">
        <x:v>VEG-0228</x:v>
      </x:c>
      <x:c r="B151" s="28" t="str">
        <x:v>грибы</x:v>
      </x:c>
      <x:c r="C151" s="28" t="str">
        <x:v>джин</x:v>
      </x:c>
      <x:c r="D151" s="28" t="str">
        <x:v>Алкогольные напитки</x:v>
      </x:c>
      <x:c r="E151" s="28" t="str">
        <x:v>сенсорная комплементарность</x:v>
      </x:c>
      <x:c r="F151" s="28" t="str">
        <x:v>Грибы имеет профиль «землистый, лесной, жареный, мясной и слегка сернистый».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1" s="28" t="str">
        <x:v>горячее блюдо, бульон, соус, пюре, ферментация или гарнир с джин</x:v>
      </x:c>
      <x:c r="J151" s="28" t="str">
        <x:v>Средняя</x:v>
      </x:c>
      <x:c r="K151" s="28" t="str">
        <x:v>The Art &amp; Science of Foodpairing.pdf</x:v>
      </x:c>
      <x:c r="L151" s="28" t="str">
        <x:v>The Art &amp; Science of Foodpairing.pdf: 215</x:v>
      </x:c>
    </x:row>
    <x:row r="152" ht="66" customHeight="1">
      <x:c r="A152" s="28" t="str">
        <x:v>VEG-0229</x:v>
      </x:c>
      <x:c r="B152" s="28" t="str">
        <x:v>грибы</x:v>
      </x:c>
      <x:c r="C152" s="28" t="str">
        <x:v>жасмин</x:v>
      </x:c>
      <x:c r="D152" s="28" t="str">
        <x:v>Травы, цветы и листья</x:v>
      </x:c>
      <x:c r="E152" s="28" t="str">
        <x:v>сенсорная комплементарность</x:v>
      </x:c>
      <x:c r="F152" s="28" t="str">
        <x:v>Грибы имеет профиль «землистый, лесной, жареный, мясной и слегка сернистый».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5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52" s="28" t="str">
        <x:v>горячее блюдо, бульон, соус, пюре, ферментация или гарнир с жасмин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210</x:v>
      </x:c>
    </x:row>
    <x:row r="153" ht="66" customHeight="1">
      <x:c r="A153" s="28" t="str">
        <x:v>VEG-0230</x:v>
      </x:c>
      <x:c r="B153" s="28" t="str">
        <x:v>грибы</x:v>
      </x:c>
      <x:c r="C153" s="28" t="str">
        <x:v>жирная рыба</x:v>
      </x:c>
      <x:c r="D153" s="28" t="str">
        <x:v>Рыба и морепродукты</x:v>
      </x:c>
      <x:c r="E153" s="28" t="str">
        <x:v>пересечение ароматических семейств; умами и солёный контраст</x:v>
      </x:c>
      <x:c r="F153" s="28" t="str">
        <x:v>Грибы имеет профиль «землистый, лесной, жареный, мясной и слегка сернистый». Партнёр «жирная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5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3" s="28" t="str">
        <x:v>горячее блюдо, бульон, соус, пюре, ферментация или гарнир с жирная рыба</x:v>
      </x:c>
      <x:c r="J153" s="28" t="str">
        <x:v>Средняя</x:v>
      </x:c>
      <x:c r="K153" s="28" t="str">
        <x:v>Тезариус вкусов (Ники Сегнит)(1).pdf</x:v>
      </x:c>
      <x:c r="L153" s="28" t="str">
        <x:v>Тезариус вкусов (Ники Сегнит)(1).pdf: 196, 412</x:v>
      </x:c>
    </x:row>
    <x:row r="154" ht="66" customHeight="1">
      <x:c r="A154" s="28" t="str">
        <x:v>VEG-0231</x:v>
      </x:c>
      <x:c r="B154" s="28" t="str">
        <x:v>грибы</x:v>
      </x:c>
      <x:c r="C154" s="28" t="str">
        <x:v>картофель</x:v>
      </x:c>
      <x:c r="D154" s="28" t="str">
        <x:v>Корнеплоды и клубни</x:v>
      </x:c>
      <x:c r="E154" s="28" t="str">
        <x:v>общие характерные молекулы; пересечение ароматических семейств</x:v>
      </x:c>
      <x:c r="F154" s="28" t="str">
        <x:v>Грибы имеет профиль «землистый, лесной, жареный, мясной и слегка сернистый». Партнёр «картофель» относится к группе «Корнеплоды и клубни» и даёт крахмалистый, землистый, ореховый и жареный после нагрева. Вероятный молекулярный мост: метиональ, пиразины. Совместимость формируется за счёт баланса сладости, кислотности, горечи, умами и текстуры.</x:v>
      </x:c>
      <x:c r="G15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4" s="28" t="str">
        <x:v>горячее блюдо, бульон, соус, пюре, ферментация или гарнир с картофель</x:v>
      </x:c>
      <x:c r="J154" s="28" t="str">
        <x:v>Высокая</x:v>
      </x:c>
      <x:c r="K154" s="28" t="str">
        <x:v>The Art &amp; Science of Foodpairing.pdf | Тезариус вкусов (Ники Сегнит)(1).pdf</x:v>
      </x:c>
      <x:c r="L154" s="28" t="str">
        <x:v>Тезариус вкусов (Ники Сегнит)(1).pdf: 197, 234; The Art &amp; Science of Foodpairing.pdf: 196</x:v>
      </x:c>
    </x:row>
    <x:row r="155" ht="66" customHeight="1">
      <x:c r="A155" s="28" t="str">
        <x:v>VEG-0232</x:v>
      </x:c>
      <x:c r="B155" s="28" t="str">
        <x:v>грибы</x:v>
      </x:c>
      <x:c r="C155" s="28" t="str">
        <x:v>каштаны</x:v>
      </x:c>
      <x:c r="D155" s="28" t="str">
        <x:v>Орехи и семена</x:v>
      </x:c>
      <x:c r="E155" s="28" t="str">
        <x:v>общие характерные молекулы; пересечение ароматических семейств</x:v>
      </x:c>
      <x:c r="F155" s="28" t="str">
        <x:v>Грибы имеет профиль «землистый, лесной, жареный, мясной и слегка сернистый». Партнёр «каштаны»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5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5" s="28" t="str">
        <x:v>горячее блюдо, бульон, соус, пюре, ферментация или гарнир с каштаны</x:v>
      </x:c>
      <x:c r="J155" s="28" t="str">
        <x:v>Средняя</x:v>
      </x:c>
      <x:c r="K155" s="28" t="str">
        <x:v>Тезариус вкусов (Ники Сегнит)(1).pdf</x:v>
      </x:c>
      <x:c r="L155" s="28" t="str">
        <x:v>Тезариус вкусов (Ники Сегнит)(1).pdf: 197, 617</x:v>
      </x:c>
    </x:row>
    <x:row r="156" ht="66" customHeight="1">
      <x:c r="A156" s="28" t="str">
        <x:v>VEG-0233</x:v>
      </x:c>
      <x:c r="B156" s="28" t="str">
        <x:v>грибы</x:v>
      </x:c>
      <x:c r="C156" s="28" t="str">
        <x:v>кимчи</x:v>
      </x:c>
      <x:c r="D156" s="28" t="str">
        <x:v>Ферментированные продукты и соусы</x:v>
      </x:c>
      <x:c r="E156" s="28" t="str">
        <x:v>общие характерные молекулы; пересечение ароматических семейств; умами и солёный контраст</x:v>
      </x:c>
      <x:c r="F156" s="28" t="str">
        <x:v>Грибы имеет профиль «землистый, лесной, жареный, мясной и слегка сернистый». Партнёр «кимчи»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5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6" s="28" t="str">
        <x:v>горячее блюдо, бульон, соус, пюре, ферментация или гарнир с кимчи</x:v>
      </x:c>
      <x:c r="J156" s="28" t="str">
        <x:v>Средняя</x:v>
      </x:c>
      <x:c r="K156" s="28" t="str">
        <x:v>The Art &amp; Science of Foodpairing.pdf</x:v>
      </x:c>
      <x:c r="L156" s="28" t="str">
        <x:v>The Art &amp; Science of Foodpairing.pdf: 305</x:v>
      </x:c>
    </x:row>
    <x:row r="157" ht="66" customHeight="1">
      <x:c r="A157" s="28" t="str">
        <x:v>VEG-0234</x:v>
      </x:c>
      <x:c r="B157" s="28" t="str">
        <x:v>грибы</x:v>
      </x:c>
      <x:c r="C157" s="28" t="str">
        <x:v>козий сыр</x:v>
      </x:c>
      <x:c r="D157" s="28" t="str">
        <x:v>Молочные продукты и сыры</x:v>
      </x:c>
      <x:c r="E157" s="28" t="str">
        <x:v>пересечение ароматических семейств; жировая матрица</x:v>
      </x:c>
      <x:c r="F157" s="28" t="str">
        <x:v>Грибы имеет профиль «землистый, лесной, жареный, мясной и слегка сернистый».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5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57" s="28" t="str">
        <x:v>горячее блюдо, бульон, соус, пюре, ферментация или гарнир с козий сыр</x:v>
      </x:c>
      <x:c r="J157" s="28" t="str">
        <x:v>Средняя</x:v>
      </x:c>
      <x:c r="K157" s="28" t="str">
        <x:v>Тезариус вкусов (Ники Сегнит)(1).pdf</x:v>
      </x:c>
      <x:c r="L157" s="28" t="str">
        <x:v>Тезариус вкусов (Ники Сегнит)(1).pdf: 138, 198</x:v>
      </x:c>
    </x:row>
    <x:row r="158" ht="66" customHeight="1">
      <x:c r="A158" s="28" t="str">
        <x:v>VEG-0235</x:v>
      </x:c>
      <x:c r="B158" s="28" t="str">
        <x:v>грибы</x:v>
      </x:c>
      <x:c r="C158" s="28" t="str">
        <x:v>козий сыр и молоко</x:v>
      </x:c>
      <x:c r="D158" s="28" t="str">
        <x:v>Молочные продукты и сыры</x:v>
      </x:c>
      <x:c r="E158" s="28" t="str">
        <x:v>пересечение ароматических семейств; жировая матрица</x:v>
      </x:c>
      <x:c r="F158" s="28" t="str">
        <x:v>Грибы имеет профиль «землистый, лесной, жареный, мясной и слегка сернистый».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5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58" s="28" t="str">
        <x:v>горячее блюдо, бульон, соус, пюре, ферментация или гарнир с козий сыр и молоко</x:v>
      </x:c>
      <x:c r="J158" s="28" t="str">
        <x:v>Средняя</x:v>
      </x:c>
      <x:c r="K158" s="28" t="str">
        <x:v>The Art &amp; Science of Foodpairing.pdf</x:v>
      </x:c>
      <x:c r="L158" s="28" t="str">
        <x:v>The Art &amp; Science of Foodpairing.pdf: 200</x:v>
      </x:c>
    </x:row>
    <x:row r="159" ht="66" customHeight="1">
      <x:c r="A159" s="28" t="str">
        <x:v>VEG-0236</x:v>
      </x:c>
      <x:c r="B159" s="28" t="str">
        <x:v>грибы</x:v>
      </x:c>
      <x:c r="C159" s="28" t="str">
        <x:v>кокос</x:v>
      </x:c>
      <x:c r="D159" s="28" t="str">
        <x:v>Прочее</x:v>
      </x:c>
      <x:c r="E159" s="28" t="str">
        <x:v>сенсорная комплементарность</x:v>
      </x:c>
      <x:c r="F159" s="28" t="str">
        <x:v>Грибы имеет профиль «землистый, лесной, жареный, мясной и слегка сернистый».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9" s="28" t="str">
        <x:v>горячее блюдо, бульон, соус, пюре, ферментация или гарнир с кокос</x:v>
      </x:c>
      <x:c r="J159" s="28" t="str">
        <x:v>Средняя</x:v>
      </x:c>
      <x:c r="K159" s="28" t="str">
        <x:v>The Art &amp; Science of Foodpairing.pdf</x:v>
      </x:c>
      <x:c r="L159" s="28" t="str">
        <x:v>The Art &amp; Science of Foodpairing.pdf: 135</x:v>
      </x:c>
    </x:row>
    <x:row r="160" ht="66" customHeight="1">
      <x:c r="A160" s="28" t="str">
        <x:v>VEG-0237</x:v>
      </x:c>
      <x:c r="B160" s="28" t="str">
        <x:v>грибы</x:v>
      </x:c>
      <x:c r="C160" s="28" t="str">
        <x:v>коньяк</x:v>
      </x:c>
      <x:c r="D160" s="28" t="str">
        <x:v>Алкогольные напитки</x:v>
      </x:c>
      <x:c r="E160" s="28" t="str">
        <x:v>сенсорная комплементарность</x:v>
      </x:c>
      <x:c r="F160" s="28" t="str">
        <x:v>Грибы имеет профиль «землистый, лесной, жареный, мясной и слегка сернистый».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0" s="28" t="str">
        <x:v>горячее блюдо, бульон, соус, пюре, ферментация или гарнир с коньяк</x:v>
      </x:c>
      <x:c r="J160" s="28" t="str">
        <x:v>Высокая</x:v>
      </x:c>
      <x:c r="K160" s="28" t="str">
        <x:v>The Art &amp; Science of Foodpairing.pdf</x:v>
      </x:c>
      <x:c r="L160" s="28" t="str">
        <x:v>The Art &amp; Science of Foodpairing.pdf: 123</x:v>
      </x:c>
    </x:row>
    <x:row r="161" ht="66" customHeight="1">
      <x:c r="A161" s="28" t="str">
        <x:v>VEG-0238</x:v>
      </x:c>
      <x:c r="B161" s="28" t="str">
        <x:v>грибы</x:v>
      </x:c>
      <x:c r="C161" s="28" t="str">
        <x:v>корица</x:v>
      </x:c>
      <x:c r="D161" s="28" t="str">
        <x:v>Специи</x:v>
      </x:c>
      <x:c r="E161" s="28" t="str">
        <x:v>сенсорная комплементарность</x:v>
      </x:c>
      <x:c r="F161" s="28" t="str">
        <x:v>Грибы имеет профиль «землистый, лесной, жареный, мясной и слегка сернистый».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6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1" s="28" t="str">
        <x:v>горячее блюдо, бульон, соус, пюре, ферментация или гарнир с корица</x:v>
      </x:c>
      <x:c r="J161" s="28" t="str">
        <x:v>Высокая</x:v>
      </x:c>
      <x:c r="K161" s="28" t="str">
        <x:v>The Art &amp; Science of Foodpairing.pdf</x:v>
      </x:c>
      <x:c r="L161" s="28" t="str">
        <x:v>The Art &amp; Science of Foodpairing.pdf: 127</x:v>
      </x:c>
    </x:row>
    <x:row r="162" ht="66" customHeight="1">
      <x:c r="A162" s="28" t="str">
        <x:v>VEG-0239</x:v>
      </x:c>
      <x:c r="B162" s="28" t="str">
        <x:v>грибы</x:v>
      </x:c>
      <x:c r="C162" s="28" t="str">
        <x:v>корица и кассия</x:v>
      </x:c>
      <x:c r="D162" s="28" t="str">
        <x:v>Специи</x:v>
      </x:c>
      <x:c r="E162" s="28" t="str">
        <x:v>сенсорная комплементарность</x:v>
      </x:c>
      <x:c r="F162" s="28" t="str">
        <x:v>Грибы имеет профиль «землистый, лесной, жареный, мясной и слегка сернистый». Партнёр «корица и кассия»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6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2" s="28" t="str">
        <x:v>горячее блюдо, бульон, соус, пюре, ферментация или гарнир с корица и кассия</x:v>
      </x:c>
      <x:c r="J162" s="28" t="str">
        <x:v>Средняя</x:v>
      </x:c>
      <x:c r="K162" s="28" t="str">
        <x:v>The Art &amp; Science of Foodpairing.pdf</x:v>
      </x:c>
      <x:c r="L162" s="28" t="str">
        <x:v>The Art &amp; Science of Foodpairing.pdf: 130</x:v>
      </x:c>
    </x:row>
    <x:row r="163" ht="66" customHeight="1">
      <x:c r="A163" s="28" t="str">
        <x:v>VEG-0240</x:v>
      </x:c>
      <x:c r="B163" s="28" t="str">
        <x:v>грибы</x:v>
      </x:c>
      <x:c r="C163" s="28" t="str">
        <x:v>лук</x:v>
      </x:c>
      <x:c r="D163" s="28" t="str">
        <x:v>Луковые овощи</x:v>
      </x:c>
      <x:c r="E163" s="28" t="str">
        <x:v>пересечение ароматических семейств</x:v>
      </x:c>
      <x:c r="F163" s="28" t="str">
        <x:v>Грибы имеет профиль «землистый, лесной, жареный, мясной и слегка сернистый».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16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3" s="28" t="str">
        <x:v>горячее блюдо, бульон, соус, пюре, ферментация или гарнир с лук</x:v>
      </x:c>
      <x:c r="J163" s="28" t="str">
        <x:v>Средняя</x:v>
      </x:c>
      <x:c r="K163" s="28" t="str">
        <x:v>Тезариус вкусов (Ники Сегнит)(1).pdf</x:v>
      </x:c>
      <x:c r="L163" s="28" t="str">
        <x:v>Тезариус вкусов (Ники Сегнит)(1).pdf: 200, 283</x:v>
      </x:c>
    </x:row>
    <x:row r="164" ht="66" customHeight="1">
      <x:c r="A164" s="28" t="str">
        <x:v>VEG-0241</x:v>
      </x:c>
      <x:c r="B164" s="28" t="str">
        <x:v>грибы</x:v>
      </x:c>
      <x:c r="C164" s="28" t="str">
        <x:v>моллюски</x:v>
      </x:c>
      <x:c r="D164" s="28" t="str">
        <x:v>Рыба и морепродукты</x:v>
      </x:c>
      <x:c r="E164" s="28" t="str">
        <x:v>пересечение ароматических семейств; умами и солёный контраст</x:v>
      </x:c>
      <x:c r="F164" s="28" t="str">
        <x:v>Грибы имеет профиль «землистый, лесной, жареный, мясной и слегка сернистый».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6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4" s="28" t="str">
        <x:v>горячее блюдо, бульон, соус, пюре, ферментация или гарнир с моллюски</x:v>
      </x:c>
      <x:c r="J164" s="28" t="str">
        <x:v>Средняя</x:v>
      </x:c>
      <x:c r="K164" s="28" t="str">
        <x:v>Тезариус вкусов (Ники Сегнит)(1).pdf</x:v>
      </x:c>
      <x:c r="L164" s="28" t="str">
        <x:v>Тезариус вкусов (Ники Сегнит)(1).pdf: 201, 369</x:v>
      </x:c>
    </x:row>
    <x:row r="165" ht="66" customHeight="1">
      <x:c r="A165" s="28" t="str">
        <x:v>VEG-0242</x:v>
      </x:c>
      <x:c r="B165" s="28" t="str">
        <x:v>грибы</x:v>
      </x:c>
      <x:c r="C165" s="28" t="str">
        <x:v>морковь</x:v>
      </x:c>
      <x:c r="D165" s="28" t="str">
        <x:v>Корнеплоды</x:v>
      </x:c>
      <x:c r="E165" s="28" t="str">
        <x:v>пересечение ароматических семейств</x:v>
      </x:c>
      <x:c r="F165" s="28" t="str">
        <x:v>Грибы имеет профиль «землистый, лесной, жареный, мясной и слегка сернистый».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16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5" s="28" t="str">
        <x:v>горячее блюдо, бульон, соус, пюре, ферментация или гарнир с морковь</x:v>
      </x:c>
      <x:c r="J165" s="28" t="str">
        <x:v>Средняя</x:v>
      </x:c>
      <x:c r="K165" s="28" t="str">
        <x:v>The Art &amp; Science of Foodpairing.pdf</x:v>
      </x:c>
      <x:c r="L165" s="28" t="str">
        <x:v>The Art &amp; Science of Foodpairing.pdf: 232</x:v>
      </x:c>
    </x:row>
    <x:row r="166" ht="66" customHeight="1">
      <x:c r="A166" s="28" t="str">
        <x:v>VEG-0243</x:v>
      </x:c>
      <x:c r="B166" s="28" t="str">
        <x:v>грибы</x:v>
      </x:c>
      <x:c r="C166" s="28" t="str">
        <x:v>мягкий сыр</x:v>
      </x:c>
      <x:c r="D166" s="28" t="str">
        <x:v>Молочные продукты и сыры</x:v>
      </x:c>
      <x:c r="E166" s="28" t="str">
        <x:v>пересечение ароматических семейств; жировая матрица</x:v>
      </x:c>
      <x:c r="F166" s="28" t="str">
        <x:v>Грибы имеет профиль «землистый, лесной, жареный, мясной и слегка сернистый».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6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66" s="28" t="str">
        <x:v>горячее блюдо, бульон, соус, пюре, ферментация или гарнир с мягкий сыр</x:v>
      </x:c>
      <x:c r="J166" s="28" t="str">
        <x:v>Средняя</x:v>
      </x:c>
      <x:c r="K166" s="28" t="str">
        <x:v>Тезариус вкусов (Ники Сегнит)(1).pdf</x:v>
      </x:c>
      <x:c r="L166" s="28" t="str">
        <x:v>Тезариус вкусов (Ники Сегнит)(1).pdf: 184, 202</x:v>
      </x:c>
    </x:row>
    <x:row r="167" ht="66" customHeight="1">
      <x:c r="A167" s="28" t="str">
        <x:v>VEG-0244</x:v>
      </x:c>
      <x:c r="B167" s="28" t="str">
        <x:v>грибы</x:v>
      </x:c>
      <x:c r="C167" s="28" t="str">
        <x:v>мясо</x:v>
      </x:c>
      <x:c r="D167" s="28" t="str">
        <x:v>Мясо и птица</x:v>
      </x:c>
      <x:c r="E167" s="28" t="str">
        <x:v>общие характерные молекулы; пересечение ароматических семейств; умами и солёный контраст</x:v>
      </x:c>
      <x:c r="F167" s="28" t="str">
        <x:v>Грибы имеет профиль «землистый, лесной, жареный, мясной и слегка сернистый».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6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7" s="28" t="str">
        <x:v>горячее блюдо, бульон, соус, пюре, ферментация или гарнир с мясо</x:v>
      </x:c>
      <x:c r="J167" s="28" t="str">
        <x:v>Средняя</x:v>
      </x:c>
      <x:c r="K167" s="28" t="str">
        <x:v>The Art &amp; Science of Foodpairing.pdf</x:v>
      </x:c>
      <x:c r="L167" s="28" t="str">
        <x:v>The Art &amp; Science of Foodpairing.pdf: 186</x:v>
      </x:c>
    </x:row>
    <x:row r="168" ht="66" customHeight="1">
      <x:c r="A168" s="28" t="str">
        <x:v>VEG-0245</x:v>
      </x:c>
      <x:c r="B168" s="28" t="str">
        <x:v>грибы</x:v>
      </x:c>
      <x:c r="C168" s="28" t="str">
        <x:v>мята</x:v>
      </x:c>
      <x:c r="D168" s="28" t="str">
        <x:v>Травы, цветы и листья</x:v>
      </x:c>
      <x:c r="E168" s="28" t="str">
        <x:v>сенсорная комплементарность</x:v>
      </x:c>
      <x:c r="F168" s="28" t="str">
        <x:v>Грибы имеет профиль «землистый, лесной, жареный, мясной и слегка сернистый».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6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68" s="28" t="str">
        <x:v>горячее блюдо, бульон, соус, пюре, ферментация или гарнир с мята</x:v>
      </x:c>
      <x:c r="J168" s="28" t="str">
        <x:v>Средняя</x:v>
      </x:c>
      <x:c r="K168" s="28" t="str">
        <x:v>Тезариус вкусов (Ники Сегнит)(1).pdf</x:v>
      </x:c>
      <x:c r="L168" s="28" t="str">
        <x:v>Тезариус вкусов (Ники Сегнит)(1).pdf: 202, 867</x:v>
      </x:c>
    </x:row>
    <x:row r="169" ht="66" customHeight="1">
      <x:c r="A169" s="28" t="str">
        <x:v>VEG-0246</x:v>
      </x:c>
      <x:c r="B169" s="28" t="str">
        <x:v>грибы</x:v>
      </x:c>
      <x:c r="C169" s="28" t="str">
        <x:v>оленина</x:v>
      </x:c>
      <x:c r="D169" s="28" t="str">
        <x:v>Прочее</x:v>
      </x:c>
      <x:c r="E169" s="28" t="str">
        <x:v>сенсорная комплементарность</x:v>
      </x:c>
      <x:c r="F169" s="28" t="str">
        <x:v>Грибы имеет профиль «землистый, лесной, жареный, мясной и слегка сернистый». Партнёр «оленина»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9" s="28" t="str">
        <x:v>горячее блюдо, бульон, соус, пюре, ферментация или гарнир с оленина</x:v>
      </x:c>
      <x:c r="J169" s="28" t="str">
        <x:v>Высокая</x:v>
      </x:c>
      <x:c r="K169" s="28" t="str">
        <x:v>The Art &amp; Science of Foodpairing.pdf</x:v>
      </x:c>
      <x:c r="L169" s="28" t="str">
        <x:v>The Art &amp; Science of Foodpairing.pdf: 189</x:v>
      </x:c>
    </x:row>
    <x:row r="170" ht="66" customHeight="1">
      <x:c r="A170" s="28" t="str">
        <x:v>VEG-0247</x:v>
      </x:c>
      <x:c r="B170" s="28" t="str">
        <x:v>грибы</x:v>
      </x:c>
      <x:c r="C170" s="28" t="str">
        <x:v>оливковое масло</x:v>
      </x:c>
      <x:c r="D170" s="28" t="str">
        <x:v>Масла и жиры</x:v>
      </x:c>
      <x:c r="E170" s="28" t="str">
        <x:v>жировая матрица</x:v>
      </x:c>
      <x:c r="F170" s="28" t="str">
        <x:v>Грибы имеет профиль «землистый, лесной, жареный, мясной и слегка сернистый».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7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70" s="28" t="str">
        <x:v>горячее блюдо, бульон, соус, пюре, ферментация или гарнир с оливковое масло</x:v>
      </x:c>
      <x:c r="J170" s="28" t="str">
        <x:v>Высокая</x:v>
      </x:c>
      <x:c r="K170" s="28" t="str">
        <x:v>The Art &amp; Science of Foodpairing.pdf</x:v>
      </x:c>
      <x:c r="L170" s="28" t="str">
        <x:v>The Art &amp; Science of Foodpairing.pdf: 172</x:v>
      </x:c>
    </x:row>
    <x:row r="171" ht="66" customHeight="1">
      <x:c r="A171" s="28" t="str">
        <x:v>VEG-0248</x:v>
      </x:c>
      <x:c r="B171" s="28" t="str">
        <x:v>грибы</x:v>
      </x:c>
      <x:c r="C171" s="28" t="str">
        <x:v>пармезан</x:v>
      </x:c>
      <x:c r="D171" s="28" t="str">
        <x:v>Прочее</x:v>
      </x:c>
      <x:c r="E171" s="28" t="str">
        <x:v>сенсорная комплементарность</x:v>
      </x:c>
      <x:c r="F171" s="28" t="str">
        <x:v>Грибы имеет профиль «землистый, лесной, жареный, мясной и слегка сернистый».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7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1" s="28" t="str">
        <x:v>горячее блюдо, бульон, соус, пюре, ферментация или гарнир с пармезан</x:v>
      </x:c>
      <x:c r="J171" s="28" t="str">
        <x:v>Средняя</x:v>
      </x:c>
      <x:c r="K171" s="28" t="str">
        <x:v>The Art &amp; Science of Foodpairing.pdf</x:v>
      </x:c>
      <x:c r="L171" s="28" t="str">
        <x:v>The Art &amp; Science of Foodpairing.pdf: 282</x:v>
      </x:c>
    </x:row>
    <x:row r="172" ht="66" customHeight="1">
      <x:c r="A172" s="28" t="str">
        <x:v>VEG-0249</x:v>
      </x:c>
      <x:c r="B172" s="28" t="str">
        <x:v>грибы</x:v>
      </x:c>
      <x:c r="C172" s="28" t="str">
        <x:v>петрушка</x:v>
      </x:c>
      <x:c r="D172" s="28" t="str">
        <x:v>Травы, цветы и листья</x:v>
      </x:c>
      <x:c r="E172" s="28" t="str">
        <x:v>сенсорная комплементарность</x:v>
      </x:c>
      <x:c r="F172" s="28" t="str">
        <x:v>Грибы имеет профиль «землистый, лесной, жареный, мясной и слегка сернистый».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7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72" s="28" t="str">
        <x:v>горячее блюдо, бульон, соус, пюре, ферментация или гарнир с петрушка</x:v>
      </x:c>
      <x:c r="J172" s="28" t="str">
        <x:v>Средняя</x:v>
      </x:c>
      <x:c r="K172" s="28" t="str">
        <x:v>Тезариус вкусов (Ники Сегнит)(1).pdf</x:v>
      </x:c>
      <x:c r="L172" s="28" t="str">
        <x:v>Тезариус вкусов (Ники Сегнит)(1).pdf: 202, 508</x:v>
      </x:c>
    </x:row>
    <x:row r="173" ht="66" customHeight="1">
      <x:c r="A173" s="28" t="str">
        <x:v>VEG-0250</x:v>
      </x:c>
      <x:c r="B173" s="28" t="str">
        <x:v>грибы</x:v>
      </x:c>
      <x:c r="C173" s="28" t="str">
        <x:v>розмарин</x:v>
      </x:c>
      <x:c r="D173" s="28" t="str">
        <x:v>Травы, цветы и листья</x:v>
      </x:c>
      <x:c r="E173" s="28" t="str">
        <x:v>сенсорная комплементарность</x:v>
      </x:c>
      <x:c r="F173" s="28" t="str">
        <x:v>Грибы имеет профиль «землистый, лесной, жареный, мясной и слегка сернистый».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7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73" s="28" t="str">
        <x:v>горячее блюдо, бульон, соус, пюре, ферментация или гарнир с розмарин</x:v>
      </x:c>
      <x:c r="J173" s="28" t="str">
        <x:v>Средняя</x:v>
      </x:c>
      <x:c r="K173" s="28" t="str">
        <x:v>Тезариус вкусов (Ники Сегнит)(1).pdf</x:v>
      </x:c>
      <x:c r="L173" s="28" t="str">
        <x:v>Тезариус вкусов (Ники Сегнит)(1).pdf: 202, 836</x:v>
      </x:c>
    </x:row>
    <x:row r="174" ht="66" customHeight="1">
      <x:c r="A174" s="28" t="str">
        <x:v>VEG-0251</x:v>
      </x:c>
      <x:c r="B174" s="28" t="str">
        <x:v>грибы</x:v>
      </x:c>
      <x:c r="C174" s="28" t="str">
        <x:v>рыба</x:v>
      </x:c>
      <x:c r="D174" s="28" t="str">
        <x:v>Рыба и морепродукты</x:v>
      </x:c>
      <x:c r="E174" s="28" t="str">
        <x:v>пересечение ароматических семейств; умами и солёный контраст</x:v>
      </x:c>
      <x:c r="F174" s="28" t="str">
        <x:v>Грибы имеет профиль «землистый, лесной, жареный, мясной и слегка сернистый». Партнёр «рыба»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7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4" s="28" t="str">
        <x:v>горячее блюдо, бульон, соус, пюре, ферментация или гарнир с рыба</x:v>
      </x:c>
      <x:c r="J174" s="28" t="str">
        <x:v>Средняя</x:v>
      </x:c>
      <x:c r="K174" s="28" t="str">
        <x:v>The Art &amp; Science of Foodpairing.pdf</x:v>
      </x:c>
      <x:c r="L174" s="28" t="str">
        <x:v>The Art &amp; Science of Foodpairing.pdf: 104</x:v>
      </x:c>
    </x:row>
    <x:row r="175" ht="66" customHeight="1">
      <x:c r="A175" s="28" t="str">
        <x:v>VEG-0252</x:v>
      </x:c>
      <x:c r="B175" s="28" t="str">
        <x:v>грибы</x:v>
      </x:c>
      <x:c r="C175" s="28" t="str">
        <x:v>свинина</x:v>
      </x:c>
      <x:c r="D175" s="28" t="str">
        <x:v>Мясо и птица</x:v>
      </x:c>
      <x:c r="E175" s="28" t="str">
        <x:v>общие характерные молекулы; пересечение ароматических семейств; умами и солёный контраст</x:v>
      </x:c>
      <x:c r="F175" s="28" t="str">
        <x:v>Грибы имеет профиль «землистый, лесной, жареный, мясной и слегка сернистый».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7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5" s="28" t="str">
        <x:v>горячее блюдо, бульон, соус, пюре, ферментация или гарнир с свинина</x:v>
      </x:c>
      <x:c r="J175" s="28" t="str">
        <x:v>Средняя</x:v>
      </x:c>
      <x:c r="K175" s="28" t="str">
        <x:v>Тезариус вкусов (Ники Сегнит)(1).pdf</x:v>
      </x:c>
      <x:c r="L175" s="28" t="str">
        <x:v>Тезариус вкусов (Ники Сегнит)(1).pdf: 83, 202</x:v>
      </x:c>
    </x:row>
    <x:row r="176" ht="66" customHeight="1">
      <x:c r="A176" s="28" t="str">
        <x:v>VEG-0253</x:v>
      </x:c>
      <x:c r="B176" s="28" t="str">
        <x:v>грибы</x:v>
      </x:c>
      <x:c r="C176" s="28" t="str">
        <x:v>свёкла</x:v>
      </x:c>
      <x:c r="D176" s="28" t="str">
        <x:v>Корнеплоды</x:v>
      </x:c>
      <x:c r="E176" s="28" t="str">
        <x:v>пересечение ароматических семейств</x:v>
      </x:c>
      <x:c r="F176" s="28" t="str">
        <x:v>Грибы имеет профиль «землистый, лесной, жареный, мясной и слегка сернистый». Партнёр «свёкла» относится к группе «Корнеплоды» и даёт землистый, сладкий, минеральный и слегка зелёный.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17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6" s="28" t="str">
        <x:v>горячее блюдо, бульон, соус, пюре, ферментация или гарнир с свёкла</x:v>
      </x:c>
      <x:c r="J176" s="28" t="str">
        <x:v>Средняя</x:v>
      </x:c>
      <x:c r="K176" s="28" t="str">
        <x:v>The Art &amp; Science of Foodpairing.pdf</x:v>
      </x:c>
      <x:c r="L176" s="28" t="str">
        <x:v>The Art &amp; Science of Foodpairing.pdf: 224</x:v>
      </x:c>
    </x:row>
    <x:row r="177" ht="66" customHeight="1">
      <x:c r="A177" s="28" t="str">
        <x:v>VEG-0254</x:v>
      </x:c>
      <x:c r="B177" s="28" t="str">
        <x:v>грибы</x:v>
      </x:c>
      <x:c r="C177" s="28" t="str">
        <x:v>сельдерей корневой</x:v>
      </x:c>
      <x:c r="D177" s="28" t="str">
        <x:v>Корнеплоды</x:v>
      </x:c>
      <x:c r="E177" s="28" t="str">
        <x:v>общие характерные молекулы; пересечение ароматических семейств</x:v>
      </x:c>
      <x:c r="F177" s="28" t="str">
        <x:v>Грибы имеет профиль «землистый, лесной, жареный, мясной и слегка сернистый». Партнёр «сельдерей корневой» относится к группе «Корнеплоды» и даёт землистый, ореховый, сельдерейно-пряный и слегка грибной. Вероятный молекулярный мост: метиональ. Совместимость формируется за счёт баланса сладости, кислотности, горечи, умами и текстуры.</x:v>
      </x:c>
      <x:c r="G17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7" s="28" t="str">
        <x:v>горячее блюдо, бульон, соус, пюре, ферментация или гарнир с сельдерей корневой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52</x:v>
      </x:c>
    </x:row>
    <x:row r="178" ht="66" customHeight="1">
      <x:c r="A178" s="28" t="str">
        <x:v>VEG-0255</x:v>
      </x:c>
      <x:c r="B178" s="28" t="str">
        <x:v>грибы</x:v>
      </x:c>
      <x:c r="C178" s="28" t="str">
        <x:v>спаржа</x:v>
      </x:c>
      <x:c r="D178" s="28" t="str">
        <x:v>Побеговые овощи</x:v>
      </x:c>
      <x:c r="E178" s="28" t="str">
        <x:v>общие характерные молекулы; пересечение ароматических семейств</x:v>
      </x:c>
      <x:c r="F178" s="28" t="str">
        <x:v>Грибы имеет профиль «землистый, лесной, жареный, мясной и слегка сернистый». Партнёр «спаржа» относится к группе «Побеговые овощи» и даёт зелёный, сернистый, ореховый и слегка сладкий. Вероятный молекулярный мост: пиразины. Совместимость формируется за счёт баланса сладости, кислотности, горечи, умами и текстуры.</x:v>
      </x:c>
      <x:c r="G17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8" s="28" t="str">
        <x:v>горячее блюдо, бульон, соус, пюре, ферментация или гарнир с спаржа</x:v>
      </x:c>
      <x:c r="J178" s="28" t="str">
        <x:v>Средняя</x:v>
      </x:c>
      <x:c r="K178" s="28" t="str">
        <x:v>Тезариус вкусов (Ники Сегнит)(1).pdf</x:v>
      </x:c>
      <x:c r="L178" s="28" t="str">
        <x:v>Тезариус вкусов (Ники Сегнит)(1).pdf: 203, 345</x:v>
      </x:c>
    </x:row>
    <x:row r="179" ht="66" customHeight="1">
      <x:c r="A179" s="28" t="str">
        <x:v>VEG-0256</x:v>
      </x:c>
      <x:c r="B179" s="28" t="str">
        <x:v>грибы</x:v>
      </x:c>
      <x:c r="C179" s="28" t="str">
        <x:v>твердый сыр</x:v>
      </x:c>
      <x:c r="D179" s="28" t="str">
        <x:v>Молочные продукты и сыры</x:v>
      </x:c>
      <x:c r="E179" s="28" t="str">
        <x:v>пересечение ароматических семейств; жировая матрица</x:v>
      </x:c>
      <x:c r="F179" s="28" t="str">
        <x:v>Грибы имеет профиль «землистый, лесной, жареный, мясной и слегка сернистый». Партнёр «твердый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7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79" s="28" t="str">
        <x:v>горячее блюдо, бульон, соус, пюре, ферментация или гарнир с твердый сыр</x:v>
      </x:c>
      <x:c r="J179" s="28" t="str">
        <x:v>Средняя</x:v>
      </x:c>
      <x:c r="K179" s="28" t="str">
        <x:v>Тезариус вкусов (Ники Сегнит)(1).pdf</x:v>
      </x:c>
      <x:c r="L179" s="28" t="str">
        <x:v>Тезариус вкусов (Ники Сегнит)(1).pdf: 170, 203</x:v>
      </x:c>
    </x:row>
    <x:row r="180" ht="66" customHeight="1">
      <x:c r="A180" s="28" t="str">
        <x:v>VEG-0257</x:v>
      </x:c>
      <x:c r="B180" s="28" t="str">
        <x:v>грибы</x:v>
      </x:c>
      <x:c r="C180" s="28" t="str">
        <x:v>тимьян</x:v>
      </x:c>
      <x:c r="D180" s="28" t="str">
        <x:v>Травы, цветы и листья</x:v>
      </x:c>
      <x:c r="E180" s="28" t="str">
        <x:v>сенсорная комплементарность</x:v>
      </x:c>
      <x:c r="F180" s="28" t="str">
        <x:v>Грибы имеет профиль «землистый, лесной, жареный, мясной и слегка сернистый».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8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80" s="28" t="str">
        <x:v>горячее блюдо, бульон, соус, пюре, ферментация или гарнир с тимьян</x:v>
      </x:c>
      <x:c r="J180" s="28" t="str">
        <x:v>Средняя</x:v>
      </x:c>
      <x:c r="K180" s="28" t="str">
        <x:v>Тезариус вкусов (Ники Сегнит)(1).pdf</x:v>
      </x:c>
      <x:c r="L180" s="28" t="str">
        <x:v>Тезариус вкусов (Ники Сегнит)(1).pdf: 204, 857</x:v>
      </x:c>
    </x:row>
    <x:row r="181" ht="66" customHeight="1">
      <x:c r="A181" s="28" t="str">
        <x:v>VEG-0258</x:v>
      </x:c>
      <x:c r="B181" s="28" t="str">
        <x:v>грибы</x:v>
      </x:c>
      <x:c r="C181" s="28" t="str">
        <x:v>томат</x:v>
      </x:c>
      <x:c r="D181" s="28" t="str">
        <x:v>Плодовые овощи</x:v>
      </x:c>
      <x:c r="E181" s="28" t="str">
        <x:v>общие характерные молекулы; пересечение ароматических семейств</x:v>
      </x:c>
      <x:c r="F181" s="28" t="str">
        <x:v>Грибы имеет профиль «землистый, лесной, жареный, мясной и слегка сернистый». Партнёр «томат» относится к группе «Плодовые овощи» и даёт зелёный, фруктовый, листовой, сернистый и умами. Вероятный молекулярный мост: глутамат, метиональ. Совместимость формируется за счёт баланса сладости, кислотности, горечи, умами и текстуры.</x:v>
      </x:c>
      <x:c r="G18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1" s="28" t="str">
        <x:v>горячее блюдо, бульон, соус, пюре, ферментация или гарнир с томат</x:v>
      </x:c>
      <x:c r="J181" s="28" t="str">
        <x:v>Средняя</x:v>
      </x:c>
      <x:c r="K181" s="28" t="str">
        <x:v>Тезариус вкусов (Ники Сегнит)(1).pdf</x:v>
      </x:c>
      <x:c r="L181" s="28" t="str">
        <x:v>Тезариус вкусов (Ники Сегнит)(1).pdf: 204, 685</x:v>
      </x:c>
    </x:row>
    <x:row r="182" ht="66" customHeight="1">
      <x:c r="A182" s="28" t="str">
        <x:v>VEG-0259</x:v>
      </x:c>
      <x:c r="B182" s="28" t="str">
        <x:v>грибы</x:v>
      </x:c>
      <x:c r="C182" s="28" t="str">
        <x:v>трюфель</x:v>
      </x:c>
      <x:c r="D182" s="28" t="str">
        <x:v>Грибы</x:v>
      </x:c>
      <x:c r="E182" s="28" t="str">
        <x:v>общие характерные молекулы; пересечение ароматических семейств; умами и солёный контраст</x:v>
      </x:c>
      <x:c r="F182" s="28" t="str">
        <x:v>Грибы имеет профиль «землистый, лесной, жареный, мясной и слегка сернистый». Партнёр «трюфель» относится к группе «Грибы» и даёт землистый, грибной и умами. Вероятный молекулярный мост: 1-октен-3-ол. Умами, соль и нуклеотиды усиливают savoury-профиль, а жарка формирует общую систему пиразинов, фуранов и сернистых молекул.</x:v>
      </x:c>
      <x:c r="G18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2" s="28" t="str">
        <x:v>горячее блюдо, бульон, соус, пюре, ферментация или гарнир с трюфель</x:v>
      </x:c>
      <x:c r="J182" s="28" t="str">
        <x:v>Средняя</x:v>
      </x:c>
      <x:c r="K182" s="28" t="str">
        <x:v>Тезариус вкусов (Ники Сегнит)(1).pdf</x:v>
      </x:c>
      <x:c r="L182" s="28" t="str">
        <x:v>Тезариус вкусов (Ники Сегнит)(1).pdf: 205, 302</x:v>
      </x:c>
    </x:row>
    <x:row r="183" ht="66" customHeight="1">
      <x:c r="A183" s="28" t="str">
        <x:v>VEG-0260</x:v>
      </x:c>
      <x:c r="B183" s="28" t="str">
        <x:v>грибы</x:v>
      </x:c>
      <x:c r="C183" s="28" t="str">
        <x:v>тыква баттернат</x:v>
      </x:c>
      <x:c r="D183" s="28" t="str">
        <x:v>Тыквенные</x:v>
      </x:c>
      <x:c r="E183" s="28" t="str">
        <x:v>сенсорная комплементарность</x:v>
      </x:c>
      <x:c r="F183" s="28" t="str">
        <x:v>Грибы имеет профиль «землистый, лесной, жареный, мясной и слегка сернистый».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3" s="28" t="str">
        <x:v>горячее блюдо, бульон, соус, пюре, ферментация или гарнир с тыква баттернат</x:v>
      </x:c>
      <x:c r="J183" s="28" t="str">
        <x:v>Средняя</x:v>
      </x:c>
      <x:c r="K183" s="28" t="str">
        <x:v>Тезариус вкусов (Ники Сегнит)(1).pdf</x:v>
      </x:c>
      <x:c r="L183" s="28" t="str">
        <x:v>Тезариус вкусов (Ники Сегнит)(1).pdf: 205, 610</x:v>
      </x:c>
    </x:row>
    <x:row r="184" ht="66" customHeight="1">
      <x:c r="A184" s="28" t="str">
        <x:v>VEG-0261</x:v>
      </x:c>
      <x:c r="B184" s="28" t="str">
        <x:v>грибы</x:v>
      </x:c>
      <x:c r="C184" s="28" t="str">
        <x:v>укроп</x:v>
      </x:c>
      <x:c r="D184" s="28" t="str">
        <x:v>Травы, цветы и листья</x:v>
      </x:c>
      <x:c r="E184" s="28" t="str">
        <x:v>сенсорная комплементарность</x:v>
      </x:c>
      <x:c r="F184" s="28" t="str">
        <x:v>Грибы имеет профиль «землистый, лесной, жареный, мясной и слегка сернистый». Партнёр «укроп» относится к группе «Травы, цветы и листья» и даёт анисовый, зелёный.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8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84" s="28" t="str">
        <x:v>горячее блюдо, бульон, соус, пюре, ферментация или гарнир с укроп</x:v>
      </x:c>
      <x:c r="J184" s="28" t="str">
        <x:v>Средняя</x:v>
      </x:c>
      <x:c r="K184" s="28" t="str">
        <x:v>Тезариус вкусов (Ники Сегнит)(1).pdf</x:v>
      </x:c>
      <x:c r="L184" s="28" t="str">
        <x:v>Тезариус вкусов (Ники Сегнит)(1).pdf: 206, 502</x:v>
      </x:c>
    </x:row>
    <x:row r="185" ht="66" customHeight="1">
      <x:c r="A185" s="28" t="str">
        <x:v>VEG-0262</x:v>
      </x:c>
      <x:c r="B185" s="28" t="str">
        <x:v>грибы</x:v>
      </x:c>
      <x:c r="C185" s="28" t="str">
        <x:v>устрицы</x:v>
      </x:c>
      <x:c r="D185" s="28" t="str">
        <x:v>Рыба и морепродукты</x:v>
      </x:c>
      <x:c r="E185" s="28" t="str">
        <x:v>пересечение ароматических семейств; умами и солёный контраст</x:v>
      </x:c>
      <x:c r="F185" s="28" t="str">
        <x:v>Грибы имеет профиль «землистый, лесной, жареный, мясной и слегка сернистый». Партнёр «устрицы»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8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5" s="28" t="str">
        <x:v>горячее блюдо, бульон, соус, пюре, ферментация или гарнир с устрицы</x:v>
      </x:c>
      <x:c r="J185" s="28" t="str">
        <x:v>Средняя</x:v>
      </x:c>
      <x:c r="K185" s="28" t="str">
        <x:v>Тезариус вкусов (Ники Сегнит)(1).pdf</x:v>
      </x:c>
      <x:c r="L185" s="28" t="str">
        <x:v>Тезариус вкусов (Ники Сегнит)(1).pdf: 206, 397</x:v>
      </x:c>
    </x:row>
    <x:row r="186" ht="66" customHeight="1">
      <x:c r="A186" s="28" t="str">
        <x:v>VEG-0263</x:v>
      </x:c>
      <x:c r="B186" s="28" t="str">
        <x:v>грибы</x:v>
      </x:c>
      <x:c r="C186" s="28" t="str">
        <x:v>хамон иберико</x:v>
      </x:c>
      <x:c r="D186" s="28" t="str">
        <x:v>Мясо и птица</x:v>
      </x:c>
      <x:c r="E186" s="28" t="str">
        <x:v>общие характерные молекулы; пересечение ароматических семейств; умами и солёный контраст</x:v>
      </x:c>
      <x:c r="F186" s="28" t="str">
        <x:v>Грибы имеет профиль «землистый, лесной, жареный, мясной и слегка сернистый». Партнёр «хамон иберико»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8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6" s="28" t="str">
        <x:v>горячее блюдо, бульон, соус, пюре, ферментация или гарнир с хамон иберико</x:v>
      </x:c>
      <x:c r="J186" s="28" t="str">
        <x:v>Средняя</x:v>
      </x:c>
      <x:c r="K186" s="28" t="str">
        <x:v>The Art &amp; Science of Foodpairing.pdf</x:v>
      </x:c>
      <x:c r="L186" s="28" t="str">
        <x:v>The Art &amp; Science of Foodpairing.pdf: 278</x:v>
      </x:c>
    </x:row>
    <x:row r="187" ht="66" customHeight="1">
      <x:c r="A187" s="28" t="str">
        <x:v>VEG-0264</x:v>
      </x:c>
      <x:c r="B187" s="28" t="str">
        <x:v>грибы</x:v>
      </x:c>
      <x:c r="C187" s="28" t="str">
        <x:v>цыпленок</x:v>
      </x:c>
      <x:c r="D187" s="28" t="str">
        <x:v>Прочее</x:v>
      </x:c>
      <x:c r="E187" s="28" t="str">
        <x:v>сенсорная комплементарность</x:v>
      </x:c>
      <x:c r="F187" s="28" t="str">
        <x:v>Грибы имеет профиль «землистый, лесной, жареный, мясной и слегка сернистый».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7" s="28" t="str">
        <x:v>горячее блюдо, бульон, соус, пюре, ферментация или гарнир с цыпленок</x:v>
      </x:c>
      <x:c r="J187" s="28" t="str">
        <x:v>Средняя</x:v>
      </x:c>
      <x:c r="K187" s="28" t="str">
        <x:v>Тезариус вкусов (Ники Сегнит)(1).pdf</x:v>
      </x:c>
      <x:c r="L187" s="28" t="str">
        <x:v>Тезариус вкусов (Ники Сегнит)(1).pdf: 65, 206</x:v>
      </x:c>
    </x:row>
    <x:row r="188" ht="66" customHeight="1">
      <x:c r="A188" s="28" t="str">
        <x:v>VEG-0265</x:v>
      </x:c>
      <x:c r="B188" s="28" t="str">
        <x:v>грибы</x:v>
      </x:c>
      <x:c r="C188" s="28" t="str">
        <x:v>черника</x:v>
      </x:c>
      <x:c r="D188" s="28" t="str">
        <x:v>Прочее</x:v>
      </x:c>
      <x:c r="E188" s="28" t="str">
        <x:v>сенсорная комплементарность</x:v>
      </x:c>
      <x:c r="F188" s="28" t="str">
        <x:v>Грибы имеет профиль «землистый, лесной, жареный, мясной и слегка сернистый». Партнёр «черника»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8" s="28" t="str">
        <x:v>горячее блюдо, бульон, соус, пюре, ферментация или гарнир с черника</x:v>
      </x:c>
      <x:c r="J188" s="28" t="str">
        <x:v>Средняя</x:v>
      </x:c>
      <x:c r="K188" s="28" t="str">
        <x:v>Тезариус вкусов (Ники Сегнит)(1).pdf</x:v>
      </x:c>
      <x:c r="L188" s="28" t="str">
        <x:v>Тезариус вкусов (Ники Сегнит)(1).pdf: 206, 904</x:v>
      </x:c>
    </x:row>
    <x:row r="189" ht="66" customHeight="1">
      <x:c r="A189" s="28" t="str">
        <x:v>VEG-0266</x:v>
      </x:c>
      <x:c r="B189" s="28" t="str">
        <x:v>грибы</x:v>
      </x:c>
      <x:c r="C189" s="28" t="str">
        <x:v>чеснок</x:v>
      </x:c>
      <x:c r="D189" s="28" t="str">
        <x:v>Луковые овощи</x:v>
      </x:c>
      <x:c r="E189" s="28" t="str">
        <x:v>пересечение ароматических семейств</x:v>
      </x:c>
      <x:c r="F189" s="28" t="str">
        <x:v>Грибы имеет профиль «землистый, лесной, жареный, мясной и слегка сернистый».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сернистый, умами. Совместимость формируется за счёт баланса сладости, кислотности, горечи, умами и текстуры.</x:v>
      </x:c>
      <x:c r="G18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9" s="28" t="str">
        <x:v>горячее блюдо, бульон, соус, пюре, ферментация или гарнир с чеснок</x:v>
      </x:c>
      <x:c r="J189" s="28" t="str">
        <x:v>Высокая</x:v>
      </x:c>
      <x:c r="K189" s="28" t="str">
        <x:v>The Art &amp; Science of Foodpairing.pdf | Тезариус вкусов (Ники Сегнит)(1).pdf</x:v>
      </x:c>
      <x:c r="L189" s="28" t="str">
        <x:v>Тезариус вкусов (Ники Сегнит)(1).pdf: 206, 293; The Art &amp; Science of Foodpairing.pdf: 113</x:v>
      </x:c>
    </x:row>
    <x:row r="190" ht="66" customHeight="1">
      <x:c r="A190" s="28" t="str">
        <x:v>VEG-0267</x:v>
      </x:c>
      <x:c r="B190" s="28" t="str">
        <x:v>грибы</x:v>
      </x:c>
      <x:c r="C190" s="28" t="str">
        <x:v>чоризо</x:v>
      </x:c>
      <x:c r="D190" s="28" t="str">
        <x:v>Прочее</x:v>
      </x:c>
      <x:c r="E190" s="28" t="str">
        <x:v>сенсорная комплементарность</x:v>
      </x:c>
      <x:c r="F190" s="28" t="str">
        <x:v>Грибы имеет профиль «землистый, лесной, жареный, мясной и слегка сернистый».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9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90" s="28" t="str">
        <x:v>горячее блюдо, бульон, соус, пюре, ферментация или гарнир с чоризо</x:v>
      </x:c>
      <x:c r="J190" s="28" t="str">
        <x:v>Средняя</x:v>
      </x:c>
      <x:c r="K190" s="28" t="str">
        <x:v>The Art &amp; Science of Foodpairing.pdf</x:v>
      </x:c>
      <x:c r="L190" s="28" t="str">
        <x:v>The Art &amp; Science of Foodpairing.pdf: 288</x:v>
      </x:c>
    </x:row>
    <x:row r="191" ht="66" customHeight="1">
      <x:c r="A191" s="28" t="str">
        <x:v>VEG-0268</x:v>
      </x:c>
      <x:c r="B191" s="28" t="str">
        <x:v>грибы</x:v>
      </x:c>
      <x:c r="C191" s="28" t="str">
        <x:v>яйца</x:v>
      </x:c>
      <x:c r="D191" s="28" t="str">
        <x:v>Прочее</x:v>
      </x:c>
      <x:c r="E191" s="28" t="str">
        <x:v>сенсорная комплементарность</x:v>
      </x:c>
      <x:c r="F191" s="28" t="str">
        <x:v>Грибы имеет профиль «землистый, лесной, жареный, мясной и слегка сернистый».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9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91" s="28" t="str">
        <x:v>горячее блюдо, бульон, соус, пюре, ферментация или гарнир с яйца</x:v>
      </x:c>
      <x:c r="J191" s="28" t="str">
        <x:v>Средняя</x:v>
      </x:c>
      <x:c r="K191" s="28" t="str">
        <x:v>Тезариус вкусов (Ники Сегнит)(1).pdf</x:v>
      </x:c>
      <x:c r="L191" s="28" t="str">
        <x:v>Тезариус вкусов (Ники Сегнит)(1).pdf: 207, 352</x:v>
      </x:c>
    </x:row>
    <x:row r="192" ht="66" customHeight="1">
      <x:c r="A192" s="28" t="str">
        <x:v>VEG-0269</x:v>
      </x:c>
      <x:c r="B192" s="28" t="str">
        <x:v>зелёная фасоль</x:v>
      </x:c>
      <x:c r="C192" s="28" t="str">
        <x:v>базилик</x:v>
      </x:c>
      <x:c r="D192" s="28" t="str">
        <x:v>Травы, цветы и листья</x:v>
      </x:c>
      <x:c r="E192" s="28" t="str">
        <x:v>пересечение ароматических семейств</x:v>
      </x:c>
      <x:c r="F192" s="28" t="str">
        <x:v>Зелёная фасоль имеет профиль «зелёный, травянистый, бобовый и слегка ореховый».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92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2" s="28" t="str">
        <x:v>недоготовленная груба, переваренная водяниста; использовать пищевые сорта после достаточной тепловой обработки; длительный нагрев уносит свежие терпены и зелёные альдегиды</x:v>
      </x:c>
      <x:c r="I192" s="28" t="str">
        <x:v>салат, гарнир, суп, соус, маринад, ферментация или напиток с базилик</x:v>
      </x:c>
      <x:c r="J192" s="28" t="str">
        <x:v>Средняя</x:v>
      </x:c>
      <x:c r="K192" s="28" t="str">
        <x:v>The Art &amp; Science of Foodpairing.pdf</x:v>
      </x:c>
      <x:c r="L192" s="28" t="str">
        <x:v>The Art &amp; Science of Foodpairing.pdf: 74</x:v>
      </x:c>
    </x:row>
    <x:row r="193" ht="66" customHeight="1">
      <x:c r="A193" s="28" t="str">
        <x:v>VEG-0270</x:v>
      </x:c>
      <x:c r="B193" s="28" t="str">
        <x:v>зелёная фасоль</x:v>
      </x:c>
      <x:c r="C193" s="28" t="str">
        <x:v>бальзамический уксус</x:v>
      </x:c>
      <x:c r="D193" s="28" t="str">
        <x:v>Ферментированные продукты и соусы</x:v>
      </x:c>
      <x:c r="E193" s="28" t="str">
        <x:v>умами и солёный контраст</x:v>
      </x:c>
      <x:c r="F193" s="28" t="str">
        <x:v>Зелёная фасоль имеет профиль «зелёный, травянистый, бобовый и слегка ореховый».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93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3" s="28" t="str">
        <x:v>недоготовленная груба, переваренная водяниста; использовать пищевые сорта после достаточной тепловой обработки</x:v>
      </x:c>
      <x:c r="I193" s="28" t="str">
        <x:v>салат, гарнир, суп, соус, маринад, ферментация или напиток с бальзамический уксус</x:v>
      </x:c>
      <x:c r="J193" s="28" t="str">
        <x:v>Высокая</x:v>
      </x:c>
      <x:c r="K193" s="28" t="str">
        <x:v>The Art &amp; Science of Foodpairing.pdf</x:v>
      </x:c>
      <x:c r="L193" s="28" t="str">
        <x:v>The Art &amp; Science of Foodpairing.pdf: 317</x:v>
      </x:c>
    </x:row>
    <x:row r="194" ht="66" customHeight="1">
      <x:c r="A194" s="28" t="str">
        <x:v>VEG-0271</x:v>
      </x:c>
      <x:c r="B194" s="28" t="str">
        <x:v>зелёная фасоль</x:v>
      </x:c>
      <x:c r="C194" s="28" t="str">
        <x:v>дыня</x:v>
      </x:c>
      <x:c r="D194" s="28" t="str">
        <x:v>Фрукты и ягоды</x:v>
      </x:c>
      <x:c r="E194" s="28" t="str">
        <x:v>кислотно-сладкий баланс</x:v>
      </x:c>
      <x:c r="F194" s="28" t="str">
        <x:v>Зелёная фасоль имеет профиль «зелёный, травянистый, бобовый и слегка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4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4" s="28" t="str">
        <x:v>недоготовленная груба, переваренная водяниста; использовать пищевые сорта после достаточной тепловой обработки; избыток кислоты или воды может сделать овощной вкус тонким и разрушить сливочную эмульсию</x:v>
      </x:c>
      <x:c r="I194" s="28" t="str">
        <x:v>салат, гарнир, суп, соус, маринад, ферментация или напиток с дыня</x:v>
      </x:c>
      <x:c r="J194" s="28" t="str">
        <x:v>Средняя</x:v>
      </x:c>
      <x:c r="K194" s="28" t="str">
        <x:v>The Art &amp; Science of Foodpairing.pdf</x:v>
      </x:c>
      <x:c r="L194" s="28" t="str">
        <x:v>The Art &amp; Science of Foodpairing.pdf: 320</x:v>
      </x:c>
    </x:row>
    <x:row r="195" ht="66" customHeight="1">
      <x:c r="A195" s="28" t="str">
        <x:v>VEG-0272</x:v>
      </x:c>
      <x:c r="B195" s="28" t="str">
        <x:v>зелёная фасоль</x:v>
      </x:c>
      <x:c r="C195" s="28" t="str">
        <x:v>мацутакэ</x:v>
      </x:c>
      <x:c r="D195" s="28" t="str">
        <x:v>Прочее</x:v>
      </x:c>
      <x:c r="E195" s="28" t="str">
        <x:v>сенсорная комплементарность</x:v>
      </x:c>
      <x:c r="F195" s="28" t="str">
        <x:v>Зелёная фасоль имеет профиль «зелёный, травянистый, бобовый и слегка ореховый». Партнёр «мацутакэ»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5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5" s="28" t="str">
        <x:v>недоготовленная груба, переваренная водяниста; использовать пищевые сорта после достаточной тепловой обработки</x:v>
      </x:c>
      <x:c r="I195" s="28" t="str">
        <x:v>салат, гарнир, суп, соус, маринад, ферментация или напиток с мацутакэ</x:v>
      </x:c>
      <x:c r="J195" s="28" t="str">
        <x:v>Средняя</x:v>
      </x:c>
      <x:c r="K195" s="28" t="str">
        <x:v>The Art &amp; Science of Foodpairing.pdf</x:v>
      </x:c>
      <x:c r="L195" s="28" t="str">
        <x:v>The Art &amp; Science of Foodpairing.pdf: 320</x:v>
      </x:c>
    </x:row>
    <x:row r="196" ht="66" customHeight="1">
      <x:c r="A196" s="28" t="str">
        <x:v>VEG-0273</x:v>
      </x:c>
      <x:c r="B196" s="28" t="str">
        <x:v>зелёная фасоль</x:v>
      </x:c>
      <x:c r="C196" s="28" t="str">
        <x:v>оливковое масло</x:v>
      </x:c>
      <x:c r="D196" s="28" t="str">
        <x:v>Масла и жиры</x:v>
      </x:c>
      <x:c r="E196" s="28" t="str">
        <x:v>жировая матрица</x:v>
      </x:c>
      <x:c r="F196" s="28" t="str">
        <x:v>Зелёная фасоль имеет профиль «зелёный, травянистый, бобовый и слегка ореховый».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96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6" s="28" t="str">
        <x:v>недоготовленная груба, переваренная водяниста; использовать пищевые сорта после достаточной тепловой обработки; жир способен приглушить свежую зелёную ароматику</x:v>
      </x:c>
      <x:c r="I196" s="28" t="str">
        <x:v>салат, гарнир, суп, соус, маринад, ферментация или напиток с оливковое масло</x:v>
      </x:c>
      <x:c r="J196" s="28" t="str">
        <x:v>Средняя</x:v>
      </x:c>
      <x:c r="K196" s="28" t="str">
        <x:v>The Art &amp; Science of Foodpairing.pdf</x:v>
      </x:c>
      <x:c r="L196" s="28" t="str">
        <x:v>The Art &amp; Science of Foodpairing.pdf: 320</x:v>
      </x:c>
    </x:row>
    <x:row r="197" ht="66" customHeight="1">
      <x:c r="A197" s="28" t="str">
        <x:v>VEG-0274</x:v>
      </x:c>
      <x:c r="B197" s="28" t="str">
        <x:v>зелёная фасоль</x:v>
      </x:c>
      <x:c r="C197" s="28" t="str">
        <x:v>оливковое масло пикваль</x:v>
      </x:c>
      <x:c r="D197" s="28" t="str">
        <x:v>Масла и жиры</x:v>
      </x:c>
      <x:c r="E197" s="28" t="str">
        <x:v>жировая матрица</x:v>
      </x:c>
      <x:c r="F197" s="28" t="str">
        <x:v>Зелёная фасоль имеет профиль «зелёный, травянистый, бобовый и слегка ореховый».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97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7" s="28" t="str">
        <x:v>недоготовленная груба, переваренная водяниста; использовать пищевые сорта после достаточной тепловой обработки; жир способен приглушить свежую зелёную ароматику</x:v>
      </x:c>
      <x:c r="I197" s="28" t="str">
        <x:v>салат, гарнир, суп, соус, маринад, ферментация или напиток с оливковое масло пикваль</x:v>
      </x:c>
      <x:c r="J197" s="28" t="str">
        <x:v>Средняя</x:v>
      </x:c>
      <x:c r="K197" s="28" t="str">
        <x:v>The Art &amp; Science of Foodpairing.pdf</x:v>
      </x:c>
      <x:c r="L197" s="28" t="str">
        <x:v>The Art &amp; Science of Foodpairing.pdf: 320</x:v>
      </x:c>
    </x:row>
    <x:row r="198" ht="66" customHeight="1">
      <x:c r="A198" s="28" t="str">
        <x:v>VEG-0275</x:v>
      </x:c>
      <x:c r="B198" s="28" t="str">
        <x:v>зелёная фасоль</x:v>
      </x:c>
      <x:c r="C198" s="28" t="str">
        <x:v>пармезан</x:v>
      </x:c>
      <x:c r="D198" s="28" t="str">
        <x:v>Прочее</x:v>
      </x:c>
      <x:c r="E198" s="28" t="str">
        <x:v>сенсорная комплементарность</x:v>
      </x:c>
      <x:c r="F198" s="28" t="str">
        <x:v>Зелёная фасоль имеет профиль «зелёный, травянистый, бобовый и слегка ореховый».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8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8" s="28" t="str">
        <x:v>недоготовленная груба, переваренная водяниста; использовать пищевые сорта после достаточной тепловой обработки</x:v>
      </x:c>
      <x:c r="I198" s="28" t="str">
        <x:v>салат, гарнир, суп, соус, маринад, ферментация или напиток с пармезан</x:v>
      </x:c>
      <x:c r="J198" s="28" t="str">
        <x:v>Средняя</x:v>
      </x:c>
      <x:c r="K198" s="28" t="str">
        <x:v>The Art &amp; Science of Foodpairing.pdf</x:v>
      </x:c>
      <x:c r="L198" s="28" t="str">
        <x:v>The Art &amp; Science of Foodpairing.pdf: 282</x:v>
      </x:c>
    </x:row>
    <x:row r="199" ht="66" customHeight="1">
      <x:c r="A199" s="28" t="str">
        <x:v>VEG-0276</x:v>
      </x:c>
      <x:c r="B199" s="28" t="str">
        <x:v>зелёная фасоль</x:v>
      </x:c>
      <x:c r="C199" s="28" t="str">
        <x:v>фундук</x:v>
      </x:c>
      <x:c r="D199" s="28" t="str">
        <x:v>Орехи и семена</x:v>
      </x:c>
      <x:c r="E199" s="28" t="str">
        <x:v>пересечение ароматических семейств</x:v>
      </x:c>
      <x:c r="F199" s="28" t="str">
        <x:v>Зелёная фасоль имеет профиль «зелёный, травянистый, бобовый и слегка ореховый».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G199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9" s="28" t="str">
        <x:v>недоготовленная груба, переваренная водяниста; использовать пищевые сорта после достаточной тепловой обработки</x:v>
      </x:c>
      <x:c r="I199" s="28" t="str">
        <x:v>салат, гарнир, суп, соус, маринад, ферментация или напиток с фундук</x:v>
      </x:c>
      <x:c r="J199" s="28" t="str">
        <x:v>Средняя</x:v>
      </x:c>
      <x:c r="K199" s="28" t="str">
        <x:v>The Art &amp; Science of Foodpairing.pdf</x:v>
      </x:c>
      <x:c r="L199" s="28" t="str">
        <x:v>The Art &amp; Science of Foodpairing.pdf: 332</x:v>
      </x:c>
    </x:row>
    <x:row r="200" ht="66" customHeight="1">
      <x:c r="A200" s="28" t="str">
        <x:v>VEG-0277</x:v>
      </x:c>
      <x:c r="B200" s="28" t="str">
        <x:v>зелёная фасоль</x:v>
      </x:c>
      <x:c r="C200" s="28" t="str">
        <x:v>хлеб на закваске</x:v>
      </x:c>
      <x:c r="D200" s="28" t="str">
        <x:v>Выпечка, крупы, сахара и десерты</x:v>
      </x:c>
      <x:c r="E200" s="28" t="str">
        <x:v>сенсорная комплементарность</x:v>
      </x:c>
      <x:c r="F200" s="28" t="str">
        <x:v>Зелёная фасоль имеет профиль «зелёный, травянистый, бобовый и слегка ореховый». Партнёр «хлеб на закваске»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0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00" s="28" t="str">
        <x:v>недоготовленная груба, переваренная водяниста; использовать пищевые сорта после достаточной тепловой обработки</x:v>
      </x:c>
      <x:c r="I200" s="28" t="str">
        <x:v>салат, гарнир, суп, соус, маринад, ферментация или напиток с хлеб на закваске</x:v>
      </x:c>
      <x:c r="J200" s="28" t="str">
        <x:v>Высокая</x:v>
      </x:c>
      <x:c r="K200" s="28" t="str">
        <x:v>The Art &amp; Science of Foodpairing.pdf</x:v>
      </x:c>
      <x:c r="L200" s="28" t="str">
        <x:v>The Art &amp; Science of Foodpairing.pdf: 321</x:v>
      </x:c>
    </x:row>
    <x:row r="201" ht="66" customHeight="1">
      <x:c r="A201" s="28" t="str">
        <x:v>VEG-0282</x:v>
      </x:c>
      <x:c r="B201" s="28" t="str">
        <x:v>капуста</x:v>
      </x:c>
      <x:c r="C201" s="28" t="str">
        <x:v>арбуз</x:v>
      </x:c>
      <x:c r="D201" s="28" t="str">
        <x:v>Прочее</x:v>
      </x:c>
      <x:c r="E201" s="28" t="str">
        <x:v>сернистая или горчичная комплементарность</x:v>
      </x:c>
      <x:c r="F201" s="28" t="str">
        <x:v>Капуста имеет профиль «зелёный, горчичный, сернистый и сладковатый после приготовления».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1" s="28" t="str">
        <x:v>не переваривать; красная капуста меняет цвет с pH; сернистые ноты могут конфликтовать с тонкими цветами</x:v>
      </x:c>
      <x:c r="I201" s="28" t="str">
        <x:v>горячее блюдо, бульон, соус, пюре, ферментация или гарнир с арбуз</x:v>
      </x:c>
      <x:c r="J201" s="28" t="str">
        <x:v>Средняя</x:v>
      </x:c>
      <x:c r="K201" s="28" t="str">
        <x:v>The Art &amp; Science of Foodpairing.pdf</x:v>
      </x:c>
      <x:c r="L201" s="28" t="str">
        <x:v>The Art &amp; Science of Foodpairing.pdf: 78</x:v>
      </x:c>
    </x:row>
    <x:row r="202" ht="66" customHeight="1">
      <x:c r="A202" s="28" t="str">
        <x:v>VEG-0283</x:v>
      </x:c>
      <x:c r="B202" s="28" t="str">
        <x:v>капуста</x:v>
      </x:c>
      <x:c r="C202" s="28" t="str">
        <x:v>баранина</x:v>
      </x:c>
      <x:c r="D202" s="28" t="str">
        <x:v>Мясо и птица</x:v>
      </x:c>
      <x:c r="E202" s="28" t="str">
        <x:v>умами и солёный контраст; сернистая или горчичная комплементарность</x:v>
      </x:c>
      <x:c r="F202" s="28" t="str">
        <x:v>Капуста имеет профиль «зелёный, горчичный, сернистый и сладковатый после приготовления».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2" s="28" t="str">
        <x:v>не переваривать; красная капуста меняет цвет с pH; сернистые ноты могут конфликтовать с тонкими цветами</x:v>
      </x:c>
      <x:c r="I202" s="28" t="str">
        <x:v>горячее блюдо, бульон, соус, пюре, ферментация или гарнир с баранина</x:v>
      </x:c>
      <x:c r="J202" s="28" t="str">
        <x:v>Средняя</x:v>
      </x:c>
      <x:c r="K202" s="28" t="str">
        <x:v>Тезариус вкусов (Ники Сегнит)(1).pdf</x:v>
      </x:c>
      <x:c r="L202" s="28" t="str">
        <x:v>Тезариус вкусов (Ники Сегнит)(1).pdf: 129, 309</x:v>
      </x:c>
    </x:row>
    <x:row r="203" ht="66" customHeight="1">
      <x:c r="A203" s="28" t="str">
        <x:v>VEG-0284</x:v>
      </x:c>
      <x:c r="B203" s="28" t="str">
        <x:v>капуста</x:v>
      </x:c>
      <x:c r="C203" s="28" t="str">
        <x:v>бекон</x:v>
      </x:c>
      <x:c r="D203" s="28" t="str">
        <x:v>Мясо и птица</x:v>
      </x:c>
      <x:c r="E203" s="28" t="str">
        <x:v>умами и солёный контраст; сернистая или горчичная комплементарность</x:v>
      </x:c>
      <x:c r="F203" s="28" t="str">
        <x:v>Капуста имеет профиль «зелёный, горчичный, сернистый и сладковатый после приготовления».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3" s="28" t="str">
        <x:v>не переваривать; красная капуста меняет цвет с pH; сернистые ноты могут конфликтовать с тонкими цветами</x:v>
      </x:c>
      <x:c r="I203" s="28" t="str">
        <x:v>горячее блюдо, бульон, соус, пюре, ферментация или гарнир с бекон</x:v>
      </x:c>
      <x:c r="J203" s="28" t="str">
        <x:v>Средняя</x:v>
      </x:c>
      <x:c r="K203" s="28" t="str">
        <x:v>Тезариус вкусов (Ники Сегнит)(1).pdf</x:v>
      </x:c>
      <x:c r="L203" s="28" t="str">
        <x:v>Тезариус вкусов (Ники Сегнит)(1).pdf: 309, 445</x:v>
      </x:c>
    </x:row>
    <x:row r="204" ht="66" customHeight="1">
      <x:c r="A204" s="28" t="str">
        <x:v>VEG-0285</x:v>
      </x:c>
      <x:c r="B204" s="28" t="str">
        <x:v>капуста</x:v>
      </x:c>
      <x:c r="C204" s="28" t="str">
        <x:v>бри и камамбер</x:v>
      </x:c>
      <x:c r="D204" s="28" t="str">
        <x:v>Прочее</x:v>
      </x:c>
      <x:c r="E204" s="28" t="str">
        <x:v>сернистая или горчичная комплементарность</x:v>
      </x:c>
      <x:c r="F204" s="28" t="str">
        <x:v>Капуста имеет профиль «зелёный, горчичный, сернистый и сладковатый после приготовления». Партнёр «бри и камамбер»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4" s="28" t="str">
        <x:v>не переваривать; красная капуста меняет цвет с pH; сернистые ноты могут конфликтовать с тонкими цветами</x:v>
      </x:c>
      <x:c r="I204" s="28" t="str">
        <x:v>горячее блюдо, бульон, соус, пюре, ферментация или гарнир с бри и камамбер</x:v>
      </x:c>
      <x:c r="J204" s="28" t="str">
        <x:v>Средняя</x:v>
      </x:c>
      <x:c r="K204" s="28" t="str">
        <x:v>The Art &amp; Science of Foodpairing.pdf</x:v>
      </x:c>
      <x:c r="L204" s="28" t="str">
        <x:v>The Art &amp; Science of Foodpairing.pdf: 336</x:v>
      </x:c>
    </x:row>
    <x:row r="205" ht="66" customHeight="1">
      <x:c r="A205" s="28" t="str">
        <x:v>VEG-0286</x:v>
      </x:c>
      <x:c r="B205" s="28" t="str">
        <x:v>капуста</x:v>
      </x:c>
      <x:c r="C205" s="28" t="str">
        <x:v>говядина</x:v>
      </x:c>
      <x:c r="D205" s="28" t="str">
        <x:v>Мясо и птица</x:v>
      </x:c>
      <x:c r="E205" s="28" t="str">
        <x:v>умами и солёный контраст; сернистая или горчичная комплементарность</x:v>
      </x:c>
      <x:c r="F205" s="28" t="str">
        <x:v>Капуста имеет профиль «зелёный, горчичный, сернистый и сладковатый после приготовления».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5" s="28" t="str">
        <x:v>не переваривать; красная капуста меняет цвет с pH; сернистые ноты могут конфликтовать с тонкими цветами</x:v>
      </x:c>
      <x:c r="I205" s="28" t="str">
        <x:v>горячее блюдо, бульон, соус, пюре, ферментация или гарнир с говядина</x:v>
      </x:c>
      <x:c r="J205" s="28" t="str">
        <x:v>Средняя</x:v>
      </x:c>
      <x:c r="K205" s="28" t="str">
        <x:v>Тезариус вкусов (Ники Сегнит)(1).pdf</x:v>
      </x:c>
      <x:c r="L205" s="28" t="str">
        <x:v>Тезариус вкусов (Ники Сегнит)(1).pdf: 111, 311</x:v>
      </x:c>
    </x:row>
    <x:row r="206" ht="66" customHeight="1">
      <x:c r="A206" s="28" t="str">
        <x:v>VEG-0287</x:v>
      </x:c>
      <x:c r="B206" s="28" t="str">
        <x:v>капуста</x:v>
      </x:c>
      <x:c r="C206" s="28" t="str">
        <x:v>голубой сыр</x:v>
      </x:c>
      <x:c r="D206" s="28" t="str">
        <x:v>Молочные продукты и сыры</x:v>
      </x:c>
      <x:c r="E206" s="28" t="str">
        <x:v>жировая матрица; сернистая или горчичная комплементарность</x:v>
      </x:c>
      <x:c r="F206" s="28" t="str">
        <x:v>Капуста имеет профиль «зелёный, горчичный, сернистый и сладковатый после приготовления».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6" s="28" t="str">
        <x:v>не переваривать; красная капуста меняет цвет с pH; сернистые ноты могут конфликтовать с тонкими цветами; жир способен приглушить свежую зелёную ароматику</x:v>
      </x:c>
      <x:c r="I206" s="28" t="str">
        <x:v>горячее блюдо, бульон, соус, пюре, ферментация или гарнир с голубой сыр</x:v>
      </x:c>
      <x:c r="J206" s="28" t="str">
        <x:v>Высокая</x:v>
      </x:c>
      <x:c r="K206" s="28" t="str">
        <x:v>The Art &amp; Science of Foodpairing.pdf | Тезариус вкусов (Ники Сегнит)(1).pdf</x:v>
      </x:c>
      <x:c r="L206" s="28" t="str">
        <x:v>Тезариус вкусов (Ники Сегнит)(1).pdf: 159, 311; The Art &amp; Science of Foodpairing.pdf: 164</x:v>
      </x:c>
    </x:row>
    <x:row r="207" ht="66" customHeight="1">
      <x:c r="A207" s="28" t="str">
        <x:v>VEG-0288</x:v>
      </x:c>
      <x:c r="B207" s="28" t="str">
        <x:v>капуста</x:v>
      </x:c>
      <x:c r="C207" s="28" t="str">
        <x:v>доенджан и кочуджан</x:v>
      </x:c>
      <x:c r="D207" s="28" t="str">
        <x:v>Прочее</x:v>
      </x:c>
      <x:c r="E207" s="28" t="str">
        <x:v>сернистая или горчичная комплементарность</x:v>
      </x:c>
      <x:c r="F207" s="28" t="str">
        <x:v>Капуста имеет профиль «зелёный, горчичный, сернистый и сладковатый после приготовления». Партнёр «доенджан и кочуджан»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7" s="28" t="str">
        <x:v>не переваривать; красная капуста меняет цвет с pH; сернистые ноты могут конфликтовать с тонкими цветами</x:v>
      </x:c>
      <x:c r="I207" s="28" t="str">
        <x:v>горячее блюдо, бульон, соус, пюре, ферментация или гарнир с доенджан и кочуджан</x:v>
      </x:c>
      <x:c r="J207" s="28" t="str">
        <x:v>Средняя</x:v>
      </x:c>
      <x:c r="K207" s="28" t="str">
        <x:v>The Art &amp; Science of Foodpairing.pdf</x:v>
      </x:c>
      <x:c r="L207" s="28" t="str">
        <x:v>The Art &amp; Science of Foodpairing.pdf: 246</x:v>
      </x:c>
    </x:row>
    <x:row r="208" ht="66" customHeight="1">
      <x:c r="A208" s="28" t="str">
        <x:v>VEG-0289</x:v>
      </x:c>
      <x:c r="B208" s="28" t="str">
        <x:v>капуста</x:v>
      </x:c>
      <x:c r="C208" s="28" t="str">
        <x:v>имбирь</x:v>
      </x:c>
      <x:c r="D208" s="28" t="str">
        <x:v>Специи</x:v>
      </x:c>
      <x:c r="E208" s="28" t="str">
        <x:v>сернистая или горчичная комплементарность</x:v>
      </x:c>
      <x:c r="F208" s="28" t="str">
        <x:v>Капуста имеет профиль «зелёный, горчичный, сернистый и сладковатый после приготовления».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8" s="28" t="str">
        <x:v>не переваривать; красная капуста меняет цвет с pH; сернистые ноты могут конфликтовать с тонкими цветами</x:v>
      </x:c>
      <x:c r="I208" s="28" t="str">
        <x:v>горячее блюдо, бульон, соус, пюре, ферментация или гарнир с имбирь</x:v>
      </x:c>
      <x:c r="J208" s="28" t="str">
        <x:v>Высокая</x:v>
      </x:c>
      <x:c r="K208" s="28" t="str">
        <x:v>The Art &amp; Science of Foodpairing.pdf | Тезариус вкусов (Ники Сегнит)(1).pdf</x:v>
      </x:c>
      <x:c r="L208" s="28" t="str">
        <x:v>Тезариус вкусов (Ники Сегнит)(1).pdf: 311, 815; The Art &amp; Science of Foodpairing.pdf: 142</x:v>
      </x:c>
    </x:row>
    <x:row r="209" ht="66" customHeight="1">
      <x:c r="A209" s="28" t="str">
        <x:v>VEG-0290</x:v>
      </x:c>
      <x:c r="B209" s="28" t="str">
        <x:v>капуста</x:v>
      </x:c>
      <x:c r="C209" s="28" t="str">
        <x:v>каштаны</x:v>
      </x:c>
      <x:c r="D209" s="28" t="str">
        <x:v>Орехи и семена</x:v>
      </x:c>
      <x:c r="E209" s="28" t="str">
        <x:v>сернистая или горчичная комплементарность</x:v>
      </x:c>
      <x:c r="F209" s="28" t="str">
        <x:v>Капуста имеет профиль «зелёный, горчичный, сернистый и сладковатый после приготовления». Партнёр «каштаны»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9" s="28" t="str">
        <x:v>не переваривать; красная капуста меняет цвет с pH; сернистые ноты могут конфликтовать с тонкими цветами</x:v>
      </x:c>
      <x:c r="I209" s="28" t="str">
        <x:v>горячее блюдо, бульон, соус, пюре, ферментация или гарнир с каштаны</x:v>
      </x:c>
      <x:c r="J209" s="28" t="str">
        <x:v>Средняя</x:v>
      </x:c>
      <x:c r="K209" s="28" t="str">
        <x:v>Тезариус вкусов (Ники Сегнит)(1).pdf</x:v>
      </x:c>
      <x:c r="L209" s="28" t="str">
        <x:v>Тезариус вкусов (Ники Сегнит)(1).pdf: 311, 617</x:v>
      </x:c>
    </x:row>
    <x:row r="210" ht="66" customHeight="1">
      <x:c r="A210" s="28" t="str">
        <x:v>VEG-0291</x:v>
      </x:c>
      <x:c r="B210" s="28" t="str">
        <x:v>капуста</x:v>
      </x:c>
      <x:c r="C210" s="28" t="str">
        <x:v>кимчи</x:v>
      </x:c>
      <x:c r="D210" s="28" t="str">
        <x:v>Ферментированные продукты и соусы</x:v>
      </x:c>
      <x:c r="E210" s="28" t="str">
        <x:v>умами и солёный контраст; сернистая или горчичная комплементарность</x:v>
      </x:c>
      <x:c r="F210" s="28" t="str">
        <x:v>Капуста имеет профиль «зелёный, горчичный, сернистый и сладковатый после приготовления».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0" s="28" t="str">
        <x:v>не переваривать; красная капуста меняет цвет с pH; сернистые ноты могут конфликтовать с тонкими цветами</x:v>
      </x:c>
      <x:c r="I210" s="28" t="str">
        <x:v>горячее блюдо, бульон, соус, пюре, ферментация или гарнир с кимчи</x:v>
      </x:c>
      <x:c r="J210" s="28" t="str">
        <x:v>Средняя</x:v>
      </x:c>
      <x:c r="K210" s="28" t="str">
        <x:v>The Art &amp; Science of Foodpairing.pdf</x:v>
      </x:c>
      <x:c r="L210" s="28" t="str">
        <x:v>The Art &amp; Science of Foodpairing.pdf: 305</x:v>
      </x:c>
    </x:row>
    <x:row r="211" ht="66" customHeight="1">
      <x:c r="A211" s="28" t="str">
        <x:v>VEG-0292</x:v>
      </x:c>
      <x:c r="B211" s="28" t="str">
        <x:v>капуста</x:v>
      </x:c>
      <x:c r="C211" s="28" t="str">
        <x:v>копченая рыба</x:v>
      </x:c>
      <x:c r="D211" s="28" t="str">
        <x:v>Рыба и морепродукты</x:v>
      </x:c>
      <x:c r="E211" s="28" t="str">
        <x:v>умами и солёный контраст; сернистая или горчичная комплементарность</x:v>
      </x:c>
      <x:c r="F211" s="28" t="str">
        <x:v>Капуста имеет профиль «зелёный, горчичный, сернистый и сладковатый после приготовления».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1" s="28" t="str">
        <x:v>не переваривать; красная капуста меняет цвет с pH; сернистые ноты могут конфликтовать с тонкими цветами</x:v>
      </x:c>
      <x:c r="I211" s="28" t="str">
        <x:v>горячее блюдо, бульон, соус, пюре, ферментация или гарнир с копченая рыба</x:v>
      </x:c>
      <x:c r="J211" s="28" t="str">
        <x:v>Средняя</x:v>
      </x:c>
      <x:c r="K211" s="28" t="str">
        <x:v>Тезариус вкусов (Ники Сегнит)(1).pdf</x:v>
      </x:c>
      <x:c r="L211" s="28" t="str">
        <x:v>Тезариус вкусов (Ники Сегнит)(1).pdf: 311, 435</x:v>
      </x:c>
    </x:row>
    <x:row r="212" ht="66" customHeight="1">
      <x:c r="A212" s="28" t="str">
        <x:v>VEG-0293</x:v>
      </x:c>
      <x:c r="B212" s="28" t="str">
        <x:v>капуста</x:v>
      </x:c>
      <x:c r="C212" s="28" t="str">
        <x:v>корица и кассия</x:v>
      </x:c>
      <x:c r="D212" s="28" t="str">
        <x:v>Специи</x:v>
      </x:c>
      <x:c r="E212" s="28" t="str">
        <x:v>сернистая или горчичная комплементарность</x:v>
      </x:c>
      <x:c r="F212" s="28" t="str">
        <x:v>Капуста имеет профиль «зелёный, горчичный, сернистый и сладковатый после приготовления». Партнёр «корица и кассия»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2" s="28" t="str">
        <x:v>не переваривать; красная капуста меняет цвет с pH; сернистые ноты могут конфликтовать с тонкими цветами</x:v>
      </x:c>
      <x:c r="I212" s="28" t="str">
        <x:v>горячее блюдо, бульон, соус, пюре, ферментация или гарнир с корица и кассия</x:v>
      </x:c>
      <x:c r="J212" s="28" t="str">
        <x:v>Средняя</x:v>
      </x:c>
      <x:c r="K212" s="28" t="str">
        <x:v>The Art &amp; Science of Foodpairing.pdf</x:v>
      </x:c>
      <x:c r="L212" s="28" t="str">
        <x:v>The Art &amp; Science of Foodpairing.pdf: 130</x:v>
      </x:c>
    </x:row>
    <x:row r="213" ht="66" customHeight="1">
      <x:c r="A213" s="28" t="str">
        <x:v>VEG-0294</x:v>
      </x:c>
      <x:c r="B213" s="28" t="str">
        <x:v>капуста</x:v>
      </x:c>
      <x:c r="C213" s="28" t="str">
        <x:v>кунжут</x:v>
      </x:c>
      <x:c r="D213" s="28" t="str">
        <x:v>Орехи и семена</x:v>
      </x:c>
      <x:c r="E213" s="28" t="str">
        <x:v>сернистая или горчичная комплементарность</x:v>
      </x:c>
      <x:c r="F213" s="28" t="str">
        <x:v>Капуста имеет профиль «зелёный, горчичный, сернистый и сладковатый после приготовления». Партнёр «кунжут»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3" s="28" t="str">
        <x:v>не переваривать; красная капуста меняет цвет с pH; сернистые ноты могут конфликтовать с тонкими цветами</x:v>
      </x:c>
      <x:c r="I213" s="28" t="str">
        <x:v>горячее блюдо, бульон, соус, пюре, ферментация или гарнир с кунжут</x:v>
      </x:c>
      <x:c r="J213" s="28" t="str">
        <x:v>Высокая</x:v>
      </x:c>
      <x:c r="K213" s="28" t="str">
        <x:v>The Art &amp; Science of Foodpairing.pdf</x:v>
      </x:c>
      <x:c r="L213" s="28" t="str">
        <x:v>The Art &amp; Science of Foodpairing.pdf: 308</x:v>
      </x:c>
    </x:row>
    <x:row r="214" ht="66" customHeight="1">
      <x:c r="A214" s="28" t="str">
        <x:v>VEG-0295</x:v>
      </x:c>
      <x:c r="B214" s="28" t="str">
        <x:v>капуста</x:v>
      </x:c>
      <x:c r="C214" s="28" t="str">
        <x:v>кунжут, халва и тахини</x:v>
      </x:c>
      <x:c r="D214" s="28" t="str">
        <x:v>Орехи и семена</x:v>
      </x:c>
      <x:c r="E214" s="28" t="str">
        <x:v>сернистая или горчичная комплементарность</x:v>
      </x:c>
      <x:c r="F214" s="28" t="str">
        <x:v>Капуста имеет профиль «зелёный, горчичный, сернистый и сладковатый после приготовления».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4" s="28" t="str">
        <x:v>не переваривать; красная капуста меняет цвет с pH; сернистые ноты могут конфликтовать с тонкими цветами</x:v>
      </x:c>
      <x:c r="I214" s="28" t="str">
        <x:v>горячее блюдо, бульон, соус, пюре, ферментация или гарнир с кунжут, халва и тахини</x:v>
      </x:c>
      <x:c r="J214" s="28" t="str">
        <x:v>Средняя</x:v>
      </x:c>
      <x:c r="K214" s="28" t="str">
        <x:v>The Art &amp; Science of Foodpairing.pdf</x:v>
      </x:c>
      <x:c r="L214" s="28" t="str">
        <x:v>The Art &amp; Science of Foodpairing.pdf: 308</x:v>
      </x:c>
    </x:row>
    <x:row r="215" ht="66" customHeight="1">
      <x:c r="A215" s="28" t="str">
        <x:v>VEG-0296</x:v>
      </x:c>
      <x:c r="B215" s="28" t="str">
        <x:v>капуста</x:v>
      </x:c>
      <x:c r="C215" s="28" t="str">
        <x:v>можжевельник</x:v>
      </x:c>
      <x:c r="D215" s="28" t="str">
        <x:v>Прочее</x:v>
      </x:c>
      <x:c r="E215" s="28" t="str">
        <x:v>сернистая или горчичная комплементарность</x:v>
      </x:c>
      <x:c r="F215" s="28" t="str">
        <x:v>Капуста имеет профиль «зелёный, горчичный, сернистый и сладковатый после приготовления». Партнёр «можжевельник»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5" s="28" t="str">
        <x:v>не переваривать; красная капуста меняет цвет с pH; сернистые ноты могут конфликтовать с тонкими цветами</x:v>
      </x:c>
      <x:c r="I215" s="28" t="str">
        <x:v>горячее блюдо, бульон, соус, пюре, ферментация или гарнир с можжевельник</x:v>
      </x:c>
      <x:c r="J215" s="28" t="str">
        <x:v>Средняя</x:v>
      </x:c>
      <x:c r="K215" s="28" t="str">
        <x:v>Тезариус вкусов (Ники Сегнит)(1).pdf</x:v>
      </x:c>
      <x:c r="L215" s="28" t="str">
        <x:v>Тезариус вкусов (Ники Сегнит)(1).pdf: 312, 850</x:v>
      </x:c>
    </x:row>
    <x:row r="216" ht="66" customHeight="1">
      <x:c r="A216" s="28" t="str">
        <x:v>VEG-0297</x:v>
      </x:c>
      <x:c r="B216" s="28" t="str">
        <x:v>капуста</x:v>
      </x:c>
      <x:c r="C216" s="28" t="str">
        <x:v>моллюски</x:v>
      </x:c>
      <x:c r="D216" s="28" t="str">
        <x:v>Рыба и морепродукты</x:v>
      </x:c>
      <x:c r="E216" s="28" t="str">
        <x:v>умами и солёный контраст; сернистая или горчичная комплементарность</x:v>
      </x:c>
      <x:c r="F216" s="28" t="str">
        <x:v>Капуста имеет профиль «зелёный, горчичный, сернистый и сладковатый после приготовления».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6" s="28" t="str">
        <x:v>не переваривать; красная капуста меняет цвет с pH; сернистые ноты могут конфликтовать с тонкими цветами</x:v>
      </x:c>
      <x:c r="I216" s="28" t="str">
        <x:v>горячее блюдо, бульон, соус, пюре, ферментация или гарнир с моллюски</x:v>
      </x:c>
      <x:c r="J216" s="28" t="str">
        <x:v>Средняя</x:v>
      </x:c>
      <x:c r="K216" s="28" t="str">
        <x:v>Тезариус вкусов (Ники Сегнит)(1).pdf</x:v>
      </x:c>
      <x:c r="L216" s="28" t="str">
        <x:v>Тезариус вкусов (Ники Сегнит)(1).pdf: 312, 370</x:v>
      </x:c>
    </x:row>
    <x:row r="217" ht="66" customHeight="1">
      <x:c r="A217" s="28" t="str">
        <x:v>VEG-0298</x:v>
      </x:c>
      <x:c r="B217" s="28" t="str">
        <x:v>капуста</x:v>
      </x:c>
      <x:c r="C217" s="28" t="str">
        <x:v>морковь</x:v>
      </x:c>
      <x:c r="D217" s="28" t="str">
        <x:v>Корнеплоды</x:v>
      </x:c>
      <x:c r="E217" s="28" t="str">
        <x:v>сернистая или горчичная комплементарность</x:v>
      </x:c>
      <x:c r="F217" s="28" t="str">
        <x:v>Капуста имеет профиль «зелёный, горчичный, сернистый и сладковатый после приготовления». Партнёр «морковь» относится к группе «Корнеплоды» и даёт сладкий, землистый, древесный и слегка цитрусовый.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7" s="28" t="str">
        <x:v>не переваривать; красная капуста меняет цвет с pH; сернистые ноты могут конфликтовать с тонкими цветами</x:v>
      </x:c>
      <x:c r="I217" s="28" t="str">
        <x:v>горячее блюдо, бульон, соус, пюре, ферментация или гарнир с морковь</x:v>
      </x:c>
      <x:c r="J217" s="28" t="str">
        <x:v>Средняя</x:v>
      </x:c>
      <x:c r="K217" s="28" t="str">
        <x:v>Тезариус вкусов (Ники Сегнит)(1).pdf</x:v>
      </x:c>
      <x:c r="L217" s="28" t="str">
        <x:v>Тезариус вкусов (Ники Сегнит)(1).pdf: 313, 603</x:v>
      </x:c>
    </x:row>
    <x:row r="218" ht="66" customHeight="1">
      <x:c r="A218" s="28" t="str">
        <x:v>VEG-0299</x:v>
      </x:c>
      <x:c r="B218" s="28" t="str">
        <x:v>капуста</x:v>
      </x:c>
      <x:c r="C218" s="28" t="str">
        <x:v>мускатный орех</x:v>
      </x:c>
      <x:c r="D218" s="28" t="str">
        <x:v>Рыба и морепродукты</x:v>
      </x:c>
      <x:c r="E218" s="28" t="str">
        <x:v>умами и солёный контраст; сернистая или горчичная комплементарность</x:v>
      </x:c>
      <x:c r="F218" s="28" t="str">
        <x:v>Капуста имеет профиль «зелёный, горчичный, сернистый и сладковатый после приготовления».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8" s="28" t="str">
        <x:v>не переваривать; красная капуста меняет цвет с pH; сернистые ноты могут конфликтовать с тонкими цветами</x:v>
      </x:c>
      <x:c r="I218" s="28" t="str">
        <x:v>горячее блюдо, бульон, соус, пюре, ферментация или гарнир с мускатный орех</x:v>
      </x:c>
      <x:c r="J218" s="28" t="str">
        <x:v>Средняя</x:v>
      </x:c>
      <x:c r="K218" s="28" t="str">
        <x:v>Тезариус вкусов (Ники Сегнит)(1).pdf</x:v>
      </x:c>
      <x:c r="L218" s="28" t="str">
        <x:v>Тезариус вкусов (Ники Сегнит)(1).pdf: 313, 588</x:v>
      </x:c>
    </x:row>
    <x:row r="219" ht="66" customHeight="1">
      <x:c r="A219" s="28" t="str">
        <x:v>VEG-0300</x:v>
      </x:c>
      <x:c r="B219" s="28" t="str">
        <x:v>капуста</x:v>
      </x:c>
      <x:c r="C219" s="28" t="str">
        <x:v>свинина</x:v>
      </x:c>
      <x:c r="D219" s="28" t="str">
        <x:v>Мясо и птица</x:v>
      </x:c>
      <x:c r="E219" s="28" t="str">
        <x:v>умами и солёный контраст; сернистая или горчичная комплементарность</x:v>
      </x:c>
      <x:c r="F219" s="28" t="str">
        <x:v>Капуста имеет профиль «зелёный, горчичный, сернистый и сладковатый после приготовления».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9" s="28" t="str">
        <x:v>не переваривать; красная капуста меняет цвет с pH; сернистые ноты могут конфликтовать с тонкими цветами</x:v>
      </x:c>
      <x:c r="I219" s="28" t="str">
        <x:v>горячее блюдо, бульон, соус, пюре, ферментация или гарнир с свинина</x:v>
      </x:c>
      <x:c r="J219" s="28" t="str">
        <x:v>Средняя</x:v>
      </x:c>
      <x:c r="K219" s="28" t="str">
        <x:v>Тезариус вкусов (Ники Сегнит)(1).pdf</x:v>
      </x:c>
      <x:c r="L219" s="28" t="str">
        <x:v>Тезариус вкусов (Ники Сегнит)(1).pdf: 84, 313</x:v>
      </x:c>
    </x:row>
    <x:row r="220" ht="66" customHeight="1">
      <x:c r="A220" s="28" t="str">
        <x:v>VEG-0301</x:v>
      </x:c>
      <x:c r="B220" s="28" t="str">
        <x:v>капуста</x:v>
      </x:c>
      <x:c r="C220" s="28" t="str">
        <x:v>соевый соус</x:v>
      </x:c>
      <x:c r="D220" s="28" t="str">
        <x:v>Ферментированные продукты и соусы</x:v>
      </x:c>
      <x:c r="E220" s="28" t="str">
        <x:v>умами и солёный контраст; сернистая или горчичная комплементарность</x:v>
      </x:c>
      <x:c r="F220" s="28" t="str">
        <x:v>Капуста имеет профиль «зелёный, горчичный, сернистый и сладковатый после приготовления». Партнёр «соевый соус» относится к группе «Ферментированные продукты и соусы» и даёт жареный,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0" s="28" t="str">
        <x:v>не переваривать; красная капуста меняет цвет с pH; сернистые ноты могут конфликтовать с тонкими цветами</x:v>
      </x:c>
      <x:c r="I220" s="28" t="str">
        <x:v>горячее блюдо, бульон, соус, пюре, ферментация или гарнир с соевый соус</x:v>
      </x:c>
      <x:c r="J220" s="28" t="str">
        <x:v>Высокая</x:v>
      </x:c>
      <x:c r="K220" s="28" t="str">
        <x:v>The Art &amp; Science of Foodpairing.pdf</x:v>
      </x:c>
      <x:c r="L220" s="28" t="str">
        <x:v>The Art &amp; Science of Foodpairing.pdf: 301</x:v>
      </x:c>
    </x:row>
    <x:row r="221" ht="66" customHeight="1">
      <x:c r="A221" s="28" t="str">
        <x:v>VEG-0302</x:v>
      </x:c>
      <x:c r="B221" s="28" t="str">
        <x:v>капуста</x:v>
      </x:c>
      <x:c r="C221" s="28" t="str">
        <x:v>томат</x:v>
      </x:c>
      <x:c r="D221" s="28" t="str">
        <x:v>Плодовые овощи</x:v>
      </x:c>
      <x:c r="E221" s="28" t="str">
        <x:v>пересечение ароматических семейств; сернистая или горчичная комплементарность</x:v>
      </x:c>
      <x:c r="F221" s="28" t="str">
        <x:v>Капуста имеет профиль «зелёный, горчичный, сернистый и сладковатый после приготовления».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1" s="28" t="str">
        <x:v>не переваривать; красная капуста меняет цвет с pH; сернистые ноты могут конфликтовать с тонкими цветами</x:v>
      </x:c>
      <x:c r="I221" s="28" t="str">
        <x:v>горячее блюдо, бульон, соус, пюре, ферментация или гарнир с томат</x:v>
      </x:c>
      <x:c r="J221" s="28" t="str">
        <x:v>Средняя</x:v>
      </x:c>
      <x:c r="K221" s="28" t="str">
        <x:v>The Art &amp; Science of Foodpairing.pdf</x:v>
      </x:c>
      <x:c r="L221" s="28" t="str">
        <x:v>The Art &amp; Science of Foodpairing.pdf: 161</x:v>
      </x:c>
    </x:row>
    <x:row r="222" ht="66" customHeight="1">
      <x:c r="A222" s="28" t="str">
        <x:v>VEG-0303</x:v>
      </x:c>
      <x:c r="B222" s="28" t="str">
        <x:v>капуста</x:v>
      </x:c>
      <x:c r="C222" s="28" t="str">
        <x:v>трюфель</x:v>
      </x:c>
      <x:c r="D222" s="28" t="str">
        <x:v>Грибы</x:v>
      </x:c>
      <x:c r="E222" s="28" t="str">
        <x:v>умами и солёный контраст; сернистая или горчичная комплементарность</x:v>
      </x:c>
      <x:c r="F222" s="28" t="str">
        <x:v>Капуста имеет профиль «зелёный, горчичный, сернистый и сладковатый после приготовления».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2" s="28" t="str">
        <x:v>не переваривать; красная капуста меняет цвет с pH; сернистые ноты могут конфликтовать с тонкими цветами</x:v>
      </x:c>
      <x:c r="I222" s="28" t="str">
        <x:v>горячее блюдо, бульон, соус, пюре, ферментация или гарнир с трюфель</x:v>
      </x:c>
      <x:c r="J222" s="28" t="str">
        <x:v>Средняя</x:v>
      </x:c>
      <x:c r="K222" s="28" t="str">
        <x:v>Тезариус вкусов (Ники Сегнит)(1).pdf</x:v>
      </x:c>
      <x:c r="L222" s="28" t="str">
        <x:v>Тезариус вкусов (Ники Сегнит)(1).pdf: 302, 315</x:v>
      </x:c>
    </x:row>
    <x:row r="223" ht="66" customHeight="1">
      <x:c r="A223" s="28" t="str">
        <x:v>VEG-0304</x:v>
      </x:c>
      <x:c r="B223" s="28" t="str">
        <x:v>капуста</x:v>
      </x:c>
      <x:c r="C223" s="28" t="str">
        <x:v>фундук</x:v>
      </x:c>
      <x:c r="D223" s="28" t="str">
        <x:v>Орехи и семена</x:v>
      </x:c>
      <x:c r="E223" s="28" t="str">
        <x:v>сернистая или горчичная комплементарность</x:v>
      </x:c>
      <x:c r="F223" s="28" t="str">
        <x:v>Капуста имеет профиль «зелёный, горчичный, сернистый и сладковатый после приготовления».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3" s="28" t="str">
        <x:v>не переваривать; красная капуста меняет цвет с pH; сернистые ноты могут конфликтовать с тонкими цветами</x:v>
      </x:c>
      <x:c r="I223" s="28" t="str">
        <x:v>горячее блюдо, бульон, соус, пюре, ферментация или гарнир с фундук</x:v>
      </x:c>
      <x:c r="J223" s="28" t="str">
        <x:v>Средняя</x:v>
      </x:c>
      <x:c r="K223" s="28" t="str">
        <x:v>The Art &amp; Science of Foodpairing.pdf</x:v>
      </x:c>
      <x:c r="L223" s="28" t="str">
        <x:v>The Art &amp; Science of Foodpairing.pdf: 332</x:v>
      </x:c>
    </x:row>
    <x:row r="224" ht="66" customHeight="1">
      <x:c r="A224" s="28" t="str">
        <x:v>VEG-0305</x:v>
      </x:c>
      <x:c r="B224" s="28" t="str">
        <x:v>капуста</x:v>
      </x:c>
      <x:c r="C224" s="28" t="str">
        <x:v>цыпленок</x:v>
      </x:c>
      <x:c r="D224" s="28" t="str">
        <x:v>Прочее</x:v>
      </x:c>
      <x:c r="E224" s="28" t="str">
        <x:v>сернистая или горчичная комплементарность</x:v>
      </x:c>
      <x:c r="F224" s="28" t="str">
        <x:v>Капуста имеет профиль «зелёный, горчичный, сернистый и сладковатый после приготовления».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4" s="28" t="str">
        <x:v>не переваривать; красная капуста меняет цвет с pH; сернистые ноты могут конфликтовать с тонкими цветами</x:v>
      </x:c>
      <x:c r="I224" s="28" t="str">
        <x:v>горячее блюдо, бульон, соус, пюре, ферментация или гарнир с цыпленок</x:v>
      </x:c>
      <x:c r="J224" s="28" t="str">
        <x:v>Средняя</x:v>
      </x:c>
      <x:c r="K224" s="28" t="str">
        <x:v>Тезариус вкусов (Ники Сегнит)(1).pdf</x:v>
      </x:c>
      <x:c r="L224" s="28" t="str">
        <x:v>Тезариус вкусов (Ники Сегнит)(1).pdf: 67, 315</x:v>
      </x:c>
    </x:row>
    <x:row r="225" ht="66" customHeight="1">
      <x:c r="A225" s="28" t="str">
        <x:v>VEG-0306</x:v>
      </x:c>
      <x:c r="B225" s="28" t="str">
        <x:v>капуста</x:v>
      </x:c>
      <x:c r="C225" s="28" t="str">
        <x:v>чили</x:v>
      </x:c>
      <x:c r="D225" s="28" t="str">
        <x:v>Специи</x:v>
      </x:c>
      <x:c r="E225" s="28" t="str">
        <x:v>сернистая или горчичная комплементарность</x:v>
      </x:c>
      <x:c r="F225" s="28" t="str">
        <x:v>Капуста имеет профиль «зелёный, горчичный, сернистый и сладковатый после приготовления».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5" s="28" t="str">
        <x:v>не переваривать; красная капуста меняет цвет с pH; сернистые ноты могут конфликтовать с тонкими цветами</x:v>
      </x:c>
      <x:c r="I225" s="28" t="str">
        <x:v>горячее блюдо, бульон, соус, пюре, ферментация или гарнир с чили</x:v>
      </x:c>
      <x:c r="J225" s="28" t="str">
        <x:v>Средняя</x:v>
      </x:c>
      <x:c r="K225" s="28" t="str">
        <x:v>Тезариус вкусов (Ники Сегнит)(1).pdf</x:v>
      </x:c>
      <x:c r="L225" s="28" t="str">
        <x:v>Тезариус вкусов (Ники Сегнит)(1).pdf: 317, 554</x:v>
      </x:c>
    </x:row>
    <x:row r="226" ht="66" customHeight="1">
      <x:c r="A226" s="28" t="str">
        <x:v>VEG-0307</x:v>
      </x:c>
      <x:c r="B226" s="28" t="str">
        <x:v>капуста</x:v>
      </x:c>
      <x:c r="C226" s="28" t="str">
        <x:v>чоризо</x:v>
      </x:c>
      <x:c r="D226" s="28" t="str">
        <x:v>Прочее</x:v>
      </x:c>
      <x:c r="E226" s="28" t="str">
        <x:v>сернистая или горчичная комплементарность</x:v>
      </x:c>
      <x:c r="F226" s="28" t="str">
        <x:v>Капуста имеет профиль «зелёный, горчичный, сернистый и сладковатый после приготовления».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6" s="28" t="str">
        <x:v>не переваривать; красная капуста меняет цвет с pH; сернистые ноты могут конфликтовать с тонкими цветами</x:v>
      </x:c>
      <x:c r="I226" s="28" t="str">
        <x:v>горячее блюдо, бульон, соус, пюре, ферментация или гарнир с чоризо</x:v>
      </x:c>
      <x:c r="J226" s="28" t="str">
        <x:v>Средняя</x:v>
      </x:c>
      <x:c r="K226" s="28" t="str">
        <x:v>The Art &amp; Science of Foodpairing.pdf</x:v>
      </x:c>
      <x:c r="L226" s="28" t="str">
        <x:v>The Art &amp; Science of Foodpairing.pdf: 288</x:v>
      </x:c>
    </x:row>
    <x:row r="227" ht="66" customHeight="1">
      <x:c r="A227" s="28" t="str">
        <x:v>VEG-0308</x:v>
      </x:c>
      <x:c r="B227" s="28" t="str">
        <x:v>капуста</x:v>
      </x:c>
      <x:c r="C227" s="28" t="str">
        <x:v>яблоко</x:v>
      </x:c>
      <x:c r="D227" s="28" t="str">
        <x:v>Фрукты и ягоды</x:v>
      </x:c>
      <x:c r="E227" s="28" t="str">
        <x:v>пересечение ароматических семейств; кислотно-сладкий баланс; сернистая или горчичная комплементарность</x:v>
      </x:c>
      <x:c r="F227" s="28" t="str">
        <x:v>Капуста имеет профиль «зелёный, горчичный, сернистый и сладковатый после приготовления».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7" s="28" t="str">
        <x:v>не переваривать; красная капуста меняет цвет с pH; сернистые ноты могут конфликтовать с тонкими цветами; избыток кислоты или воды может сделать овощной вкус тонким и разрушить сливочную эмульсию</x:v>
      </x:c>
      <x:c r="I227" s="28" t="str">
        <x:v>горячее блюдо, бульон, соус, пюре, ферментация или гарнир с яблоко</x:v>
      </x:c>
      <x:c r="J227" s="28" t="str">
        <x:v>Средняя</x:v>
      </x:c>
      <x:c r="K227" s="28" t="str">
        <x:v>Тезариус вкусов (Ники Сегнит)(1).pdf</x:v>
      </x:c>
      <x:c r="L227" s="28" t="str">
        <x:v>Тезариус вкусов (Ники Сегнит)(1).pdf: 317, 713</x:v>
      </x:c>
    </x:row>
    <x:row r="228" ht="66" customHeight="1">
      <x:c r="A228" s="28" t="str">
        <x:v>VEG-0309</x:v>
      </x:c>
      <x:c r="B228" s="28" t="str">
        <x:v>капуста</x:v>
      </x:c>
      <x:c r="C228" s="28" t="str">
        <x:v>яйца</x:v>
      </x:c>
      <x:c r="D228" s="28" t="str">
        <x:v>Прочее</x:v>
      </x:c>
      <x:c r="E228" s="28" t="str">
        <x:v>сернистая или горчичная комплементарность</x:v>
      </x:c>
      <x:c r="F228" s="28" t="str">
        <x:v>Капуста имеет профиль «зелёный, горчичный, сернистый и сладковатый после приготовления».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8" s="28" t="str">
        <x:v>не переваривать; красная капуста меняет цвет с pH; сернистые ноты могут конфликтовать с тонкими цветами</x:v>
      </x:c>
      <x:c r="I228" s="28" t="str">
        <x:v>горячее блюдо, бульон, соус, пюре, ферментация или гарнир с яйца</x:v>
      </x:c>
      <x:c r="J228" s="28" t="str">
        <x:v>Средняя</x:v>
      </x:c>
      <x:c r="K228" s="28" t="str">
        <x:v>Тезариус вкусов (Ники Сегнит)(1).pdf</x:v>
      </x:c>
      <x:c r="L228" s="28" t="str">
        <x:v>Тезариус вкусов (Ники Сегнит)(1).pdf: 317, 353</x:v>
      </x:c>
    </x:row>
    <x:row r="229" ht="66" customHeight="1">
      <x:c r="A229" s="28" t="str">
        <x:v>VEG-0310</x:v>
      </x:c>
      <x:c r="B229" s="28" t="str">
        <x:v>картофель</x:v>
      </x:c>
      <x:c r="C229" s="28" t="str">
        <x:v>«черный пудинг»</x:v>
      </x:c>
      <x:c r="D229" s="28" t="str">
        <x:v>Прочее</x:v>
      </x:c>
      <x:c r="E229" s="28" t="str">
        <x:v>сенсорная комплементарность</x:v>
      </x:c>
      <x:c r="F229" s="28" t="str">
        <x:v>Картофель имеет профиль «крахмалистый, землистый, ореховый и жареный после нагрева». Партнёр ««черный пудинг»»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2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29" s="28" t="str">
        <x:v>зелёные или проросшие клубни не использовать; пережаривание даёт горечь и чрезмерно тёмную корку</x:v>
      </x:c>
      <x:c r="I229" s="28" t="str">
        <x:v>пюре, суп, запекание, крем, гарнир, соус или десертная разработка с «черный пудинг»</x:v>
      </x:c>
      <x:c r="J229" s="28" t="str">
        <x:v>Средняя</x:v>
      </x:c>
      <x:c r="K229" s="28" t="str">
        <x:v>Тезариус вкусов (Ники Сегнит)(1).pdf</x:v>
      </x:c>
      <x:c r="L229" s="28" t="str">
        <x:v>Тезариус вкусов (Ники Сегнит)(1).pdf: 93, 245</x:v>
      </x:c>
    </x:row>
    <x:row r="230" ht="66" customHeight="1">
      <x:c r="A230" s="28" t="str">
        <x:v>VEG-0311</x:v>
      </x:c>
      <x:c r="B230" s="28" t="str">
        <x:v>картофель</x:v>
      </x:c>
      <x:c r="C230" s="28" t="str">
        <x:v>абрикос</x:v>
      </x:c>
      <x:c r="D230" s="28" t="str">
        <x:v>Фрукты и ягоды</x:v>
      </x:c>
      <x:c r="E230" s="28" t="str">
        <x:v>общие характерные молекулы; кислотно-сладкий баланс</x:v>
      </x:c>
      <x:c r="F230" s="28" t="str">
        <x:v>Картофель имеет профиль «крахмалистый, землистый, ореховый и жареный после нагрева». Партнёр «абрикос»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3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30" s="28" t="str">
        <x:v>пюре, суп, запекание, крем, гарнир, соус или десертная разработка с абрикос</x:v>
      </x:c>
      <x:c r="J230" s="28" t="str">
        <x:v>Средняя</x:v>
      </x:c>
      <x:c r="K230" s="28" t="str">
        <x:v>The Art &amp; Science of Foodpairing.pdf</x:v>
      </x:c>
      <x:c r="L230" s="28" t="str">
        <x:v>The Art &amp; Science of Foodpairing.pdf: 196, 206</x:v>
      </x:c>
    </x:row>
    <x:row r="231" ht="66" customHeight="1">
      <x:c r="A231" s="28" t="str">
        <x:v>VEG-0312</x:v>
      </x:c>
      <x:c r="B231" s="28" t="str">
        <x:v>картофель</x:v>
      </x:c>
      <x:c r="C231" s="28" t="str">
        <x:v>авокадо</x:v>
      </x:c>
      <x:c r="D231" s="28" t="str">
        <x:v>Прочее</x:v>
      </x:c>
      <x:c r="E231" s="28" t="str">
        <x:v>сенсорная комплементарность</x:v>
      </x:c>
      <x:c r="F231" s="28" t="str">
        <x:v>Картофель имеет профиль «крахмалистый, землистый, ореховый и жареный после нагрева». Партнёр «авокадо»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1" s="28" t="str">
        <x:v>зелёные или проросшие клубни не использовать; пережаривание даёт горечь и чрезмерно тёмную корку</x:v>
      </x:c>
      <x:c r="I231" s="28" t="str">
        <x:v>пюре, суп, запекание, крем, гарнир, соус или десертная разработка с авокадо</x:v>
      </x:c>
      <x:c r="J231" s="28" t="str">
        <x:v>Средняя</x:v>
      </x:c>
      <x:c r="K231" s="28" t="str">
        <x:v>The Art &amp; Science of Foodpairing.pdf</x:v>
      </x:c>
      <x:c r="L231" s="28" t="str">
        <x:v>The Art &amp; Science of Foodpairing.pdf: 196</x:v>
      </x:c>
    </x:row>
    <x:row r="232" ht="66" customHeight="1">
      <x:c r="A232" s="28" t="str">
        <x:v>VEG-0313</x:v>
      </x:c>
      <x:c r="B232" s="28" t="str">
        <x:v>картофель</x:v>
      </x:c>
      <x:c r="C232" s="28" t="str">
        <x:v>анчоусы</x:v>
      </x:c>
      <x:c r="D232" s="28" t="str">
        <x:v>Рыба и морепродукты</x:v>
      </x:c>
      <x:c r="E232" s="28" t="str">
        <x:v>общие характерные молекулы; умами и солёный контраст</x:v>
      </x:c>
      <x:c r="F232" s="28" t="str">
        <x:v>Картофель имеет профиль «крахмалистый, землистый, ореховый и жареный после нагрева». Партнёр «анчоусы»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3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2" s="28" t="str">
        <x:v>зелёные или проросшие клубни не использовать; пережаривание даёт горечь и чрезмерно тёмную корку</x:v>
      </x:c>
      <x:c r="I232" s="28" t="str">
        <x:v>пюре, суп, запекание, крем, гарнир, соус или десертная разработка с анчоусы</x:v>
      </x:c>
      <x:c r="J232" s="28" t="str">
        <x:v>Средняя</x:v>
      </x:c>
      <x:c r="K232" s="28" t="str">
        <x:v>Тезариус вкусов (Ники Сегнит)(1).pdf</x:v>
      </x:c>
      <x:c r="L232" s="28" t="str">
        <x:v>Тезариус вкусов (Ники Сегнит)(1).pdf: 230, 427</x:v>
      </x:c>
    </x:row>
    <x:row r="233" ht="66" customHeight="1">
      <x:c r="A233" s="28" t="str">
        <x:v>VEG-0314</x:v>
      </x:c>
      <x:c r="B233" s="28" t="str">
        <x:v>картофель</x:v>
      </x:c>
      <x:c r="C233" s="28" t="str">
        <x:v>арахис</x:v>
      </x:c>
      <x:c r="D233" s="28" t="str">
        <x:v>Орехи и семена</x:v>
      </x:c>
      <x:c r="E233" s="28" t="str">
        <x:v>общие характерные молекулы; пересечение ароматических семейств</x:v>
      </x:c>
      <x:c r="F233" s="28" t="str">
        <x:v>Картофель имеет профиль «крахмалистый, землистый, ореховый и жареный после нагрева». Партнёр «арахис»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23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3" s="28" t="str">
        <x:v>зелёные или проросшие клубни не использовать; пережаривание даёт горечь и чрезмерно тёмную корку</x:v>
      </x:c>
      <x:c r="I233" s="28" t="str">
        <x:v>пюре, суп, запекание, крем, гарнир, соус или десертная разработка с арахис</x:v>
      </x:c>
      <x:c r="J233" s="28" t="str">
        <x:v>Средняя</x:v>
      </x:c>
      <x:c r="K233" s="28" t="str">
        <x:v>Тезариус вкусов (Ники Сегнит)(1).pdf</x:v>
      </x:c>
      <x:c r="L233" s="28" t="str">
        <x:v>Тезариус вкусов (Ники Сегнит)(1).pdf: 53, 230</x:v>
      </x:c>
    </x:row>
    <x:row r="234" ht="66" customHeight="1">
      <x:c r="A234" s="28" t="str">
        <x:v>VEG-0315</x:v>
      </x:c>
      <x:c r="B234" s="28" t="str">
        <x:v>картофель</x:v>
      </x:c>
      <x:c r="C234" s="28" t="str">
        <x:v>арбуз</x:v>
      </x:c>
      <x:c r="D234" s="28" t="str">
        <x:v>Прочее</x:v>
      </x:c>
      <x:c r="E234" s="28" t="str">
        <x:v>сенсорная комплементарность</x:v>
      </x:c>
      <x:c r="F234" s="28" t="str">
        <x:v>Картофель имеет профиль «крахмалистый, землистый, ореховый и жареный после нагрева».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4" s="28" t="str">
        <x:v>зелёные или проросшие клубни не использовать; пережаривание даёт горечь и чрезмерно тёмную корку</x:v>
      </x:c>
      <x:c r="I234" s="28" t="str">
        <x:v>пюре, суп, запекание, крем, гарнир, соус или десертная разработка с арбуз</x:v>
      </x:c>
      <x:c r="J234" s="28" t="str">
        <x:v>Средняя</x:v>
      </x:c>
      <x:c r="K234" s="28" t="str">
        <x:v>The Art &amp; Science of Foodpairing.pdf</x:v>
      </x:c>
      <x:c r="L234" s="28" t="str">
        <x:v>The Art &amp; Science of Foodpairing.pdf: 78</x:v>
      </x:c>
    </x:row>
    <x:row r="235" ht="66" customHeight="1">
      <x:c r="A235" s="28" t="str">
        <x:v>VEG-0316</x:v>
      </x:c>
      <x:c r="B235" s="28" t="str">
        <x:v>картофель</x:v>
      </x:c>
      <x:c r="C235" s="28" t="str">
        <x:v>артишок</x:v>
      </x:c>
      <x:c r="D235" s="28" t="str">
        <x:v>Соцветия и стеблевые овощи</x:v>
      </x:c>
      <x:c r="E235" s="28" t="str">
        <x:v>сенсорная комплементарность</x:v>
      </x:c>
      <x:c r="F235" s="28" t="str">
        <x:v>Картофель имеет профиль «крахмалистый, землистый, ореховый и жареный после нагрева». Партнёр «артишок» относится к группе «Соцветия и стеблевые овощи» и даёт зелёный, ореховый, травянистый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5" s="28" t="str">
        <x:v>зелёные или проросшие клубни не использовать; пережаривание даёт горечь и чрезмерно тёмную корку</x:v>
      </x:c>
      <x:c r="I235" s="28" t="str">
        <x:v>пюре, суп, запекание, крем, гарнир, соус или десертная разработка с артишок</x:v>
      </x:c>
      <x:c r="J235" s="28" t="str">
        <x:v>Средняя</x:v>
      </x:c>
      <x:c r="K235" s="28" t="str">
        <x:v>Тезариус вкусов (Ники Сегнит)(1).pdf</x:v>
      </x:c>
      <x:c r="L235" s="28" t="str">
        <x:v>Тезариус вкусов (Ники Сегнит)(1).pdf: 231, 338</x:v>
      </x:c>
    </x:row>
    <x:row r="236" ht="66" customHeight="1">
      <x:c r="A236" s="28" t="str">
        <x:v>VEG-0317</x:v>
      </x:c>
      <x:c r="B236" s="28" t="str">
        <x:v>картофель</x:v>
      </x:c>
      <x:c r="C236" s="28" t="str">
        <x:v>базилик</x:v>
      </x:c>
      <x:c r="D236" s="28" t="str">
        <x:v>Травы, цветы и листья</x:v>
      </x:c>
      <x:c r="E236" s="28" t="str">
        <x:v>сенсорная комплементарность</x:v>
      </x:c>
      <x:c r="F236" s="28" t="str">
        <x:v>Картофель имеет профиль «крахмалистый, землистый, ореховый и жареный после нагрева».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3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6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36" s="28" t="str">
        <x:v>пюре, суп, запекание, крем, гарнир, соус или десертная разработка с базилик</x:v>
      </x:c>
      <x:c r="J236" s="28" t="str">
        <x:v>Средняя</x:v>
      </x:c>
      <x:c r="K236" s="28" t="str">
        <x:v>The Art &amp; Science of Foodpairing.pdf</x:v>
      </x:c>
      <x:c r="L236" s="28" t="str">
        <x:v>The Art &amp; Science of Foodpairing.pdf: 74</x:v>
      </x:c>
    </x:row>
    <x:row r="237" ht="66" customHeight="1">
      <x:c r="A237" s="28" t="str">
        <x:v>VEG-0318</x:v>
      </x:c>
      <x:c r="B237" s="28" t="str">
        <x:v>картофель</x:v>
      </x:c>
      <x:c r="C237" s="28" t="str">
        <x:v>баранина</x:v>
      </x:c>
      <x:c r="D237" s="28" t="str">
        <x:v>Мясо и птица</x:v>
      </x:c>
      <x:c r="E237" s="28" t="str">
        <x:v>общие характерные молекулы; пересечение ароматических семейств; умами и солёный контраст</x:v>
      </x:c>
      <x:c r="F237" s="28" t="str">
        <x:v>Картофель имеет профиль «крахмалистый, землистый, ореховый и жареный после нагрева». Партнёр «баранина»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3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7" s="28" t="str">
        <x:v>зелёные или проросшие клубни не использовать; пережаривание даёт горечь и чрезмерно тёмную корку</x:v>
      </x:c>
      <x:c r="I237" s="28" t="str">
        <x:v>пюре, суп, запекание, крем, гарнир, соус или десертная разработка с баранина</x:v>
      </x:c>
      <x:c r="J237" s="28" t="str">
        <x:v>Высокая</x:v>
      </x:c>
      <x:c r="K237" s="28" t="str">
        <x:v>The Art &amp; Science of Foodpairing.pdf | Тезариус вкусов (Ники Сегнит)(1).pdf</x:v>
      </x:c>
      <x:c r="L237" s="28" t="str">
        <x:v>Тезариус вкусов (Ники Сегнит)(1).pdf: 129, 231; The Art &amp; Science of Foodpairing.pdf: 196</x:v>
      </x:c>
    </x:row>
    <x:row r="238" ht="66" customHeight="1">
      <x:c r="A238" s="28" t="str">
        <x:v>VEG-0319</x:v>
      </x:c>
      <x:c r="B238" s="28" t="str">
        <x:v>картофель</x:v>
      </x:c>
      <x:c r="C238" s="28" t="str">
        <x:v>батат</x:v>
      </x:c>
      <x:c r="D238" s="28" t="str">
        <x:v>Корнеплоды и клубни</x:v>
      </x:c>
      <x:c r="E238" s="28" t="str">
        <x:v>общие характерные молекулы; пересечение ароматических семейств</x:v>
      </x:c>
      <x:c r="F238" s="28" t="str">
        <x:v>Картофель имеет профиль «крахмалистый, землистый, ореховый и жареный после нагрева».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23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8" s="28" t="str">
        <x:v>зелёные или проросшие клубни не использовать; пережаривание даёт горечь и чрезмерно тёмную корку</x:v>
      </x:c>
      <x:c r="I238" s="28" t="str">
        <x:v>пюре, суп, запекание, крем, гарнир, соус или десертная разработка с батат</x:v>
      </x:c>
      <x:c r="J238" s="28" t="str">
        <x:v>Средняя</x:v>
      </x:c>
      <x:c r="K238" s="28" t="str">
        <x:v>The Art &amp; Science of Foodpairing.pdf</x:v>
      </x:c>
      <x:c r="L238" s="28" t="str">
        <x:v>The Art &amp; Science of Foodpairing.pdf: 119</x:v>
      </x:c>
    </x:row>
    <x:row r="239" ht="66" customHeight="1">
      <x:c r="A239" s="28" t="str">
        <x:v>VEG-0320</x:v>
      </x:c>
      <x:c r="B239" s="28" t="str">
        <x:v>картофель</x:v>
      </x:c>
      <x:c r="C239" s="28" t="str">
        <x:v>бекон</x:v>
      </x:c>
      <x:c r="D239" s="28" t="str">
        <x:v>Мясо и птица</x:v>
      </x:c>
      <x:c r="E239" s="28" t="str">
        <x:v>общие характерные молекулы; пересечение ароматических семейств; умами и солёный контраст</x:v>
      </x:c>
      <x:c r="F239" s="28" t="str">
        <x:v>Картофель имеет профиль «крахмалистый, землистый, ореховый и жареный после нагрева».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3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9" s="28" t="str">
        <x:v>зелёные или проросшие клубни не использовать; пережаривание даёт горечь и чрезмерно тёмную корку</x:v>
      </x:c>
      <x:c r="I239" s="28" t="str">
        <x:v>пюре, суп, запекание, крем, гарнир, соус или десертная разработка с бекон</x:v>
      </x:c>
      <x:c r="J239" s="28" t="str">
        <x:v>Средняя</x:v>
      </x:c>
      <x:c r="K239" s="28" t="str">
        <x:v>Тезариус вкусов (Ники Сегнит)(1).pdf</x:v>
      </x:c>
      <x:c r="L239" s="28" t="str">
        <x:v>Тезариус вкусов (Ники Сегнит)(1).pdf: 232, 445</x:v>
      </x:c>
    </x:row>
    <x:row r="240" ht="66" customHeight="1">
      <x:c r="A240" s="28" t="str">
        <x:v>VEG-0321</x:v>
      </x:c>
      <x:c r="B240" s="28" t="str">
        <x:v>картофель</x:v>
      </x:c>
      <x:c r="C240" s="28" t="str">
        <x:v>белая рыба</x:v>
      </x:c>
      <x:c r="D240" s="28" t="str">
        <x:v>Рыба и морепродукты</x:v>
      </x:c>
      <x:c r="E240" s="28" t="str">
        <x:v>общие характерные молекулы; умами и солёный контраст</x:v>
      </x:c>
      <x:c r="F240" s="28" t="str">
        <x:v>Картофель имеет профиль «крахмалистый, землистый, ореховый и жареный после нагрева». Партнёр «белая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4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0" s="28" t="str">
        <x:v>зелёные или проросшие клубни не использовать; пережаривание даёт горечь и чрезмерно тёмную корку</x:v>
      </x:c>
      <x:c r="I240" s="28" t="str">
        <x:v>пюре, суп, запекание, крем, гарнир, соус или десертная разработка с белая рыба</x:v>
      </x:c>
      <x:c r="J240" s="28" t="str">
        <x:v>Средняя</x:v>
      </x:c>
      <x:c r="K240" s="28" t="str">
        <x:v>Тезариус вкусов (Ники Сегнит)(1).pdf</x:v>
      </x:c>
      <x:c r="L240" s="28" t="str">
        <x:v>Тезариус вкусов (Ники Сегнит)(1).pdf: 232, 385</x:v>
      </x:c>
    </x:row>
    <x:row r="241" ht="66" customHeight="1">
      <x:c r="A241" s="28" t="str">
        <x:v>VEG-0322</x:v>
      </x:c>
      <x:c r="B241" s="28" t="str">
        <x:v>картофель</x:v>
      </x:c>
      <x:c r="C241" s="28" t="str">
        <x:v>бразильский орех</x:v>
      </x:c>
      <x:c r="D241" s="28" t="str">
        <x:v>Орехи и семена</x:v>
      </x:c>
      <x:c r="E241" s="28" t="str">
        <x:v>общие характерные молекулы; пересечение ароматических семейств</x:v>
      </x:c>
      <x:c r="F241" s="28" t="str">
        <x:v>Картофель имеет профиль «крахмалистый, землистый, ореховый и жареный после нагрева». Партнёр «бразильский орех»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24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1" s="28" t="str">
        <x:v>зелёные или проросшие клубни не использовать; пережаривание даёт горечь и чрезмерно тёмную корку</x:v>
      </x:c>
      <x:c r="I241" s="28" t="str">
        <x:v>пюре, суп, запекание, крем, гарнир, соус или десертная разработка с бразильский орех</x:v>
      </x:c>
      <x:c r="J241" s="28" t="str">
        <x:v>Средняя</x:v>
      </x:c>
      <x:c r="K241" s="28" t="str">
        <x:v>The Art &amp; Science of Foodpairing.pdf</x:v>
      </x:c>
      <x:c r="L241" s="28" t="str">
        <x:v>The Art &amp; Science of Foodpairing.pdf: 196</x:v>
      </x:c>
    </x:row>
    <x:row r="242" ht="66" customHeight="1">
      <x:c r="A242" s="28" t="str">
        <x:v>VEG-0323</x:v>
      </x:c>
      <x:c r="B242" s="28" t="str">
        <x:v>картофель</x:v>
      </x:c>
      <x:c r="C242" s="28" t="str">
        <x:v>бри</x:v>
      </x:c>
      <x:c r="D242" s="28" t="str">
        <x:v>Прочее</x:v>
      </x:c>
      <x:c r="E242" s="28" t="str">
        <x:v>сенсорная комплементарность</x:v>
      </x:c>
      <x:c r="F242" s="28" t="str">
        <x:v>Картофель имеет профиль «крахмалистый, землистый, ореховый и жареный после нагрева». Партнёр «бри»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4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2" s="28" t="str">
        <x:v>зелёные или проросшие клубни не использовать; пережаривание даёт горечь и чрезмерно тёмную корку</x:v>
      </x:c>
      <x:c r="I242" s="28" t="str">
        <x:v>пюре, суп, запекание, крем, гарнир, соус или десертная разработка с бри</x:v>
      </x:c>
      <x:c r="J242" s="28" t="str">
        <x:v>Средняя</x:v>
      </x:c>
      <x:c r="K242" s="28" t="str">
        <x:v>The Art &amp; Science of Foodpairing.pdf</x:v>
      </x:c>
      <x:c r="L242" s="28" t="str">
        <x:v>The Art &amp; Science of Foodpairing.pdf: 196</x:v>
      </x:c>
    </x:row>
    <x:row r="243" ht="66" customHeight="1">
      <x:c r="A243" s="28" t="str">
        <x:v>VEG-0324</x:v>
      </x:c>
      <x:c r="B243" s="28" t="str">
        <x:v>картофель</x:v>
      </x:c>
      <x:c r="C243" s="28" t="str">
        <x:v>брюква</x:v>
      </x:c>
      <x:c r="D243" s="28" t="str">
        <x:v>Корнеплоды и крестоцветные</x:v>
      </x:c>
      <x:c r="E243" s="28" t="str">
        <x:v>пересечение ароматических семейств</x:v>
      </x:c>
      <x:c r="F243" s="28" t="str">
        <x:v>Картофель имеет профиль «крахмалистый, землистый, ореховый и жареный после нагрева». Партнёр «брюква» относится к группе «Корнеплоды и крестоцветные» и даёт землистый, капустный, сладкий и слегка горчичный.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24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3" s="28" t="str">
        <x:v>зелёные или проросшие клубни не использовать; пережаривание даёт горечь и чрезмерно тёмную корку</x:v>
      </x:c>
      <x:c r="I243" s="28" t="str">
        <x:v>пюре, суп, запекание, крем, гарнир, соус или десертная разработка с брюква</x:v>
      </x:c>
      <x:c r="J243" s="28" t="str">
        <x:v>Средняя</x:v>
      </x:c>
      <x:c r="K243" s="28" t="str">
        <x:v>Тезариус вкусов (Ники Сегнит)(1).pdf</x:v>
      </x:c>
      <x:c r="L243" s="28" t="str">
        <x:v>Тезариус вкусов (Ники Сегнит)(1).pdf: 232, 318</x:v>
      </x:c>
    </x:row>
    <x:row r="244" ht="66" customHeight="1">
      <x:c r="A244" s="28" t="str">
        <x:v>VEG-0325</x:v>
      </x:c>
      <x:c r="B244" s="28" t="str">
        <x:v>картофель</x:v>
      </x:c>
      <x:c r="C244" s="28" t="str">
        <x:v>ветчина</x:v>
      </x:c>
      <x:c r="D244" s="28" t="str">
        <x:v>Мясо и птица</x:v>
      </x:c>
      <x:c r="E244" s="28" t="str">
        <x:v>общие характерные молекулы; пересечение ароматических семейств; умами и солёный контраст</x:v>
      </x:c>
      <x:c r="F244" s="28" t="str">
        <x:v>Картофель имеет профиль «крахмалистый, землистый, ореховый и жареный после нагрева». Партнёр «ветчина»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4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4" s="28" t="str">
        <x:v>зелёные или проросшие клубни не использовать; пережаривание даёт горечь и чрезмерно тёмную корку</x:v>
      </x:c>
      <x:c r="I244" s="28" t="str">
        <x:v>пюре, суп, запекание, крем, гарнир, соус или десертная разработка с ветчина</x:v>
      </x:c>
      <x:c r="J244" s="28" t="str">
        <x:v>Средняя</x:v>
      </x:c>
      <x:c r="K244" s="28" t="str">
        <x:v>The Art &amp; Science of Foodpairing.pdf</x:v>
      </x:c>
      <x:c r="L244" s="28" t="str">
        <x:v>The Art &amp; Science of Foodpairing.pdf: 196</x:v>
      </x:c>
    </x:row>
    <x:row r="245" ht="66" customHeight="1">
      <x:c r="A245" s="28" t="str">
        <x:v>VEG-0326</x:v>
      </x:c>
      <x:c r="B245" s="28" t="str">
        <x:v>картофель</x:v>
      </x:c>
      <x:c r="C245" s="28" t="str">
        <x:v>вишня</x:v>
      </x:c>
      <x:c r="D245" s="28" t="str">
        <x:v>Фрукты и ягоды</x:v>
      </x:c>
      <x:c r="E245" s="28" t="str">
        <x:v>кислотно-сладкий баланс</x:v>
      </x:c>
      <x:c r="F245" s="28" t="str">
        <x:v>Картофель имеет профиль «крахмалистый, землистый, ореховый и жареный после нагрева». Партнёр «вишня» относится к группе «Фрукты и ягоды» и даёт миндальный,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4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45" s="28" t="str">
        <x:v>пюре, суп, запекание, крем, гарнир, соус или десертная разработка с вишня</x:v>
      </x:c>
      <x:c r="J245" s="28" t="str">
        <x:v>Средняя</x:v>
      </x:c>
      <x:c r="K245" s="28" t="str">
        <x:v>The Art &amp; Science of Foodpairing.pdf</x:v>
      </x:c>
      <x:c r="L245" s="28" t="str">
        <x:v>The Art &amp; Science of Foodpairing.pdf: 196</x:v>
      </x:c>
    </x:row>
    <x:row r="246" ht="66" customHeight="1">
      <x:c r="A246" s="28" t="str">
        <x:v>VEG-0327</x:v>
      </x:c>
      <x:c r="B246" s="28" t="str">
        <x:v>картофель</x:v>
      </x:c>
      <x:c r="C246" s="28" t="str">
        <x:v>водоросли</x:v>
      </x:c>
      <x:c r="D246" s="28" t="str">
        <x:v>Прочее</x:v>
      </x:c>
      <x:c r="E246" s="28" t="str">
        <x:v>сенсорная комплементарность</x:v>
      </x:c>
      <x:c r="F246" s="28" t="str">
        <x:v>Картофель имеет профиль «крахмалистый, землистый, ореховый и жареный после нагрева».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4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6" s="28" t="str">
        <x:v>зелёные или проросшие клубни не использовать; пережаривание даёт горечь и чрезмерно тёмную корку</x:v>
      </x:c>
      <x:c r="I246" s="28" t="str">
        <x:v>пюре, суп, запекание, крем, гарнир, соус или десертная разработка с водоросли</x:v>
      </x:c>
      <x:c r="J246" s="28" t="str">
        <x:v>Высокая</x:v>
      </x:c>
      <x:c r="K246" s="28" t="str">
        <x:v>The Art &amp; Science of Foodpairing.pdf</x:v>
      </x:c>
      <x:c r="L246" s="28" t="str">
        <x:v>The Art &amp; Science of Foodpairing.pdf: 266</x:v>
      </x:c>
    </x:row>
    <x:row r="247" ht="66" customHeight="1">
      <x:c r="A247" s="28" t="str">
        <x:v>VEG-0328</x:v>
      </x:c>
      <x:c r="B247" s="28" t="str">
        <x:v>картофель</x:v>
      </x:c>
      <x:c r="C247" s="28" t="str">
        <x:v>водяной кресс</x:v>
      </x:c>
      <x:c r="D247" s="28" t="str">
        <x:v>Прочее</x:v>
      </x:c>
      <x:c r="E247" s="28" t="str">
        <x:v>сенсорная комплементарность</x:v>
      </x:c>
      <x:c r="F247" s="28" t="str">
        <x:v>Картофель имеет профиль «крахмалистый, землистый, ореховый и жареный после нагрева». Партнёр «водяной кресс»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4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7" s="28" t="str">
        <x:v>зелёные или проросшие клубни не использовать; пережаривание даёт горечь и чрезмерно тёмную корку</x:v>
      </x:c>
      <x:c r="I247" s="28" t="str">
        <x:v>пюре, суп, запекание, крем, гарнир, соус или десертная разработка с водяной кресс</x:v>
      </x:c>
      <x:c r="J247" s="28" t="str">
        <x:v>Средняя</x:v>
      </x:c>
      <x:c r="K247" s="28" t="str">
        <x:v>Тезариус вкусов (Ники Сегнит)(1).pdf</x:v>
      </x:c>
      <x:c r="L247" s="28" t="str">
        <x:v>Тезариус вкусов (Ники Сегнит)(1).pdf: 233, 260</x:v>
      </x:c>
    </x:row>
    <x:row r="248" ht="66" customHeight="1">
      <x:c r="A248" s="28" t="str">
        <x:v>VEG-0329</x:v>
      </x:c>
      <x:c r="B248" s="28" t="str">
        <x:v>картофель</x:v>
      </x:c>
      <x:c r="C248" s="28" t="str">
        <x:v>говядина</x:v>
      </x:c>
      <x:c r="D248" s="28" t="str">
        <x:v>Мясо и птица</x:v>
      </x:c>
      <x:c r="E248" s="28" t="str">
        <x:v>общие характерные молекулы; пересечение ароматических семейств; умами и солёный контраст</x:v>
      </x:c>
      <x:c r="F248" s="28" t="str">
        <x:v>Картофель имеет профиль «крахмалистый, землистый, ореховый и жареный после нагрева».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4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8" s="28" t="str">
        <x:v>зелёные или проросшие клубни не использовать; пережаривание даёт горечь и чрезмерно тёмную корку</x:v>
      </x:c>
      <x:c r="I248" s="28" t="str">
        <x:v>пюре, суп, запекание, крем, гарнир, соус или десертная разработка с говядина</x:v>
      </x:c>
      <x:c r="J248" s="28" t="str">
        <x:v>Средняя</x:v>
      </x:c>
      <x:c r="K248" s="28" t="str">
        <x:v>Тезариус вкусов (Ники Сегнит)(1).pdf</x:v>
      </x:c>
      <x:c r="L248" s="28" t="str">
        <x:v>Тезариус вкусов (Ники Сегнит)(1).pdf: 111, 233</x:v>
      </x:c>
    </x:row>
    <x:row r="249" ht="66" customHeight="1">
      <x:c r="A249" s="28" t="str">
        <x:v>VEG-0330</x:v>
      </x:c>
      <x:c r="B249" s="28" t="str">
        <x:v>картофель</x:v>
      </x:c>
      <x:c r="C249" s="28" t="str">
        <x:v>говядина сухой выдержки</x:v>
      </x:c>
      <x:c r="D249" s="28" t="str">
        <x:v>Мясо и птица</x:v>
      </x:c>
      <x:c r="E249" s="28" t="str">
        <x:v>общие характерные молекулы; пересечение ароматических семейств; умами и солёный контраст</x:v>
      </x:c>
      <x:c r="F249" s="28" t="str">
        <x:v>Картофель имеет профиль «крахмалистый, землистый, ореховый и жареный после нагрева». Партнёр «говядина сухой выдержки»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4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9" s="28" t="str">
        <x:v>зелёные или проросшие клубни не использовать; пережаривание даёт горечь и чрезмерно тёмную корку</x:v>
      </x:c>
      <x:c r="I249" s="28" t="str">
        <x:v>пюре, суп, запекание, крем, гарнир, соус или десертная разработка с говядина сухой выдержки</x:v>
      </x:c>
      <x:c r="J249" s="28" t="str">
        <x:v>Средняя</x:v>
      </x:c>
      <x:c r="K249" s="28" t="str">
        <x:v>The Art &amp; Science of Foodpairing.pdf</x:v>
      </x:c>
      <x:c r="L249" s="28" t="str">
        <x:v>The Art &amp; Science of Foodpairing.pdf: 196</x:v>
      </x:c>
    </x:row>
    <x:row r="250" ht="66" customHeight="1">
      <x:c r="A250" s="28" t="str">
        <x:v>VEG-0331</x:v>
      </x:c>
      <x:c r="B250" s="28" t="str">
        <x:v>картофель</x:v>
      </x:c>
      <x:c r="C250" s="28" t="str">
        <x:v>горох</x:v>
      </x:c>
      <x:c r="D250" s="28" t="str">
        <x:v>Бобовые</x:v>
      </x:c>
      <x:c r="E250" s="28" t="str">
        <x:v>сенсорная комплементарность</x:v>
      </x:c>
      <x:c r="F250" s="28" t="str">
        <x:v>Картофель имеет профиль «крахмалистый, землистый, ореховый и жареный после нагрева». Партнёр «горох» относится к группе «Бобовые» и даёт зелёный, сладкий, бобовый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5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0" s="28" t="str">
        <x:v>зелёные или проросшие клубни не использовать; пережаривание даёт горечь и чрезмерно тёмную корку</x:v>
      </x:c>
      <x:c r="I250" s="28" t="str">
        <x:v>пюре, суп, запекание, крем, гарнир, соус или десертная разработка с горох</x:v>
      </x:c>
      <x:c r="J250" s="28" t="str">
        <x:v>Средняя</x:v>
      </x:c>
      <x:c r="K250" s="28" t="str">
        <x:v>Тезариус вкусов (Ники Сегнит)(1).pdf</x:v>
      </x:c>
      <x:c r="L250" s="28" t="str">
        <x:v>Тезариус вкусов (Ники Сегнит)(1).pdf: 233, 538</x:v>
      </x:c>
    </x:row>
    <x:row r="251" ht="66" customHeight="1">
      <x:c r="A251" s="28" t="str">
        <x:v>VEG-0332</x:v>
      </x:c>
      <x:c r="B251" s="28" t="str">
        <x:v>картофель</x:v>
      </x:c>
      <x:c r="C251" s="28" t="str">
        <x:v>грюйер</x:v>
      </x:c>
      <x:c r="D251" s="28" t="str">
        <x:v>Прочее</x:v>
      </x:c>
      <x:c r="E251" s="28" t="str">
        <x:v>сенсорная комплементарность</x:v>
      </x:c>
      <x:c r="F251" s="28" t="str">
        <x:v>Картофель имеет профиль «крахмалистый, землистый, ореховый и жареный после нагрева».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5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1" s="28" t="str">
        <x:v>зелёные или проросшие клубни не использовать; пережаривание даёт горечь и чрезмерно тёмную корку</x:v>
      </x:c>
      <x:c r="I251" s="28" t="str">
        <x:v>пюре, суп, запекание, крем, гарнир, соус или десертная разработка с грюйер</x:v>
      </x:c>
      <x:c r="J251" s="28" t="str">
        <x:v>Средняя</x:v>
      </x:c>
      <x:c r="K251" s="28" t="str">
        <x:v>The Art &amp; Science of Foodpairing.pdf</x:v>
      </x:c>
      <x:c r="L251" s="28" t="str">
        <x:v>The Art &amp; Science of Foodpairing.pdf: 196</x:v>
      </x:c>
    </x:row>
    <x:row r="252" ht="66" customHeight="1">
      <x:c r="A252" s="28" t="str">
        <x:v>VEG-0333</x:v>
      </x:c>
      <x:c r="B252" s="28" t="str">
        <x:v>картофель</x:v>
      </x:c>
      <x:c r="C252" s="28" t="str">
        <x:v>гуава</x:v>
      </x:c>
      <x:c r="D252" s="28" t="str">
        <x:v>Фрукты и ягоды</x:v>
      </x:c>
      <x:c r="E252" s="28" t="str">
        <x:v>общие характерные молекулы; кислотно-сладкий баланс</x:v>
      </x:c>
      <x:c r="F252" s="28" t="str">
        <x:v>Картофель имеет профиль «крахмалистый, землистый, ореховый и жареный после нагрева». Партнёр «гуава»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5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2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52" s="28" t="str">
        <x:v>пюре, суп, запекание, крем, гарнир, соус или десертная разработка с гуава</x:v>
      </x:c>
      <x:c r="J252" s="28" t="str">
        <x:v>Средняя</x:v>
      </x:c>
      <x:c r="K252" s="28" t="str">
        <x:v>The Art &amp; Science of Foodpairing.pdf</x:v>
      </x:c>
      <x:c r="L252" s="28" t="str">
        <x:v>The Art &amp; Science of Foodpairing.pdf: 196</x:v>
      </x:c>
    </x:row>
    <x:row r="253" ht="66" customHeight="1">
      <x:c r="A253" s="28" t="str">
        <x:v>VEG-0334</x:v>
      </x:c>
      <x:c r="B253" s="28" t="str">
        <x:v>картофель</x:v>
      </x:c>
      <x:c r="C253" s="28" t="str">
        <x:v>дикая утка</x:v>
      </x:c>
      <x:c r="D253" s="28" t="str">
        <x:v>Мясо и птица</x:v>
      </x:c>
      <x:c r="E253" s="28" t="str">
        <x:v>общие характерные молекулы; пересечение ароматических семейств; умами и солёный контраст</x:v>
      </x:c>
      <x:c r="F253" s="28" t="str">
        <x:v>Картофель имеет профиль «крахмалистый, землистый, ореховый и жареный после нагрева». Партнёр «дикая утка»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5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3" s="28" t="str">
        <x:v>зелёные или проросшие клубни не использовать; пережаривание даёт горечь и чрезмерно тёмную корку</x:v>
      </x:c>
      <x:c r="I253" s="28" t="str">
        <x:v>пюре, суп, запекание, крем, гарнир, соус или десертная разработка с дикая утка</x:v>
      </x:c>
      <x:c r="J253" s="28" t="str">
        <x:v>Средняя</x:v>
      </x:c>
      <x:c r="K253" s="28" t="str">
        <x:v>The Art &amp; Science of Foodpairing.pdf</x:v>
      </x:c>
      <x:c r="L253" s="28" t="str">
        <x:v>The Art &amp; Science of Foodpairing.pdf: 196</x:v>
      </x:c>
    </x:row>
    <x:row r="254" ht="66" customHeight="1">
      <x:c r="A254" s="28" t="str">
        <x:v>VEG-0335</x:v>
      </x:c>
      <x:c r="B254" s="28" t="str">
        <x:v>картофель</x:v>
      </x:c>
      <x:c r="C254" s="28" t="str">
        <x:v>дыня</x:v>
      </x:c>
      <x:c r="D254" s="28" t="str">
        <x:v>Фрукты и ягоды</x:v>
      </x:c>
      <x:c r="E254" s="28" t="str">
        <x:v>общие характерные молекулы; кислотно-сладкий баланс</x:v>
      </x:c>
      <x:c r="F254" s="28" t="str">
        <x:v>Картофель имеет профиль «крахмалистый, землистый, ореховый и жареный после нагрева». Партнёр «дыня»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5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4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54" s="28" t="str">
        <x:v>пюре, суп, запекание, крем, гарнир, соус или десертная разработка с дыня</x:v>
      </x:c>
      <x:c r="J254" s="28" t="str">
        <x:v>Средняя</x:v>
      </x:c>
      <x:c r="K254" s="28" t="str">
        <x:v>The Art &amp; Science of Foodpairing.pdf</x:v>
      </x:c>
      <x:c r="L254" s="28" t="str">
        <x:v>The Art &amp; Science of Foodpairing.pdf: 196</x:v>
      </x:c>
    </x:row>
    <x:row r="255" ht="66" customHeight="1">
      <x:c r="A255" s="28" t="str">
        <x:v>VEG-0336</x:v>
      </x:c>
      <x:c r="B255" s="28" t="str">
        <x:v>картофель</x:v>
      </x:c>
      <x:c r="C255" s="28" t="str">
        <x:v>жареная курица</x:v>
      </x:c>
      <x:c r="D255" s="28" t="str">
        <x:v>Мясо и птица</x:v>
      </x:c>
      <x:c r="E255" s="28" t="str">
        <x:v>общие характерные молекулы; пересечение ароматических семейств; умами и солёный контраст</x:v>
      </x:c>
      <x:c r="F255" s="28" t="str">
        <x:v>Картофель имеет профиль «крахмалистый, землистый, ореховый и жареный после нагрева». Партнёр «жареная курица»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5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5" s="28" t="str">
        <x:v>зелёные или проросшие клубни не использовать; пережаривание даёт горечь и чрезмерно тёмную корку</x:v>
      </x:c>
      <x:c r="I255" s="28" t="str">
        <x:v>пюре, суп, запекание, крем, гарнир, соус или десертная разработка с жареная курица</x:v>
      </x:c>
      <x:c r="J255" s="28" t="str">
        <x:v>Средняя</x:v>
      </x:c>
      <x:c r="K255" s="28" t="str">
        <x:v>The Art &amp; Science of Foodpairing.pdf</x:v>
      </x:c>
      <x:c r="L255" s="28" t="str">
        <x:v>The Art &amp; Science of Foodpairing.pdf: 196</x:v>
      </x:c>
    </x:row>
    <x:row r="256" ht="66" customHeight="1">
      <x:c r="A256" s="28" t="str">
        <x:v>VEG-0337</x:v>
      </x:c>
      <x:c r="B256" s="28" t="str">
        <x:v>картофель</x:v>
      </x:c>
      <x:c r="C256" s="28" t="str">
        <x:v>жасмин</x:v>
      </x:c>
      <x:c r="D256" s="28" t="str">
        <x:v>Травы, цветы и листья</x:v>
      </x:c>
      <x:c r="E256" s="28" t="str">
        <x:v>сенсорная комплементарность</x:v>
      </x:c>
      <x:c r="F256" s="28" t="str">
        <x:v>Картофель имеет профиль «крахмалистый, землистый, ореховый и жареный после нагрева».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5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6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56" s="28" t="str">
        <x:v>пюре, суп, запекание, крем, гарнир, соус или десертная разработка с жасмин</x:v>
      </x:c>
      <x:c r="J256" s="28" t="str">
        <x:v>Средняя</x:v>
      </x:c>
      <x:c r="K256" s="28" t="str">
        <x:v>The Art &amp; Science of Foodpairing.pdf</x:v>
      </x:c>
      <x:c r="L256" s="28" t="str">
        <x:v>The Art &amp; Science of Foodpairing.pdf: 210</x:v>
      </x:c>
    </x:row>
    <x:row r="257" ht="66" customHeight="1">
      <x:c r="A257" s="28" t="str">
        <x:v>VEG-0338</x:v>
      </x:c>
      <x:c r="B257" s="28" t="str">
        <x:v>картофель</x:v>
      </x:c>
      <x:c r="C257" s="28" t="str">
        <x:v>жирная рыба</x:v>
      </x:c>
      <x:c r="D257" s="28" t="str">
        <x:v>Рыба и морепродукты</x:v>
      </x:c>
      <x:c r="E257" s="28" t="str">
        <x:v>общие характерные молекулы; умами и солёный контраст</x:v>
      </x:c>
      <x:c r="F257" s="28" t="str">
        <x:v>Картофель имеет профиль «крахмалистый, землистый, ореховый и жареный после нагрева». Партнёр «жирная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5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7" s="28" t="str">
        <x:v>зелёные или проросшие клубни не использовать; пережаривание даёт горечь и чрезмерно тёмную корку</x:v>
      </x:c>
      <x:c r="I257" s="28" t="str">
        <x:v>пюре, суп, запекание, крем, гарнир, соус или десертная разработка с жирная рыба</x:v>
      </x:c>
      <x:c r="J257" s="28" t="str">
        <x:v>Средняя</x:v>
      </x:c>
      <x:c r="K257" s="28" t="str">
        <x:v>Тезариус вкусов (Ники Сегнит)(1).pdf</x:v>
      </x:c>
      <x:c r="L257" s="28" t="str">
        <x:v>Тезариус вкусов (Ники Сегнит)(1).pdf: 235, 412</x:v>
      </x:c>
    </x:row>
    <x:row r="258" ht="66" customHeight="1">
      <x:c r="A258" s="28" t="str">
        <x:v>VEG-0339</x:v>
      </x:c>
      <x:c r="B258" s="28" t="str">
        <x:v>картофель</x:v>
      </x:c>
      <x:c r="C258" s="28" t="str">
        <x:v>зира</x:v>
      </x:c>
      <x:c r="D258" s="28" t="str">
        <x:v>Специи</x:v>
      </x:c>
      <x:c r="E258" s="28" t="str">
        <x:v>пересечение ароматических семейств</x:v>
      </x:c>
      <x:c r="F258" s="28" t="str">
        <x:v>Картофель имеет профиль «крахмалистый, землистый, ореховый и жареный после нагрева». Партнёр «зира» относится к группе «Специи» и даёт жареный, землистый, пряный. Профили пересекаются в семействах: жареный, землистый.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5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8" s="28" t="str">
        <x:v>зелёные или проросшие клубни не использовать; пережаривание даёт горечь и чрезмерно тёмную корку</x:v>
      </x:c>
      <x:c r="I258" s="28" t="str">
        <x:v>пюре, суп, запекание, крем, гарнир, соус или десертная разработка с зира</x:v>
      </x:c>
      <x:c r="J258" s="28" t="str">
        <x:v>Средняя</x:v>
      </x:c>
      <x:c r="K258" s="28" t="str">
        <x:v>Тезариус вкусов (Ники Сегнит)(1).pdf</x:v>
      </x:c>
      <x:c r="L258" s="28" t="str">
        <x:v>Тезариус вкусов (Ники Сегнит)(1).pdf: 216, 235</x:v>
      </x:c>
    </x:row>
    <x:row r="259" ht="66" customHeight="1">
      <x:c r="A259" s="28" t="str">
        <x:v>VEG-0340</x:v>
      </x:c>
      <x:c r="B259" s="28" t="str">
        <x:v>картофель</x:v>
      </x:c>
      <x:c r="C259" s="28" t="str">
        <x:v>имбирь</x:v>
      </x:c>
      <x:c r="D259" s="28" t="str">
        <x:v>Специи</x:v>
      </x:c>
      <x:c r="E259" s="28" t="str">
        <x:v>сенсорная комплементарность</x:v>
      </x:c>
      <x:c r="F259" s="28" t="str">
        <x:v>Картофель имеет профиль «крахмалистый, землистый, ореховый и жареный после нагрева».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5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9" s="28" t="str">
        <x:v>зелёные или проросшие клубни не использовать; пережаривание даёт горечь и чрезмерно тёмную корку</x:v>
      </x:c>
      <x:c r="I259" s="28" t="str">
        <x:v>пюре, суп, запекание, крем, гарнир, соус или десертная разработка с имбирь</x:v>
      </x:c>
      <x:c r="J259" s="28" t="str">
        <x:v>Средняя</x:v>
      </x:c>
      <x:c r="K259" s="28" t="str">
        <x:v>The Art &amp; Science of Foodpairing.pdf</x:v>
      </x:c>
      <x:c r="L259" s="28" t="str">
        <x:v>The Art &amp; Science of Foodpairing.pdf: 142</x:v>
      </x:c>
    </x:row>
    <x:row r="260" ht="66" customHeight="1">
      <x:c r="A260" s="28" t="str">
        <x:v>VEG-0341</x:v>
      </x:c>
      <x:c r="B260" s="28" t="str">
        <x:v>картофель</x:v>
      </x:c>
      <x:c r="C260" s="28" t="str">
        <x:v>испанский чоризо</x:v>
      </x:c>
      <x:c r="D260" s="28" t="str">
        <x:v>Прочее</x:v>
      </x:c>
      <x:c r="E260" s="28" t="str">
        <x:v>сенсорная комплементарность</x:v>
      </x:c>
      <x:c r="F260" s="28" t="str">
        <x:v>Картофель имеет профиль «крахмалистый, землистый, ореховый и жареный после нагрева».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0" s="28" t="str">
        <x:v>зелёные или проросшие клубни не использовать; пережаривание даёт горечь и чрезмерно тёмную корку</x:v>
      </x:c>
      <x:c r="I260" s="28" t="str">
        <x:v>пюре, суп, запекание, крем, гарнир, соус или десертная разработка с испанский чоризо</x:v>
      </x:c>
      <x:c r="J260" s="28" t="str">
        <x:v>Средняя</x:v>
      </x:c>
      <x:c r="K260" s="28" t="str">
        <x:v>The Art &amp; Science of Foodpairing.pdf</x:v>
      </x:c>
      <x:c r="L260" s="28" t="str">
        <x:v>The Art &amp; Science of Foodpairing.pdf: 196</x:v>
      </x:c>
    </x:row>
    <x:row r="261" ht="66" customHeight="1">
      <x:c r="A261" s="28" t="str">
        <x:v>VEG-0342</x:v>
      </x:c>
      <x:c r="B261" s="28" t="str">
        <x:v>картофель</x:v>
      </x:c>
      <x:c r="C261" s="28" t="str">
        <x:v>каперсы</x:v>
      </x:c>
      <x:c r="D261" s="28" t="str">
        <x:v>Прочее</x:v>
      </x:c>
      <x:c r="E261" s="28" t="str">
        <x:v>сенсорная комплементарность</x:v>
      </x:c>
      <x:c r="F261" s="28" t="str">
        <x:v>Картофель имеет профиль «крахмалистый, землистый, ореховый и жареный после нагрева».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1" s="28" t="str">
        <x:v>зелёные или проросшие клубни не использовать; пережаривание даёт горечь и чрезмерно тёмную корку</x:v>
      </x:c>
      <x:c r="I261" s="28" t="str">
        <x:v>пюре, суп, запекание, крем, гарнир, соус или десертная разработка с каперсы</x:v>
      </x:c>
      <x:c r="J261" s="28" t="str">
        <x:v>Средняя</x:v>
      </x:c>
      <x:c r="K261" s="28" t="str">
        <x:v>Тезариус вкусов (Ники Сегнит)(1).pdf</x:v>
      </x:c>
      <x:c r="L261" s="28" t="str">
        <x:v>Тезариус вкусов (Ники Сегнит)(1).pdf: 235, 268</x:v>
      </x:c>
    </x:row>
    <x:row r="262" ht="66" customHeight="1">
      <x:c r="A262" s="28" t="str">
        <x:v>VEG-0343</x:v>
      </x:c>
      <x:c r="B262" s="28" t="str">
        <x:v>картофель</x:v>
      </x:c>
      <x:c r="C262" s="28" t="str">
        <x:v>капуста</x:v>
      </x:c>
      <x:c r="D262" s="28" t="str">
        <x:v>Крестоцветные</x:v>
      </x:c>
      <x:c r="E262" s="28" t="str">
        <x:v>пересечение ароматических семейств</x:v>
      </x:c>
      <x:c r="F262" s="28" t="str">
        <x:v>Картофель имеет профиль «крахмалистый, землистый, ореховый и жареный после нагрева».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формируется за счёт баланса сладости, кислотности, горечи, умами и текстуры.</x:v>
      </x:c>
      <x:c r="G26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2" s="28" t="str">
        <x:v>зелёные или проросшие клубни не использовать; пережаривание даёт горечь и чрезмерно тёмную корку</x:v>
      </x:c>
      <x:c r="I262" s="28" t="str">
        <x:v>пюре, суп, запекание, крем, гарнир, соус или десертная разработка с капуста</x:v>
      </x:c>
      <x:c r="J262" s="28" t="str">
        <x:v>Средняя</x:v>
      </x:c>
      <x:c r="K262" s="28" t="str">
        <x:v>Тезариус вкусов (Ники Сегнит)(1).pdf</x:v>
      </x:c>
      <x:c r="L262" s="28" t="str">
        <x:v>Тезариус вкусов (Ники Сегнит)(1).pdf: 235, 311</x:v>
      </x:c>
    </x:row>
    <x:row r="263" ht="66" customHeight="1">
      <x:c r="A263" s="28" t="str">
        <x:v>VEG-0344</x:v>
      </x:c>
      <x:c r="B263" s="28" t="str">
        <x:v>картофель</x:v>
      </x:c>
      <x:c r="C263" s="28" t="str">
        <x:v>каракатица</x:v>
      </x:c>
      <x:c r="D263" s="28" t="str">
        <x:v>Рыба и морепродукты</x:v>
      </x:c>
      <x:c r="E263" s="28" t="str">
        <x:v>общие характерные молекулы; умами и солёный контраст</x:v>
      </x:c>
      <x:c r="F263" s="28" t="str">
        <x:v>Картофель имеет профиль «крахмалистый, землистый, ореховый и жареный после нагрева». Партнёр «каракатица»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6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3" s="28" t="str">
        <x:v>зелёные или проросшие клубни не использовать; пережаривание даёт горечь и чрезмерно тёмную корку</x:v>
      </x:c>
      <x:c r="I263" s="28" t="str">
        <x:v>пюре, суп, запекание, крем, гарнир, соус или десертная разработка с каракатица</x:v>
      </x:c>
      <x:c r="J263" s="28" t="str">
        <x:v>Средняя</x:v>
      </x:c>
      <x:c r="K263" s="28" t="str">
        <x:v>The Art &amp; Science of Foodpairing.pdf</x:v>
      </x:c>
      <x:c r="L263" s="28" t="str">
        <x:v>The Art &amp; Science of Foodpairing.pdf: 196</x:v>
      </x:c>
    </x:row>
    <x:row r="264" ht="66" customHeight="1">
      <x:c r="A264" s="28" t="str">
        <x:v>VEG-0345</x:v>
      </x:c>
      <x:c r="B264" s="28" t="str">
        <x:v>картофель</x:v>
      </x:c>
      <x:c r="C264" s="28" t="str">
        <x:v>кардамон</x:v>
      </x:c>
      <x:c r="D264" s="28" t="str">
        <x:v>Специи</x:v>
      </x:c>
      <x:c r="E264" s="28" t="str">
        <x:v>сенсорная комплементарность</x:v>
      </x:c>
      <x:c r="F264" s="28" t="str">
        <x:v>Картофель имеет профиль «крахмалистый, землистый, ореховый и жареный после нагрева».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6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4" s="28" t="str">
        <x:v>зелёные или проросшие клубни не использовать; пережаривание даёт горечь и чрезмерно тёмную корку</x:v>
      </x:c>
      <x:c r="I264" s="28" t="str">
        <x:v>пюре, суп, запекание, крем, гарнир, соус или десертная разработка с кардамон</x:v>
      </x:c>
      <x:c r="J264" s="28" t="str">
        <x:v>Средняя</x:v>
      </x:c>
      <x:c r="K264" s="28" t="str">
        <x:v>The Art &amp; Science of Foodpairing.pdf</x:v>
      </x:c>
      <x:c r="L264" s="28" t="str">
        <x:v>The Art &amp; Science of Foodpairing.pdf: 196</x:v>
      </x:c>
    </x:row>
    <x:row r="265" ht="66" customHeight="1">
      <x:c r="A265" s="28" t="str">
        <x:v>VEG-0346</x:v>
      </x:c>
      <x:c r="B265" s="28" t="str">
        <x:v>картофель</x:v>
      </x:c>
      <x:c r="C265" s="28" t="str">
        <x:v>картофель фри</x:v>
      </x:c>
      <x:c r="D265" s="28" t="str">
        <x:v>Корнеплоды и клубни</x:v>
      </x:c>
      <x:c r="E265" s="28" t="str">
        <x:v>общие характерные молекулы; пересечение ароматических семейств</x:v>
      </x:c>
      <x:c r="F265" s="28" t="str">
        <x:v>Картофель имеет профиль «крахмалистый, землистый, ореховый и жареный после нагрева». Партнёр «картофель фри» относится к группе «Корнеплоды и клубни» и даёт землистый, сладкий или крахмалистый.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26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5" s="28" t="str">
        <x:v>зелёные или проросшие клубни не использовать; пережаривание даёт горечь и чрезмерно тёмную корку</x:v>
      </x:c>
      <x:c r="I265" s="28" t="str">
        <x:v>пюре, суп, запекание, крем, гарнир, соус или десертная разработка с картофель фри</x:v>
      </x:c>
      <x:c r="J265" s="28" t="str">
        <x:v>Средняя</x:v>
      </x:c>
      <x:c r="K265" s="28" t="str">
        <x:v>The Art &amp; Science of Foodpairing.pdf</x:v>
      </x:c>
      <x:c r="L265" s="28" t="str">
        <x:v>The Art &amp; Science of Foodpairing.pdf: 196</x:v>
      </x:c>
    </x:row>
    <x:row r="266" ht="66" customHeight="1">
      <x:c r="A266" s="28" t="str">
        <x:v>VEG-0347</x:v>
      </x:c>
      <x:c r="B266" s="28" t="str">
        <x:v>картофель</x:v>
      </x:c>
      <x:c r="C266" s="28" t="str">
        <x:v>кетчуп</x:v>
      </x:c>
      <x:c r="D266" s="28" t="str">
        <x:v>Прочее</x:v>
      </x:c>
      <x:c r="E266" s="28" t="str">
        <x:v>сенсорная комплементарность</x:v>
      </x:c>
      <x:c r="F266" s="28" t="str">
        <x:v>Картофель имеет профиль «крахмалистый, землистый, ореховый и жареный после нагрева». Партнёр «кетчуп»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6" s="28" t="str">
        <x:v>зелёные или проросшие клубни не использовать; пережаривание даёт горечь и чрезмерно тёмную корку</x:v>
      </x:c>
      <x:c r="I266" s="28" t="str">
        <x:v>пюре, суп, запекание, крем, гарнир, соус или десертная разработка с кетчуп</x:v>
      </x:c>
      <x:c r="J266" s="28" t="str">
        <x:v>Высокая</x:v>
      </x:c>
      <x:c r="K266" s="28" t="str">
        <x:v>The Art &amp; Science of Foodpairing.pdf</x:v>
      </x:c>
      <x:c r="L266" s="28" t="str">
        <x:v>The Art &amp; Science of Foodpairing.pdf: 197</x:v>
      </x:c>
    </x:row>
    <x:row r="267" ht="66" customHeight="1">
      <x:c r="A267" s="28" t="str">
        <x:v>VEG-0348</x:v>
      </x:c>
      <x:c r="B267" s="28" t="str">
        <x:v>картофель</x:v>
      </x:c>
      <x:c r="C267" s="28" t="str">
        <x:v>киноа</x:v>
      </x:c>
      <x:c r="D267" s="28" t="str">
        <x:v>Прочее</x:v>
      </x:c>
      <x:c r="E267" s="28" t="str">
        <x:v>сенсорная комплементарность</x:v>
      </x:c>
      <x:c r="F267" s="28" t="str">
        <x:v>Картофель имеет профиль «крахмалистый, землистый, ореховый и жареный после нагрева». Партнёр «киноа»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7" s="28" t="str">
        <x:v>зелёные или проросшие клубни не использовать; пережаривание даёт горечь и чрезмерно тёмную корку</x:v>
      </x:c>
      <x:c r="I267" s="28" t="str">
        <x:v>пюре, суп, запекание, крем, гарнир, соус или десертная разработка с киноа</x:v>
      </x:c>
      <x:c r="J267" s="28" t="str">
        <x:v>Средняя</x:v>
      </x:c>
      <x:c r="K267" s="28" t="str">
        <x:v>The Art &amp; Science of Foodpairing.pdf</x:v>
      </x:c>
      <x:c r="L267" s="28" t="str">
        <x:v>The Art &amp; Science of Foodpairing.pdf: 196</x:v>
      </x:c>
    </x:row>
    <x:row r="268" ht="66" customHeight="1">
      <x:c r="A268" s="28" t="str">
        <x:v>VEG-0349</x:v>
      </x:c>
      <x:c r="B268" s="28" t="str">
        <x:v>картофель</x:v>
      </x:c>
      <x:c r="C268" s="28" t="str">
        <x:v>клубника</x:v>
      </x:c>
      <x:c r="D268" s="28" t="str">
        <x:v>Фрукты и ягоды</x:v>
      </x:c>
      <x:c r="E268" s="28" t="str">
        <x:v>кислотно-сладкий баланс</x:v>
      </x:c>
      <x:c r="F268" s="28" t="str">
        <x:v>Картофель имеет профиль «крахмалистый, землистый, ореховый и жареный после нагрева».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6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8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68" s="28" t="str">
        <x:v>пюре, суп, запекание, крем, гарнир, соус или десертная разработка с клубника</x:v>
      </x:c>
      <x:c r="J268" s="28" t="str">
        <x:v>Средняя</x:v>
      </x:c>
      <x:c r="K268" s="28" t="str">
        <x:v>The Art &amp; Science of Foodpairing.pdf</x:v>
      </x:c>
      <x:c r="L268" s="28" t="str">
        <x:v>The Art &amp; Science of Foodpairing.pdf: 196</x:v>
      </x:c>
    </x:row>
    <x:row r="269" ht="66" customHeight="1">
      <x:c r="A269" s="28" t="str">
        <x:v>VEG-0350</x:v>
      </x:c>
      <x:c r="B269" s="28" t="str">
        <x:v>картофель</x:v>
      </x:c>
      <x:c r="C269" s="28" t="str">
        <x:v>кокос</x:v>
      </x:c>
      <x:c r="D269" s="28" t="str">
        <x:v>Прочее</x:v>
      </x:c>
      <x:c r="E269" s="28" t="str">
        <x:v>сенсорная комплементарность</x:v>
      </x:c>
      <x:c r="F269" s="28" t="str">
        <x:v>Картофель имеет профиль «крахмалистый, землистый, ореховый и жареный после нагрева».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9" s="28" t="str">
        <x:v>зелёные или проросшие клубни не использовать; пережаривание даёт горечь и чрезмерно тёмную корку</x:v>
      </x:c>
      <x:c r="I269" s="28" t="str">
        <x:v>пюре, суп, запекание, крем, гарнир, соус или десертная разработка с кокос</x:v>
      </x:c>
      <x:c r="J269" s="28" t="str">
        <x:v>Средняя</x:v>
      </x:c>
      <x:c r="K269" s="28" t="str">
        <x:v>The Art &amp; Science of Foodpairing.pdf</x:v>
      </x:c>
      <x:c r="L269" s="28" t="str">
        <x:v>The Art &amp; Science of Foodpairing.pdf: 135</x:v>
      </x:c>
    </x:row>
    <x:row r="270" ht="66" customHeight="1">
      <x:c r="A270" s="28" t="str">
        <x:v>VEG-0351</x:v>
      </x:c>
      <x:c r="B270" s="28" t="str">
        <x:v>картофель</x:v>
      </x:c>
      <x:c r="C270" s="28" t="str">
        <x:v>копченая рыба</x:v>
      </x:c>
      <x:c r="D270" s="28" t="str">
        <x:v>Рыба и морепродукты</x:v>
      </x:c>
      <x:c r="E270" s="28" t="str">
        <x:v>общие характерные молекулы; умами и солёный контраст</x:v>
      </x:c>
      <x:c r="F270" s="28" t="str">
        <x:v>Картофель имеет профиль «крахмалистый, землистый, ореховый и жареный после нагрева». Партнёр «копченая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7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0" s="28" t="str">
        <x:v>зелёные или проросшие клубни не использовать; пережаривание даёт горечь и чрезмерно тёмную корку</x:v>
      </x:c>
      <x:c r="I270" s="28" t="str">
        <x:v>пюре, суп, запекание, крем, гарнир, соус или десертная разработка с копченая рыба</x:v>
      </x:c>
      <x:c r="J270" s="28" t="str">
        <x:v>Средняя</x:v>
      </x:c>
      <x:c r="K270" s="28" t="str">
        <x:v>Тезариус вкусов (Ники Сегнит)(1).pdf</x:v>
      </x:c>
      <x:c r="L270" s="28" t="str">
        <x:v>Тезариус вкусов (Ники Сегнит)(1).pdf: 236, 435</x:v>
      </x:c>
    </x:row>
    <x:row r="271" ht="66" customHeight="1">
      <x:c r="A271" s="28" t="str">
        <x:v>VEG-0352</x:v>
      </x:c>
      <x:c r="B271" s="28" t="str">
        <x:v>картофель</x:v>
      </x:c>
      <x:c r="C271" s="28" t="str">
        <x:v>корейский рыбный соус</x:v>
      </x:c>
      <x:c r="D271" s="28" t="str">
        <x:v>Рыба и морепродукты</x:v>
      </x:c>
      <x:c r="E271" s="28" t="str">
        <x:v>общие характерные молекулы; умами и солёный контраст</x:v>
      </x:c>
      <x:c r="F271" s="28" t="str">
        <x:v>Картофель имеет профиль «крахмалистый, землистый, ореховый и жареный после нагрева». Партнёр «корейский рыбный соус»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7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1" s="28" t="str">
        <x:v>зелёные или проросшие клубни не использовать; пережаривание даёт горечь и чрезмерно тёмную корку</x:v>
      </x:c>
      <x:c r="I271" s="28" t="str">
        <x:v>пюре, суп, запекание, крем, гарнир, соус или десертная разработка с корейский рыбный соус</x:v>
      </x:c>
      <x:c r="J271" s="28" t="str">
        <x:v>Средняя</x:v>
      </x:c>
      <x:c r="K271" s="28" t="str">
        <x:v>The Art &amp; Science of Foodpairing.pdf</x:v>
      </x:c>
      <x:c r="L271" s="28" t="str">
        <x:v>The Art &amp; Science of Foodpairing.pdf: 196</x:v>
      </x:c>
    </x:row>
    <x:row r="272" ht="66" customHeight="1">
      <x:c r="A272" s="28" t="str">
        <x:v>VEG-0353</x:v>
      </x:c>
      <x:c r="B272" s="28" t="str">
        <x:v>картофель</x:v>
      </x:c>
      <x:c r="C272" s="28" t="str">
        <x:v>кофе</x:v>
      </x:c>
      <x:c r="D272" s="28" t="str">
        <x:v>Кофе</x:v>
      </x:c>
      <x:c r="E272" s="28" t="str">
        <x:v>общие характерные молекулы; пересечение ароматических семейств</x:v>
      </x:c>
      <x:c r="F272" s="28" t="str">
        <x:v>Картофель имеет профиль «крахмалистый, землистый, ореховый и жареный после нагрева».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27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2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I272" s="28" t="str">
        <x:v>пюре, суп, запекание, крем, гарнир, соус или десертная разработка с кофе</x:v>
      </x:c>
      <x:c r="J272" s="28" t="str">
        <x:v>Средняя</x:v>
      </x:c>
      <x:c r="K272" s="28" t="str">
        <x:v>The Art &amp; Science of Foodpairing.pdf</x:v>
      </x:c>
      <x:c r="L272" s="28" t="str">
        <x:v>The Art &amp; Science of Foodpairing.pdf: 196</x:v>
      </x:c>
    </x:row>
    <x:row r="273" ht="66" customHeight="1">
      <x:c r="A273" s="28" t="str">
        <x:v>VEG-0354</x:v>
      </x:c>
      <x:c r="B273" s="28" t="str">
        <x:v>картофель</x:v>
      </x:c>
      <x:c r="C273" s="28" t="str">
        <x:v>краб</x:v>
      </x:c>
      <x:c r="D273" s="28" t="str">
        <x:v>Рыба и морепродукты</x:v>
      </x:c>
      <x:c r="E273" s="28" t="str">
        <x:v>общие характерные молекулы; умами и солёный контраст</x:v>
      </x:c>
      <x:c r="F273" s="28" t="str">
        <x:v>Картофель имеет профиль «крахмалистый, землистый, ореховый и жареный после нагрева». Партнёр «краб»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7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3" s="28" t="str">
        <x:v>зелёные или проросшие клубни не использовать; пережаривание даёт горечь и чрезмерно тёмную корку</x:v>
      </x:c>
      <x:c r="I273" s="28" t="str">
        <x:v>пюре, суп, запекание, крем, гарнир, соус или десертная разработка с краб</x:v>
      </x:c>
      <x:c r="J273" s="28" t="str">
        <x:v>Средняя</x:v>
      </x:c>
      <x:c r="K273" s="28" t="str">
        <x:v>The Art &amp; Science of Foodpairing.pdf</x:v>
      </x:c>
      <x:c r="L273" s="28" t="str">
        <x:v>The Art &amp; Science of Foodpairing.pdf: 196</x:v>
      </x:c>
    </x:row>
    <x:row r="274" ht="66" customHeight="1">
      <x:c r="A274" s="28" t="str">
        <x:v>VEG-0355</x:v>
      </x:c>
      <x:c r="B274" s="28" t="str">
        <x:v>картофель</x:v>
      </x:c>
      <x:c r="C274" s="28" t="str">
        <x:v>кунжутная халва</x:v>
      </x:c>
      <x:c r="D274" s="28" t="str">
        <x:v>Орехи и семена</x:v>
      </x:c>
      <x:c r="E274" s="28" t="str">
        <x:v>общие характерные молекулы; пересечение ароматических семейств</x:v>
      </x:c>
      <x:c r="F274" s="28" t="str">
        <x:v>Картофель имеет профиль «крахмалистый, землистый, ореховый и жареный после нагрева». Партнёр «кунжутная халва»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27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4" s="28" t="str">
        <x:v>зелёные или проросшие клубни не использовать; пережаривание даёт горечь и чрезмерно тёмную корку</x:v>
      </x:c>
      <x:c r="I274" s="28" t="str">
        <x:v>пюре, суп, запекание, крем, гарнир, соус или десертная разработка с кунжутная халва</x:v>
      </x:c>
      <x:c r="J274" s="28" t="str">
        <x:v>Средняя</x:v>
      </x:c>
      <x:c r="K274" s="28" t="str">
        <x:v>The Art &amp; Science of Foodpairing.pdf</x:v>
      </x:c>
      <x:c r="L274" s="28" t="str">
        <x:v>The Art &amp; Science of Foodpairing.pdf: 196</x:v>
      </x:c>
    </x:row>
    <x:row r="275" ht="66" customHeight="1">
      <x:c r="A275" s="28" t="str">
        <x:v>VEG-0356</x:v>
      </x:c>
      <x:c r="B275" s="28" t="str">
        <x:v>картофель</x:v>
      </x:c>
      <x:c r="C275" s="28" t="str">
        <x:v>лангустин</x:v>
      </x:c>
      <x:c r="D275" s="28" t="str">
        <x:v>Рыба и морепродукты</x:v>
      </x:c>
      <x:c r="E275" s="28" t="str">
        <x:v>общие характерные молекулы; умами и солёный контраст</x:v>
      </x:c>
      <x:c r="F275" s="28" t="str">
        <x:v>Картофель имеет профиль «крахмалистый, землистый, ореховый и жареный после нагрева». Партнёр «лангустин»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7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5" s="28" t="str">
        <x:v>зелёные или проросшие клубни не использовать; пережаривание даёт горечь и чрезмерно тёмную корку</x:v>
      </x:c>
      <x:c r="I275" s="28" t="str">
        <x:v>пюре, суп, запекание, крем, гарнир, соус или десертная разработка с лангустин</x:v>
      </x:c>
      <x:c r="J275" s="28" t="str">
        <x:v>Средняя</x:v>
      </x:c>
      <x:c r="K275" s="28" t="str">
        <x:v>The Art &amp; Science of Foodpairing.pdf</x:v>
      </x:c>
      <x:c r="L275" s="28" t="str">
        <x:v>The Art &amp; Science of Foodpairing.pdf: 196</x:v>
      </x:c>
    </x:row>
    <x:row r="276" ht="66" customHeight="1">
      <x:c r="A276" s="28" t="str">
        <x:v>VEG-0357</x:v>
      </x:c>
      <x:c r="B276" s="28" t="str">
        <x:v>картофель</x:v>
      </x:c>
      <x:c r="C276" s="28" t="str">
        <x:v>летний трюфель</x:v>
      </x:c>
      <x:c r="D276" s="28" t="str">
        <x:v>Грибы</x:v>
      </x:c>
      <x:c r="E276" s="28" t="str">
        <x:v>пересечение ароматических семейств; умами и солёный контраст</x:v>
      </x:c>
      <x:c r="F276" s="28" t="str">
        <x:v>Картофель имеет профиль «крахмалистый, землистый, ореховый и жареный после нагрева». Партнёр «летний 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27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6" s="28" t="str">
        <x:v>зелёные или проросшие клубни не использовать; пережаривание даёт горечь и чрезмерно тёмную корку</x:v>
      </x:c>
      <x:c r="I276" s="28" t="str">
        <x:v>пюре, суп, запекание, крем, гарнир, соус или десертная разработка с летний трюфель</x:v>
      </x:c>
      <x:c r="J276" s="28" t="str">
        <x:v>Средняя</x:v>
      </x:c>
      <x:c r="K276" s="28" t="str">
        <x:v>The Art &amp; Science of Foodpairing.pdf</x:v>
      </x:c>
      <x:c r="L276" s="28" t="str">
        <x:v>The Art &amp; Science of Foodpairing.pdf: 196</x:v>
      </x:c>
    </x:row>
    <x:row r="277" ht="66" customHeight="1">
      <x:c r="A277" s="28" t="str">
        <x:v>VEG-0358</x:v>
      </x:c>
      <x:c r="B277" s="28" t="str">
        <x:v>картофель</x:v>
      </x:c>
      <x:c r="C277" s="28" t="str">
        <x:v>ликёр бенедиктин</x:v>
      </x:c>
      <x:c r="D277" s="28" t="str">
        <x:v>Прочее</x:v>
      </x:c>
      <x:c r="E277" s="28" t="str">
        <x:v>сенсорная комплементарность</x:v>
      </x:c>
      <x:c r="F277" s="28" t="str">
        <x:v>Картофель имеет профиль «крахмалистый, землистый, ореховый и жареный после нагрева». Партнёр «ликёр бенедиктин»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7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7" s="28" t="str">
        <x:v>зелёные или проросшие клубни не использовать; пережаривание даёт горечь и чрезмерно тёмную корку</x:v>
      </x:c>
      <x:c r="I277" s="28" t="str">
        <x:v>пюре, суп, запекание, крем, гарнир, соус или десертная разработка с ликёр бенедиктин</x:v>
      </x:c>
      <x:c r="J277" s="28" t="str">
        <x:v>Средняя</x:v>
      </x:c>
      <x:c r="K277" s="28" t="str">
        <x:v>The Art &amp; Science of Foodpairing.pdf</x:v>
      </x:c>
      <x:c r="L277" s="28" t="str">
        <x:v>The Art &amp; Science of Foodpairing.pdf: 196</x:v>
      </x:c>
    </x:row>
    <x:row r="278" ht="66" customHeight="1">
      <x:c r="A278" s="28" t="str">
        <x:v>VEG-0359</x:v>
      </x:c>
      <x:c r="B278" s="28" t="str">
        <x:v>картофель</x:v>
      </x:c>
      <x:c r="C278" s="28" t="str">
        <x:v>лимон</x:v>
      </x:c>
      <x:c r="D278" s="28" t="str">
        <x:v>Фрукты и ягоды</x:v>
      </x:c>
      <x:c r="E278" s="28" t="str">
        <x:v>кислотно-сладкий баланс</x:v>
      </x:c>
      <x:c r="F278" s="28" t="str">
        <x:v>Картофель имеет профиль «крахмалистый, землистый, ореховый и жареный после нагрева».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7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8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78" s="28" t="str">
        <x:v>пюре, суп, запекание, крем, гарнир, соус или десертная разработка с лимон</x:v>
      </x:c>
      <x:c r="J278" s="28" t="str">
        <x:v>Средняя</x:v>
      </x:c>
      <x:c r="K278" s="28" t="str">
        <x:v>Тезариус вкусов (Ники Сегнит)(1).pdf</x:v>
      </x:c>
      <x:c r="L278" s="28" t="str">
        <x:v>Тезариус вкусов (Ники Сегнит)(1).pdf: 236, 803</x:v>
      </x:c>
    </x:row>
    <x:row r="279" ht="66" customHeight="1">
      <x:c r="A279" s="28" t="str">
        <x:v>VEG-0360</x:v>
      </x:c>
      <x:c r="B279" s="28" t="str">
        <x:v>картофель</x:v>
      </x:c>
      <x:c r="C279" s="28" t="str">
        <x:v>лимон и лайм</x:v>
      </x:c>
      <x:c r="D279" s="28" t="str">
        <x:v>Фрукты и ягоды</x:v>
      </x:c>
      <x:c r="E279" s="28" t="str">
        <x:v>кислотно-сладкий баланс</x:v>
      </x:c>
      <x:c r="F279" s="28" t="str">
        <x:v>Картофель имеет профиль «крахмалистый, землистый, ореховый и жареный после нагрева». Партнёр «лимон и лайм»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7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9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79" s="28" t="str">
        <x:v>пюре, суп, запекание, крем, гарнир, соус или десертная разработка с лимон и лайм</x:v>
      </x:c>
      <x:c r="J279" s="28" t="str">
        <x:v>Средняя</x:v>
      </x:c>
      <x:c r="K279" s="28" t="str">
        <x:v>The Art &amp; Science of Foodpairing.pdf</x:v>
      </x:c>
      <x:c r="L279" s="28" t="str">
        <x:v>The Art &amp; Science of Foodpairing.pdf: 88</x:v>
      </x:c>
    </x:row>
    <x:row r="280" ht="66" customHeight="1">
      <x:c r="A280" s="28" t="str">
        <x:v>VEG-0361</x:v>
      </x:c>
      <x:c r="B280" s="28" t="str">
        <x:v>картофель</x:v>
      </x:c>
      <x:c r="C280" s="28" t="str">
        <x:v>лисички</x:v>
      </x:c>
      <x:c r="D280" s="28" t="str">
        <x:v>Прочее</x:v>
      </x:c>
      <x:c r="E280" s="28" t="str">
        <x:v>сенсорная комплементарность</x:v>
      </x:c>
      <x:c r="F280" s="28" t="str">
        <x:v>Картофель имеет профиль «крахмалистый, землистый, ореховый и жареный после нагрева». Партнёр «лисички»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8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0" s="28" t="str">
        <x:v>зелёные или проросшие клубни не использовать; пережаривание даёт горечь и чрезмерно тёмную корку</x:v>
      </x:c>
      <x:c r="I280" s="28" t="str">
        <x:v>пюре, суп, запекание, крем, гарнир, соус или десертная разработка с лисички</x:v>
      </x:c>
      <x:c r="J280" s="28" t="str">
        <x:v>Средняя</x:v>
      </x:c>
      <x:c r="K280" s="28" t="str">
        <x:v>The Art &amp; Science of Foodpairing.pdf</x:v>
      </x:c>
      <x:c r="L280" s="28" t="str">
        <x:v>The Art &amp; Science of Foodpairing.pdf: 196</x:v>
      </x:c>
    </x:row>
    <x:row r="281" ht="66" customHeight="1">
      <x:c r="A281" s="28" t="str">
        <x:v>VEG-0362</x:v>
      </x:c>
      <x:c r="B281" s="28" t="str">
        <x:v>картофель</x:v>
      </x:c>
      <x:c r="C281" s="28" t="str">
        <x:v>листья душистой герани</x:v>
      </x:c>
      <x:c r="D281" s="28" t="str">
        <x:v>Прочее</x:v>
      </x:c>
      <x:c r="E281" s="28" t="str">
        <x:v>сенсорная комплементарность</x:v>
      </x:c>
      <x:c r="F281" s="28" t="str">
        <x:v>Картофель имеет профиль «крахмалистый, землистый, ореховый и жареный после нагрева». Партнёр «листья душистой герани»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8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1" s="28" t="str">
        <x:v>зелёные или проросшие клубни не использовать; пережаривание даёт горечь и чрезмерно тёмную корку</x:v>
      </x:c>
      <x:c r="I281" s="28" t="str">
        <x:v>пюре, суп, запекание, крем, гарнир, соус или десертная разработка с листья душистой герани</x:v>
      </x:c>
      <x:c r="J281" s="28" t="str">
        <x:v>Средняя</x:v>
      </x:c>
      <x:c r="K281" s="28" t="str">
        <x:v>The Art &amp; Science of Foodpairing.pdf</x:v>
      </x:c>
      <x:c r="L281" s="28" t="str">
        <x:v>The Art &amp; Science of Foodpairing.pdf: 196</x:v>
      </x:c>
    </x:row>
    <x:row r="282" ht="66" customHeight="1">
      <x:c r="A282" s="28" t="str">
        <x:v>VEG-0363</x:v>
      </x:c>
      <x:c r="B282" s="28" t="str">
        <x:v>картофель</x:v>
      </x:c>
      <x:c r="C282" s="28" t="str">
        <x:v>листья кориандра</x:v>
      </x:c>
      <x:c r="D282" s="28" t="str">
        <x:v>Травы, цветы и листья</x:v>
      </x:c>
      <x:c r="E282" s="28" t="str">
        <x:v>сенсорная комплементарность</x:v>
      </x:c>
      <x:c r="F282" s="28" t="str">
        <x:v>Картофель имеет профиль «крахмалистый, землистый, ореховый и жареный после нагрева».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8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2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82" s="28" t="str">
        <x:v>пюре, суп, запекание, крем, гарнир, соус или десертная разработка с листья кориандра</x:v>
      </x:c>
      <x:c r="J282" s="28" t="str">
        <x:v>Средняя</x:v>
      </x:c>
      <x:c r="K282" s="28" t="str">
        <x:v>Тезариус вкусов (Ники Сегнит)(1).pdf</x:v>
      </x:c>
      <x:c r="L282" s="28" t="str">
        <x:v>Тезариус вкусов (Ники Сегнит)(1).pdf: 236, 519</x:v>
      </x:c>
    </x:row>
    <x:row r="283" ht="66" customHeight="1">
      <x:c r="A283" s="28" t="str">
        <x:v>VEG-0364</x:v>
      </x:c>
      <x:c r="B283" s="28" t="str">
        <x:v>картофель</x:v>
      </x:c>
      <x:c r="C283" s="28" t="str">
        <x:v>личи</x:v>
      </x:c>
      <x:c r="D283" s="28" t="str">
        <x:v>Фрукты и ягоды</x:v>
      </x:c>
      <x:c r="E283" s="28" t="str">
        <x:v>общие характерные молекулы; кислотно-сладкий баланс</x:v>
      </x:c>
      <x:c r="F283" s="28" t="str">
        <x:v>Картофель имеет профиль «крахмалистый, землистый, ореховый и жареный после нагрева». Партнёр «личи»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8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3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83" s="28" t="str">
        <x:v>пюре, суп, запекание, крем, гарнир, соус или десертная разработка с личи</x:v>
      </x:c>
      <x:c r="J283" s="28" t="str">
        <x:v>Средняя</x:v>
      </x:c>
      <x:c r="K283" s="28" t="str">
        <x:v>The Art &amp; Science of Foodpairing.pdf</x:v>
      </x:c>
      <x:c r="L283" s="28" t="str">
        <x:v>The Art &amp; Science of Foodpairing.pdf: 196</x:v>
      </x:c>
    </x:row>
    <x:row r="284" ht="66" customHeight="1">
      <x:c r="A284" s="28" t="str">
        <x:v>VEG-0365</x:v>
      </x:c>
      <x:c r="B284" s="28" t="str">
        <x:v>картофель</x:v>
      </x:c>
      <x:c r="C284" s="28" t="str">
        <x:v>лук</x:v>
      </x:c>
      <x:c r="D284" s="28" t="str">
        <x:v>Луковые овощи</x:v>
      </x:c>
      <x:c r="E284" s="28" t="str">
        <x:v>пересечение ароматических семейств</x:v>
      </x:c>
      <x:c r="F284" s="28" t="str">
        <x:v>Картофель имеет профиль «крахмалистый, землистый, ореховый и жареный после нагрева».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28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4" s="28" t="str">
        <x:v>зелёные или проросшие клубни не использовать; пережаривание даёт горечь и чрезмерно тёмную корку</x:v>
      </x:c>
      <x:c r="I284" s="28" t="str">
        <x:v>пюре, суп, запекание, крем, гарнир, соус или десертная разработка с лук</x:v>
      </x:c>
      <x:c r="J284" s="28" t="str">
        <x:v>Высокая</x:v>
      </x:c>
      <x:c r="K284" s="28" t="str">
        <x:v>The Art &amp; Science of Foodpairing.pdf | Тезариус вкусов (Ники Сегнит)(1).pdf</x:v>
      </x:c>
      <x:c r="L284" s="28" t="str">
        <x:v>Тезариус вкусов (Ники Сегнит)(1).pdf: 236, 284; The Art &amp; Science of Foodpairing.pdf: 196</x:v>
      </x:c>
    </x:row>
    <x:row r="285" ht="66" customHeight="1">
      <x:c r="A285" s="28" t="str">
        <x:v>VEG-0366</x:v>
      </x:c>
      <x:c r="B285" s="28" t="str">
        <x:v>картофель</x:v>
      </x:c>
      <x:c r="C285" s="28" t="str">
        <x:v>манго</x:v>
      </x:c>
      <x:c r="D285" s="28" t="str">
        <x:v>Фрукты и ягоды</x:v>
      </x:c>
      <x:c r="E285" s="28" t="str">
        <x:v>общие характерные молекулы; кислотно-сладкий баланс</x:v>
      </x:c>
      <x:c r="F285" s="28" t="str">
        <x:v>Картофель имеет профиль «крахмалистый, землистый, ореховый и жареный после нагрева». Партнёр «манго»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8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85" s="28" t="str">
        <x:v>пюре, суп, запекание, крем, гарнир, соус или десертная разработка с манго</x:v>
      </x:c>
      <x:c r="J285" s="28" t="str">
        <x:v>Средняя</x:v>
      </x:c>
      <x:c r="K285" s="28" t="str">
        <x:v>The Art &amp; Science of Foodpairing.pdf</x:v>
      </x:c>
      <x:c r="L285" s="28" t="str">
        <x:v>The Art &amp; Science of Foodpairing.pdf: 312</x:v>
      </x:c>
    </x:row>
    <x:row r="286" ht="66" customHeight="1">
      <x:c r="A286" s="28" t="str">
        <x:v>VEG-0367</x:v>
      </x:c>
      <x:c r="B286" s="28" t="str">
        <x:v>картофель</x:v>
      </x:c>
      <x:c r="C286" s="28" t="str">
        <x:v>маниок</x:v>
      </x:c>
      <x:c r="D286" s="28" t="str">
        <x:v>Прочее</x:v>
      </x:c>
      <x:c r="E286" s="28" t="str">
        <x:v>сенсорная комплементарность</x:v>
      </x:c>
      <x:c r="F286" s="28" t="str">
        <x:v>Картофель имеет профиль «крахмалистый, землистый, ореховый и жареный после нагрева».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8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6" s="28" t="str">
        <x:v>зелёные или проросшие клубни не использовать; пережаривание даёт горечь и чрезмерно тёмную корку</x:v>
      </x:c>
      <x:c r="I286" s="28" t="str">
        <x:v>пюре, суп, запекание, крем, гарнир, соус или десертная разработка с маниок</x:v>
      </x:c>
      <x:c r="J286" s="28" t="str">
        <x:v>Средняя</x:v>
      </x:c>
      <x:c r="K286" s="28" t="str">
        <x:v>The Art &amp; Science of Foodpairing.pdf</x:v>
      </x:c>
      <x:c r="L286" s="28" t="str">
        <x:v>The Art &amp; Science of Foodpairing.pdf: 251</x:v>
      </x:c>
    </x:row>
    <x:row r="287" ht="66" customHeight="1">
      <x:c r="A287" s="28" t="str">
        <x:v>VEG-0368</x:v>
      </x:c>
      <x:c r="B287" s="28" t="str">
        <x:v>картофель</x:v>
      </x:c>
      <x:c r="C287" s="28" t="str">
        <x:v>маракуйя</x:v>
      </x:c>
      <x:c r="D287" s="28" t="str">
        <x:v>Прочее</x:v>
      </x:c>
      <x:c r="E287" s="28" t="str">
        <x:v>сенсорная комплементарность</x:v>
      </x:c>
      <x:c r="F287" s="28" t="str">
        <x:v>Картофель имеет профиль «крахмалистый, землистый, ореховый и жареный после нагрева».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8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7" s="28" t="str">
        <x:v>зелёные или проросшие клубни не использовать; пережаривание даёт горечь и чрезмерно тёмную корку</x:v>
      </x:c>
      <x:c r="I287" s="28" t="str">
        <x:v>пюре, суп, запекание, крем, гарнир, соус или десертная разработка с маракуйя</x:v>
      </x:c>
      <x:c r="J287" s="28" t="str">
        <x:v>Средняя</x:v>
      </x:c>
      <x:c r="K287" s="28" t="str">
        <x:v>The Art &amp; Science of Foodpairing.pdf</x:v>
      </x:c>
      <x:c r="L287" s="28" t="str">
        <x:v>The Art &amp; Science of Foodpairing.pdf: 196</x:v>
      </x:c>
    </x:row>
    <x:row r="288" ht="66" customHeight="1">
      <x:c r="A288" s="28" t="str">
        <x:v>VEG-0369</x:v>
      </x:c>
      <x:c r="B288" s="28" t="str">
        <x:v>картофель</x:v>
      </x:c>
      <x:c r="C288" s="28" t="str">
        <x:v>моллюски</x:v>
      </x:c>
      <x:c r="D288" s="28" t="str">
        <x:v>Рыба и морепродукты</x:v>
      </x:c>
      <x:c r="E288" s="28" t="str">
        <x:v>общие характерные молекулы; умами и солёный контраст</x:v>
      </x:c>
      <x:c r="F288" s="28" t="str">
        <x:v>Картофель имеет профиль «крахмалистый, землистый, ореховый и жареный после нагрева». Партнёр «моллюски»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8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8" s="28" t="str">
        <x:v>зелёные или проросшие клубни не использовать; пережаривание даёт горечь и чрезмерно тёмную корку</x:v>
      </x:c>
      <x:c r="I288" s="28" t="str">
        <x:v>пюре, суп, запекание, крем, гарнир, соус или десертная разработка с моллюски</x:v>
      </x:c>
      <x:c r="J288" s="28" t="str">
        <x:v>Средняя</x:v>
      </x:c>
      <x:c r="K288" s="28" t="str">
        <x:v>Тезариус вкусов (Ники Сегнит)(1).pdf</x:v>
      </x:c>
      <x:c r="L288" s="28" t="str">
        <x:v>Тезариус вкусов (Ники Сегнит)(1).pdf: 237, 370</x:v>
      </x:c>
    </x:row>
    <x:row r="289" ht="66" customHeight="1">
      <x:c r="A289" s="28" t="str">
        <x:v>VEG-0370</x:v>
      </x:c>
      <x:c r="B289" s="28" t="str">
        <x:v>картофель</x:v>
      </x:c>
      <x:c r="C289" s="28" t="str">
        <x:v>мускатный орех</x:v>
      </x:c>
      <x:c r="D289" s="28" t="str">
        <x:v>Рыба и морепродукты</x:v>
      </x:c>
      <x:c r="E289" s="28" t="str">
        <x:v>умами и солёный контраст</x:v>
      </x:c>
      <x:c r="F289" s="28" t="str">
        <x:v>Картофель имеет профиль «крахмалистый, землистый, ореховый и жареный после нагрева».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8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9" s="28" t="str">
        <x:v>зелёные или проросшие клубни не использовать; пережаривание даёт горечь и чрезмерно тёмную корку</x:v>
      </x:c>
      <x:c r="I289" s="28" t="str">
        <x:v>пюре, суп, запекание, крем, гарнир, соус или десертная разработка с мускатный орех</x:v>
      </x:c>
      <x:c r="J289" s="28" t="str">
        <x:v>Средняя</x:v>
      </x:c>
      <x:c r="K289" s="28" t="str">
        <x:v>Тезариус вкусов (Ники Сегнит)(1).pdf</x:v>
      </x:c>
      <x:c r="L289" s="28" t="str">
        <x:v>Тезариус вкусов (Ники Сегнит)(1).pdf: 239, 588</x:v>
      </x:c>
    </x:row>
    <x:row r="290" ht="66" customHeight="1">
      <x:c r="A290" s="28" t="str">
        <x:v>VEG-0371</x:v>
      </x:c>
      <x:c r="B290" s="28" t="str">
        <x:v>картофель</x:v>
      </x:c>
      <x:c r="C290" s="28" t="str">
        <x:v>мушмула</x:v>
      </x:c>
      <x:c r="D290" s="28" t="str">
        <x:v>Прочее</x:v>
      </x:c>
      <x:c r="E290" s="28" t="str">
        <x:v>сенсорная комплементарность</x:v>
      </x:c>
      <x:c r="F290" s="28" t="str">
        <x:v>Картофель имеет профиль «крахмалистый, землистый, ореховый и жареный после нагрева». Партнёр «мушмула»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9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0" s="28" t="str">
        <x:v>зелёные или проросшие клубни не использовать; пережаривание даёт горечь и чрезмерно тёмную корку</x:v>
      </x:c>
      <x:c r="I290" s="28" t="str">
        <x:v>пюре, суп, запекание, крем, гарнир, соус или десертная разработка с мушмула</x:v>
      </x:c>
      <x:c r="J290" s="28" t="str">
        <x:v>Средняя</x:v>
      </x:c>
      <x:c r="K290" s="28" t="str">
        <x:v>The Art &amp; Science of Foodpairing.pdf</x:v>
      </x:c>
      <x:c r="L290" s="28" t="str">
        <x:v>The Art &amp; Science of Foodpairing.pdf: 196</x:v>
      </x:c>
    </x:row>
    <x:row r="291" ht="66" customHeight="1">
      <x:c r="A291" s="28" t="str">
        <x:v>VEG-0372</x:v>
      </x:c>
      <x:c r="B291" s="28" t="str">
        <x:v>картофель</x:v>
      </x:c>
      <x:c r="C291" s="28" t="str">
        <x:v>мясо</x:v>
      </x:c>
      <x:c r="D291" s="28" t="str">
        <x:v>Мясо и птица</x:v>
      </x:c>
      <x:c r="E291" s="28" t="str">
        <x:v>общие характерные молекулы; пересечение ароматических семейств; умами и солёный контраст</x:v>
      </x:c>
      <x:c r="F291" s="28" t="str">
        <x:v>Картофель имеет профиль «крахмалистый, землистый, ореховый и жареный после нагрева».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9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1" s="28" t="str">
        <x:v>зелёные или проросшие клубни не использовать; пережаривание даёт горечь и чрезмерно тёмную корку</x:v>
      </x:c>
      <x:c r="I291" s="28" t="str">
        <x:v>пюре, суп, запекание, крем, гарнир, соус или десертная разработка с мясо</x:v>
      </x:c>
      <x:c r="J291" s="28" t="str">
        <x:v>Средняя</x:v>
      </x:c>
      <x:c r="K291" s="28" t="str">
        <x:v>The Art &amp; Science of Foodpairing.pdf</x:v>
      </x:c>
      <x:c r="L291" s="28" t="str">
        <x:v>The Art &amp; Science of Foodpairing.pdf: 186</x:v>
      </x:c>
    </x:row>
    <x:row r="292" ht="66" customHeight="1">
      <x:c r="A292" s="28" t="str">
        <x:v>VEG-0373</x:v>
      </x:c>
      <x:c r="B292" s="28" t="str">
        <x:v>картофель</x:v>
      </x:c>
      <x:c r="C292" s="28" t="str">
        <x:v>мята</x:v>
      </x:c>
      <x:c r="D292" s="28" t="str">
        <x:v>Травы, цветы и листья</x:v>
      </x:c>
      <x:c r="E292" s="28" t="str">
        <x:v>сенсорная комплементарность</x:v>
      </x:c>
      <x:c r="F292" s="28" t="str">
        <x:v>Картофель имеет профиль «крахмалистый, землистый, ореховый и жареный после нагрева».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9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2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92" s="28" t="str">
        <x:v>пюре, суп, запекание, крем, гарнир, соус или десертная разработка с мята</x:v>
      </x:c>
      <x:c r="J292" s="28" t="str">
        <x:v>Средняя</x:v>
      </x:c>
      <x:c r="K292" s="28" t="str">
        <x:v>Тезариус вкусов (Ники Сегнит)(1).pdf</x:v>
      </x:c>
      <x:c r="L292" s="28" t="str">
        <x:v>Тезариус вкусов (Ники Сегнит)(1).pdf: 240, 867</x:v>
      </x:c>
    </x:row>
    <x:row r="293" ht="66" customHeight="1">
      <x:c r="A293" s="28" t="str">
        <x:v>VEG-0374</x:v>
      </x:c>
      <x:c r="B293" s="28" t="str">
        <x:v>картофель</x:v>
      </x:c>
      <x:c r="C293" s="28" t="str">
        <x:v>огурец</x:v>
      </x:c>
      <x:c r="D293" s="28" t="str">
        <x:v>Тыквенные</x:v>
      </x:c>
      <x:c r="E293" s="28" t="str">
        <x:v>сенсорная комплементарность</x:v>
      </x:c>
      <x:c r="F293" s="28" t="str">
        <x:v>Картофель имеет профиль «крахмалистый, землистый, ореховый и жареный после нагрева».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9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3" s="28" t="str">
        <x:v>зелёные или проросшие клубни не использовать; пережаривание даёт горечь и чрезмерно тёмную корку</x:v>
      </x:c>
      <x:c r="I293" s="28" t="str">
        <x:v>пюре, суп, запекание, крем, гарнир, соус или десертная разработка с огурец</x:v>
      </x:c>
      <x:c r="J293" s="28" t="str">
        <x:v>Средняя</x:v>
      </x:c>
      <x:c r="K293" s="28" t="str">
        <x:v>The Art &amp; Science of Foodpairing.pdf</x:v>
      </x:c>
      <x:c r="L293" s="28" t="str">
        <x:v>The Art &amp; Science of Foodpairing.pdf: 196</x:v>
      </x:c>
    </x:row>
    <x:row r="294" ht="66" customHeight="1">
      <x:c r="A294" s="28" t="str">
        <x:v>VEG-0375</x:v>
      </x:c>
      <x:c r="B294" s="28" t="str">
        <x:v>картофель</x:v>
      </x:c>
      <x:c r="C294" s="28" t="str">
        <x:v>огуречная трава</x:v>
      </x:c>
      <x:c r="D294" s="28" t="str">
        <x:v>Плодовые и тыквенные овощи</x:v>
      </x:c>
      <x:c r="E294" s="28" t="str">
        <x:v>общие характерные молекулы</x:v>
      </x:c>
      <x:c r="F294" s="28" t="str">
        <x:v>Картофель имеет профиль «крахмалистый, землистый, ореховый и жареный после нагрева». Партнёр «огуречная трава»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29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4" s="28" t="str">
        <x:v>зелёные или проросшие клубни не использовать; пережаривание даёт горечь и чрезмерно тёмную корку</x:v>
      </x:c>
      <x:c r="I294" s="28" t="str">
        <x:v>пюре, суп, запекание, крем, гарнир, соус или десертная разработка с огуречная трава</x:v>
      </x:c>
      <x:c r="J294" s="28" t="str">
        <x:v>Средняя</x:v>
      </x:c>
      <x:c r="K294" s="28" t="str">
        <x:v>The Art &amp; Science of Foodpairing.pdf</x:v>
      </x:c>
      <x:c r="L294" s="28" t="str">
        <x:v>The Art &amp; Science of Foodpairing.pdf: 196</x:v>
      </x:c>
    </x:row>
    <x:row r="295" ht="66" customHeight="1">
      <x:c r="A295" s="28" t="str">
        <x:v>VEG-0376</x:v>
      </x:c>
      <x:c r="B295" s="28" t="str">
        <x:v>картофель</x:v>
      </x:c>
      <x:c r="C295" s="28" t="str">
        <x:v>оливки</x:v>
      </x:c>
      <x:c r="D295" s="28" t="str">
        <x:v>Прочее</x:v>
      </x:c>
      <x:c r="E295" s="28" t="str">
        <x:v>сенсорная комплементарность</x:v>
      </x:c>
      <x:c r="F295" s="28" t="str">
        <x:v>Картофель имеет профиль «крахмалистый, землистый, ореховый и жареный после нагрева».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9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5" s="28" t="str">
        <x:v>зелёные или проросшие клубни не использовать; пережаривание даёт горечь и чрезмерно тёмную корку</x:v>
      </x:c>
      <x:c r="I295" s="28" t="str">
        <x:v>пюре, суп, запекание, крем, гарнир, соус или десертная разработка с оливки</x:v>
      </x:c>
      <x:c r="J295" s="28" t="str">
        <x:v>Средняя</x:v>
      </x:c>
      <x:c r="K295" s="28" t="str">
        <x:v>Тезариус вкусов (Ники Сегнит)(1).pdf</x:v>
      </x:c>
      <x:c r="L295" s="28" t="str">
        <x:v>Тезариус вкусов (Ники Сегнит)(1).pdf: 240, 466</x:v>
      </x:c>
    </x:row>
    <x:row r="296" ht="66" customHeight="1">
      <x:c r="A296" s="28" t="str">
        <x:v>VEG-0377</x:v>
      </x:c>
      <x:c r="B296" s="28" t="str">
        <x:v>картофель</x:v>
      </x:c>
      <x:c r="C296" s="28" t="str">
        <x:v>оливковое масло</x:v>
      </x:c>
      <x:c r="D296" s="28" t="str">
        <x:v>Масла и жиры</x:v>
      </x:c>
      <x:c r="E296" s="28" t="str">
        <x:v>общие характерные молекулы; жировая матрица</x:v>
      </x:c>
      <x:c r="F296" s="28" t="str">
        <x:v>Картофель имеет профиль «крахмалистый, землистый, ореховый и жареный после нагрева». Партнёр «оливковое масло» относится к группе «Масла и жиры» и даёт жирный и мягкий. Вероятный молекулярный мост: альдегиды.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9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6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296" s="28" t="str">
        <x:v>пюре, суп, запекание, крем, гарнир, соус или десертная разработка с оливковое масло</x:v>
      </x:c>
      <x:c r="J296" s="28" t="str">
        <x:v>Средняя</x:v>
      </x:c>
      <x:c r="K296" s="28" t="str">
        <x:v>The Art &amp; Science of Foodpairing.pdf</x:v>
      </x:c>
      <x:c r="L296" s="28" t="str">
        <x:v>The Art &amp; Science of Foodpairing.pdf: 172</x:v>
      </x:c>
    </x:row>
    <x:row r="297" ht="66" customHeight="1">
      <x:c r="A297" s="28" t="str">
        <x:v>VEG-0378</x:v>
      </x:c>
      <x:c r="B297" s="28" t="str">
        <x:v>картофель</x:v>
      </x:c>
      <x:c r="C297" s="28" t="str">
        <x:v>папайя</x:v>
      </x:c>
      <x:c r="D297" s="28" t="str">
        <x:v>Прочее</x:v>
      </x:c>
      <x:c r="E297" s="28" t="str">
        <x:v>сенсорная комплементарность</x:v>
      </x:c>
      <x:c r="F297" s="28" t="str">
        <x:v>Картофель имеет профиль «крахмалистый, землистый, ореховый и жареный после нагрева». Партнёр «папайя»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9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7" s="28" t="str">
        <x:v>зелёные или проросшие клубни не использовать; пережаривание даёт горечь и чрезмерно тёмную корку</x:v>
      </x:c>
      <x:c r="I297" s="28" t="str">
        <x:v>пюре, суп, запекание, крем, гарнир, соус или десертная разработка с папайя</x:v>
      </x:c>
      <x:c r="J297" s="28" t="str">
        <x:v>Средняя</x:v>
      </x:c>
      <x:c r="K297" s="28" t="str">
        <x:v>The Art &amp; Science of Foodpairing.pdf</x:v>
      </x:c>
      <x:c r="L297" s="28" t="str">
        <x:v>The Art &amp; Science of Foodpairing.pdf: 196</x:v>
      </x:c>
    </x:row>
    <x:row r="298" ht="66" customHeight="1">
      <x:c r="A298" s="28" t="str">
        <x:v>VEG-0379</x:v>
      </x:c>
      <x:c r="B298" s="28" t="str">
        <x:v>картофель</x:v>
      </x:c>
      <x:c r="C298" s="28" t="str">
        <x:v>пастернак</x:v>
      </x:c>
      <x:c r="D298" s="28" t="str">
        <x:v>Корнеплоды</x:v>
      </x:c>
      <x:c r="E298" s="28" t="str">
        <x:v>пересечение ароматических семейств</x:v>
      </x:c>
      <x:c r="F298" s="28" t="str">
        <x:v>Картофель имеет профиль «крахмалистый, землистый, ореховый и жареный после нагрева». Партнёр «пастернак» относится к группе «Корнеплоды» и даёт сладкий, пряный, древесный и слегка анисовый.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29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8" s="28" t="str">
        <x:v>зелёные или проросшие клубни не использовать; пережаривание даёт горечь и чрезмерно тёмную корку</x:v>
      </x:c>
      <x:c r="I298" s="28" t="str">
        <x:v>пюре, суп, запекание, крем, гарнир, соус или десертная разработка с пастернак</x:v>
      </x:c>
      <x:c r="J298" s="28" t="str">
        <x:v>Средняя</x:v>
      </x:c>
      <x:c r="K298" s="28" t="str">
        <x:v>Тезариус вкусов (Ники Сегнит)(1).pdf</x:v>
      </x:c>
      <x:c r="L298" s="28" t="str">
        <x:v>Тезариус вкусов (Ники Сегнит)(1).pdf: 240, 597</x:v>
      </x:c>
    </x:row>
    <x:row r="299" ht="66" customHeight="1">
      <x:c r="A299" s="28" t="str">
        <x:v>VEG-0380</x:v>
      </x:c>
      <x:c r="B299" s="28" t="str">
        <x:v>картофель</x:v>
      </x:c>
      <x:c r="C299" s="28" t="str">
        <x:v>петрушка</x:v>
      </x:c>
      <x:c r="D299" s="28" t="str">
        <x:v>Травы, цветы и листья</x:v>
      </x:c>
      <x:c r="E299" s="28" t="str">
        <x:v>сенсорная комплементарность</x:v>
      </x:c>
      <x:c r="F299" s="28" t="str">
        <x:v>Картофель имеет профиль «крахмалистый, землистый, ореховый и жареный после нагрева».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9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9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99" s="28" t="str">
        <x:v>пюре, суп, запекание, крем, гарнир, соус или десертная разработка с петрушка</x:v>
      </x:c>
      <x:c r="J299" s="28" t="str">
        <x:v>Средняя</x:v>
      </x:c>
      <x:c r="K299" s="28" t="str">
        <x:v>Тезариус вкусов (Ники Сегнит)(1).pdf</x:v>
      </x:c>
      <x:c r="L299" s="28" t="str">
        <x:v>Тезариус вкусов (Ники Сегнит)(1).pdf: 240, 509</x:v>
      </x:c>
    </x:row>
    <x:row r="300" ht="66" customHeight="1">
      <x:c r="A300" s="28" t="str">
        <x:v>VEG-0381</x:v>
      </x:c>
      <x:c r="B300" s="28" t="str">
        <x:v>картофель</x:v>
      </x:c>
      <x:c r="C300" s="28" t="str">
        <x:v>пиво</x:v>
      </x:c>
      <x:c r="D300" s="28" t="str">
        <x:v>Алкогольные напитки</x:v>
      </x:c>
      <x:c r="E300" s="28" t="str">
        <x:v>общие характерные молекулы</x:v>
      </x:c>
      <x:c r="F300" s="28" t="str">
        <x:v>Картофель имеет профиль «крахмалистый, землистый, ореховый и жареный после нагрева». Партнёр «пиво»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30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0" s="28" t="str">
        <x:v>зелёные или проросшие клубни не использовать; пережаривание даёт горечь и чрезмерно тёмную корку</x:v>
      </x:c>
      <x:c r="I300" s="28" t="str">
        <x:v>пюре, суп, запекание, крем, гарнир, соус или десертная разработка с пиво</x:v>
      </x:c>
      <x:c r="J300" s="28" t="str">
        <x:v>Средняя</x:v>
      </x:c>
      <x:c r="K300" s="28" t="str">
        <x:v>The Art &amp; Science of Foodpairing.pdf</x:v>
      </x:c>
      <x:c r="L300" s="28" t="str">
        <x:v>The Art &amp; Science of Foodpairing.pdf: 196</x:v>
      </x:c>
    </x:row>
    <x:row r="301" ht="66" customHeight="1">
      <x:c r="A301" s="28" t="str">
        <x:v>VEG-0382</x:v>
      </x:c>
      <x:c r="B301" s="28" t="str">
        <x:v>картофель</x:v>
      </x:c>
      <x:c r="C301" s="28" t="str">
        <x:v>рапсовый мёд</x:v>
      </x:c>
      <x:c r="D301" s="28" t="str">
        <x:v>Выпечка, крупы, сахара и десерты</x:v>
      </x:c>
      <x:c r="E301" s="28" t="str">
        <x:v>сенсорная комплементарность</x:v>
      </x:c>
      <x:c r="F301" s="28" t="str">
        <x:v>Картофель имеет профиль «крахмалистый, землистый, ореховый и жареный после нагрева». Партнёр «рапсовый 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30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1" s="28" t="str">
        <x:v>зелёные или проросшие клубни не использовать; пережаривание даёт горечь и чрезмерно тёмную корку</x:v>
      </x:c>
      <x:c r="I301" s="28" t="str">
        <x:v>пюре, суп, запекание, крем, гарнир, соус или десертная разработка с рапсовый мёд</x:v>
      </x:c>
      <x:c r="J301" s="28" t="str">
        <x:v>Средняя</x:v>
      </x:c>
      <x:c r="K301" s="28" t="str">
        <x:v>The Art &amp; Science of Foodpairing.pdf</x:v>
      </x:c>
      <x:c r="L301" s="28" t="str">
        <x:v>The Art &amp; Science of Foodpairing.pdf: 196</x:v>
      </x:c>
    </x:row>
    <x:row r="302" ht="66" customHeight="1">
      <x:c r="A302" s="28" t="str">
        <x:v>VEG-0383</x:v>
      </x:c>
      <x:c r="B302" s="28" t="str">
        <x:v>картофель</x:v>
      </x:c>
      <x:c r="C302" s="28" t="str">
        <x:v>рассольный сыр</x:v>
      </x:c>
      <x:c r="D302" s="28" t="str">
        <x:v>Молочные продукты и сыры</x:v>
      </x:c>
      <x:c r="E302" s="28" t="str">
        <x:v>жировая матрица</x:v>
      </x:c>
      <x:c r="F302" s="28" t="str">
        <x:v>Картофель имеет профиль «крахмалистый, землистый, ореховый и жареный после нагрева». Партнёр «рассольный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0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2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302" s="28" t="str">
        <x:v>пюре, суп, запекание, крем, гарнир, соус или десертная разработка с рассольный сыр</x:v>
      </x:c>
      <x:c r="J302" s="28" t="str">
        <x:v>Средняя</x:v>
      </x:c>
      <x:c r="K302" s="28" t="str">
        <x:v>Тезариус вкусов (Ники Сегнит)(1).pdf</x:v>
      </x:c>
      <x:c r="L302" s="28" t="str">
        <x:v>Тезариус вкусов (Ники Сегнит)(1).pdf: 150, 240</x:v>
      </x:c>
    </x:row>
    <x:row r="303" ht="66" customHeight="1">
      <x:c r="A303" s="28" t="str">
        <x:v>VEG-0384</x:v>
      </x:c>
      <x:c r="B303" s="28" t="str">
        <x:v>картофель</x:v>
      </x:c>
      <x:c r="C303" s="28" t="str">
        <x:v>розмарин</x:v>
      </x:c>
      <x:c r="D303" s="28" t="str">
        <x:v>Травы, цветы и листья</x:v>
      </x:c>
      <x:c r="E303" s="28" t="str">
        <x:v>сенсорная комплементарность</x:v>
      </x:c>
      <x:c r="F303" s="28" t="str">
        <x:v>Картофель имеет профиль «крахмалистый, землистый, ореховый и жареный после нагрева».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30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3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303" s="28" t="str">
        <x:v>пюре, суп, запекание, крем, гарнир, соус или десертная разработка с розмарин</x:v>
      </x:c>
      <x:c r="J303" s="28" t="str">
        <x:v>Средняя</x:v>
      </x:c>
      <x:c r="K303" s="28" t="str">
        <x:v>Тезариус вкусов (Ники Сегнит)(1).pdf</x:v>
      </x:c>
      <x:c r="L303" s="28" t="str">
        <x:v>Тезариус вкусов (Ники Сегнит)(1).pdf: 240, 837</x:v>
      </x:c>
    </x:row>
    <x:row r="304" ht="66" customHeight="1">
      <x:c r="A304" s="28" t="str">
        <x:v>VEG-0385</x:v>
      </x:c>
      <x:c r="B304" s="28" t="str">
        <x:v>картофель</x:v>
      </x:c>
      <x:c r="C304" s="28" t="str">
        <x:v>рыба</x:v>
      </x:c>
      <x:c r="D304" s="28" t="str">
        <x:v>Рыба и морепродукты</x:v>
      </x:c>
      <x:c r="E304" s="28" t="str">
        <x:v>общие характерные молекулы; умами и солёный контраст</x:v>
      </x:c>
      <x:c r="F304" s="28" t="str">
        <x:v>Картофель имеет профиль «крахмалистый, землистый, ореховый и жареный после нагрева». Партнёр «рыба»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30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4" s="28" t="str">
        <x:v>зелёные или проросшие клубни не использовать; пережаривание даёт горечь и чрезмерно тёмную корку</x:v>
      </x:c>
      <x:c r="I304" s="28" t="str">
        <x:v>пюре, суп, запекание, крем, гарнир, соус или десертная разработка с рыба</x:v>
      </x:c>
      <x:c r="J304" s="28" t="str">
        <x:v>Средняя</x:v>
      </x:c>
      <x:c r="K304" s="28" t="str">
        <x:v>The Art &amp; Science of Foodpairing.pdf</x:v>
      </x:c>
      <x:c r="L304" s="28" t="str">
        <x:v>The Art &amp; Science of Foodpairing.pdf: 104</x:v>
      </x:c>
    </x:row>
    <x:row r="305" ht="66" customHeight="1">
      <x:c r="A305" s="28" t="str">
        <x:v>VEG-0386</x:v>
      </x:c>
      <x:c r="B305" s="28" t="str">
        <x:v>картофель</x:v>
      </x:c>
      <x:c r="C305" s="28" t="str">
        <x:v>салями</x:v>
      </x:c>
      <x:c r="D305" s="28" t="str">
        <x:v>Прочее</x:v>
      </x:c>
      <x:c r="E305" s="28" t="str">
        <x:v>сенсорная комплементарность</x:v>
      </x:c>
      <x:c r="F305" s="28" t="str">
        <x:v>Картофель имеет профиль «крахмалистый, землистый, ореховый и жареный после нагрева». Партнёр «салями»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0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5" s="28" t="str">
        <x:v>зелёные или проросшие клубни не использовать; пережаривание даёт горечь и чрезмерно тёмную корку</x:v>
      </x:c>
      <x:c r="I305" s="28" t="str">
        <x:v>пюре, суп, запекание, крем, гарнир, соус или десертная разработка с салями</x:v>
      </x:c>
      <x:c r="J305" s="28" t="str">
        <x:v>Средняя</x:v>
      </x:c>
      <x:c r="K305" s="28" t="str">
        <x:v>The Art &amp; Science of Foodpairing.pdf</x:v>
      </x:c>
      <x:c r="L305" s="28" t="str">
        <x:v>The Art &amp; Science of Foodpairing.pdf: 196</x:v>
      </x:c>
    </x:row>
    <x:row r="306" ht="66" customHeight="1">
      <x:c r="A306" s="28" t="str">
        <x:v>VEG-0387</x:v>
      </x:c>
      <x:c r="B306" s="28" t="str">
        <x:v>картофель</x:v>
      </x:c>
      <x:c r="C306" s="28" t="str">
        <x:v>свинина</x:v>
      </x:c>
      <x:c r="D306" s="28" t="str">
        <x:v>Мясо и птица</x:v>
      </x:c>
      <x:c r="E306" s="28" t="str">
        <x:v>общие характерные молекулы; пересечение ароматических семейств; умами и солёный контраст</x:v>
      </x:c>
      <x:c r="F306" s="28" t="str">
        <x:v>Картофель имеет профиль «крахмалистый, землистый, ореховый и жареный после нагрева».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30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6" s="28" t="str">
        <x:v>зелёные или проросшие клубни не использовать; пережаривание даёт горечь и чрезмерно тёмную корку</x:v>
      </x:c>
      <x:c r="I306" s="28" t="str">
        <x:v>пюре, суп, запекание, крем, гарнир, соус или десертная разработка с свинина</x:v>
      </x:c>
      <x:c r="J306" s="28" t="str">
        <x:v>Средняя</x:v>
      </x:c>
      <x:c r="K306" s="28" t="str">
        <x:v>Тезариус вкусов (Ники Сегнит)(1).pdf</x:v>
      </x:c>
      <x:c r="L306" s="28" t="str">
        <x:v>Тезариус вкусов (Ники Сегнит)(1).pdf: 84, 242</x:v>
      </x:c>
    </x:row>
    <x:row r="307" ht="66" customHeight="1">
      <x:c r="A307" s="28" t="str">
        <x:v>VEG-0388</x:v>
      </x:c>
      <x:c r="B307" s="28" t="str">
        <x:v>картофель</x:v>
      </x:c>
      <x:c r="C307" s="28" t="str">
        <x:v>сельдерей</x:v>
      </x:c>
      <x:c r="D307" s="28" t="str">
        <x:v>Стеблевые овощи</x:v>
      </x:c>
      <x:c r="E307" s="28" t="str">
        <x:v>сенсорная комплементарность</x:v>
      </x:c>
      <x:c r="F307" s="28" t="str">
        <x:v>Картофель имеет профиль «крахмалистый, землистый, ореховый и жареный после нагрева». Партнёр «сельдерей» относится к группе «Стеблевые овощи» и даёт зелёный, травянистый, пряный, слегка анисовый.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0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7" s="28" t="str">
        <x:v>зелёные или проросшие клубни не использовать; пережаривание даёт горечь и чрезмерно тёмную корку</x:v>
      </x:c>
      <x:c r="I307" s="28" t="str">
        <x:v>пюре, суп, запекание, крем, гарнир, соус или десертная разработка с сельдерей</x:v>
      </x:c>
      <x:c r="J307" s="28" t="str">
        <x:v>Высокая</x:v>
      </x:c>
      <x:c r="K307" s="28" t="str">
        <x:v>The Art &amp; Science of Foodpairing.pdf | Тезариус вкусов (Ники Сегнит)(1).pdf</x:v>
      </x:c>
      <x:c r="L307" s="28" t="str">
        <x:v>Тезариус вкусов (Ники Сегнит)(1).pdf: 242, 251; The Art &amp; Science of Foodpairing.pdf: 196</x:v>
      </x:c>
    </x:row>
    <x:row r="308" ht="66" customHeight="1">
      <x:c r="A308" s="28" t="str">
        <x:v>VEG-0389</x:v>
      </x:c>
      <x:c r="B308" s="28" t="str">
        <x:v>картофель</x:v>
      </x:c>
      <x:c r="C308" s="28" t="str">
        <x:v>соус чили</x:v>
      </x:c>
      <x:c r="D308" s="28" t="str">
        <x:v>Специи</x:v>
      </x:c>
      <x:c r="E308" s="28" t="str">
        <x:v>сенсорная комплементарность</x:v>
      </x:c>
      <x:c r="F308" s="28" t="str">
        <x:v>Картофель имеет профиль «крахмалистый, землистый, ореховый и жареный после нагрева». Партнёр «соус 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0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8" s="28" t="str">
        <x:v>зелёные или проросшие клубни не использовать; пережаривание даёт горечь и чрезмерно тёмную корку</x:v>
      </x:c>
      <x:c r="I308" s="28" t="str">
        <x:v>пюре, суп, запекание, крем, гарнир, соус или десертная разработка с соус чили</x:v>
      </x:c>
      <x:c r="J308" s="28" t="str">
        <x:v>Средняя</x:v>
      </x:c>
      <x:c r="K308" s="28" t="str">
        <x:v>The Art &amp; Science of Foodpairing.pdf</x:v>
      </x:c>
      <x:c r="L308" s="28" t="str">
        <x:v>The Art &amp; Science of Foodpairing.pdf: 196</x:v>
      </x:c>
    </x:row>
    <x:row r="309" ht="66" customHeight="1">
      <x:c r="A309" s="28" t="str">
        <x:v>VEG-0390</x:v>
      </x:c>
      <x:c r="B309" s="28" t="str">
        <x:v>картофель</x:v>
      </x:c>
      <x:c r="C309" s="28" t="str">
        <x:v>спаржа</x:v>
      </x:c>
      <x:c r="D309" s="28" t="str">
        <x:v>Побеговые овощи</x:v>
      </x:c>
      <x:c r="E309" s="28" t="str">
        <x:v>общие характерные молекулы; пересечение ароматических семейств</x:v>
      </x:c>
      <x:c r="F309" s="28" t="str">
        <x:v>Картофель имеет профиль «крахмалистый, землистый, ореховый и жареный после нагрева». Партнёр «спаржа» относится к группе «Побеговые овощи» и даёт зелёный, сернистый, ореховый и слегка сладкий. Вероятный молекулярный мост: пиразины. Совместимость формируется за счёт баланса сладости, кислотности, горечи, умами и текстуры.</x:v>
      </x:c>
      <x:c r="G30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9" s="28" t="str">
        <x:v>зелёные или проросшие клубни не использовать; пережаривание даёт горечь и чрезмерно тёмную корку</x:v>
      </x:c>
      <x:c r="I309" s="28" t="str">
        <x:v>пюре, суп, запекание, крем, гарнир, соус или десертная разработка с спаржа</x:v>
      </x:c>
      <x:c r="J309" s="28" t="str">
        <x:v>Средняя</x:v>
      </x:c>
      <x:c r="K309" s="28" t="str">
        <x:v>Тезариус вкусов (Ники Сегнит)(1).pdf</x:v>
      </x:c>
      <x:c r="L309" s="28" t="str">
        <x:v>Тезариус вкусов (Ники Сегнит)(1).pdf: 242, 346</x:v>
      </x:c>
    </x:row>
    <x:row r="310" ht="66" customHeight="1">
      <x:c r="A310" s="28" t="str">
        <x:v>VEG-0391</x:v>
      </x:c>
      <x:c r="B310" s="28" t="str">
        <x:v>картофель</x:v>
      </x:c>
      <x:c r="C310" s="28" t="str">
        <x:v>сыр</x:v>
      </x:c>
      <x:c r="D310" s="28" t="str">
        <x:v>Молочные продукты и сыры</x:v>
      </x:c>
      <x:c r="E310" s="28" t="str">
        <x:v>жировая матрица</x:v>
      </x:c>
      <x:c r="F310" s="28" t="str">
        <x:v>Картофель имеет профиль «крахмалистый, землистый, ореховый и жареный после нагрева».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1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0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310" s="28" t="str">
        <x:v>пюре, суп, запекание, крем, гарнир, соус или десертная разработка с сыр</x:v>
      </x:c>
      <x:c r="J310" s="28" t="str">
        <x:v>Высокая</x:v>
      </x:c>
      <x:c r="K310" s="28" t="str">
        <x:v>The Art &amp; Science of Foodpairing.pdf</x:v>
      </x:c>
      <x:c r="L310" s="28" t="str">
        <x:v>The Art &amp; Science of Foodpairing.pdf: 196, 197</x:v>
      </x:c>
    </x:row>
    <x:row r="311" ht="66" customHeight="1">
      <x:c r="A311" s="28" t="str">
        <x:v>VEG-0392</x:v>
      </x:c>
      <x:c r="B311" s="28" t="str">
        <x:v>картофель</x:v>
      </x:c>
      <x:c r="C311" s="28" t="str">
        <x:v>твердый сыр</x:v>
      </x:c>
      <x:c r="D311" s="28" t="str">
        <x:v>Молочные продукты и сыры</x:v>
      </x:c>
      <x:c r="E311" s="28" t="str">
        <x:v>жировая матрица</x:v>
      </x:c>
      <x:c r="F311" s="28" t="str">
        <x:v>Картофель имеет профиль «крахмалистый, землистый, ореховый и жареный после нагрева».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1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1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311" s="28" t="str">
        <x:v>пюре, суп, запекание, крем, гарнир, соус или десертная разработка с твердый сыр</x:v>
      </x:c>
      <x:c r="J311" s="28" t="str">
        <x:v>Средняя</x:v>
      </x:c>
      <x:c r="K311" s="28" t="str">
        <x:v>Тезариус вкусов (Ники Сегнит)(1).pdf</x:v>
      </x:c>
      <x:c r="L311" s="28" t="str">
        <x:v>Тезариус вкусов (Ники Сегнит)(1).pdf: 171, 242</x:v>
      </x:c>
    </x:row>
    <x:row r="312" ht="66" customHeight="1">
      <x:c r="A312" s="28" t="str">
        <x:v>VEG-0393</x:v>
      </x:c>
      <x:c r="B312" s="28" t="str">
        <x:v>картофель</x:v>
      </x:c>
      <x:c r="C312" s="28" t="str">
        <x:v>томат</x:v>
      </x:c>
      <x:c r="D312" s="28" t="str">
        <x:v>Плодовые овощи</x:v>
      </x:c>
      <x:c r="E312" s="28" t="str">
        <x:v>общие характерные молекулы; пересечение ароматических семейств</x:v>
      </x:c>
      <x:c r="F312" s="28" t="str">
        <x:v>Картофель имеет профиль «крахмалистый, землистый, ореховый и жареный после нагрева». Партнёр «томат» относится к группе «Плодовые овощи» и даёт зелёный, фруктовый, листовой, сернистый и умами. Вероятный молекулярный мост: метиональ. Совместимость формируется за счёт баланса сладости, кислотности, горечи, умами и текстуры.</x:v>
      </x:c>
      <x:c r="G31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2" s="28" t="str">
        <x:v>зелёные или проросшие клубни не использовать; пережаривание даёт горечь и чрезмерно тёмную корку</x:v>
      </x:c>
      <x:c r="I312" s="28" t="str">
        <x:v>пюре, суп, запекание, крем, гарнир, соус или десертная разработка с томат</x:v>
      </x:c>
      <x:c r="J312" s="28" t="str">
        <x:v>Средняя</x:v>
      </x:c>
      <x:c r="K312" s="28" t="str">
        <x:v>Тезариус вкусов (Ники Сегнит)(1).pdf</x:v>
      </x:c>
      <x:c r="L312" s="28" t="str">
        <x:v>Тезариус вкусов (Ники Сегнит)(1).pdf: 242, 685</x:v>
      </x:c>
    </x:row>
    <x:row r="313" ht="66" customHeight="1">
      <x:c r="A313" s="28" t="str">
        <x:v>VEG-0394</x:v>
      </x:c>
      <x:c r="B313" s="28" t="str">
        <x:v>картофель</x:v>
      </x:c>
      <x:c r="C313" s="28" t="str">
        <x:v>томатный сок</x:v>
      </x:c>
      <x:c r="D313" s="28" t="str">
        <x:v>Плодовые и тыквенные овощи</x:v>
      </x:c>
      <x:c r="E313" s="28" t="str">
        <x:v>общие характерные молекулы</x:v>
      </x:c>
      <x:c r="F313" s="28" t="str">
        <x:v>Картофель имеет профиль «крахмалистый, землистый, ореховый и жареный после нагрева». Партнёр «томатный сок»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31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3" s="28" t="str">
        <x:v>зелёные или проросшие клубни не использовать; пережаривание даёт горечь и чрезмерно тёмную корку</x:v>
      </x:c>
      <x:c r="I313" s="28" t="str">
        <x:v>пюре, суп, запекание, крем, гарнир, соус или десертная разработка с томатный сок</x:v>
      </x:c>
      <x:c r="J313" s="28" t="str">
        <x:v>Средняя</x:v>
      </x:c>
      <x:c r="K313" s="28" t="str">
        <x:v>The Art &amp; Science of Foodpairing.pdf</x:v>
      </x:c>
      <x:c r="L313" s="28" t="str">
        <x:v>The Art &amp; Science of Foodpairing.pdf: 196</x:v>
      </x:c>
    </x:row>
    <x:row r="314" ht="66" customHeight="1">
      <x:c r="A314" s="28" t="str">
        <x:v>VEG-0395</x:v>
      </x:c>
      <x:c r="B314" s="28" t="str">
        <x:v>картофель</x:v>
      </x:c>
      <x:c r="C314" s="28" t="str">
        <x:v>трюфель</x:v>
      </x:c>
      <x:c r="D314" s="28" t="str">
        <x:v>Грибы</x:v>
      </x:c>
      <x:c r="E314" s="28" t="str">
        <x:v>пересечение ароматических семейств; умами и солёный контраст</x:v>
      </x:c>
      <x:c r="F314" s="28" t="str">
        <x:v>Картофель имеет профиль «крахмалистый, землистый, ореховый и жареный после нагрева». Партнёр «трюфель»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31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4" s="28" t="str">
        <x:v>зелёные или проросшие клубни не использовать; пережаривание даёт горечь и чрезмерно тёмную корку</x:v>
      </x:c>
      <x:c r="I314" s="28" t="str">
        <x:v>пюре, суп, запекание, крем, гарнир, соус или десертная разработка с трюфель</x:v>
      </x:c>
      <x:c r="J314" s="28" t="str">
        <x:v>Средняя</x:v>
      </x:c>
      <x:c r="K314" s="28" t="str">
        <x:v>Тезариус вкусов (Ники Сегнит)(1).pdf</x:v>
      </x:c>
      <x:c r="L314" s="28" t="str">
        <x:v>Тезариус вкусов (Ники Сегнит)(1).pdf: 243, 303</x:v>
      </x:c>
    </x:row>
    <x:row r="315" ht="66" customHeight="1">
      <x:c r="A315" s="28" t="str">
        <x:v>VEG-0396</x:v>
      </x:c>
      <x:c r="B315" s="28" t="str">
        <x:v>картофель</x:v>
      </x:c>
      <x:c r="C315" s="28" t="str">
        <x:v>тыква баттернат</x:v>
      </x:c>
      <x:c r="D315" s="28" t="str">
        <x:v>Тыквенные</x:v>
      </x:c>
      <x:c r="E315" s="28" t="str">
        <x:v>сенсорная комплементарность</x:v>
      </x:c>
      <x:c r="F315" s="28" t="str">
        <x:v>Картофель имеет профиль «крахмалистый, землистый, ореховый и жареный после нагрева».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1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5" s="28" t="str">
        <x:v>зелёные или проросшие клубни не использовать; пережаривание даёт горечь и чрезмерно тёмную корку</x:v>
      </x:c>
      <x:c r="I315" s="28" t="str">
        <x:v>пюре, суп, запекание, крем, гарнир, соус или десертная разработка с тыква баттернат</x:v>
      </x:c>
      <x:c r="J315" s="28" t="str">
        <x:v>Средняя</x:v>
      </x:c>
      <x:c r="K315" s="28" t="str">
        <x:v>The Art &amp; Science of Foodpairing.pdf</x:v>
      </x:c>
      <x:c r="L315" s="28" t="str">
        <x:v>The Art &amp; Science of Foodpairing.pdf: 196</x:v>
      </x:c>
    </x:row>
    <x:row r="316" ht="66" customHeight="1">
      <x:c r="A316" s="28" t="str">
        <x:v>VEG-0397</x:v>
      </x:c>
      <x:c r="B316" s="28" t="str">
        <x:v>картофель</x:v>
      </x:c>
      <x:c r="C316" s="28" t="str">
        <x:v>укроп</x:v>
      </x:c>
      <x:c r="D316" s="28" t="str">
        <x:v>Травы, цветы и листья</x:v>
      </x:c>
      <x:c r="E316" s="28" t="str">
        <x:v>сенсорная комплементарность</x:v>
      </x:c>
      <x:c r="F316" s="28" t="str">
        <x:v>Картофель имеет профиль «крахмалистый, землистый, ореховый и жареный после нагрева». Партнёр «укроп» относится к группе «Травы, цветы и листья» и даёт анисовый, зелёный.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31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6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316" s="28" t="str">
        <x:v>пюре, суп, запекание, крем, гарнир, соус или десертная разработка с укроп</x:v>
      </x:c>
      <x:c r="J316" s="28" t="str">
        <x:v>Средняя</x:v>
      </x:c>
      <x:c r="K316" s="28" t="str">
        <x:v>Тезариус вкусов (Ники Сегнит)(1).pdf</x:v>
      </x:c>
      <x:c r="L316" s="28" t="str">
        <x:v>Тезариус вкусов (Ники Сегнит)(1).pdf: 244, 502</x:v>
      </x:c>
    </x:row>
    <x:row r="317" ht="66" customHeight="1">
      <x:c r="A317" s="28" t="str">
        <x:v>VEG-0398</x:v>
      </x:c>
      <x:c r="B317" s="28" t="str">
        <x:v>картофель</x:v>
      </x:c>
      <x:c r="C317" s="28" t="str">
        <x:v>фундук</x:v>
      </x:c>
      <x:c r="D317" s="28" t="str">
        <x:v>Орехи и семена</x:v>
      </x:c>
      <x:c r="E317" s="28" t="str">
        <x:v>общие характерные молекулы; пересечение ароматических семейств</x:v>
      </x:c>
      <x:c r="F317" s="28" t="str">
        <x:v>Картофель имеет профиль «крахмалистый, землистый, ореховый и жареный после нагрева».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31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7" s="28" t="str">
        <x:v>зелёные или проросшие клубни не использовать; пережаривание даёт горечь и чрезмерно тёмную корку</x:v>
      </x:c>
      <x:c r="I317" s="28" t="str">
        <x:v>пюре, суп, запекание, крем, гарнир, соус или десертная разработка с фундук</x:v>
      </x:c>
      <x:c r="J317" s="28" t="str">
        <x:v>Средняя</x:v>
      </x:c>
      <x:c r="K317" s="28" t="str">
        <x:v>The Art &amp; Science of Foodpairing.pdf</x:v>
      </x:c>
      <x:c r="L317" s="28" t="str">
        <x:v>The Art &amp; Science of Foodpairing.pdf: 196</x:v>
      </x:c>
    </x:row>
    <x:row r="318" ht="66" customHeight="1">
      <x:c r="A318" s="28" t="str">
        <x:v>VEG-0399</x:v>
      </x:c>
      <x:c r="B318" s="28" t="str">
        <x:v>картофель</x:v>
      </x:c>
      <x:c r="C318" s="28" t="str">
        <x:v>хрен</x:v>
      </x:c>
      <x:c r="D318" s="28" t="str">
        <x:v>Прочее</x:v>
      </x:c>
      <x:c r="E318" s="28" t="str">
        <x:v>сенсорная комплементарность</x:v>
      </x:c>
      <x:c r="F318" s="28" t="str">
        <x:v>Картофель имеет профиль «крахмалистый, землистый, ореховый и жареный после нагрева».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1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8" s="28" t="str">
        <x:v>зелёные или проросшие клубни не использовать; пережаривание даёт горечь и чрезмерно тёмную корку</x:v>
      </x:c>
      <x:c r="I318" s="28" t="str">
        <x:v>пюре, суп, запекание, крем, гарнир, соус или десертная разработка с хрен</x:v>
      </x:c>
      <x:c r="J318" s="28" t="str">
        <x:v>Средняя</x:v>
      </x:c>
      <x:c r="K318" s="28" t="str">
        <x:v>Тезариус вкусов (Ники Сегнит)(1).pdf</x:v>
      </x:c>
      <x:c r="L318" s="28" t="str">
        <x:v>Тезариус вкусов (Ники Сегнит)(1).pdf: 244, 274</x:v>
      </x:c>
    </x:row>
    <x:row r="319" ht="66" customHeight="1">
      <x:c r="A319" s="28" t="str">
        <x:v>VEG-0400</x:v>
      </x:c>
      <x:c r="B319" s="28" t="str">
        <x:v>картофель</x:v>
      </x:c>
      <x:c r="C319" s="28" t="str">
        <x:v>цветная капуста</x:v>
      </x:c>
      <x:c r="D319" s="28" t="str">
        <x:v>Крестоцветные</x:v>
      </x:c>
      <x:c r="E319" s="28" t="str">
        <x:v>общие характерные молекулы; пересечение ароматических семейств</x:v>
      </x:c>
      <x:c r="F319" s="28" t="str">
        <x:v>Картофель имеет профиль «крахмалистый, землистый, ореховый и жареный после нагрева». Партнёр «цветная капуста» относится к группе «Крестоцветные» и даёт мягко капустный, ореховый, сернистый и сливочный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31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9" s="28" t="str">
        <x:v>зелёные или проросшие клубни не использовать; пережаривание даёт горечь и чрезмерно тёмную корку</x:v>
      </x:c>
      <x:c r="I319" s="28" t="str">
        <x:v>пюре, суп, запекание, крем, гарнир, соус или десертная разработка с цветная капуста</x:v>
      </x:c>
      <x:c r="J319" s="28" t="str">
        <x:v>Средняя</x:v>
      </x:c>
      <x:c r="K319" s="28" t="str">
        <x:v>Тезариус вкусов (Ники Сегнит)(1).pdf</x:v>
      </x:c>
      <x:c r="L319" s="28" t="str">
        <x:v>Тезариус вкусов (Ники Сегнит)(1).pdf: 244, 323</x:v>
      </x:c>
    </x:row>
    <x:row r="320" ht="66" customHeight="1">
      <x:c r="A320" s="28" t="str">
        <x:v>VEG-0401</x:v>
      </x:c>
      <x:c r="B320" s="28" t="str">
        <x:v>картофель</x:v>
      </x:c>
      <x:c r="C320" s="28" t="str">
        <x:v>цветы бузины</x:v>
      </x:c>
      <x:c r="D320" s="28" t="str">
        <x:v>Травы, цветы и листья</x:v>
      </x:c>
      <x:c r="E320" s="28" t="str">
        <x:v>сенсорная комплементарность</x:v>
      </x:c>
      <x:c r="F320" s="28" t="str">
        <x:v>Картофель имеет профиль «крахмалистый, землистый, ореховый и жареный после нагрева». Партнёр «цветы бузины»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32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0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320" s="28" t="str">
        <x:v>пюре, суп, запекание, крем, гарнир, соус или десертная разработка с цветы бузины</x:v>
      </x:c>
      <x:c r="J320" s="28" t="str">
        <x:v>Средняя</x:v>
      </x:c>
      <x:c r="K320" s="28" t="str">
        <x:v>The Art &amp; Science of Foodpairing.pdf</x:v>
      </x:c>
      <x:c r="L320" s="28" t="str">
        <x:v>The Art &amp; Science of Foodpairing.pdf: 196</x:v>
      </x:c>
    </x:row>
    <x:row r="321" ht="66" customHeight="1">
      <x:c r="A321" s="28" t="str">
        <x:v>VEG-0402</x:v>
      </x:c>
      <x:c r="B321" s="28" t="str">
        <x:v>картофель</x:v>
      </x:c>
      <x:c r="C321" s="28" t="str">
        <x:v>цыпленок</x:v>
      </x:c>
      <x:c r="D321" s="28" t="str">
        <x:v>Прочее</x:v>
      </x:c>
      <x:c r="E321" s="28" t="str">
        <x:v>сенсорная комплементарность</x:v>
      </x:c>
      <x:c r="F321" s="28" t="str">
        <x:v>Картофель имеет профиль «крахмалистый, землистый, ореховый и жареный после нагрева».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1" s="28" t="str">
        <x:v>зелёные или проросшие клубни не использовать; пережаривание даёт горечь и чрезмерно тёмную корку</x:v>
      </x:c>
      <x:c r="I321" s="28" t="str">
        <x:v>пюре, суп, запекание, крем, гарнир, соус или десертная разработка с цыпленок</x:v>
      </x:c>
      <x:c r="J321" s="28" t="str">
        <x:v>Средняя</x:v>
      </x:c>
      <x:c r="K321" s="28" t="str">
        <x:v>Тезариус вкусов (Ники Сегнит)(1).pdf</x:v>
      </x:c>
      <x:c r="L321" s="28" t="str">
        <x:v>Тезариус вкусов (Ники Сегнит)(1).pdf: 67, 244</x:v>
      </x:c>
    </x:row>
    <x:row r="322" ht="66" customHeight="1">
      <x:c r="A322" s="28" t="str">
        <x:v>VEG-0403</x:v>
      </x:c>
      <x:c r="B322" s="28" t="str">
        <x:v>картофель</x:v>
      </x:c>
      <x:c r="C322" s="28" t="str">
        <x:v>чай</x:v>
      </x:c>
      <x:c r="D322" s="28" t="str">
        <x:v>Чай</x:v>
      </x:c>
      <x:c r="E322" s="28" t="str">
        <x:v>сенсорная комплементарность</x:v>
      </x:c>
      <x:c r="F322" s="28" t="str">
        <x:v>Картофель имеет профиль «крахмалистый, землистый, ореховый и жареный после нагрева».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2" s="28" t="str">
        <x:v>зелёные или проросшие клубни не использовать; пережаривание даёт горечь и чрезмерно тёмную корку</x:v>
      </x:c>
      <x:c r="I322" s="28" t="str">
        <x:v>пюре, суп, запекание, крем, гарнир, соус или десертная разработка с чай</x:v>
      </x:c>
      <x:c r="J322" s="28" t="str">
        <x:v>Средняя</x:v>
      </x:c>
      <x:c r="K322" s="28" t="str">
        <x:v>The Art &amp; Science of Foodpairing.pdf</x:v>
      </x:c>
      <x:c r="L322" s="28" t="str">
        <x:v>The Art &amp; Science of Foodpairing.pdf: 196</x:v>
      </x:c>
    </x:row>
    <x:row r="323" ht="66" customHeight="1">
      <x:c r="A323" s="28" t="str">
        <x:v>VEG-0404</x:v>
      </x:c>
      <x:c r="B323" s="28" t="str">
        <x:v>картофель</x:v>
      </x:c>
      <x:c r="C323" s="28" t="str">
        <x:v>чеддер</x:v>
      </x:c>
      <x:c r="D323" s="28" t="str">
        <x:v>Прочее</x:v>
      </x:c>
      <x:c r="E323" s="28" t="str">
        <x:v>сенсорная комплементарность</x:v>
      </x:c>
      <x:c r="F323" s="28" t="str">
        <x:v>Картофель имеет профиль «крахмалистый, землистый, ореховый и жареный после нагрева». Партнёр «чеддер»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3" s="28" t="str">
        <x:v>зелёные или проросшие клубни не использовать; пережаривание даёт горечь и чрезмерно тёмную корку</x:v>
      </x:c>
      <x:c r="I323" s="28" t="str">
        <x:v>пюре, суп, запекание, крем, гарнир, соус или десертная разработка с чеддер</x:v>
      </x:c>
      <x:c r="J323" s="28" t="str">
        <x:v>Средняя</x:v>
      </x:c>
      <x:c r="K323" s="28" t="str">
        <x:v>The Art &amp; Science of Foodpairing.pdf</x:v>
      </x:c>
      <x:c r="L323" s="28" t="str">
        <x:v>The Art &amp; Science of Foodpairing.pdf: 196</x:v>
      </x:c>
    </x:row>
    <x:row r="324" ht="66" customHeight="1">
      <x:c r="A324" s="28" t="str">
        <x:v>VEG-0405</x:v>
      </x:c>
      <x:c r="B324" s="28" t="str">
        <x:v>картофель</x:v>
      </x:c>
      <x:c r="C324" s="28" t="str">
        <x:v>черная икра</x:v>
      </x:c>
      <x:c r="D324" s="28" t="str">
        <x:v>Рыба и морепродукты</x:v>
      </x:c>
      <x:c r="E324" s="28" t="str">
        <x:v>общие характерные молекулы; умами и солёный контраст</x:v>
      </x:c>
      <x:c r="F324" s="28" t="str">
        <x:v>Картофель имеет профиль «крахмалистый, землистый, ореховый и жареный после нагрева». Партнёр «черная икра»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32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4" s="28" t="str">
        <x:v>зелёные или проросшие клубни не использовать; пережаривание даёт горечь и чрезмерно тёмную корку</x:v>
      </x:c>
      <x:c r="I324" s="28" t="str">
        <x:v>пюре, суп, запекание, крем, гарнир, соус или десертная разработка с черная икра</x:v>
      </x:c>
      <x:c r="J324" s="28" t="str">
        <x:v>Средняя</x:v>
      </x:c>
      <x:c r="K324" s="28" t="str">
        <x:v>Тезариус вкусов (Ники Сегнит)(1).pdf</x:v>
      </x:c>
      <x:c r="L324" s="28" t="str">
        <x:v>Тезариус вкусов (Ники Сегнит)(1).pdf: 244, 406</x:v>
      </x:c>
    </x:row>
    <x:row r="325" ht="66" customHeight="1">
      <x:c r="A325" s="28" t="str">
        <x:v>VEG-0406</x:v>
      </x:c>
      <x:c r="B325" s="28" t="str">
        <x:v>картофель</x:v>
      </x:c>
      <x:c r="C325" s="28" t="str">
        <x:v>чернослив ажен</x:v>
      </x:c>
      <x:c r="D325" s="28" t="str">
        <x:v>Фрукты и ягоды</x:v>
      </x:c>
      <x:c r="E325" s="28" t="str">
        <x:v>общие характерные молекулы; кислотно-сладкий баланс</x:v>
      </x:c>
      <x:c r="F325" s="28" t="str">
        <x:v>Картофель имеет профиль «крахмалистый, землистый, ореховый и жареный после нагрева». Партнёр «чернослив ажен»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2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325" s="28" t="str">
        <x:v>пюре, суп, запекание, крем, гарнир, соус или десертная разработка с чернослив ажен</x:v>
      </x:c>
      <x:c r="J325" s="28" t="str">
        <x:v>Средняя</x:v>
      </x:c>
      <x:c r="K325" s="28" t="str">
        <x:v>The Art &amp; Science of Foodpairing.pdf</x:v>
      </x:c>
      <x:c r="L325" s="28" t="str">
        <x:v>The Art &amp; Science of Foodpairing.pdf: 196</x:v>
      </x:c>
    </x:row>
    <x:row r="326" ht="66" customHeight="1">
      <x:c r="A326" s="28" t="str">
        <x:v>VEG-0407</x:v>
      </x:c>
      <x:c r="B326" s="28" t="str">
        <x:v>картофель</x:v>
      </x:c>
      <x:c r="C326" s="28" t="str">
        <x:v>чеснок</x:v>
      </x:c>
      <x:c r="D326" s="28" t="str">
        <x:v>Луковые овощи</x:v>
      </x:c>
      <x:c r="E326" s="28" t="str">
        <x:v>пересечение ароматических семейств</x:v>
      </x:c>
      <x:c r="F326" s="28" t="str">
        <x:v>Картофель имеет профиль «крахмалистый, землистый, ореховый и жареный после нагрева».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32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6" s="28" t="str">
        <x:v>зелёные или проросшие клубни не использовать; пережаривание даёт горечь и чрезмерно тёмную корку</x:v>
      </x:c>
      <x:c r="I326" s="28" t="str">
        <x:v>пюре, суп, запекание, крем, гарнир, соус или десертная разработка с чеснок</x:v>
      </x:c>
      <x:c r="J326" s="28" t="str">
        <x:v>Средняя</x:v>
      </x:c>
      <x:c r="K326" s="28" t="str">
        <x:v>Тезариус вкусов (Ники Сегнит)(1).pdf</x:v>
      </x:c>
      <x:c r="L326" s="28" t="str">
        <x:v>Тезариус вкусов (Ники Сегнит)(1).pdf: 245, 294</x:v>
      </x:c>
    </x:row>
    <x:row r="327" ht="66" customHeight="1">
      <x:c r="A327" s="28" t="str">
        <x:v>VEG-0408</x:v>
      </x:c>
      <x:c r="B327" s="28" t="str">
        <x:v>картофель</x:v>
      </x:c>
      <x:c r="C327" s="28" t="str">
        <x:v>чиабатта</x:v>
      </x:c>
      <x:c r="D327" s="28" t="str">
        <x:v>Прочее</x:v>
      </x:c>
      <x:c r="E327" s="28" t="str">
        <x:v>сенсорная комплементарность</x:v>
      </x:c>
      <x:c r="F327" s="28" t="str">
        <x:v>Картофель имеет профиль «крахмалистый, землистый, ореховый и жареный после нагрева».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7" s="28" t="str">
        <x:v>зелёные или проросшие клубни не использовать; пережаривание даёт горечь и чрезмерно тёмную корку</x:v>
      </x:c>
      <x:c r="I327" s="28" t="str">
        <x:v>пюре, суп, запекание, крем, гарнир, соус или десертная разработка с чиабатта</x:v>
      </x:c>
      <x:c r="J327" s="28" t="str">
        <x:v>Средняя</x:v>
      </x:c>
      <x:c r="K327" s="28" t="str">
        <x:v>The Art &amp; Science of Foodpairing.pdf</x:v>
      </x:c>
      <x:c r="L327" s="28" t="str">
        <x:v>The Art &amp; Science of Foodpairing.pdf: 196</x:v>
      </x:c>
    </x:row>
    <x:row r="328" ht="66" customHeight="1">
      <x:c r="A328" s="28" t="str">
        <x:v>VEG-0409</x:v>
      </x:c>
      <x:c r="B328" s="28" t="str">
        <x:v>картофель</x:v>
      </x:c>
      <x:c r="C328" s="28" t="str">
        <x:v>чили</x:v>
      </x:c>
      <x:c r="D328" s="28" t="str">
        <x:v>Специи</x:v>
      </x:c>
      <x:c r="E328" s="28" t="str">
        <x:v>сенсорная комплементарность</x:v>
      </x:c>
      <x:c r="F328" s="28" t="str">
        <x:v>Картофель имеет профиль «крахмалистый, землистый, ореховый и жареный после нагрева».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2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8" s="28" t="str">
        <x:v>зелёные или проросшие клубни не использовать; пережаривание даёт горечь и чрезмерно тёмную корку</x:v>
      </x:c>
      <x:c r="I328" s="28" t="str">
        <x:v>пюре, суп, запекание, крем, гарнир, соус или десертная разработка с чили</x:v>
      </x:c>
      <x:c r="J328" s="28" t="str">
        <x:v>Средняя</x:v>
      </x:c>
      <x:c r="K328" s="28" t="str">
        <x:v>Тезариус вкусов (Ники Сегнит)(1).pdf</x:v>
      </x:c>
      <x:c r="L328" s="28" t="str">
        <x:v>Тезариус вкусов (Ники Сегнит)(1).pdf: 245, 555</x:v>
      </x:c>
    </x:row>
    <x:row r="329" ht="66" customHeight="1">
      <x:c r="A329" s="28" t="str">
        <x:v>VEG-0410</x:v>
      </x:c>
      <x:c r="B329" s="28" t="str">
        <x:v>картофель</x:v>
      </x:c>
      <x:c r="C329" s="28" t="str">
        <x:v>чили ахи панка</x:v>
      </x:c>
      <x:c r="D329" s="28" t="str">
        <x:v>Специи</x:v>
      </x:c>
      <x:c r="E329" s="28" t="str">
        <x:v>сенсорная комплементарность</x:v>
      </x:c>
      <x:c r="F329" s="28" t="str">
        <x:v>Картофель имеет профиль «крахмалистый, землистый, ореховый и жареный после нагрева». Партнёр «чили ахи панка»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2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9" s="28" t="str">
        <x:v>зелёные или проросшие клубни не использовать; пережаривание даёт горечь и чрезмерно тёмную корку</x:v>
      </x:c>
      <x:c r="I329" s="28" t="str">
        <x:v>пюре, суп, запекание, крем, гарнир, соус или десертная разработка с чили ахи панка</x:v>
      </x:c>
      <x:c r="J329" s="28" t="str">
        <x:v>Средняя</x:v>
      </x:c>
      <x:c r="K329" s="28" t="str">
        <x:v>The Art &amp; Science of Foodpairing.pdf</x:v>
      </x:c>
      <x:c r="L329" s="28" t="str">
        <x:v>The Art &amp; Science of Foodpairing.pdf: 196</x:v>
      </x:c>
    </x:row>
    <x:row r="330" ht="66" customHeight="1">
      <x:c r="A330" s="28" t="str">
        <x:v>VEG-0411</x:v>
      </x:c>
      <x:c r="B330" s="28" t="str">
        <x:v>картофель</x:v>
      </x:c>
      <x:c r="C330" s="28" t="str">
        <x:v>чёрный перец</x:v>
      </x:c>
      <x:c r="D330" s="28" t="str">
        <x:v>Специи</x:v>
      </x:c>
      <x:c r="E330" s="28" t="str">
        <x:v>сенсорная комплементарность</x:v>
      </x:c>
      <x:c r="F330" s="28" t="str">
        <x:v>Картофель имеет профиль «крахмалистый, землистый, ореховый и жареный после нагрева».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3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0" s="28" t="str">
        <x:v>зелёные или проросшие клубни не использовать; пережаривание даёт горечь и чрезмерно тёмную корку</x:v>
      </x:c>
      <x:c r="I330" s="28" t="str">
        <x:v>пюре, суп, запекание, крем, гарнир, соус или десертная разработка с чёрный перец</x:v>
      </x:c>
      <x:c r="J330" s="28" t="str">
        <x:v>Средняя</x:v>
      </x:c>
      <x:c r="K330" s="28" t="str">
        <x:v>The Art &amp; Science of Foodpairing.pdf</x:v>
      </x:c>
      <x:c r="L330" s="28" t="str">
        <x:v>The Art &amp; Science of Foodpairing.pdf: 273</x:v>
      </x:c>
    </x:row>
    <x:row r="331" ht="66" customHeight="1">
      <x:c r="A331" s="28" t="str">
        <x:v>VEG-0412</x:v>
      </x:c>
      <x:c r="B331" s="28" t="str">
        <x:v>картофель</x:v>
      </x:c>
      <x:c r="C331" s="28" t="str">
        <x:v>чёрный трюфель</x:v>
      </x:c>
      <x:c r="D331" s="28" t="str">
        <x:v>Грибы</x:v>
      </x:c>
      <x:c r="E331" s="28" t="str">
        <x:v>пересечение ароматических семейств; умами и солёный контраст</x:v>
      </x:c>
      <x:c r="F331" s="28" t="str">
        <x:v>Картофель имеет профиль «крахмалистый, землистый, ореховый и жареный после нагрева». Партнёр «чёрный 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33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1" s="28" t="str">
        <x:v>зелёные или проросшие клубни не использовать; пережаривание даёт горечь и чрезмерно тёмную корку</x:v>
      </x:c>
      <x:c r="I331" s="28" t="str">
        <x:v>пюре, суп, запекание, крем, гарнир, соус или десертная разработка с чёрный трюфель</x:v>
      </x:c>
      <x:c r="J331" s="28" t="str">
        <x:v>Высокая</x:v>
      </x:c>
      <x:c r="K331" s="28" t="str">
        <x:v>The Art &amp; Science of Foodpairing.pdf</x:v>
      </x:c>
      <x:c r="L331" s="28" t="str">
        <x:v>The Art &amp; Science of Foodpairing.pdf: 193</x:v>
      </x:c>
    </x:row>
    <x:row r="332" ht="66" customHeight="1">
      <x:c r="A332" s="28" t="str">
        <x:v>VEG-0413</x:v>
      </x:c>
      <x:c r="B332" s="28" t="str">
        <x:v>картофель</x:v>
      </x:c>
      <x:c r="C332" s="28" t="str">
        <x:v>чёрный чай</x:v>
      </x:c>
      <x:c r="D332" s="28" t="str">
        <x:v>Чай</x:v>
      </x:c>
      <x:c r="E332" s="28" t="str">
        <x:v>сенсорная комплементарность</x:v>
      </x:c>
      <x:c r="F332" s="28" t="str">
        <x:v>Картофель имеет профиль «крахмалистый, землистый, ореховый и жареный после нагрева». Партнёр «чёрный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3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2" s="28" t="str">
        <x:v>зелёные или проросшие клубни не использовать; пережаривание даёт горечь и чрезмерно тёмную корку</x:v>
      </x:c>
      <x:c r="I332" s="28" t="str">
        <x:v>пюре, суп, запекание, крем, гарнир, соус или десертная разработка с чёрный чай</x:v>
      </x:c>
      <x:c r="J332" s="28" t="str">
        <x:v>Средняя</x:v>
      </x:c>
      <x:c r="K332" s="28" t="str">
        <x:v>The Art &amp; Science of Foodpairing.pdf</x:v>
      </x:c>
      <x:c r="L332" s="28" t="str">
        <x:v>The Art &amp; Science of Foodpairing.pdf: 196</x:v>
      </x:c>
    </x:row>
    <x:row r="333" ht="66" customHeight="1">
      <x:c r="A333" s="28" t="str">
        <x:v>VEG-0414</x:v>
      </x:c>
      <x:c r="B333" s="28" t="str">
        <x:v>картофель</x:v>
      </x:c>
      <x:c r="C333" s="28" t="str">
        <x:v>шафран</x:v>
      </x:c>
      <x:c r="D333" s="28" t="str">
        <x:v>Специи</x:v>
      </x:c>
      <x:c r="E333" s="28" t="str">
        <x:v>сенсорная комплементарность</x:v>
      </x:c>
      <x:c r="F333" s="28" t="str">
        <x:v>Картофель имеет профиль «крахмалистый, землистый, ореховый и жареный после нагрева».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3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3" s="28" t="str">
        <x:v>зелёные или проросшие клубни не использовать; пережаривание даёт горечь и чрезмерно тёмную корку</x:v>
      </x:c>
      <x:c r="I333" s="28" t="str">
        <x:v>пюре, суп, запекание, крем, гарнир, соус или десертная разработка с шафран</x:v>
      </x:c>
      <x:c r="J333" s="28" t="str">
        <x:v>Средняя</x:v>
      </x:c>
      <x:c r="K333" s="28" t="str">
        <x:v>Тезариус вкусов (Ники Сегнит)(1).pdf</x:v>
      </x:c>
      <x:c r="L333" s="28" t="str">
        <x:v>Тезариус вкусов (Ники Сегнит)(1).pdf: 246, 474</x:v>
      </x:c>
    </x:row>
    <x:row r="334" ht="66" customHeight="1">
      <x:c r="A334" s="28" t="str">
        <x:v>VEG-0415</x:v>
      </x:c>
      <x:c r="B334" s="28" t="str">
        <x:v>картофель</x:v>
      </x:c>
      <x:c r="C334" s="28" t="str">
        <x:v>шоколад</x:v>
      </x:c>
      <x:c r="D334" s="28" t="str">
        <x:v>Какао и шоколад</x:v>
      </x:c>
      <x:c r="E334" s="28" t="str">
        <x:v>общие характерные молекулы; пересечение ароматических семейств</x:v>
      </x:c>
      <x:c r="F334" s="28" t="str">
        <x:v>Картофель имеет профиль «крахмалистый, землистый, ореховый и жареный после нагрева».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33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4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I334" s="28" t="str">
        <x:v>пюре, суп, запекание, крем, гарнир, соус или десертная разработка с шоколад</x:v>
      </x:c>
      <x:c r="J334" s="28" t="str">
        <x:v>Средняя</x:v>
      </x:c>
      <x:c r="K334" s="28" t="str">
        <x:v>The Art &amp; Science of Foodpairing.pdf</x:v>
      </x:c>
      <x:c r="L334" s="28" t="str">
        <x:v>The Art &amp; Science of Foodpairing.pdf: 62</x:v>
      </x:c>
    </x:row>
    <x:row r="335" ht="66" customHeight="1">
      <x:c r="A335" s="28" t="str">
        <x:v>VEG-0416</x:v>
      </x:c>
      <x:c r="B335" s="28" t="str">
        <x:v>картофель</x:v>
      </x:c>
      <x:c r="C335" s="28" t="str">
        <x:v>яблоко</x:v>
      </x:c>
      <x:c r="D335" s="28" t="str">
        <x:v>Фрукты и ягоды</x:v>
      </x:c>
      <x:c r="E335" s="28" t="str">
        <x:v>кислотно-сладкий баланс</x:v>
      </x:c>
      <x:c r="F335" s="28" t="str">
        <x:v>Картофель имеет профиль «крахмалистый, землистый, ореховый и жареный после нагрева».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3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335" s="28" t="str">
        <x:v>пюре, суп, запекание, крем, гарнир, соус или десертная разработка с яблоко</x:v>
      </x:c>
      <x:c r="J335" s="28" t="str">
        <x:v>Высокая</x:v>
      </x:c>
      <x:c r="K335" s="28" t="str">
        <x:v>The Art &amp; Science of Foodpairing.pdf</x:v>
      </x:c>
      <x:c r="L335" s="28" t="str">
        <x:v>The Art &amp; Science of Foodpairing.pdf: 48</x:v>
      </x:c>
    </x:row>
    <x:row r="336" ht="66" customHeight="1">
      <x:c r="A336" s="28" t="str">
        <x:v>VEG-0417</x:v>
      </x:c>
      <x:c r="B336" s="28" t="str">
        <x:v>картофель</x:v>
      </x:c>
      <x:c r="C336" s="28" t="str">
        <x:v>яйца</x:v>
      </x:c>
      <x:c r="D336" s="28" t="str">
        <x:v>Прочее</x:v>
      </x:c>
      <x:c r="E336" s="28" t="str">
        <x:v>сенсорная комплементарность</x:v>
      </x:c>
      <x:c r="F336" s="28" t="str">
        <x:v>Картофель имеет профиль «крахмалистый, землистый, ореховый и жареный после нагрева».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3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6" s="28" t="str">
        <x:v>зелёные или проросшие клубни не использовать; пережаривание даёт горечь и чрезмерно тёмную корку</x:v>
      </x:c>
      <x:c r="I336" s="28" t="str">
        <x:v>пюре, суп, запекание, крем, гарнир, соус или десертная разработка с яйца</x:v>
      </x:c>
      <x:c r="J336" s="28" t="str">
        <x:v>Средняя</x:v>
      </x:c>
      <x:c r="K336" s="28" t="str">
        <x:v>Тезариус вкусов (Ники Сегнит)(1).pdf</x:v>
      </x:c>
      <x:c r="L336" s="28" t="str">
        <x:v>Тезариус вкусов (Ники Сегнит)(1).pdf: 246, 354</x:v>
      </x:c>
    </x:row>
    <x:row r="337" ht="66" customHeight="1">
      <x:c r="A337" s="28" t="str">
        <x:v>VEG-0418</x:v>
      </x:c>
      <x:c r="B337" s="28" t="str">
        <x:v>лук</x:v>
      </x:c>
      <x:c r="C337" s="28" t="str">
        <x:v>«черный пудинг»</x:v>
      </x:c>
      <x:c r="D337" s="28" t="str">
        <x:v>Прочее</x:v>
      </x:c>
      <x:c r="E337" s="28" t="str">
        <x:v>сернистая или горчичная комплементарность</x:v>
      </x:c>
      <x:c r="F337" s="28" t="str">
        <x:v>Лук имеет профиль «сернистый, сладкий, зелёный; после жарки — карамельный и мясной». Партнёр ««черный пудинг»»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3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37" s="28" t="str">
        <x:v>сырой лук легко перекрывает деликатные ароматы; подгорание создаёт устойчивую горечь</x:v>
      </x:c>
      <x:c r="I337" s="28" t="str">
        <x:v>горячее блюдо, бульон, соус, пюре, ферментация или гарнир с «черный пудинг»</x:v>
      </x:c>
      <x:c r="J337" s="28" t="str">
        <x:v>Средняя</x:v>
      </x:c>
      <x:c r="K337" s="28" t="str">
        <x:v>Тезариус вкусов (Ники Сегнит)(1).pdf</x:v>
      </x:c>
      <x:c r="L337" s="28" t="str">
        <x:v>Тезариус вкусов (Ники Сегнит)(1).pdf: 94, 288</x:v>
      </x:c>
    </x:row>
    <x:row r="338" ht="66" customHeight="1">
      <x:c r="A338" s="28" t="str">
        <x:v>VEG-0419</x:v>
      </x:c>
      <x:c r="B338" s="28" t="str">
        <x:v>лук</x:v>
      </x:c>
      <x:c r="C338" s="28" t="str">
        <x:v>анчоусы</x:v>
      </x:c>
      <x:c r="D338" s="28" t="str">
        <x:v>Рыба и морепродукты</x:v>
      </x:c>
      <x:c r="E338" s="28" t="str">
        <x:v>умами и солёный контраст; сернистая или горчичная комплементарность</x:v>
      </x:c>
      <x:c r="F338" s="28" t="str">
        <x:v>Лук имеет профиль «сернистый, сладкий, зелёный; после жарки — карамельный и мясной».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3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38" s="28" t="str">
        <x:v>сырой лук легко перекрывает деликатные ароматы; подгорание создаёт устойчивую горечь</x:v>
      </x:c>
      <x:c r="I338" s="28" t="str">
        <x:v>горячее блюдо, бульон, соус, пюре, ферментация или гарнир с анчоусы</x:v>
      </x:c>
      <x:c r="J338" s="28" t="str">
        <x:v>Средняя</x:v>
      </x:c>
      <x:c r="K338" s="28" t="str">
        <x:v>Тезариус вкусов (Ники Сегнит)(1).pdf</x:v>
      </x:c>
      <x:c r="L338" s="28" t="str">
        <x:v>Тезариус вкусов (Ники Сегнит)(1).pdf: 278, 428</x:v>
      </x:c>
    </x:row>
    <x:row r="339" ht="66" customHeight="1">
      <x:c r="A339" s="28" t="str">
        <x:v>VEG-0420</x:v>
      </x:c>
      <x:c r="B339" s="28" t="str">
        <x:v>лук</x:v>
      </x:c>
      <x:c r="C339" s="28" t="str">
        <x:v>апельсин</x:v>
      </x:c>
      <x:c r="D339" s="28" t="str">
        <x:v>Фрукты и ягоды</x:v>
      </x:c>
      <x:c r="E339" s="28" t="str">
        <x:v>пересечение ароматических семейств; кислотно-сладкий баланс; сернистая или горчичная комплементарность</x:v>
      </x:c>
      <x:c r="F339" s="28" t="str">
        <x:v>Лук имеет профиль «сернистый, сладкий, зелёный; после жарки — карамельный и мясной».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3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39" s="28" t="str">
        <x:v>сырой лук легко перекрывает деликатные ароматы; подгорание создаёт устойчивую горечь; избыток кислоты или воды может сделать овощной вкус тонким и разрушить сливочную эмульсию</x:v>
      </x:c>
      <x:c r="I339" s="28" t="str">
        <x:v>горячее блюдо, бульон, соус, пюре, ферментация или гарнир с апельсин</x:v>
      </x:c>
      <x:c r="J339" s="28" t="str">
        <x:v>Средняя</x:v>
      </x:c>
      <x:c r="K339" s="28" t="str">
        <x:v>Тезариус вкусов (Ники Сегнит)(1).pdf</x:v>
      </x:c>
      <x:c r="L339" s="28" t="str">
        <x:v>Тезариус вкусов (Ники Сегнит)(1).pdf: 280, 777</x:v>
      </x:c>
    </x:row>
    <x:row r="340" ht="66" customHeight="1">
      <x:c r="A340" s="28" t="str">
        <x:v>VEG-0421</x:v>
      </x:c>
      <x:c r="B340" s="28" t="str">
        <x:v>лук</x:v>
      </x:c>
      <x:c r="C340" s="28" t="str">
        <x:v>баранина</x:v>
      </x:c>
      <x:c r="D340" s="28" t="str">
        <x:v>Мясо и птица</x:v>
      </x:c>
      <x:c r="E340" s="28" t="str">
        <x:v>пересечение ароматических семейств; умами и солёный контраст; сернистая или горчичная комплементарность</x:v>
      </x:c>
      <x:c r="F340" s="28" t="str">
        <x:v>Лук имеет профиль «сернистый, сладкий, зелёный; после жарки — карамельный и мясной». Партнёр «баранина»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0" s="28" t="str">
        <x:v>сырой лук легко перекрывает деликатные ароматы; подгорание создаёт устойчивую горечь</x:v>
      </x:c>
      <x:c r="I340" s="28" t="str">
        <x:v>горячее блюдо, бульон, соус, пюре, ферментация или гарнир с баранина</x:v>
      </x:c>
      <x:c r="J340" s="28" t="str">
        <x:v>Средняя</x:v>
      </x:c>
      <x:c r="K340" s="28" t="str">
        <x:v>Тезариус вкусов (Ники Сегнит)(1).pdf</x:v>
      </x:c>
      <x:c r="L340" s="28" t="str">
        <x:v>Тезариус вкусов (Ники Сегнит)(1).pdf: 130, 280</x:v>
      </x:c>
    </x:row>
    <x:row r="341" ht="66" customHeight="1">
      <x:c r="A341" s="28" t="str">
        <x:v>VEG-0422</x:v>
      </x:c>
      <x:c r="B341" s="28" t="str">
        <x:v>лук</x:v>
      </x:c>
      <x:c r="C341" s="28" t="str">
        <x:v>бекон</x:v>
      </x:c>
      <x:c r="D341" s="28" t="str">
        <x:v>Мясо и птица</x:v>
      </x:c>
      <x:c r="E341" s="28" t="str">
        <x:v>пересечение ароматических семейств; умами и солёный контраст; сернистая или горчичная комплементарность</x:v>
      </x:c>
      <x:c r="F341" s="28" t="str">
        <x:v>Лук имеет профиль «сернистый, сладкий, зелёный; после жарки — карамельный и мясной». Партнёр «бекон» относится к группе «Мясо и птица» и даёт дымный, жареный,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1" s="28" t="str">
        <x:v>сырой лук легко перекрывает деликатные ароматы; подгорание создаёт устойчивую горечь</x:v>
      </x:c>
      <x:c r="I341" s="28" t="str">
        <x:v>горячее блюдо, бульон, соус, пюре, ферментация или гарнир с бекон</x:v>
      </x:c>
      <x:c r="J341" s="28" t="str">
        <x:v>Средняя</x:v>
      </x:c>
      <x:c r="K341" s="28" t="str">
        <x:v>Тезариус вкусов (Ники Сегнит)(1).pdf</x:v>
      </x:c>
      <x:c r="L341" s="28" t="str">
        <x:v>Тезариус вкусов (Ники Сегнит)(1).pdf: 281, 445</x:v>
      </x:c>
    </x:row>
    <x:row r="342" ht="66" customHeight="1">
      <x:c r="A342" s="28" t="str">
        <x:v>VEG-0423</x:v>
      </x:c>
      <x:c r="B342" s="28" t="str">
        <x:v>лук</x:v>
      </x:c>
      <x:c r="C342" s="28" t="str">
        <x:v>болгарский перец</x:v>
      </x:c>
      <x:c r="D342" s="28" t="str">
        <x:v>Плодовые овощи</x:v>
      </x:c>
      <x:c r="E342" s="28" t="str">
        <x:v>пересечение ароматических семейств; сернистая или горчичная комплементарность</x:v>
      </x:c>
      <x:c r="F342" s="28" t="str">
        <x:v>Лук имеет профиль «сернистый, сладкий, зелёный; после жарки — карамельный и мясной».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2" s="28" t="str">
        <x:v>сырой лук легко перекрывает деликатные ароматы; подгорание создаёт устойчивую горечь</x:v>
      </x:c>
      <x:c r="I342" s="28" t="str">
        <x:v>горячее блюдо, бульон, соус, пюре, ферментация или гарнир с болгарский перец</x:v>
      </x:c>
      <x:c r="J342" s="28" t="str">
        <x:v>Средняя</x:v>
      </x:c>
      <x:c r="K342" s="28" t="str">
        <x:v>Тезариус вкусов (Ники Сегнит)(1).pdf</x:v>
      </x:c>
      <x:c r="L342" s="28" t="str">
        <x:v>Тезариус вкусов (Ники Сегнит)(1).pdf: 281, 547</x:v>
      </x:c>
    </x:row>
    <x:row r="343" ht="66" customHeight="1">
      <x:c r="A343" s="28" t="str">
        <x:v>VEG-0424</x:v>
      </x:c>
      <x:c r="B343" s="28" t="str">
        <x:v>лук</x:v>
      </x:c>
      <x:c r="C343" s="28" t="str">
        <x:v>гвоздика</x:v>
      </x:c>
      <x:c r="D343" s="28" t="str">
        <x:v>Специи</x:v>
      </x:c>
      <x:c r="E343" s="28" t="str">
        <x:v>сернистая или горчичная комплементарность</x:v>
      </x:c>
      <x:c r="F343" s="28" t="str">
        <x:v>Лук имеет профиль «сернистый, сладкий, зелёный; после жарки — карамельный и мясной».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3" s="28" t="str">
        <x:v>сырой лук легко перекрывает деликатные ароматы; подгорание создаёт устойчивую горечь</x:v>
      </x:c>
      <x:c r="I343" s="28" t="str">
        <x:v>горячее блюдо, бульон, соус, пюре, ферментация или гарнир с гвоздика</x:v>
      </x:c>
      <x:c r="J343" s="28" t="str">
        <x:v>Средняя</x:v>
      </x:c>
      <x:c r="K343" s="28" t="str">
        <x:v>Тезариус вкусов (Ники Сегнит)(1).pdf</x:v>
      </x:c>
      <x:c r="L343" s="28" t="str">
        <x:v>Тезариус вкусов (Ники Сегнит)(1).pdf: 282, 584</x:v>
      </x:c>
    </x:row>
    <x:row r="344" ht="66" customHeight="1">
      <x:c r="A344" s="28" t="str">
        <x:v>VEG-0425</x:v>
      </x:c>
      <x:c r="B344" s="28" t="str">
        <x:v>лук</x:v>
      </x:c>
      <x:c r="C344" s="28" t="str">
        <x:v>говядина</x:v>
      </x:c>
      <x:c r="D344" s="28" t="str">
        <x:v>Мясо и птица</x:v>
      </x:c>
      <x:c r="E344" s="28" t="str">
        <x:v>пересечение ароматических семейств; умами и солёный контраст; сернистая или горчичная комплементарность</x:v>
      </x:c>
      <x:c r="F344" s="28" t="str">
        <x:v>Лук имеет профиль «сернистый, сладкий, зелёный; после жарки — карамельный и мясной». Партнёр «говядина»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4" s="28" t="str">
        <x:v>сырой лук легко перекрывает деликатные ароматы; подгорание создаёт устойчивую горечь</x:v>
      </x:c>
      <x:c r="I344" s="28" t="str">
        <x:v>горячее блюдо, бульон, соус, пюре, ферментация или гарнир с говядина</x:v>
      </x:c>
      <x:c r="J344" s="28" t="str">
        <x:v>Средняя</x:v>
      </x:c>
      <x:c r="K344" s="28" t="str">
        <x:v>Тезариус вкусов (Ники Сегнит)(1).pdf</x:v>
      </x:c>
      <x:c r="L344" s="28" t="str">
        <x:v>Тезариус вкусов (Ники Сегнит)(1).pdf: 113, 283</x:v>
      </x:c>
    </x:row>
    <x:row r="345" ht="66" customHeight="1">
      <x:c r="A345" s="28" t="str">
        <x:v>VEG-0426</x:v>
      </x:c>
      <x:c r="B345" s="28" t="str">
        <x:v>лук</x:v>
      </x:c>
      <x:c r="C345" s="28" t="str">
        <x:v>горох</x:v>
      </x:c>
      <x:c r="D345" s="28" t="str">
        <x:v>Бобовые</x:v>
      </x:c>
      <x:c r="E345" s="28" t="str">
        <x:v>пересечение ароматических семейств; сернистая или горчичная комплементарность</x:v>
      </x:c>
      <x:c r="F345" s="28" t="str">
        <x:v>Лук имеет профиль «сернистый, сладкий, зелёный; после жарки — карамельный и мясной». Партнёр «горох» относится к группе «Бобовые» и даёт зелёный, сладкий, бобовый и слегка цветочный.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5" s="28" t="str">
        <x:v>сырой лук легко перекрывает деликатные ароматы; подгорание создаёт устойчивую горечь</x:v>
      </x:c>
      <x:c r="I345" s="28" t="str">
        <x:v>горячее блюдо, бульон, соус, пюре, ферментация или гарнир с горох</x:v>
      </x:c>
      <x:c r="J345" s="28" t="str">
        <x:v>Средняя</x:v>
      </x:c>
      <x:c r="K345" s="28" t="str">
        <x:v>Тезариус вкусов (Ники Сегнит)(1).pdf</x:v>
      </x:c>
      <x:c r="L345" s="28" t="str">
        <x:v>Тезариус вкусов (Ники Сегнит)(1).pdf: 283, 538</x:v>
      </x:c>
    </x:row>
    <x:row r="346" ht="66" customHeight="1">
      <x:c r="A346" s="28" t="str">
        <x:v>VEG-0427</x:v>
      </x:c>
      <x:c r="B346" s="28" t="str">
        <x:v>лук</x:v>
      </x:c>
      <x:c r="C346" s="28" t="str">
        <x:v>жирная рыба</x:v>
      </x:c>
      <x:c r="D346" s="28" t="str">
        <x:v>Рыба и морепродукты</x:v>
      </x:c>
      <x:c r="E346" s="28" t="str">
        <x:v>умами и солёный контраст; сернистая или горчичная комплементарность</x:v>
      </x:c>
      <x:c r="F346" s="28" t="str">
        <x:v>Лук имеет профиль «сернистый, сладкий, зелёный; после жарки — карамельный и мясной».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6" s="28" t="str">
        <x:v>сырой лук легко перекрывает деликатные ароматы; подгорание создаёт устойчивую горечь</x:v>
      </x:c>
      <x:c r="I346" s="28" t="str">
        <x:v>горячее блюдо, бульон, соус, пюре, ферментация или гарнир с жирная рыба</x:v>
      </x:c>
      <x:c r="J346" s="28" t="str">
        <x:v>Средняя</x:v>
      </x:c>
      <x:c r="K346" s="28" t="str">
        <x:v>Тезариус вкусов (Ники Сегнит)(1).pdf</x:v>
      </x:c>
      <x:c r="L346" s="28" t="str">
        <x:v>Тезариус вкусов (Ники Сегнит)(1).pdf: 283, 414</x:v>
      </x:c>
    </x:row>
    <x:row r="347" ht="66" customHeight="1">
      <x:c r="A347" s="28" t="str">
        <x:v>VEG-0428</x:v>
      </x:c>
      <x:c r="B347" s="28" t="str">
        <x:v>лук</x:v>
      </x:c>
      <x:c r="C347" s="28" t="str">
        <x:v>имбирь</x:v>
      </x:c>
      <x:c r="D347" s="28" t="str">
        <x:v>Специи</x:v>
      </x:c>
      <x:c r="E347" s="28" t="str">
        <x:v>сернистая или горчичная комплементарность</x:v>
      </x:c>
      <x:c r="F347" s="28" t="str">
        <x:v>Лук имеет профиль «сернистый, сладкий, зелёный; после жарки — карамельный и мясной».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7" s="28" t="str">
        <x:v>сырой лук легко перекрывает деликатные ароматы; подгорание создаёт устойчивую горечь</x:v>
      </x:c>
      <x:c r="I347" s="28" t="str">
        <x:v>горячее блюдо, бульон, соус, пюре, ферментация или гарнир с имбирь</x:v>
      </x:c>
      <x:c r="J347" s="28" t="str">
        <x:v>Высокая</x:v>
      </x:c>
      <x:c r="K347" s="28" t="str">
        <x:v>The Art &amp; Science of Foodpairing.pdf | Тезариус вкусов (Ники Сегнит)(1).pdf</x:v>
      </x:c>
      <x:c r="L347" s="28" t="str">
        <x:v>Тезариус вкусов (Ники Сегнит)(1).pdf: 283, 813, 818; The Art &amp; Science of Foodpairing.pdf: 142</x:v>
      </x:c>
    </x:row>
    <x:row r="348" ht="66" customHeight="1">
      <x:c r="A348" s="28" t="str">
        <x:v>VEG-0429</x:v>
      </x:c>
      <x:c r="B348" s="28" t="str">
        <x:v>лук</x:v>
      </x:c>
      <x:c r="C348" s="28" t="str">
        <x:v>капуста</x:v>
      </x:c>
      <x:c r="D348" s="28" t="str">
        <x:v>Крестоцветные</x:v>
      </x:c>
      <x:c r="E348" s="28" t="str">
        <x:v>пересечение ароматических семейств; сернистая или горчичная комплементарность</x:v>
      </x:c>
      <x:c r="F348" s="28" t="str">
        <x:v>Лук имеет профиль «сернистый, сладкий, зелёный; после жарки — карамельный и мясной».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8" s="28" t="str">
        <x:v>сырой лук легко перекрывает деликатные ароматы; подгорание создаёт устойчивую горечь</x:v>
      </x:c>
      <x:c r="I348" s="28" t="str">
        <x:v>горячее блюдо, бульон, соус, пюре, ферментация или гарнир с капуста</x:v>
      </x:c>
      <x:c r="J348" s="28" t="str">
        <x:v>Средняя</x:v>
      </x:c>
      <x:c r="K348" s="28" t="str">
        <x:v>Тезариус вкусов (Ники Сегнит)(1).pdf</x:v>
      </x:c>
      <x:c r="L348" s="28" t="str">
        <x:v>Тезариус вкусов (Ники Сегнит)(1).pdf: 284, 311</x:v>
      </x:c>
    </x:row>
    <x:row r="349" ht="66" customHeight="1">
      <x:c r="A349" s="28" t="str">
        <x:v>VEG-0430</x:v>
      </x:c>
      <x:c r="B349" s="28" t="str">
        <x:v>лук</x:v>
      </x:c>
      <x:c r="C349" s="28" t="str">
        <x:v>копченая рыба</x:v>
      </x:c>
      <x:c r="D349" s="28" t="str">
        <x:v>Рыба и морепродукты</x:v>
      </x:c>
      <x:c r="E349" s="28" t="str">
        <x:v>умами и солёный контраст; сернистая или горчичная комплементарность</x:v>
      </x:c>
      <x:c r="F349" s="28" t="str">
        <x:v>Лук имеет профиль «сернистый, сладкий, зелёный; после жарки — карамельный и мясной».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9" s="28" t="str">
        <x:v>сырой лук легко перекрывает деликатные ароматы; подгорание создаёт устойчивую горечь</x:v>
      </x:c>
      <x:c r="I349" s="28" t="str">
        <x:v>горячее блюдо, бульон, соус, пюре, ферментация или гарнир с копченая рыба</x:v>
      </x:c>
      <x:c r="J349" s="28" t="str">
        <x:v>Средняя</x:v>
      </x:c>
      <x:c r="K349" s="28" t="str">
        <x:v>Тезариус вкусов (Ники Сегнит)(1).pdf</x:v>
      </x:c>
      <x:c r="L349" s="28" t="str">
        <x:v>Тезариус вкусов (Ники Сегнит)(1).pdf: 284, 437</x:v>
      </x:c>
    </x:row>
    <x:row r="350" ht="66" customHeight="1">
      <x:c r="A350" s="28" t="str">
        <x:v>VEG-0431</x:v>
      </x:c>
      <x:c r="B350" s="28" t="str">
        <x:v>лук</x:v>
      </x:c>
      <x:c r="C350" s="28" t="str">
        <x:v>морковь</x:v>
      </x:c>
      <x:c r="D350" s="28" t="str">
        <x:v>Корнеплоды</x:v>
      </x:c>
      <x:c r="E350" s="28" t="str">
        <x:v>пересечение ароматических семейств; сернистая или горчичная комплементарность</x:v>
      </x:c>
      <x:c r="F350" s="28" t="str">
        <x:v>Лук имеет профиль «сернистый, сладкий, зелёный; после жарки — карамельный и мясной».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0" s="28" t="str">
        <x:v>сырой лук легко перекрывает деликатные ароматы; подгорание создаёт устойчивую горечь</x:v>
      </x:c>
      <x:c r="I350" s="28" t="str">
        <x:v>горячее блюдо, бульон, соус, пюре, ферментация или гарнир с морковь</x:v>
      </x:c>
      <x:c r="J350" s="28" t="str">
        <x:v>Средняя</x:v>
      </x:c>
      <x:c r="K350" s="28" t="str">
        <x:v>Тезариус вкусов (Ники Сегнит)(1).pdf</x:v>
      </x:c>
      <x:c r="L350" s="28" t="str">
        <x:v>Тезариус вкусов (Ники Сегнит)(1).pdf: 284, 605</x:v>
      </x:c>
    </x:row>
    <x:row r="351" ht="66" customHeight="1">
      <x:c r="A351" s="28" t="str">
        <x:v>VEG-0432</x:v>
      </x:c>
      <x:c r="B351" s="28" t="str">
        <x:v>лук</x:v>
      </x:c>
      <x:c r="C351" s="28" t="str">
        <x:v>мускатный орех</x:v>
      </x:c>
      <x:c r="D351" s="28" t="str">
        <x:v>Рыба и морепродукты</x:v>
      </x:c>
      <x:c r="E351" s="28" t="str">
        <x:v>умами и солёный контраст; сернистая или горчичная комплементарность</x:v>
      </x:c>
      <x:c r="F351" s="28" t="str">
        <x:v>Лук имеет профиль «сернистый, сладкий, зелёный; после жарки — карамельный и мясной».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1" s="28" t="str">
        <x:v>сырой лук легко перекрывает деликатные ароматы; подгорание создаёт устойчивую горечь</x:v>
      </x:c>
      <x:c r="I351" s="28" t="str">
        <x:v>горячее блюдо, бульон, соус, пюре, ферментация или гарнир с мускатный орех</x:v>
      </x:c>
      <x:c r="J351" s="28" t="str">
        <x:v>Средняя</x:v>
      </x:c>
      <x:c r="K351" s="28" t="str">
        <x:v>Тезариус вкусов (Ники Сегнит)(1).pdf</x:v>
      </x:c>
      <x:c r="L351" s="28" t="str">
        <x:v>Тезариус вкусов (Ники Сегнит)(1).pdf: 284, 588</x:v>
      </x:c>
    </x:row>
    <x:row r="352" ht="66" customHeight="1">
      <x:c r="A352" s="28" t="str">
        <x:v>VEG-0433</x:v>
      </x:c>
      <x:c r="B352" s="28" t="str">
        <x:v>лук</x:v>
      </x:c>
      <x:c r="C352" s="28" t="str">
        <x:v>мята</x:v>
      </x:c>
      <x:c r="D352" s="28" t="str">
        <x:v>Травы, цветы и листья</x:v>
      </x:c>
      <x:c r="E352" s="28" t="str">
        <x:v>сернистая или горчичная комплементарность</x:v>
      </x:c>
      <x:c r="F352" s="28" t="str">
        <x:v>Лук имеет профиль «сернистый, сладкий, зелёный; после жарки — карамельный и мясной».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2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52" s="28" t="str">
        <x:v>горячее блюдо, бульон, соус, пюре, ферментация или гарнир с мята</x:v>
      </x:c>
      <x:c r="J352" s="28" t="str">
        <x:v>Средняя</x:v>
      </x:c>
      <x:c r="K352" s="28" t="str">
        <x:v>Тезариус вкусов (Ники Сегнит)(1).pdf</x:v>
      </x:c>
      <x:c r="L352" s="28" t="str">
        <x:v>Тезариус вкусов (Ники Сегнит)(1).pdf: 285, 869</x:v>
      </x:c>
    </x:row>
    <x:row r="353" ht="66" customHeight="1">
      <x:c r="A353" s="28" t="str">
        <x:v>VEG-0434</x:v>
      </x:c>
      <x:c r="B353" s="28" t="str">
        <x:v>лук</x:v>
      </x:c>
      <x:c r="C353" s="28" t="str">
        <x:v>огурец</x:v>
      </x:c>
      <x:c r="D353" s="28" t="str">
        <x:v>Тыквенные</x:v>
      </x:c>
      <x:c r="E353" s="28" t="str">
        <x:v>сернистая или горчичная комплементарность</x:v>
      </x:c>
      <x:c r="F353" s="28" t="str">
        <x:v>Лук имеет профиль «сернистый, сладкий, зелёный; после жарки — карамельный и мясной».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3" s="28" t="str">
        <x:v>сырой лук легко перекрывает деликатные ароматы; подгорание создаёт устойчивую горечь</x:v>
      </x:c>
      <x:c r="I353" s="28" t="str">
        <x:v>горячее блюдо, бульон, соус, пюре, ферментация или гарнир с огурец</x:v>
      </x:c>
      <x:c r="J353" s="28" t="str">
        <x:v>Средняя</x:v>
      </x:c>
      <x:c r="K353" s="28" t="str">
        <x:v>Тезариус вкусов (Ники Сегнит)(1).pdf</x:v>
      </x:c>
      <x:c r="L353" s="28" t="str">
        <x:v>Тезариус вкусов (Ники Сегнит)(1).pdf: 286, 493</x:v>
      </x:c>
    </x:row>
    <x:row r="354" ht="66" customHeight="1">
      <x:c r="A354" s="28" t="str">
        <x:v>VEG-0435</x:v>
      </x:c>
      <x:c r="B354" s="28" t="str">
        <x:v>лук</x:v>
      </x:c>
      <x:c r="C354" s="28" t="str">
        <x:v>оливки</x:v>
      </x:c>
      <x:c r="D354" s="28" t="str">
        <x:v>Прочее</x:v>
      </x:c>
      <x:c r="E354" s="28" t="str">
        <x:v>сернистая или горчичная комплементарность</x:v>
      </x:c>
      <x:c r="F354" s="28" t="str">
        <x:v>Лук имеет профиль «сернистый, сладкий, зелёный; после жарки — карамельный и мясной».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4" s="28" t="str">
        <x:v>сырой лук легко перекрывает деликатные ароматы; подгорание создаёт устойчивую горечь</x:v>
      </x:c>
      <x:c r="I354" s="28" t="str">
        <x:v>горячее блюдо, бульон, соус, пюре, ферментация или гарнир с оливки</x:v>
      </x:c>
      <x:c r="J354" s="28" t="str">
        <x:v>Средняя</x:v>
      </x:c>
      <x:c r="K354" s="28" t="str">
        <x:v>The Art &amp; Science of Foodpairing.pdf</x:v>
      </x:c>
      <x:c r="L354" s="28" t="str">
        <x:v>The Art &amp; Science of Foodpairing.pdf: 216</x:v>
      </x:c>
    </x:row>
    <x:row r="355" ht="66" customHeight="1">
      <x:c r="A355" s="28" t="str">
        <x:v>VEG-0436</x:v>
      </x:c>
      <x:c r="B355" s="28" t="str">
        <x:v>лук</x:v>
      </x:c>
      <x:c r="C355" s="28" t="str">
        <x:v>печень</x:v>
      </x:c>
      <x:c r="D355" s="28" t="str">
        <x:v>Мясо и птица</x:v>
      </x:c>
      <x:c r="E355" s="28" t="str">
        <x:v>пересечение ароматических семейств; умами и солёный контраст; сернистая или горчичная комплементарность</x:v>
      </x:c>
      <x:c r="F355" s="28" t="str">
        <x:v>Лук имеет профиль «сернистый, сладкий, зелёный; после жарки — карамельный и мясной». Партнёр «печень»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5" s="28" t="str">
        <x:v>сырой лук легко перекрывает деликатные ароматы; подгорание создаёт устойчивую горечь</x:v>
      </x:c>
      <x:c r="I355" s="28" t="str">
        <x:v>горячее блюдо, бульон, соус, пюре, ферментация или гарнир с печень</x:v>
      </x:c>
      <x:c r="J355" s="28" t="str">
        <x:v>Средняя</x:v>
      </x:c>
      <x:c r="K355" s="28" t="str">
        <x:v>Тезариус вкусов (Ники Сегнит)(1).pdf</x:v>
      </x:c>
      <x:c r="L355" s="28" t="str">
        <x:v>Тезариус вкусов (Ники Сегнит)(1).pdf: 101, 286</x:v>
      </x:c>
    </x:row>
    <x:row r="356" ht="66" customHeight="1">
      <x:c r="A356" s="28" t="str">
        <x:v>VEG-0437</x:v>
      </x:c>
      <x:c r="B356" s="28" t="str">
        <x:v>лук</x:v>
      </x:c>
      <x:c r="C356" s="28" t="str">
        <x:v>розмарин</x:v>
      </x:c>
      <x:c r="D356" s="28" t="str">
        <x:v>Травы, цветы и листья</x:v>
      </x:c>
      <x:c r="E356" s="28" t="str">
        <x:v>сернистая или горчичная комплементарность</x:v>
      </x:c>
      <x:c r="F356" s="28" t="str">
        <x:v>Лук имеет профиль «сернистый, сладкий, зелёный; после жарки — карамельный и мясной».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6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56" s="28" t="str">
        <x:v>горячее блюдо, бульон, соус, пюре, ферментация или гарнир с розмарин</x:v>
      </x:c>
      <x:c r="J356" s="28" t="str">
        <x:v>Средняя</x:v>
      </x:c>
      <x:c r="K356" s="28" t="str">
        <x:v>Тезариус вкусов (Ники Сегнит)(1).pdf</x:v>
      </x:c>
      <x:c r="L356" s="28" t="str">
        <x:v>Тезариус вкусов (Ники Сегнит)(1).pdf: 286, 837</x:v>
      </x:c>
    </x:row>
    <x:row r="357" ht="66" customHeight="1">
      <x:c r="A357" s="28" t="str">
        <x:v>VEG-0438</x:v>
      </x:c>
      <x:c r="B357" s="28" t="str">
        <x:v>лук</x:v>
      </x:c>
      <x:c r="C357" s="28" t="str">
        <x:v>свинина</x:v>
      </x:c>
      <x:c r="D357" s="28" t="str">
        <x:v>Мясо и птица</x:v>
      </x:c>
      <x:c r="E357" s="28" t="str">
        <x:v>пересечение ароматических семейств; умами и солёный контраст; сернистая или горчичная комплементарность</x:v>
      </x:c>
      <x:c r="F357" s="28" t="str">
        <x:v>Лук имеет профиль «сернистый, сладкий, зелёный; после жарки — карамельный и мясной». Партнёр «свинина»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7" s="28" t="str">
        <x:v>сырой лук легко перекрывает деликатные ароматы; подгорание создаёт устойчивую горечь</x:v>
      </x:c>
      <x:c r="I357" s="28" t="str">
        <x:v>горячее блюдо, бульон, соус, пюре, ферментация или гарнир с свинина</x:v>
      </x:c>
      <x:c r="J357" s="28" t="str">
        <x:v>Средняя</x:v>
      </x:c>
      <x:c r="K357" s="28" t="str">
        <x:v>Тезариус вкусов (Ники Сегнит)(1).pdf</x:v>
      </x:c>
      <x:c r="L357" s="28" t="str">
        <x:v>Тезариус вкусов (Ники Сегнит)(1).pdf: 86, 287</x:v>
      </x:c>
    </x:row>
    <x:row r="358" ht="66" customHeight="1">
      <x:c r="A358" s="28" t="str">
        <x:v>VEG-0439</x:v>
      </x:c>
      <x:c r="B358" s="28" t="str">
        <x:v>лук</x:v>
      </x:c>
      <x:c r="C358" s="28" t="str">
        <x:v>твердый сыр</x:v>
      </x:c>
      <x:c r="D358" s="28" t="str">
        <x:v>Молочные продукты и сыры</x:v>
      </x:c>
      <x:c r="E358" s="28" t="str">
        <x:v>жировая матрица; сернистая или горчичная комплементарность</x:v>
      </x:c>
      <x:c r="F358" s="28" t="str">
        <x:v>Лук имеет профиль «сернистый, сладкий, зелёный; после жарки — карамельный и мясной».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8" s="28" t="str">
        <x:v>сырой лук легко перекрывает деликатные ароматы; подгорание создаёт устойчивую горечь; жир способен приглушить свежую зелёную ароматику</x:v>
      </x:c>
      <x:c r="I358" s="28" t="str">
        <x:v>горячее блюдо, бульон, соус, пюре, ферментация или гарнир с твердый сыр</x:v>
      </x:c>
      <x:c r="J358" s="28" t="str">
        <x:v>Средняя</x:v>
      </x:c>
      <x:c r="K358" s="28" t="str">
        <x:v>Тезариус вкусов (Ники Сегнит)(1).pdf</x:v>
      </x:c>
      <x:c r="L358" s="28" t="str">
        <x:v>Тезариус вкусов (Ники Сегнит)(1).pdf: 173, 288</x:v>
      </x:c>
    </x:row>
    <x:row r="359" ht="66" customHeight="1">
      <x:c r="A359" s="28" t="str">
        <x:v>VEG-0440</x:v>
      </x:c>
      <x:c r="B359" s="28" t="str">
        <x:v>лук</x:v>
      </x:c>
      <x:c r="C359" s="28" t="str">
        <x:v>тимьян</x:v>
      </x:c>
      <x:c r="D359" s="28" t="str">
        <x:v>Травы, цветы и листья</x:v>
      </x:c>
      <x:c r="E359" s="28" t="str">
        <x:v>сернистая или горчичная комплементарность</x:v>
      </x:c>
      <x:c r="F359" s="28" t="str">
        <x:v>Лук имеет профиль «сернистый, сладкий, зелёный; после жарки — карамельный и мясной».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9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59" s="28" t="str">
        <x:v>горячее блюдо, бульон, соус, пюре, ферментация или гарнир с тимьян</x:v>
      </x:c>
      <x:c r="J359" s="28" t="str">
        <x:v>Средняя</x:v>
      </x:c>
      <x:c r="K359" s="28" t="str">
        <x:v>Тезариус вкусов (Ники Сегнит)(1).pdf</x:v>
      </x:c>
      <x:c r="L359" s="28" t="str">
        <x:v>Тезариус вкусов (Ники Сегнит)(1).pdf: 288, 858</x:v>
      </x:c>
    </x:row>
    <x:row r="360" ht="66" customHeight="1">
      <x:c r="A360" s="28" t="str">
        <x:v>VEG-0441</x:v>
      </x:c>
      <x:c r="B360" s="28" t="str">
        <x:v>лук</x:v>
      </x:c>
      <x:c r="C360" s="28" t="str">
        <x:v>томат</x:v>
      </x:c>
      <x:c r="D360" s="28" t="str">
        <x:v>Плодовые овощи</x:v>
      </x:c>
      <x:c r="E360" s="28" t="str">
        <x:v>пересечение ароматических семейств; сернистая или горчичная комплементарность</x:v>
      </x:c>
      <x:c r="F360" s="28" t="str">
        <x:v>Лук имеет профиль «сернистый, сладкий, зелёный; после жарки — карамельный и мясной». Партнёр «томат» относится к группе «Плодовые овощи» и даёт зелёный, фруктовый, листовой, сернистый и умами.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0" s="28" t="str">
        <x:v>сырой лук легко перекрывает деликатные ароматы; подгорание создаёт устойчивую горечь</x:v>
      </x:c>
      <x:c r="I360" s="28" t="str">
        <x:v>горячее блюдо, бульон, соус, пюре, ферментация или гарнир с томат</x:v>
      </x:c>
      <x:c r="J360" s="28" t="str">
        <x:v>Средняя</x:v>
      </x:c>
      <x:c r="K360" s="28" t="str">
        <x:v>Тезариус вкусов (Ники Сегнит)(1).pdf</x:v>
      </x:c>
      <x:c r="L360" s="28" t="str">
        <x:v>Тезариус вкусов (Ники Сегнит)(1).pdf: 288, 687</x:v>
      </x:c>
    </x:row>
    <x:row r="361" ht="66" customHeight="1">
      <x:c r="A361" s="28" t="str">
        <x:v>VEG-0442</x:v>
      </x:c>
      <x:c r="B361" s="28" t="str">
        <x:v>лук</x:v>
      </x:c>
      <x:c r="C361" s="28" t="str">
        <x:v>устрицы</x:v>
      </x:c>
      <x:c r="D361" s="28" t="str">
        <x:v>Рыба и морепродукты</x:v>
      </x:c>
      <x:c r="E361" s="28" t="str">
        <x:v>умами и солёный контраст; сернистая или горчичная комплементарность</x:v>
      </x:c>
      <x:c r="F361" s="28" t="str">
        <x:v>Лук имеет профиль «сернистый, сладкий, зелёный; после жарки — карамельный и мясной».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1" s="28" t="str">
        <x:v>сырой лук легко перекрывает деликатные ароматы; подгорание создаёт устойчивую горечь</x:v>
      </x:c>
      <x:c r="I361" s="28" t="str">
        <x:v>горячее блюдо, бульон, соус, пюре, ферментация или гарнир с устрицы</x:v>
      </x:c>
      <x:c r="J361" s="28" t="str">
        <x:v>Средняя</x:v>
      </x:c>
      <x:c r="K361" s="28" t="str">
        <x:v>Тезариус вкусов (Ники Сегнит)(1).pdf</x:v>
      </x:c>
      <x:c r="L361" s="28" t="str">
        <x:v>Тезариус вкусов (Ники Сегнит)(1).pdf: 288, 398</x:v>
      </x:c>
    </x:row>
    <x:row r="362" ht="66" customHeight="1">
      <x:c r="A362" s="28" t="str">
        <x:v>VEG-0443</x:v>
      </x:c>
      <x:c r="B362" s="28" t="str">
        <x:v>лук</x:v>
      </x:c>
      <x:c r="C362" s="28" t="str">
        <x:v>цветная капуста</x:v>
      </x:c>
      <x:c r="D362" s="28" t="str">
        <x:v>Крестоцветные</x:v>
      </x:c>
      <x:c r="E362" s="28" t="str">
        <x:v>пересечение ароматических семейств; сернистая или горчичная комплементарность</x:v>
      </x:c>
      <x:c r="F362" s="28" t="str">
        <x:v>Лук имеет профиль «сернистый, сладкий, зелёный; после жарки — карамельный и мясной». Партнёр «цветная капуста» относится к группе «Крестоцветные» и даёт мягко капустный, ореховый, сернистый и сливочный после запекания.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2" s="28" t="str">
        <x:v>сырой лук легко перекрывает деликатные ароматы; подгорание создаёт устойчивую горечь</x:v>
      </x:c>
      <x:c r="I362" s="28" t="str">
        <x:v>горячее блюдо, бульон, соус, пюре, ферментация или гарнир с цветная капуста</x:v>
      </x:c>
      <x:c r="J362" s="28" t="str">
        <x:v>Средняя</x:v>
      </x:c>
      <x:c r="K362" s="28" t="str">
        <x:v>The Art &amp; Science of Foodpairing.pdf</x:v>
      </x:c>
      <x:c r="L362" s="28" t="str">
        <x:v>The Art &amp; Science of Foodpairing.pdf: 67</x:v>
      </x:c>
    </x:row>
    <x:row r="363" ht="66" customHeight="1">
      <x:c r="A363" s="28" t="str">
        <x:v>VEG-0444</x:v>
      </x:c>
      <x:c r="B363" s="28" t="str">
        <x:v>лук</x:v>
      </x:c>
      <x:c r="C363" s="28" t="str">
        <x:v>цыпленок</x:v>
      </x:c>
      <x:c r="D363" s="28" t="str">
        <x:v>Прочее</x:v>
      </x:c>
      <x:c r="E363" s="28" t="str">
        <x:v>сернистая или горчичная комплементарность</x:v>
      </x:c>
      <x:c r="F363" s="28" t="str">
        <x:v>Лук имеет профиль «сернистый, сладкий, зелёный; после жарки — карамельный и мясной».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3" s="28" t="str">
        <x:v>сырой лук легко перекрывает деликатные ароматы; подгорание создаёт устойчивую горечь</x:v>
      </x:c>
      <x:c r="I363" s="28" t="str">
        <x:v>горячее блюдо, бульон, соус, пюре, ферментация или гарнир с цыпленок</x:v>
      </x:c>
      <x:c r="J363" s="28" t="str">
        <x:v>Средняя</x:v>
      </x:c>
      <x:c r="K363" s="28" t="str">
        <x:v>Тезариус вкусов (Ники Сегнит)(1).pdf</x:v>
      </x:c>
      <x:c r="L363" s="28" t="str">
        <x:v>Тезариус вкусов (Ники Сегнит)(1).pdf: 69, 288</x:v>
      </x:c>
    </x:row>
    <x:row r="364" ht="66" customHeight="1">
      <x:c r="A364" s="28" t="str">
        <x:v>VEG-0445</x:v>
      </x:c>
      <x:c r="B364" s="28" t="str">
        <x:v>лук</x:v>
      </x:c>
      <x:c r="C364" s="28" t="str">
        <x:v>чеснок</x:v>
      </x:c>
      <x:c r="D364" s="28" t="str">
        <x:v>Луковые овощи</x:v>
      </x:c>
      <x:c r="E364" s="28" t="str">
        <x:v>общие характерные молекулы; пересечение ароматических семейств; сернистая или горчичная комплементарность</x:v>
      </x:c>
      <x:c r="F364" s="28" t="str">
        <x:v>Лук имеет профиль «сернистый, сладкий, зелёный; после жарки — карамельный и мясной». Партнёр «чеснок» относится к группе «Луковые овощи» и даёт резкий сернистый, зелёный и мясной; после запекания — сладкий и ореховый. Вероятный молекулярный мост: диаллилдисульфид.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4" s="28" t="str">
        <x:v>сырой лук легко перекрывает деликатные ароматы; подгорание создаёт устойчивую горечь</x:v>
      </x:c>
      <x:c r="I364" s="28" t="str">
        <x:v>горячее блюдо, бульон, соус, пюре, ферментация или гарнир с чеснок</x:v>
      </x:c>
      <x:c r="J364" s="28" t="str">
        <x:v>Средняя</x:v>
      </x:c>
      <x:c r="K364" s="28" t="str">
        <x:v>Тезариус вкусов (Ники Сегнит)(1).pdf</x:v>
      </x:c>
      <x:c r="L364" s="28" t="str">
        <x:v>Тезариус вкусов (Ники Сегнит)(1).pdf: 288, 294</x:v>
      </x:c>
    </x:row>
    <x:row r="365" ht="66" customHeight="1">
      <x:c r="A365" s="28" t="str">
        <x:v>VEG-0446</x:v>
      </x:c>
      <x:c r="B365" s="28" t="str">
        <x:v>лук</x:v>
      </x:c>
      <x:c r="C365" s="28" t="str">
        <x:v>шалфей</x:v>
      </x:c>
      <x:c r="D365" s="28" t="str">
        <x:v>Травы, цветы и листья</x:v>
      </x:c>
      <x:c r="E365" s="28" t="str">
        <x:v>сернистая или горчичная комплементарность</x:v>
      </x:c>
      <x:c r="F365" s="28" t="str">
        <x:v>Лук имеет профиль «сернистый, сладкий, зелёный; после жарки — карамельный и мясной».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5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65" s="28" t="str">
        <x:v>горячее блюдо, бульон, соус, пюре, ферментация или гарнир с шалфей</x:v>
      </x:c>
      <x:c r="J365" s="28" t="str">
        <x:v>Средняя</x:v>
      </x:c>
      <x:c r="K365" s="28" t="str">
        <x:v>Тезариус вкусов (Ники Сегнит)(1).pdf</x:v>
      </x:c>
      <x:c r="L365" s="28" t="str">
        <x:v>Тезариус вкусов (Ники Сегнит)(1).pdf: 288, 844</x:v>
      </x:c>
    </x:row>
    <x:row r="366" ht="66" customHeight="1">
      <x:c r="A366" s="28" t="str">
        <x:v>VEG-0447</x:v>
      </x:c>
      <x:c r="B366" s="28" t="str">
        <x:v>лук</x:v>
      </x:c>
      <x:c r="C366" s="28" t="str">
        <x:v>яйца</x:v>
      </x:c>
      <x:c r="D366" s="28" t="str">
        <x:v>Прочее</x:v>
      </x:c>
      <x:c r="E366" s="28" t="str">
        <x:v>сернистая или горчичная комплементарность</x:v>
      </x:c>
      <x:c r="F366" s="28" t="str">
        <x:v>Лук имеет профиль «сернистый, сладкий, зелёный; после жарки — карамельный и мясной».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6" s="28" t="str">
        <x:v>сырой лук легко перекрывает деликатные ароматы; подгорание создаёт устойчивую горечь</x:v>
      </x:c>
      <x:c r="I366" s="28" t="str">
        <x:v>горячее блюдо, бульон, соус, пюре, ферментация или гарнир с яйца</x:v>
      </x:c>
      <x:c r="J366" s="28" t="str">
        <x:v>Средняя</x:v>
      </x:c>
      <x:c r="K366" s="28" t="str">
        <x:v>Тезариус вкусов (Ники Сегнит)(1).pdf</x:v>
      </x:c>
      <x:c r="L366" s="28" t="str">
        <x:v>Тезариус вкусов (Ники Сегнит)(1).pdf: 289, 355</x:v>
      </x:c>
    </x:row>
    <x:row r="367" ht="66" customHeight="1">
      <x:c r="A367" s="28" t="str">
        <x:v>VEG-0456</x:v>
      </x:c>
      <x:c r="B367" s="28" t="str">
        <x:v>морковь</x:v>
      </x:c>
      <x:c r="C367" s="28" t="str">
        <x:v>баранина</x:v>
      </x:c>
      <x:c r="D367" s="28" t="str">
        <x:v>Мясо и птица</x:v>
      </x:c>
      <x:c r="E367" s="28" t="str">
        <x:v>умами и солёный контраст</x:v>
      </x:c>
      <x:c r="F367" s="28" t="str">
        <x:v>Морковь имеет профиль «сладкий, землистый, древесный и слегка цитрусовый».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6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67" s="28" t="str">
        <x:v>сырая землистость может доминировать; перегрев делает профиль варёно-сладким</x:v>
      </x:c>
      <x:c r="I367" s="28" t="str">
        <x:v>сок, кордиал, гаспачо, салат, соус, маринад или коктейльный компонент с баранина</x:v>
      </x:c>
      <x:c r="J367" s="28" t="str">
        <x:v>Средняя</x:v>
      </x:c>
      <x:c r="K367" s="28" t="str">
        <x:v>The Art &amp; Science of Foodpairing.pdf</x:v>
      </x:c>
      <x:c r="L367" s="28" t="str">
        <x:v>The Art &amp; Science of Foodpairing.pdf: 232</x:v>
      </x:c>
    </x:row>
    <x:row r="368" ht="66" customHeight="1">
      <x:c r="A368" s="28" t="str">
        <x:v>VEG-0458</x:v>
      </x:c>
      <x:c r="B368" s="28" t="str">
        <x:v>морковь</x:v>
      </x:c>
      <x:c r="C368" s="28" t="str">
        <x:v>ветчина</x:v>
      </x:c>
      <x:c r="D368" s="28" t="str">
        <x:v>Мясо и птица</x:v>
      </x:c>
      <x:c r="E368" s="28" t="str">
        <x:v>умами и солёный контраст</x:v>
      </x:c>
      <x:c r="F368" s="28" t="str">
        <x:v>Морковь имеет профиль «сладкий, землистый, древесный и слегка цитрусовый». Партнёр «ветчина»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6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68" s="28" t="str">
        <x:v>сырая землистость может доминировать; перегрев делает профиль варёно-сладким</x:v>
      </x:c>
      <x:c r="I368" s="28" t="str">
        <x:v>сок, кордиал, гаспачо, салат, соус, маринад или коктейльный компонент с ветчина</x:v>
      </x:c>
      <x:c r="J368" s="28" t="str">
        <x:v>Средняя</x:v>
      </x:c>
      <x:c r="K368" s="28" t="str">
        <x:v>The Art &amp; Science of Foodpairing.pdf</x:v>
      </x:c>
      <x:c r="L368" s="28" t="str">
        <x:v>The Art &amp; Science of Foodpairing.pdf: 232</x:v>
      </x:c>
    </x:row>
    <x:row r="369" ht="66" customHeight="1">
      <x:c r="A369" s="28" t="str">
        <x:v>VEG-0462</x:v>
      </x:c>
      <x:c r="B369" s="28" t="str">
        <x:v>морковь</x:v>
      </x:c>
      <x:c r="C369" s="28" t="str">
        <x:v>говядина</x:v>
      </x:c>
      <x:c r="D369" s="28" t="str">
        <x:v>Мясо и птица</x:v>
      </x:c>
      <x:c r="E369" s="28" t="str">
        <x:v>умами и солёный контраст</x:v>
      </x:c>
      <x:c r="F369" s="28" t="str">
        <x:v>Морковь имеет профиль «сладкий, землистый, древесный и слегка цитрусовый».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6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69" s="28" t="str">
        <x:v>сырая землистость может доминировать; перегрев делает профиль варёно-сладким</x:v>
      </x:c>
      <x:c r="I369" s="28" t="str">
        <x:v>сок, кордиал, гаспачо, салат, соус, маринад или коктейльный компонент с говядина</x:v>
      </x:c>
      <x:c r="J369" s="28" t="str">
        <x:v>Средняя</x:v>
      </x:c>
      <x:c r="K369" s="28" t="str">
        <x:v>Тезариус вкусов (Ники Сегнит)(1).pdf</x:v>
      </x:c>
      <x:c r="L369" s="28" t="str">
        <x:v>Тезариус вкусов (Ники Сегнит)(1).pdf: 114, 602</x:v>
      </x:c>
    </x:row>
    <x:row r="370" ht="66" customHeight="1">
      <x:c r="A370" s="28" t="str">
        <x:v>VEG-0463</x:v>
      </x:c>
      <x:c r="B370" s="28" t="str">
        <x:v>морковь</x:v>
      </x:c>
      <x:c r="C370" s="28" t="str">
        <x:v>говядина сухой выдержки</x:v>
      </x:c>
      <x:c r="D370" s="28" t="str">
        <x:v>Мясо и птица</x:v>
      </x:c>
      <x:c r="E370" s="28" t="str">
        <x:v>умами и солёный контраст</x:v>
      </x:c>
      <x:c r="F370" s="28" t="str">
        <x:v>Морковь имеет профиль «сладкий, землистый, древесный и слегка цитрусовый». Партнёр «говядина сухой выдержки»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0" s="28" t="str">
        <x:v>сырая землистость может доминировать; перегрев делает профиль варёно-сладким</x:v>
      </x:c>
      <x:c r="I370" s="28" t="str">
        <x:v>сок, кордиал, гаспачо, салат, соус, маринад или коктейльный компонент с говядина сухой выдержки</x:v>
      </x:c>
      <x:c r="J370" s="28" t="str">
        <x:v>Средняя</x:v>
      </x:c>
      <x:c r="K370" s="28" t="str">
        <x:v>The Art &amp; Science of Foodpairing.pdf</x:v>
      </x:c>
      <x:c r="L370" s="28" t="str">
        <x:v>The Art &amp; Science of Foodpairing.pdf: 232</x:v>
      </x:c>
    </x:row>
    <x:row r="371" ht="66" customHeight="1">
      <x:c r="A371" s="28" t="str">
        <x:v>VEG-0479</x:v>
      </x:c>
      <x:c r="B371" s="28" t="str">
        <x:v>морковь</x:v>
      </x:c>
      <x:c r="C371" s="28" t="str">
        <x:v>кефаль</x:v>
      </x:c>
      <x:c r="D371" s="28" t="str">
        <x:v>Рыба и морепродукты</x:v>
      </x:c>
      <x:c r="E371" s="28" t="str">
        <x:v>умами и солёный контраст</x:v>
      </x:c>
      <x:c r="F371" s="28" t="str">
        <x:v>Морковь имеет профиль «сладкий, землистый, древесный и слегка цитрусовый». Партнёр «кефаль»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1" s="28" t="str">
        <x:v>сырая землистость может доминировать; перегрев делает профиль варёно-сладким</x:v>
      </x:c>
      <x:c r="I371" s="28" t="str">
        <x:v>сок, кордиал, гаспачо, салат, соус, маринад или коктейльный компонент с кефаль</x:v>
      </x:c>
      <x:c r="J371" s="28" t="str">
        <x:v>Средняя</x:v>
      </x:c>
      <x:c r="K371" s="28" t="str">
        <x:v>The Art &amp; Science of Foodpairing.pdf</x:v>
      </x:c>
      <x:c r="L371" s="28" t="str">
        <x:v>The Art &amp; Science of Foodpairing.pdf: 232</x:v>
      </x:c>
    </x:row>
    <x:row r="372" ht="66" customHeight="1">
      <x:c r="A372" s="28" t="str">
        <x:v>VEG-0487</x:v>
      </x:c>
      <x:c r="B372" s="28" t="str">
        <x:v>морковь</x:v>
      </x:c>
      <x:c r="C372" s="28" t="str">
        <x:v>красный луциан</x:v>
      </x:c>
      <x:c r="D372" s="28" t="str">
        <x:v>Рыба и морепродукты</x:v>
      </x:c>
      <x:c r="E372" s="28" t="str">
        <x:v>умами и солёный контраст</x:v>
      </x:c>
      <x:c r="F372" s="28" t="str">
        <x:v>Морковь имеет профиль «сладкий, землистый, древесный и слегка цитрусовый». Партнёр «красный луциан»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2" s="28" t="str">
        <x:v>сырая землистость может доминировать; перегрев делает профиль варёно-сладким</x:v>
      </x:c>
      <x:c r="I372" s="28" t="str">
        <x:v>сок, кордиал, гаспачо, салат, соус, маринад или коктейльный компонент с красный луциан</x:v>
      </x:c>
      <x:c r="J372" s="28" t="str">
        <x:v>Средняя</x:v>
      </x:c>
      <x:c r="K372" s="28" t="str">
        <x:v>The Art &amp; Science of Foodpairing.pdf</x:v>
      </x:c>
      <x:c r="L372" s="28" t="str">
        <x:v>The Art &amp; Science of Foodpairing.pdf: 232</x:v>
      </x:c>
    </x:row>
    <x:row r="373" ht="66" customHeight="1">
      <x:c r="A373" s="28" t="str">
        <x:v>VEG-0493</x:v>
      </x:c>
      <x:c r="B373" s="28" t="str">
        <x:v>морковь</x:v>
      </x:c>
      <x:c r="C373" s="28" t="str">
        <x:v>лосось</x:v>
      </x:c>
      <x:c r="D373" s="28" t="str">
        <x:v>Рыба и морепродукты</x:v>
      </x:c>
      <x:c r="E373" s="28" t="str">
        <x:v>умами и солёный контраст</x:v>
      </x:c>
      <x:c r="F373" s="28" t="str">
        <x:v>Морковь имеет профиль «сладкий, землистый, древесный и слегка цитрусовый».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3" s="28" t="str">
        <x:v>сырая землистость может доминировать; перегрев делает профиль варёно-сладким</x:v>
      </x:c>
      <x:c r="I373" s="28" t="str">
        <x:v>сок, кордиал, гаспачо, салат, соус, маринад или коктейльный компонент с лосось</x:v>
      </x:c>
      <x:c r="J373" s="28" t="str">
        <x:v>Средняя</x:v>
      </x:c>
      <x:c r="K373" s="28" t="str">
        <x:v>The Art &amp; Science of Foodpairing.pdf</x:v>
      </x:c>
      <x:c r="L373" s="28" t="str">
        <x:v>The Art &amp; Science of Foodpairing.pdf: 232</x:v>
      </x:c>
    </x:row>
    <x:row r="374" ht="66" customHeight="1">
      <x:c r="A374" s="28" t="str">
        <x:v>VEG-0502</x:v>
      </x:c>
      <x:c r="B374" s="28" t="str">
        <x:v>морковь</x:v>
      </x:c>
      <x:c r="C374" s="28" t="str">
        <x:v>пекинская утка</x:v>
      </x:c>
      <x:c r="D374" s="28" t="str">
        <x:v>Мясо и птица</x:v>
      </x:c>
      <x:c r="E374" s="28" t="str">
        <x:v>умами и солёный контраст</x:v>
      </x:c>
      <x:c r="F374" s="28" t="str">
        <x:v>Морковь имеет профиль «сладкий, землистый, древесный и слегка цитрусовый». Партнёр «пекинская утка»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4" s="28" t="str">
        <x:v>сырая землистость может доминировать; перегрев делает профиль варёно-сладким</x:v>
      </x:c>
      <x:c r="I374" s="28" t="str">
        <x:v>сок, кордиал, гаспачо, салат, соус, маринад или коктейльный компонент с пекинская утка</x:v>
      </x:c>
      <x:c r="J374" s="28" t="str">
        <x:v>Средняя</x:v>
      </x:c>
      <x:c r="K374" s="28" t="str">
        <x:v>The Art &amp; Science of Foodpairing.pdf</x:v>
      </x:c>
      <x:c r="L374" s="28" t="str">
        <x:v>The Art &amp; Science of Foodpairing.pdf: 232</x:v>
      </x:c>
    </x:row>
    <x:row r="375" ht="66" customHeight="1">
      <x:c r="A375" s="28" t="str">
        <x:v>VEG-0513</x:v>
      </x:c>
      <x:c r="B375" s="28" t="str">
        <x:v>морковь</x:v>
      </x:c>
      <x:c r="C375" s="28" t="str">
        <x:v>томатный сок</x:v>
      </x:c>
      <x:c r="D375" s="28" t="str">
        <x:v>Плодовые и тыквенные овощи</x:v>
      </x:c>
      <x:c r="E375" s="28" t="str">
        <x:v>сенсорная комплементарность</x:v>
      </x:c>
      <x:c r="F375" s="28" t="str">
        <x:v>Морковь имеет профиль «сладкий, землистый, древесный и слегка цитрусовый». Партнёр «томатный сок»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5" s="28" t="str">
        <x:v>сырая землистость может доминировать; перегрев делает профиль варёно-сладким</x:v>
      </x:c>
      <x:c r="I375" s="28" t="str">
        <x:v>сок, кордиал, гаспачо, салат, соус, маринад или коктейльный компонент с томатный сок</x:v>
      </x:c>
      <x:c r="J375" s="28" t="str">
        <x:v>Средняя</x:v>
      </x:c>
      <x:c r="K375" s="28" t="str">
        <x:v>The Art &amp; Science of Foodpairing.pdf</x:v>
      </x:c>
      <x:c r="L375" s="28" t="str">
        <x:v>The Art &amp; Science of Foodpairing.pdf: 232</x:v>
      </x:c>
    </x:row>
    <x:row r="376" ht="66" customHeight="1">
      <x:c r="A376" s="28" t="str">
        <x:v>VEG-0514</x:v>
      </x:c>
      <x:c r="B376" s="28" t="str">
        <x:v>морковь</x:v>
      </x:c>
      <x:c r="C376" s="28" t="str">
        <x:v>треска</x:v>
      </x:c>
      <x:c r="D376" s="28" t="str">
        <x:v>Рыба и морепродукты</x:v>
      </x:c>
      <x:c r="E376" s="28" t="str">
        <x:v>умами и солёный контраст</x:v>
      </x:c>
      <x:c r="F376" s="28" t="str">
        <x:v>Морковь имеет профиль «сладкий, землистый, древесный и слегка цитрусовый».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6" s="28" t="str">
        <x:v>сырая землистость может доминировать; перегрев делает профиль варёно-сладким</x:v>
      </x:c>
      <x:c r="I376" s="28" t="str">
        <x:v>сок, кордиал, гаспачо, салат, соус, маринад или коктейльный компонент с треска</x:v>
      </x:c>
      <x:c r="J376" s="28" t="str">
        <x:v>Средняя</x:v>
      </x:c>
      <x:c r="K376" s="28" t="str">
        <x:v>The Art &amp; Science of Foodpairing.pdf</x:v>
      </x:c>
      <x:c r="L376" s="28" t="str">
        <x:v>The Art &amp; Science of Foodpairing.pdf: 232</x:v>
      </x:c>
    </x:row>
    <x:row r="377" ht="66" customHeight="1">
      <x:c r="A377" s="28" t="str">
        <x:v>VEG-0517</x:v>
      </x:c>
      <x:c r="B377" s="28" t="str">
        <x:v>морковь</x:v>
      </x:c>
      <x:c r="C377" s="28" t="str">
        <x:v>хамон иберико</x:v>
      </x:c>
      <x:c r="D377" s="28" t="str">
        <x:v>Мясо и птица</x:v>
      </x:c>
      <x:c r="E377" s="28" t="str">
        <x:v>умами и солёный контраст</x:v>
      </x:c>
      <x:c r="F377" s="28" t="str">
        <x:v>Морковь имеет профиль «сладкий, землистый, древесный и слегка цитрусовый».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7" s="28" t="str">
        <x:v>сырая землистость может доминировать; перегрев делает профиль варёно-сладким</x:v>
      </x:c>
      <x:c r="I377" s="28" t="str">
        <x:v>сок, кордиал, гаспачо, салат, соус, маринад или коктейльный компонент с хамон иберико</x:v>
      </x:c>
      <x:c r="J377" s="28" t="str">
        <x:v>Средняя</x:v>
      </x:c>
      <x:c r="K377" s="28" t="str">
        <x:v>The Art &amp; Science of Foodpairing.pdf</x:v>
      </x:c>
      <x:c r="L377" s="28" t="str">
        <x:v>The Art &amp; Science of Foodpairing.pdf: 278</x:v>
      </x:c>
    </x:row>
    <x:row r="378" ht="66" customHeight="1">
      <x:c r="A378" s="28" t="str">
        <x:v>VEG-0537</x:v>
      </x:c>
      <x:c r="B378" s="28" t="str">
        <x:v>огурец</x:v>
      </x:c>
      <x:c r="C378" s="28" t="str">
        <x:v>бальзамический уксус</x:v>
      </x:c>
      <x:c r="D378" s="28" t="str">
        <x:v>Ферментированные продукты и соусы</x:v>
      </x:c>
      <x:c r="E378" s="28" t="str">
        <x:v>умами и солёный контраст</x:v>
      </x:c>
      <x:c r="F378" s="28" t="str">
        <x:v>Огурец имеет профиль «зелёный, водянистый, свежий и дынный».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7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78" s="28" t="str">
        <x:v>легко разбавляет вкус; перезрелая кожица и семена дают горечь; сок быстро окисляется</x:v>
      </x:c>
      <x:c r="I378" s="28" t="str">
        <x:v>сок, кордиал, гаспачо, салат, соус, маринад или коктейльный компонент с бальзамический уксус</x:v>
      </x:c>
      <x:c r="J378" s="28" t="str">
        <x:v>Средняя</x:v>
      </x:c>
      <x:c r="K378" s="28" t="str">
        <x:v>The Art &amp; Science of Foodpairing.pdf</x:v>
      </x:c>
      <x:c r="L378" s="28" t="str">
        <x:v>The Art &amp; Science of Foodpairing.pdf: 316</x:v>
      </x:c>
    </x:row>
    <x:row r="379" ht="66" customHeight="1">
      <x:c r="A379" s="28" t="str">
        <x:v>VEG-0539</x:v>
      </x:c>
      <x:c r="B379" s="28" t="str">
        <x:v>огурец</x:v>
      </x:c>
      <x:c r="C379" s="28" t="str">
        <x:v>белая рыба</x:v>
      </x:c>
      <x:c r="D379" s="28" t="str">
        <x:v>Рыба и морепродукты</x:v>
      </x:c>
      <x:c r="E379" s="28" t="str">
        <x:v>умами и солёный контраст</x:v>
      </x:c>
      <x:c r="F379" s="28" t="str">
        <x:v>Огурец имеет профиль «зелёный, водянистый, свежий и дынный».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7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79" s="28" t="str">
        <x:v>легко разбавляет вкус; перезрелая кожица и семена дают горечь; сок быстро окисляется</x:v>
      </x:c>
      <x:c r="I379" s="28" t="str">
        <x:v>сок, кордиал, гаспачо, салат, соус, маринад или коктейльный компонент с белая рыба</x:v>
      </x:c>
      <x:c r="J379" s="28" t="str">
        <x:v>Средняя</x:v>
      </x:c>
      <x:c r="K379" s="28" t="str">
        <x:v>Тезариус вкусов (Ники Сегнит)(1).pdf</x:v>
      </x:c>
      <x:c r="L379" s="28" t="str">
        <x:v>Тезариус вкусов (Ники Сегнит)(1).pdf: 387, 491</x:v>
      </x:c>
    </x:row>
    <x:row r="380" ht="66" customHeight="1">
      <x:c r="A380" s="28" t="str">
        <x:v>VEG-0547</x:v>
      </x:c>
      <x:c r="B380" s="28" t="str">
        <x:v>огурец</x:v>
      </x:c>
      <x:c r="C380" s="28" t="str">
        <x:v>жирная рыба</x:v>
      </x:c>
      <x:c r="D380" s="28" t="str">
        <x:v>Рыба и морепродукты</x:v>
      </x:c>
      <x:c r="E380" s="28" t="str">
        <x:v>умами и солёный контраст</x:v>
      </x:c>
      <x:c r="F380" s="28" t="str">
        <x:v>Огурец имеет профиль «зелёный, водянистый, свежий и дынный».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0" s="28" t="str">
        <x:v>легко разбавляет вкус; перезрелая кожица и семена дают горечь; сок быстро окисляется</x:v>
      </x:c>
      <x:c r="I380" s="28" t="str">
        <x:v>сок, кордиал, гаспачо, салат, соус, маринад или коктейльный компонент с жирная рыба</x:v>
      </x:c>
      <x:c r="J380" s="28" t="str">
        <x:v>Средняя</x:v>
      </x:c>
      <x:c r="K380" s="28" t="str">
        <x:v>Тезариус вкусов (Ники Сегнит)(1).pdf</x:v>
      </x:c>
      <x:c r="L380" s="28" t="str">
        <x:v>Тезариус вкусов (Ники Сегнит)(1).pdf: 416, 492</x:v>
      </x:c>
    </x:row>
    <x:row r="381" ht="66" customHeight="1">
      <x:c r="A381" s="28" t="str">
        <x:v>VEG-0564</x:v>
      </x:c>
      <x:c r="B381" s="28" t="str">
        <x:v>огурец</x:v>
      </x:c>
      <x:c r="C381" s="28" t="str">
        <x:v>лосось</x:v>
      </x:c>
      <x:c r="D381" s="28" t="str">
        <x:v>Рыба и морепродукты</x:v>
      </x:c>
      <x:c r="E381" s="28" t="str">
        <x:v>умами и солёный контраст</x:v>
      </x:c>
      <x:c r="F381" s="28" t="str">
        <x:v>Огурец имеет профиль «зелёный, водянистый, свежий и дынный».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1" s="28" t="str">
        <x:v>легко разбавляет вкус; перезрелая кожица и семена дают горечь; сок быстро окисляется</x:v>
      </x:c>
      <x:c r="I381" s="28" t="str">
        <x:v>сок, кордиал, гаспачо, салат, соус, маринад или коктейльный компонент с лосось</x:v>
      </x:c>
      <x:c r="J381" s="28" t="str">
        <x:v>Средняя</x:v>
      </x:c>
      <x:c r="K381" s="28" t="str">
        <x:v>The Art &amp; Science of Foodpairing.pdf</x:v>
      </x:c>
      <x:c r="L381" s="28" t="str">
        <x:v>The Art &amp; Science of Foodpairing.pdf: 268</x:v>
      </x:c>
    </x:row>
    <x:row r="382" ht="66" customHeight="1">
      <x:c r="A382" s="28" t="str">
        <x:v>VEG-0569</x:v>
      </x:c>
      <x:c r="B382" s="28" t="str">
        <x:v>огурец</x:v>
      </x:c>
      <x:c r="C382" s="28" t="str">
        <x:v>моллюски</x:v>
      </x:c>
      <x:c r="D382" s="28" t="str">
        <x:v>Рыба и морепродукты</x:v>
      </x:c>
      <x:c r="E382" s="28" t="str">
        <x:v>умами и солёный контраст</x:v>
      </x:c>
      <x:c r="F382" s="28" t="str">
        <x:v>Огурец имеет профиль «зелёный, водянистый, свежий и дынный».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2" s="28" t="str">
        <x:v>легко разбавляет вкус; перезрелая кожица и семена дают горечь; сок быстро окисляется</x:v>
      </x:c>
      <x:c r="I382" s="28" t="str">
        <x:v>сок, кордиал, гаспачо, салат, соус, маринад или коктейльный компонент с моллюски</x:v>
      </x:c>
      <x:c r="J382" s="28" t="str">
        <x:v>Средняя</x:v>
      </x:c>
      <x:c r="K382" s="28" t="str">
        <x:v>Тезариус вкусов (Ники Сегнит)(1).pdf</x:v>
      </x:c>
      <x:c r="L382" s="28" t="str">
        <x:v>Тезариус вкусов (Ники Сегнит)(1).pdf: 374, 493</x:v>
      </x:c>
    </x:row>
    <x:row r="383" ht="66" customHeight="1">
      <x:c r="A383" s="28" t="str">
        <x:v>VEG-0576</x:v>
      </x:c>
      <x:c r="B383" s="28" t="str">
        <x:v>огурец</x:v>
      </x:c>
      <x:c r="C383" s="28" t="str">
        <x:v>рыба</x:v>
      </x:c>
      <x:c r="D383" s="28" t="str">
        <x:v>Рыба и морепродукты</x:v>
      </x:c>
      <x:c r="E383" s="28" t="str">
        <x:v>умами и солёный контраст</x:v>
      </x:c>
      <x:c r="F383" s="28" t="str">
        <x:v>Огурец имеет профиль «зелёный, водянистый, свежий и дынный».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3" s="28" t="str">
        <x:v>легко разбавляет вкус; перезрелая кожица и семена дают горечь; сок быстро окисляется</x:v>
      </x:c>
      <x:c r="I383" s="28" t="str">
        <x:v>сок, кордиал, гаспачо, салат, соус, маринад или коктейльный компонент с рыба</x:v>
      </x:c>
      <x:c r="J383" s="28" t="str">
        <x:v>Средняя</x:v>
      </x:c>
      <x:c r="K383" s="28" t="str">
        <x:v>The Art &amp; Science of Foodpairing.pdf</x:v>
      </x:c>
      <x:c r="L383" s="28" t="str">
        <x:v>The Art &amp; Science of Foodpairing.pdf: 104</x:v>
      </x:c>
    </x:row>
    <x:row r="384" ht="66" customHeight="1">
      <x:c r="A384" s="28" t="str">
        <x:v>VEG-0577</x:v>
      </x:c>
      <x:c r="B384" s="28" t="str">
        <x:v>огурец</x:v>
      </x:c>
      <x:c r="C384" s="28" t="str">
        <x:v>салат и огурец</x:v>
      </x:c>
      <x:c r="D384" s="28" t="str">
        <x:v>Плодовые и тыквенные овощи</x:v>
      </x:c>
      <x:c r="E384" s="28" t="str">
        <x:v>пересечение ароматических семейств</x:v>
      </x:c>
      <x:c r="F384" s="28" t="str">
        <x:v>Огурец имеет профиль «зелёный, водянистый, свежий и дынный». Партнёр «салат и огурец» относится к группе «Плодовые и тыквенные овощи» и даёт зелёный, фруктовый или водянистый. Профили пересекаются в семействах: водянистый, зелёный. Совместимость формируется за счёт баланса сладости, кислотности, горечи, умами и текстуры.</x:v>
      </x:c>
      <x:c r="G38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4" s="28" t="str">
        <x:v>легко разбавляет вкус; перезрелая кожица и семена дают горечь; сок быстро окисляется</x:v>
      </x:c>
      <x:c r="I384" s="28" t="str">
        <x:v>сок, кордиал, гаспачо, салат, соус, маринад или коктейльный компонент с салат и огурец</x:v>
      </x:c>
      <x:c r="J384" s="28" t="str">
        <x:v>Средняя</x:v>
      </x:c>
      <x:c r="K384" s="28" t="str">
        <x:v>The Art &amp; Science of Foodpairing.pdf</x:v>
      </x:c>
      <x:c r="L384" s="28" t="str">
        <x:v>The Art &amp; Science of Foodpairing.pdf: 268</x:v>
      </x:c>
    </x:row>
    <x:row r="385" ht="66" customHeight="1">
      <x:c r="A385" s="28" t="str">
        <x:v>VEG-0578</x:v>
      </x:c>
      <x:c r="B385" s="28" t="str">
        <x:v>огурец</x:v>
      </x:c>
      <x:c r="C385" s="28" t="str">
        <x:v>свинина</x:v>
      </x:c>
      <x:c r="D385" s="28" t="str">
        <x:v>Мясо и птица</x:v>
      </x:c>
      <x:c r="E385" s="28" t="str">
        <x:v>умами и солёный контраст</x:v>
      </x:c>
      <x:c r="F385" s="28" t="str">
        <x:v>Огурец имеет профиль «зелёный, водянистый, свежий и дынный».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5" s="28" t="str">
        <x:v>легко разбавляет вкус; перезрелая кожица и семена дают горечь; сок быстро окисляется</x:v>
      </x:c>
      <x:c r="I385" s="28" t="str">
        <x:v>сок, кордиал, гаспачо, салат, соус, маринад или коктейльный компонент с свинина</x:v>
      </x:c>
      <x:c r="J385" s="28" t="str">
        <x:v>Средняя</x:v>
      </x:c>
      <x:c r="K385" s="28" t="str">
        <x:v>Тезариус вкусов (Ники Сегнит)(1).pdf</x:v>
      </x:c>
      <x:c r="L385" s="28" t="str">
        <x:v>Тезариус вкусов (Ники Сегнит)(1).pdf: 86, 496</x:v>
      </x:c>
    </x:row>
    <x:row r="386" ht="66" customHeight="1">
      <x:c r="A386" s="28" t="str">
        <x:v>VEG-0583</x:v>
      </x:c>
      <x:c r="B386" s="28" t="str">
        <x:v>огурец</x:v>
      </x:c>
      <x:c r="C386" s="28" t="str">
        <x:v>треска</x:v>
      </x:c>
      <x:c r="D386" s="28" t="str">
        <x:v>Рыба и морепродукты</x:v>
      </x:c>
      <x:c r="E386" s="28" t="str">
        <x:v>умами и солёный контраст</x:v>
      </x:c>
      <x:c r="F386" s="28" t="str">
        <x:v>Огурец имеет профиль «зелёный, водянистый, свежий и дынный».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6" s="28" t="str">
        <x:v>легко разбавляет вкус; перезрелая кожица и семена дают горечь; сок быстро окисляется</x:v>
      </x:c>
      <x:c r="I386" s="28" t="str">
        <x:v>сок, кордиал, гаспачо, салат, соус, маринад или коктейльный компонент с треска</x:v>
      </x:c>
      <x:c r="J386" s="28" t="str">
        <x:v>Средняя</x:v>
      </x:c>
      <x:c r="K386" s="28" t="str">
        <x:v>The Art &amp; Science of Foodpairing.pdf</x:v>
      </x:c>
      <x:c r="L386" s="28" t="str">
        <x:v>The Art &amp; Science of Foodpairing.pdf: 268</x:v>
      </x:c>
    </x:row>
    <x:row r="387" ht="66" customHeight="1">
      <x:c r="A387" s="28" t="str">
        <x:v>VEG-0595</x:v>
      </x:c>
      <x:c r="B387" s="28" t="str">
        <x:v>пастернак</x:v>
      </x:c>
      <x:c r="C387" s="28" t="str">
        <x:v>бекон</x:v>
      </x:c>
      <x:c r="D387" s="28" t="str">
        <x:v>Мясо и птица</x:v>
      </x:c>
      <x:c r="E387" s="28" t="str">
        <x:v>умами и солёный контраст</x:v>
      </x:c>
      <x:c r="F387" s="28" t="str">
        <x:v>Пастернак имеет профиль «сладкий, пряный, древесный и слегка анисовый».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87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87" s="28" t="str">
        <x:v>старый пастернак может быть волокнистым; сильная сладость требует баланса</x:v>
      </x:c>
      <x:c r="I387" s="28" t="str">
        <x:v>пюре, суп, запекание, крем, гарнир, соус или десертная разработка с бекон</x:v>
      </x:c>
      <x:c r="J387" s="28" t="str">
        <x:v>Средняя</x:v>
      </x:c>
      <x:c r="K387" s="28" t="str">
        <x:v>Тезариус вкусов (Ники Сегнит)(1).pdf</x:v>
      </x:c>
      <x:c r="L387" s="28" t="str">
        <x:v>Тезариус вкусов (Ники Сегнит)(1).pdf: 446, 595</x:v>
      </x:c>
    </x:row>
    <x:row r="388" ht="66" customHeight="1">
      <x:c r="A388" s="28" t="str">
        <x:v>VEG-0596</x:v>
      </x:c>
      <x:c r="B388" s="28" t="str">
        <x:v>пастернак</x:v>
      </x:c>
      <x:c r="C388" s="28" t="str">
        <x:v>белая рыба</x:v>
      </x:c>
      <x:c r="D388" s="28" t="str">
        <x:v>Рыба и морепродукты</x:v>
      </x:c>
      <x:c r="E388" s="28" t="str">
        <x:v>умами и солёный контраст</x:v>
      </x:c>
      <x:c r="F388" s="28" t="str">
        <x:v>Пастернак имеет профиль «сладкий, пряный, древесный и слегка анисовый».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88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88" s="28" t="str">
        <x:v>старый пастернак может быть волокнистым; сильная сладость требует баланса</x:v>
      </x:c>
      <x:c r="I388" s="28" t="str">
        <x:v>пюре, суп, запекание, крем, гарнир, соус или десертная разработка с белая рыба</x:v>
      </x:c>
      <x:c r="J388" s="28" t="str">
        <x:v>Средняя</x:v>
      </x:c>
      <x:c r="K388" s="28" t="str">
        <x:v>Тезариус вкусов (Ники Сегнит)(1).pdf</x:v>
      </x:c>
      <x:c r="L388" s="28" t="str">
        <x:v>Тезариус вкусов (Ники Сегнит)(1).pdf: 388, 595</x:v>
      </x:c>
    </x:row>
    <x:row r="389" ht="66" customHeight="1">
      <x:c r="A389" s="28" t="str">
        <x:v>VEG-0598</x:v>
      </x:c>
      <x:c r="B389" s="28" t="str">
        <x:v>пастернак</x:v>
      </x:c>
      <x:c r="C389" s="28" t="str">
        <x:v>говядина</x:v>
      </x:c>
      <x:c r="D389" s="28" t="str">
        <x:v>Мясо и птица</x:v>
      </x:c>
      <x:c r="E389" s="28" t="str">
        <x:v>умами и солёный контраст</x:v>
      </x:c>
      <x:c r="F389" s="28" t="str">
        <x:v>Пастернак имеет профиль «сладкий, пряный, древесный и слегка анисовый».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89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89" s="28" t="str">
        <x:v>старый пастернак может быть волокнистым; сильная сладость требует баланса</x:v>
      </x:c>
      <x:c r="I389" s="28" t="str">
        <x:v>пюре, суп, запекание, крем, гарнир, соус или десертная разработка с говядина</x:v>
      </x:c>
      <x:c r="J389" s="28" t="str">
        <x:v>Средняя</x:v>
      </x:c>
      <x:c r="K389" s="28" t="str">
        <x:v>Тезариус вкусов (Ники Сегнит)(1).pdf</x:v>
      </x:c>
      <x:c r="L389" s="28" t="str">
        <x:v>Тезариус вкусов (Ники Сегнит)(1).pdf: 115, 596</x:v>
      </x:c>
    </x:row>
    <x:row r="390" ht="66" customHeight="1">
      <x:c r="A390" s="28" t="str">
        <x:v>VEG-0602</x:v>
      </x:c>
      <x:c r="B390" s="28" t="str">
        <x:v>пастернак</x:v>
      </x:c>
      <x:c r="C390" s="28" t="str">
        <x:v>моллюски</x:v>
      </x:c>
      <x:c r="D390" s="28" t="str">
        <x:v>Рыба и морепродукты</x:v>
      </x:c>
      <x:c r="E390" s="28" t="str">
        <x:v>умами и солёный контраст</x:v>
      </x:c>
      <x:c r="F390" s="28" t="str">
        <x:v>Пастернак имеет профиль «сладкий, пряный, древесный и слегка анисовый».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0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0" s="28" t="str">
        <x:v>старый пастернак может быть волокнистым; сильная сладость требует баланса</x:v>
      </x:c>
      <x:c r="I390" s="28" t="str">
        <x:v>пюре, суп, запекание, крем, гарнир, соус или десертная разработка с моллюски</x:v>
      </x:c>
      <x:c r="J390" s="28" t="str">
        <x:v>Средняя</x:v>
      </x:c>
      <x:c r="K390" s="28" t="str">
        <x:v>Тезариус вкусов (Ники Сегнит)(1).pdf</x:v>
      </x:c>
      <x:c r="L390" s="28" t="str">
        <x:v>Тезариус вкусов (Ники Сегнит)(1).pdf: 374, 598</x:v>
      </x:c>
    </x:row>
    <x:row r="391" ht="66" customHeight="1">
      <x:c r="A391" s="28" t="str">
        <x:v>VEG-0603</x:v>
      </x:c>
      <x:c r="B391" s="28" t="str">
        <x:v>пастернак</x:v>
      </x:c>
      <x:c r="C391" s="28" t="str">
        <x:v>мускатный орех</x:v>
      </x:c>
      <x:c r="D391" s="28" t="str">
        <x:v>Рыба и морепродукты</x:v>
      </x:c>
      <x:c r="E391" s="28" t="str">
        <x:v>общие характерные молекулы; пересечение ароматических семейств; умами и солёный контраст</x:v>
      </x:c>
      <x:c r="F391" s="28" t="str">
        <x:v>Пастернак имеет профиль «сладкий, пряный, древесный и слегка анисовый». Партнёр «мускатный орех» относится к группе «Рыба и морепродукты» и даёт камфорный, ореховый, пряный. Вероятный молекулярный мост: пинены.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1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1" s="28" t="str">
        <x:v>старый пастернак может быть волокнистым; сильная сладость требует баланса</x:v>
      </x:c>
      <x:c r="I391" s="28" t="str">
        <x:v>пюре, суп, запекание, крем, гарнир, соус или десертная разработка с мускатный орех</x:v>
      </x:c>
      <x:c r="J391" s="28" t="str">
        <x:v>Средняя</x:v>
      </x:c>
      <x:c r="K391" s="28" t="str">
        <x:v>Тезариус вкусов (Ники Сегнит)(1).pdf</x:v>
      </x:c>
      <x:c r="L391" s="28" t="str">
        <x:v>Тезариус вкусов (Ники Сегнит)(1).pdf: 589, 598</x:v>
      </x:c>
    </x:row>
    <x:row r="392" ht="66" customHeight="1">
      <x:c r="A392" s="28" t="str">
        <x:v>VEG-0605</x:v>
      </x:c>
      <x:c r="B392" s="28" t="str">
        <x:v>пастернак</x:v>
      </x:c>
      <x:c r="C392" s="28" t="str">
        <x:v>свинина</x:v>
      </x:c>
      <x:c r="D392" s="28" t="str">
        <x:v>Мясо и птица</x:v>
      </x:c>
      <x:c r="E392" s="28" t="str">
        <x:v>умами и солёный контраст</x:v>
      </x:c>
      <x:c r="F392" s="28" t="str">
        <x:v>Пастернак имеет профиль «сладкий, пряный, древесный и слегка анисовый».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2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2" s="28" t="str">
        <x:v>старый пастернак может быть волокнистым; сильная сладость требует баланса</x:v>
      </x:c>
      <x:c r="I392" s="28" t="str">
        <x:v>пюре, суп, запекание, крем, гарнир, соус или десертная разработка с свинина</x:v>
      </x:c>
      <x:c r="J392" s="28" t="str">
        <x:v>Средняя</x:v>
      </x:c>
      <x:c r="K392" s="28" t="str">
        <x:v>Тезариус вкусов (Ники Сегнит)(1).pdf</x:v>
      </x:c>
      <x:c r="L392" s="28" t="str">
        <x:v>Тезариус вкусов (Ники Сегнит)(1).pdf: 86, 598</x:v>
      </x:c>
    </x:row>
    <x:row r="393" ht="66" customHeight="1">
      <x:c r="A393" s="28" t="str">
        <x:v>VEG-0607</x:v>
      </x:c>
      <x:c r="B393" s="28" t="str">
        <x:v>пастернак</x:v>
      </x:c>
      <x:c r="C393" s="28" t="str">
        <x:v>хамон иберико</x:v>
      </x:c>
      <x:c r="D393" s="28" t="str">
        <x:v>Мясо и птица</x:v>
      </x:c>
      <x:c r="E393" s="28" t="str">
        <x:v>умами и солёный контраст</x:v>
      </x:c>
      <x:c r="F393" s="28" t="str">
        <x:v>Пастернак имеет профиль «сладкий, пряный, древесный и слегка анисовый».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3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3" s="28" t="str">
        <x:v>старый пастернак может быть волокнистым; сильная сладость требует баланса</x:v>
      </x:c>
      <x:c r="I393" s="28" t="str">
        <x:v>пюре, суп, запекание, крем, гарнир, соус или десертная разработка с хамон иберико</x:v>
      </x:c>
      <x:c r="J393" s="28" t="str">
        <x:v>Средняя</x:v>
      </x:c>
      <x:c r="K393" s="28" t="str">
        <x:v>The Art &amp; Science of Foodpairing.pdf</x:v>
      </x:c>
      <x:c r="L393" s="28" t="str">
        <x:v>The Art &amp; Science of Foodpairing.pdf: 278</x:v>
      </x:c>
    </x:row>
    <x:row r="394" ht="66" customHeight="1">
      <x:c r="A394" s="28" t="str">
        <x:v>VEG-0614</x:v>
      </x:c>
      <x:c r="B394" s="28" t="str">
        <x:v>редис</x:v>
      </x:c>
      <x:c r="C394" s="28" t="str">
        <x:v>кимчи</x:v>
      </x:c>
      <x:c r="D394" s="28" t="str">
        <x:v>Ферментированные продукты и соусы</x:v>
      </x:c>
      <x:c r="E394" s="28" t="str">
        <x:v>умами и солёный контраст; сернистая или горчичная комплементарность</x:v>
      </x:c>
      <x:c r="F394" s="28" t="str">
        <x:v>Редис имеет профиль «горчичный, зелёный, перечный и водянистый».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94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394" s="28" t="str">
        <x:v>вялая текстура и чрезмерная острота; некоторые сорта значительно сильнее других</x:v>
      </x:c>
      <x:c r="I394" s="28" t="str">
        <x:v>салат, гарнир, суп, соус, маринад, ферментация или напиток с кимчи</x:v>
      </x:c>
      <x:c r="J394" s="28" t="str">
        <x:v>Средняя</x:v>
      </x:c>
      <x:c r="K394" s="28" t="str">
        <x:v>The Art &amp; Science of Foodpairing.pdf</x:v>
      </x:c>
      <x:c r="L394" s="28" t="str">
        <x:v>The Art &amp; Science of Foodpairing.pdf: 304, 305</x:v>
      </x:c>
    </x:row>
    <x:row r="395" ht="66" customHeight="1">
      <x:c r="A395" s="28" t="str">
        <x:v>VEG-0624</x:v>
      </x:c>
      <x:c r="B395" s="28" t="str">
        <x:v>свёкла</x:v>
      </x:c>
      <x:c r="C395" s="28" t="str">
        <x:v>анчоусы</x:v>
      </x:c>
      <x:c r="D395" s="28" t="str">
        <x:v>Рыба и морепродукты</x:v>
      </x:c>
      <x:c r="E395" s="28" t="str">
        <x:v>общие характерные молекулы; умами и солёный контраст</x:v>
      </x:c>
      <x:c r="F395" s="28" t="str">
        <x:v>Свёкла имеет профиль «землистый, сладкий, минеральный и слегка зелёный». Партнёр «анчоусы»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95" s="28" t="str">
        <x:v>геосмин легко доминирует; беталаины отвечают за цвет, а не за запах; сильный нагрев снижает яркость цвета</x:v>
      </x:c>
      <x:c r="I395" s="28" t="str">
        <x:v>сок, кордиал, гаспачо, салат, соус, маринад или коктейльный компонент с анчоусы</x:v>
      </x:c>
      <x:c r="J395" s="28" t="str">
        <x:v>Средняя</x:v>
      </x:c>
      <x:c r="K395" s="28" t="str">
        <x:v>Тезариус вкусов (Ники Сегнит)(1).pdf</x:v>
      </x:c>
      <x:c r="L395" s="28" t="str">
        <x:v>Тезариус вкусов (Ники Сегнит)(1).pdf: 222, 429</x:v>
      </x:c>
    </x:row>
    <x:row r="396" ht="66" customHeight="1">
      <x:c r="A396" s="28" t="str">
        <x:v>VEG-0629</x:v>
      </x:c>
      <x:c r="B396" s="28" t="str">
        <x:v>свёкла</x:v>
      </x:c>
      <x:c r="C396" s="28" t="str">
        <x:v>бальзамический уксус</x:v>
      </x:c>
      <x:c r="D396" s="28" t="str">
        <x:v>Ферментированные продукты и соусы</x:v>
      </x:c>
      <x:c r="E396" s="28" t="str">
        <x:v>умами и солёный контраст</x:v>
      </x:c>
      <x:c r="F396" s="28" t="str">
        <x:v>Свёкла имеет профиль «землистый, сладкий, минеральный и слегка зелёный».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96" s="28" t="str">
        <x:v>геосмин легко доминирует; беталаины отвечают за цвет, а не за запах; сильный нагрев снижает яркость цвета</x:v>
      </x:c>
      <x:c r="I396" s="28" t="str">
        <x:v>сок, кордиал, гаспачо, салат, соус, маринад или коктейльный компонент с бальзамический уксус</x:v>
      </x:c>
      <x:c r="J396" s="28" t="str">
        <x:v>Средняя</x:v>
      </x:c>
      <x:c r="K396" s="28" t="str">
        <x:v>The Art &amp; Science of Foodpairing.pdf</x:v>
      </x:c>
      <x:c r="L396" s="28" t="str">
        <x:v>The Art &amp; Science of Foodpairing.pdf: 316</x:v>
      </x:c>
    </x:row>
    <x:row r="397" ht="66" customHeight="1">
      <x:c r="A397" s="28" t="str">
        <x:v>VEG-0631</x:v>
      </x:c>
      <x:c r="B397" s="28" t="str">
        <x:v>свёкла</x:v>
      </x:c>
      <x:c r="C397" s="28" t="str">
        <x:v>баранина</x:v>
      </x:c>
      <x:c r="D397" s="28" t="str">
        <x:v>Мясо и птица</x:v>
      </x:c>
      <x:c r="E397" s="28" t="str">
        <x:v>умами и солёный контраст</x:v>
      </x:c>
      <x:c r="F397" s="28" t="str">
        <x:v>Свёкла имеет профиль «землистый, сладкий, минеральный и слегка зелёный».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97" s="28" t="str">
        <x:v>геосмин легко доминирует; беталаины отвечают за цвет, а не за запах; сильный нагрев снижает яркость цвета</x:v>
      </x:c>
      <x:c r="I397" s="28" t="str">
        <x:v>сок, кордиал, гаспачо, салат, соус, маринад или коктейльный компонент с баранина</x:v>
      </x:c>
      <x:c r="J397" s="28" t="str">
        <x:v>Средняя</x:v>
      </x:c>
      <x:c r="K397" s="28" t="str">
        <x:v>The Art &amp; Science of Foodpairing.pdf</x:v>
      </x:c>
      <x:c r="L397" s="28" t="str">
        <x:v>The Art &amp; Science of Foodpairing.pdf: 224</x:v>
      </x:c>
    </x:row>
    <x:row r="398" ht="66" customHeight="1">
      <x:c r="A398" s="28" t="str">
        <x:v>VEG-0632</x:v>
      </x:c>
      <x:c r="B398" s="28" t="str">
        <x:v>свёкла</x:v>
      </x:c>
      <x:c r="C398" s="28" t="str">
        <x:v>батат</x:v>
      </x:c>
      <x:c r="D398" s="28" t="str">
        <x:v>Корнеплоды и клубни</x:v>
      </x:c>
      <x:c r="E398" s="28" t="str">
        <x:v>пересечение ароматических семейств</x:v>
      </x:c>
      <x:c r="F398" s="28" t="str">
        <x:v>Свёкла имеет профиль «землистый, сладкий, минеральный и слегка зелёный». Партнёр «батат» относится к группе «Корнеплоды и клубни» и даёт сладкий, крахмалистый, цветочный, карамельный и ореховый после запекания.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9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98" s="28" t="str">
        <x:v>геосмин легко доминирует; беталаины отвечают за цвет, а не за запах; сильный нагрев снижает яркость цвета</x:v>
      </x:c>
      <x:c r="I398" s="28" t="str">
        <x:v>сок, кордиал, гаспачо, салат, соус, маринад или коктейльный компонент с батат</x:v>
      </x:c>
      <x:c r="J398" s="28" t="str">
        <x:v>Средняя</x:v>
      </x:c>
      <x:c r="K398" s="28" t="str">
        <x:v>The Art &amp; Science of Foodpairing.pdf</x:v>
      </x:c>
      <x:c r="L398" s="28" t="str">
        <x:v>The Art &amp; Science of Foodpairing.pdf: 119</x:v>
      </x:c>
    </x:row>
    <x:row r="399" ht="66" customHeight="1">
      <x:c r="A399" s="28" t="str">
        <x:v>VEG-0633</x:v>
      </x:c>
      <x:c r="B399" s="28" t="str">
        <x:v>свёкла</x:v>
      </x:c>
      <x:c r="C399" s="28" t="str">
        <x:v>бекон</x:v>
      </x:c>
      <x:c r="D399" s="28" t="str">
        <x:v>Мясо и птица</x:v>
      </x:c>
      <x:c r="E399" s="28" t="str">
        <x:v>умами и солёный контраст</x:v>
      </x:c>
      <x:c r="F399" s="28" t="str">
        <x:v>Свёкла имеет профиль «землистый, сладкий, минеральный и слегка зелёный».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99" s="28" t="str">
        <x:v>геосмин легко доминирует; беталаины отвечают за цвет, а не за запах; сильный нагрев снижает яркость цвета</x:v>
      </x:c>
      <x:c r="I399" s="28" t="str">
        <x:v>сок, кордиал, гаспачо, салат, соус, маринад или коктейльный компонент с бекон</x:v>
      </x:c>
      <x:c r="J399" s="28" t="str">
        <x:v>Средняя</x:v>
      </x:c>
      <x:c r="K399" s="28" t="str">
        <x:v>The Art &amp; Science of Foodpairing.pdf</x:v>
      </x:c>
      <x:c r="L399" s="28" t="str">
        <x:v>The Art &amp; Science of Foodpairing.pdf: 224</x:v>
      </x:c>
    </x:row>
    <x:row r="400" ht="66" customHeight="1">
      <x:c r="A400" s="28" t="str">
        <x:v>VEG-0639</x:v>
      </x:c>
      <x:c r="B400" s="28" t="str">
        <x:v>свёкла</x:v>
      </x:c>
      <x:c r="C400" s="28" t="str">
        <x:v>говядина</x:v>
      </x:c>
      <x:c r="D400" s="28" t="str">
        <x:v>Мясо и птица</x:v>
      </x:c>
      <x:c r="E400" s="28" t="str">
        <x:v>умами и солёный контраст</x:v>
      </x:c>
      <x:c r="F400" s="28" t="str">
        <x:v>Свёкла имеет профиль «землистый, сладкий, минеральный и слегка зелёный».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0" s="28" t="str">
        <x:v>геосмин легко доминирует; беталаины отвечают за цвет, а не за запах; сильный нагрев снижает яркость цвета</x:v>
      </x:c>
      <x:c r="I400" s="28" t="str">
        <x:v>сок, кордиал, гаспачо, салат, соус, маринад или коктейльный компонент с говядина</x:v>
      </x:c>
      <x:c r="J400" s="28" t="str">
        <x:v>Высокая</x:v>
      </x:c>
      <x:c r="K400" s="28" t="str">
        <x:v>The Art &amp; Science of Foodpairing.pdf | Тезариус вкусов (Ники Сегнит)(1).pdf</x:v>
      </x:c>
      <x:c r="L400" s="28" t="str">
        <x:v>Тезариус вкусов (Ники Сегнит)(1).pdf: 117, 223; The Art &amp; Science of Foodpairing.pdf: 224</x:v>
      </x:c>
    </x:row>
    <x:row r="401" ht="66" customHeight="1">
      <x:c r="A401" s="28" t="str">
        <x:v>VEG-0644</x:v>
      </x:c>
      <x:c r="B401" s="28" t="str">
        <x:v>свёкла</x:v>
      </x:c>
      <x:c r="C401" s="28" t="str">
        <x:v>жирная рыба</x:v>
      </x:c>
      <x:c r="D401" s="28" t="str">
        <x:v>Рыба и морепродукты</x:v>
      </x:c>
      <x:c r="E401" s="28" t="str">
        <x:v>общие характерные молекулы; умами и солёный контраст</x:v>
      </x:c>
      <x:c r="F401" s="28" t="str">
        <x:v>Свёкла имеет профиль «землистый, сладкий, минеральный и слегка зелёный». Партнёр «жирная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1" s="28" t="str">
        <x:v>геосмин легко доминирует; беталаины отвечают за цвет, а не за запах; сильный нагрев снижает яркость цвета</x:v>
      </x:c>
      <x:c r="I401" s="28" t="str">
        <x:v>сок, кордиал, гаспачо, салат, соус, маринад или коктейльный компонент с жирная рыба</x:v>
      </x:c>
      <x:c r="J401" s="28" t="str">
        <x:v>Средняя</x:v>
      </x:c>
      <x:c r="K401" s="28" t="str">
        <x:v>Тезариус вкусов (Ники Сегнит)(1).pdf</x:v>
      </x:c>
      <x:c r="L401" s="28" t="str">
        <x:v>Тезариус вкусов (Ники Сегнит)(1).pdf: 223, 417</x:v>
      </x:c>
    </x:row>
    <x:row r="402" ht="66" customHeight="1">
      <x:c r="A402" s="28" t="str">
        <x:v>VEG-0650</x:v>
      </x:c>
      <x:c r="B402" s="28" t="str">
        <x:v>свёкла</x:v>
      </x:c>
      <x:c r="C402" s="28" t="str">
        <x:v>капуста</x:v>
      </x:c>
      <x:c r="D402" s="28" t="str">
        <x:v>Крестоцветные</x:v>
      </x:c>
      <x:c r="E402" s="28" t="str">
        <x:v>пересечение ароматических семейств</x:v>
      </x:c>
      <x:c r="F402" s="28" t="str">
        <x:v>Свёкла имеет профиль «землистый, сладкий, минеральный и слегка зелёный».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0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2" s="28" t="str">
        <x:v>геосмин легко доминирует; беталаины отвечают за цвет, а не за запах; сильный нагрев снижает яркость цвета</x:v>
      </x:c>
      <x:c r="I402" s="28" t="str">
        <x:v>сок, кордиал, гаспачо, салат, соус, маринад или коктейльный компонент с капуста</x:v>
      </x:c>
      <x:c r="J402" s="28" t="str">
        <x:v>Средняя</x:v>
      </x:c>
      <x:c r="K402" s="28" t="str">
        <x:v>The Art &amp; Science of Foodpairing.pdf</x:v>
      </x:c>
      <x:c r="L402" s="28" t="str">
        <x:v>The Art &amp; Science of Foodpairing.pdf: 224</x:v>
      </x:c>
    </x:row>
    <x:row r="403" ht="66" customHeight="1">
      <x:c r="A403" s="28" t="str">
        <x:v>VEG-0651</x:v>
      </x:c>
      <x:c r="B403" s="28" t="str">
        <x:v>свёкла</x:v>
      </x:c>
      <x:c r="C403" s="28" t="str">
        <x:v>картофель</x:v>
      </x:c>
      <x:c r="D403" s="28" t="str">
        <x:v>Корнеплоды и клубни</x:v>
      </x:c>
      <x:c r="E403" s="28" t="str">
        <x:v>общие характерные молекулы; пересечение ароматических семейств</x:v>
      </x:c>
      <x:c r="F403" s="28" t="str">
        <x:v>Свёкла имеет профиль «землистый, сладкий, минеральный и слегка зелёный». Партнёр «картофель» относится к группе «Корнеплоды и клубни» и даёт крахмалистый, землистый, ореховый и жареный после нагрева.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0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3" s="28" t="str">
        <x:v>геосмин легко доминирует; беталаины отвечают за цвет, а не за запах; сильный нагрев снижает яркость цвета</x:v>
      </x:c>
      <x:c r="I403" s="28" t="str">
        <x:v>сок, кордиал, гаспачо, салат, соус, маринад или коктейльный компонент с картофель</x:v>
      </x:c>
      <x:c r="J403" s="28" t="str">
        <x:v>Средняя</x:v>
      </x:c>
      <x:c r="K403" s="28" t="str">
        <x:v>Тезариус вкусов (Ники Сегнит)(1).pdf</x:v>
      </x:c>
      <x:c r="L403" s="28" t="str">
        <x:v>Тезариус вкусов (Ники Сегнит)(1).pdf: 224, 241</x:v>
      </x:c>
    </x:row>
    <x:row r="404" ht="66" customHeight="1">
      <x:c r="A404" s="28" t="str">
        <x:v>VEG-0652</x:v>
      </x:c>
      <x:c r="B404" s="28" t="str">
        <x:v>свёкла</x:v>
      </x:c>
      <x:c r="C404" s="28" t="str">
        <x:v>кефаль</x:v>
      </x:c>
      <x:c r="D404" s="28" t="str">
        <x:v>Рыба и морепродукты</x:v>
      </x:c>
      <x:c r="E404" s="28" t="str">
        <x:v>общие характерные молекулы; умами и солёный контраст</x:v>
      </x:c>
      <x:c r="F404" s="28" t="str">
        <x:v>Свёкла имеет профиль «землистый, сладкий, минеральный и слегка зелёный». Партнёр «кефаль»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4" s="28" t="str">
        <x:v>геосмин легко доминирует; беталаины отвечают за цвет, а не за запах; сильный нагрев снижает яркость цвета</x:v>
      </x:c>
      <x:c r="I404" s="28" t="str">
        <x:v>сок, кордиал, гаспачо, салат, соус, маринад или коктейльный компонент с кефаль</x:v>
      </x:c>
      <x:c r="J404" s="28" t="str">
        <x:v>Средняя</x:v>
      </x:c>
      <x:c r="K404" s="28" t="str">
        <x:v>The Art &amp; Science of Foodpairing.pdf</x:v>
      </x:c>
      <x:c r="L404" s="28" t="str">
        <x:v>The Art &amp; Science of Foodpairing.pdf: 224</x:v>
      </x:c>
    </x:row>
    <x:row r="405" ht="66" customHeight="1">
      <x:c r="A405" s="28" t="str">
        <x:v>VEG-0653</x:v>
      </x:c>
      <x:c r="B405" s="28" t="str">
        <x:v>свёкла</x:v>
      </x:c>
      <x:c r="C405" s="28" t="str">
        <x:v>кимчи</x:v>
      </x:c>
      <x:c r="D405" s="28" t="str">
        <x:v>Ферментированные продукты и соусы</x:v>
      </x:c>
      <x:c r="E405" s="28" t="str">
        <x:v>умами и солёный контраст</x:v>
      </x:c>
      <x:c r="F405" s="28" t="str">
        <x:v>Свёкла имеет профиль «землистый, сладкий, минеральный и слегка зелёный».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5" s="28" t="str">
        <x:v>геосмин легко доминирует; беталаины отвечают за цвет, а не за запах; сильный нагрев снижает яркость цвета</x:v>
      </x:c>
      <x:c r="I405" s="28" t="str">
        <x:v>сок, кордиал, гаспачо, салат, соус, маринад или коктейльный компонент с кимчи</x:v>
      </x:c>
      <x:c r="J405" s="28" t="str">
        <x:v>Средняя</x:v>
      </x:c>
      <x:c r="K405" s="28" t="str">
        <x:v>The Art &amp; Science of Foodpairing.pdf</x:v>
      </x:c>
      <x:c r="L405" s="28" t="str">
        <x:v>The Art &amp; Science of Foodpairing.pdf: 305</x:v>
      </x:c>
    </x:row>
    <x:row r="406" ht="66" customHeight="1">
      <x:c r="A406" s="28" t="str">
        <x:v>VEG-0657</x:v>
      </x:c>
      <x:c r="B406" s="28" t="str">
        <x:v>свёкла</x:v>
      </x:c>
      <x:c r="C406" s="28" t="str">
        <x:v>копчёный лосось</x:v>
      </x:c>
      <x:c r="D406" s="28" t="str">
        <x:v>Рыба и морепродукты</x:v>
      </x:c>
      <x:c r="E406" s="28" t="str">
        <x:v>общие характерные молекулы; умами и солёный контраст</x:v>
      </x:c>
      <x:c r="F406" s="28" t="str">
        <x:v>Свёкла имеет профиль «землистый, сладкий, минеральный и слегка зелёный». Партнёр «копчёный лосось»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6" s="28" t="str">
        <x:v>геосмин легко доминирует; беталаины отвечают за цвет, а не за запах; сильный нагрев снижает яркость цвета</x:v>
      </x:c>
      <x:c r="I406" s="28" t="str">
        <x:v>сок, кордиал, гаспачо, салат, соус, маринад или коктейльный компонент с копчёный лосось</x:v>
      </x:c>
      <x:c r="J406" s="28" t="str">
        <x:v>Средняя</x:v>
      </x:c>
      <x:c r="K406" s="28" t="str">
        <x:v>The Art &amp; Science of Foodpairing.pdf</x:v>
      </x:c>
      <x:c r="L406" s="28" t="str">
        <x:v>The Art &amp; Science of Foodpairing.pdf: 224</x:v>
      </x:c>
    </x:row>
    <x:row r="407" ht="66" customHeight="1">
      <x:c r="A407" s="28" t="str">
        <x:v>VEG-0661</x:v>
      </x:c>
      <x:c r="B407" s="28" t="str">
        <x:v>свёкла</x:v>
      </x:c>
      <x:c r="C407" s="28" t="str">
        <x:v>курица</x:v>
      </x:c>
      <x:c r="D407" s="28" t="str">
        <x:v>Мясо и птица</x:v>
      </x:c>
      <x:c r="E407" s="28" t="str">
        <x:v>умами и солёный контраст</x:v>
      </x:c>
      <x:c r="F407" s="28" t="str">
        <x:v>Свёкла имеет профиль «землистый, сладкий, минеральный и слегка зелёный». Партнёр «курица»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7" s="28" t="str">
        <x:v>геосмин легко доминирует; беталаины отвечают за цвет, а не за запах; сильный нагрев снижает яркость цвета</x:v>
      </x:c>
      <x:c r="I407" s="28" t="str">
        <x:v>сок, кордиал, гаспачо, салат, соус, маринад или коктейльный компонент с курица</x:v>
      </x:c>
      <x:c r="J407" s="28" t="str">
        <x:v>Средняя</x:v>
      </x:c>
      <x:c r="K407" s="28" t="str">
        <x:v>The Art &amp; Science of Foodpairing.pdf</x:v>
      </x:c>
      <x:c r="L407" s="28" t="str">
        <x:v>The Art &amp; Science of Foodpairing.pdf: 224</x:v>
      </x:c>
    </x:row>
    <x:row r="408" ht="66" customHeight="1">
      <x:c r="A408" s="28" t="str">
        <x:v>VEG-0664</x:v>
      </x:c>
      <x:c r="B408" s="28" t="str">
        <x:v>свёкла</x:v>
      </x:c>
      <x:c r="C408" s="28" t="str">
        <x:v>лосось</x:v>
      </x:c>
      <x:c r="D408" s="28" t="str">
        <x:v>Рыба и морепродукты</x:v>
      </x:c>
      <x:c r="E408" s="28" t="str">
        <x:v>общие характерные молекулы; умами и солёный контраст</x:v>
      </x:c>
      <x:c r="F408" s="28" t="str">
        <x:v>Свёкла имеет профиль «землистый, сладкий, минеральный и слегка зелёный». Партнёр «лосось»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8" s="28" t="str">
        <x:v>геосмин легко доминирует; беталаины отвечают за цвет, а не за запах; сильный нагрев снижает яркость цвета</x:v>
      </x:c>
      <x:c r="I408" s="28" t="str">
        <x:v>сок, кордиал, гаспачо, салат, соус, маринад или коктейльный компонент с лосось</x:v>
      </x:c>
      <x:c r="J408" s="28" t="str">
        <x:v>Средняя</x:v>
      </x:c>
      <x:c r="K408" s="28" t="str">
        <x:v>The Art &amp; Science of Foodpairing.pdf</x:v>
      </x:c>
      <x:c r="L408" s="28" t="str">
        <x:v>The Art &amp; Science of Foodpairing.pdf: 224</x:v>
      </x:c>
    </x:row>
    <x:row r="409" ht="66" customHeight="1">
      <x:c r="A409" s="28" t="str">
        <x:v>VEG-0665</x:v>
      </x:c>
      <x:c r="B409" s="28" t="str">
        <x:v>свёкла</x:v>
      </x:c>
      <x:c r="C409" s="28" t="str">
        <x:v>лук</x:v>
      </x:c>
      <x:c r="D409" s="28" t="str">
        <x:v>Луковые овощи</x:v>
      </x:c>
      <x:c r="E409" s="28" t="str">
        <x:v>пересечение ароматических семейств</x:v>
      </x:c>
      <x:c r="F409" s="28" t="str">
        <x:v>Свёкла имеет профиль «землистый, сладкий, минеральный и слегка зелёный».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0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9" s="28" t="str">
        <x:v>геосмин легко доминирует; беталаины отвечают за цвет, а не за запах; сильный нагрев снижает яркость цвета</x:v>
      </x:c>
      <x:c r="I409" s="28" t="str">
        <x:v>сок, кордиал, гаспачо, салат, соус, маринад или коктейльный компонент с лук</x:v>
      </x:c>
      <x:c r="J409" s="28" t="str">
        <x:v>Средняя</x:v>
      </x:c>
      <x:c r="K409" s="28" t="str">
        <x:v>Тезариус вкусов (Ники Сегнит)(1).pdf</x:v>
      </x:c>
      <x:c r="L409" s="28" t="str">
        <x:v>Тезариус вкусов (Ники Сегнит)(1).pdf: 225, 286</x:v>
      </x:c>
    </x:row>
    <x:row r="410" ht="66" customHeight="1">
      <x:c r="A410" s="28" t="str">
        <x:v>VEG-0666</x:v>
      </x:c>
      <x:c r="B410" s="28" t="str">
        <x:v>свёкла</x:v>
      </x:c>
      <x:c r="C410" s="28" t="str">
        <x:v>лук-порей</x:v>
      </x:c>
      <x:c r="D410" s="28" t="str">
        <x:v>Луковые овощи</x:v>
      </x:c>
      <x:c r="E410" s="28" t="str">
        <x:v>пересечение ароматических семейств</x:v>
      </x:c>
      <x:c r="F410" s="28" t="str">
        <x:v>Свёкла имеет профиль «землистый, сладкий, минеральный и слегка зелёный». Партнёр «лук-порей» относится к группе «Луковые овощи» и даёт сернистый,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1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0" s="28" t="str">
        <x:v>геосмин легко доминирует; беталаины отвечают за цвет, а не за запах; сильный нагрев снижает яркость цвета</x:v>
      </x:c>
      <x:c r="I410" s="28" t="str">
        <x:v>сок, кордиал, гаспачо, салат, соус, маринад или коктейльный компонент с лук-порей</x:v>
      </x:c>
      <x:c r="J410" s="28" t="str">
        <x:v>Средняя</x:v>
      </x:c>
      <x:c r="K410" s="28" t="str">
        <x:v>The Art &amp; Science of Foodpairing.pdf</x:v>
      </x:c>
      <x:c r="L410" s="28" t="str">
        <x:v>The Art &amp; Science of Foodpairing.pdf: 224</x:v>
      </x:c>
    </x:row>
    <x:row r="411" ht="66" customHeight="1">
      <x:c r="A411" s="28" t="str">
        <x:v>VEG-0672</x:v>
      </x:c>
      <x:c r="B411" s="28" t="str">
        <x:v>свёкла</x:v>
      </x:c>
      <x:c r="C411" s="28" t="str">
        <x:v>моллюски</x:v>
      </x:c>
      <x:c r="D411" s="28" t="str">
        <x:v>Рыба и морепродукты</x:v>
      </x:c>
      <x:c r="E411" s="28" t="str">
        <x:v>общие характерные молекулы; умами и солёный контраст</x:v>
      </x:c>
      <x:c r="F411" s="28" t="str">
        <x:v>Свёкла имеет профиль «землистый, сладкий, минеральный и слегка зелёный». Партнёр «моллюски»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1" s="28" t="str">
        <x:v>геосмин легко доминирует; беталаины отвечают за цвет, а не за запах; сильный нагрев снижает яркость цвета</x:v>
      </x:c>
      <x:c r="I411" s="28" t="str">
        <x:v>сок, кордиал, гаспачо, салат, соус, маринад или коктейльный компонент с моллюски</x:v>
      </x:c>
      <x:c r="J411" s="28" t="str">
        <x:v>Средняя</x:v>
      </x:c>
      <x:c r="K411" s="28" t="str">
        <x:v>The Art &amp; Science of Foodpairing.pdf</x:v>
      </x:c>
      <x:c r="L411" s="28" t="str">
        <x:v>The Art &amp; Science of Foodpairing.pdf: 224</x:v>
      </x:c>
    </x:row>
    <x:row r="412" ht="66" customHeight="1">
      <x:c r="A412" s="28" t="str">
        <x:v>VEG-0674</x:v>
      </x:c>
      <x:c r="B412" s="28" t="str">
        <x:v>свёкла</x:v>
      </x:c>
      <x:c r="C412" s="28" t="str">
        <x:v>морской язык</x:v>
      </x:c>
      <x:c r="D412" s="28" t="str">
        <x:v>Рыба и морепродукты</x:v>
      </x:c>
      <x:c r="E412" s="28" t="str">
        <x:v>общие характерные молекулы; умами и солёный контраст</x:v>
      </x:c>
      <x:c r="F412" s="28" t="str">
        <x:v>Свёкла имеет профиль «землистый, сладкий, минеральный и слегка зелёный». Партнёр «морской язык»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2" s="28" t="str">
        <x:v>геосмин легко доминирует; беталаины отвечают за цвет, а не за запах; сильный нагрев снижает яркость цвета</x:v>
      </x:c>
      <x:c r="I412" s="28" t="str">
        <x:v>сок, кордиал, гаспачо, салат, соус, маринад или коктейльный компонент с морской язык</x:v>
      </x:c>
      <x:c r="J412" s="28" t="str">
        <x:v>Средняя</x:v>
      </x:c>
      <x:c r="K412" s="28" t="str">
        <x:v>The Art &amp; Science of Foodpairing.pdf</x:v>
      </x:c>
      <x:c r="L412" s="28" t="str">
        <x:v>The Art &amp; Science of Foodpairing.pdf: 224</x:v>
      </x:c>
    </x:row>
    <x:row r="413" ht="66" customHeight="1">
      <x:c r="A413" s="28" t="str">
        <x:v>VEG-0681</x:v>
      </x:c>
      <x:c r="B413" s="28" t="str">
        <x:v>свёкла</x:v>
      </x:c>
      <x:c r="C413" s="28" t="str">
        <x:v>песочное печенье</x:v>
      </x:c>
      <x:c r="D413" s="28" t="str">
        <x:v>Мясо и птица</x:v>
      </x:c>
      <x:c r="E413" s="28" t="str">
        <x:v>умами и солёный контраст</x:v>
      </x:c>
      <x:c r="F413" s="28" t="str">
        <x:v>Свёкла имеет профиль «землистый, сладкий, минеральный и слегка зелёный». Партнёр «песочное печенье»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3" s="28" t="str">
        <x:v>геосмин легко доминирует; беталаины отвечают за цвет, а не за запах; сильный нагрев снижает яркость цвета</x:v>
      </x:c>
      <x:c r="I413" s="28" t="str">
        <x:v>сок, кордиал, гаспачо, салат, соус, маринад или коктейльный компонент с песочное печенье</x:v>
      </x:c>
      <x:c r="J413" s="28" t="str">
        <x:v>Средняя</x:v>
      </x:c>
      <x:c r="K413" s="28" t="str">
        <x:v>The Art &amp; Science of Foodpairing.pdf</x:v>
      </x:c>
      <x:c r="L413" s="28" t="str">
        <x:v>The Art &amp; Science of Foodpairing.pdf: 224</x:v>
      </x:c>
    </x:row>
    <x:row r="414" ht="66" customHeight="1">
      <x:c r="A414" s="28" t="str">
        <x:v>VEG-0683</x:v>
      </x:c>
      <x:c r="B414" s="28" t="str">
        <x:v>свёкла</x:v>
      </x:c>
      <x:c r="C414" s="28" t="str">
        <x:v>печень</x:v>
      </x:c>
      <x:c r="D414" s="28" t="str">
        <x:v>Мясо и птица</x:v>
      </x:c>
      <x:c r="E414" s="28" t="str">
        <x:v>умами и солёный контраст</x:v>
      </x:c>
      <x:c r="F414" s="28" t="str">
        <x:v>Свёкла имеет профиль «землистый, сладкий, минеральный и слегка зелёный». Партнёр «печень»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4" s="28" t="str">
        <x:v>геосмин легко доминирует; беталаины отвечают за цвет, а не за запах; сильный нагрев снижает яркость цвета</x:v>
      </x:c>
      <x:c r="I414" s="28" t="str">
        <x:v>сок, кордиал, гаспачо, салат, соус, маринад или коктейльный компонент с печень</x:v>
      </x:c>
      <x:c r="J414" s="28" t="str">
        <x:v>Средняя</x:v>
      </x:c>
      <x:c r="K414" s="28" t="str">
        <x:v>Тезариус вкусов (Ники Сегнит)(1).pdf</x:v>
      </x:c>
      <x:c r="L414" s="28" t="str">
        <x:v>Тезариус вкусов (Ники Сегнит)(1).pdf: 102, 225</x:v>
      </x:c>
    </x:row>
    <x:row r="415" ht="66" customHeight="1">
      <x:c r="A415" s="28" t="str">
        <x:v>VEG-0684</x:v>
      </x:c>
      <x:c r="B415" s="28" t="str">
        <x:v>свёкла</x:v>
      </x:c>
      <x:c r="C415" s="28" t="str">
        <x:v>рыба</x:v>
      </x:c>
      <x:c r="D415" s="28" t="str">
        <x:v>Рыба и морепродукты</x:v>
      </x:c>
      <x:c r="E415" s="28" t="str">
        <x:v>общие характерные молекулы; умами и солёный контраст</x:v>
      </x:c>
      <x:c r="F415" s="28" t="str">
        <x:v>Свёкла имеет профиль «землистый, сладкий, минеральный и слегка зелёный». Партнёр «рыба»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5" s="28" t="str">
        <x:v>геосмин легко доминирует; беталаины отвечают за цвет, а не за запах; сильный нагрев снижает яркость цвета</x:v>
      </x:c>
      <x:c r="I415" s="28" t="str">
        <x:v>сок, кордиал, гаспачо, салат, соус, маринад или коктейльный компонент с рыба</x:v>
      </x:c>
      <x:c r="J415" s="28" t="str">
        <x:v>Средняя</x:v>
      </x:c>
      <x:c r="K415" s="28" t="str">
        <x:v>The Art &amp; Science of Foodpairing.pdf</x:v>
      </x:c>
      <x:c r="L415" s="28" t="str">
        <x:v>The Art &amp; Science of Foodpairing.pdf: 104</x:v>
      </x:c>
    </x:row>
    <x:row r="416" ht="66" customHeight="1">
      <x:c r="A416" s="28" t="str">
        <x:v>VEG-0685</x:v>
      </x:c>
      <x:c r="B416" s="28" t="str">
        <x:v>свёкла</x:v>
      </x:c>
      <x:c r="C416" s="28" t="str">
        <x:v>свиная грудинка</x:v>
      </x:c>
      <x:c r="D416" s="28" t="str">
        <x:v>Мясо и птица</x:v>
      </x:c>
      <x:c r="E416" s="28" t="str">
        <x:v>умами и солёный контраст</x:v>
      </x:c>
      <x:c r="F416" s="28" t="str">
        <x:v>Свёкла имеет профиль «землистый, сладкий, минеральный и слегка зелёный». Партнёр «свиная грудинка»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6" s="28" t="str">
        <x:v>геосмин легко доминирует; беталаины отвечают за цвет, а не за запах; сильный нагрев снижает яркость цвета</x:v>
      </x:c>
      <x:c r="I416" s="28" t="str">
        <x:v>сок, кордиал, гаспачо, салат, соус, маринад или коктейльный компонент с свиная грудинка</x:v>
      </x:c>
      <x:c r="J416" s="28" t="str">
        <x:v>Средняя</x:v>
      </x:c>
      <x:c r="K416" s="28" t="str">
        <x:v>The Art &amp; Science of Foodpairing.pdf</x:v>
      </x:c>
      <x:c r="L416" s="28" t="str">
        <x:v>The Art &amp; Science of Foodpairing.pdf: 224</x:v>
      </x:c>
    </x:row>
    <x:row r="417" ht="66" customHeight="1">
      <x:c r="A417" s="28" t="str">
        <x:v>VEG-0686</x:v>
      </x:c>
      <x:c r="B417" s="28" t="str">
        <x:v>свёкла</x:v>
      </x:c>
      <x:c r="C417" s="28" t="str">
        <x:v>свинина</x:v>
      </x:c>
      <x:c r="D417" s="28" t="str">
        <x:v>Мясо и птица</x:v>
      </x:c>
      <x:c r="E417" s="28" t="str">
        <x:v>умами и солёный контраст</x:v>
      </x:c>
      <x:c r="F417" s="28" t="str">
        <x:v>Свёкла имеет профиль «землистый, сладкий, минеральный и слегка зелёный».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7" s="28" t="str">
        <x:v>геосмин легко доминирует; беталаины отвечают за цвет, а не за запах; сильный нагрев снижает яркость цвета</x:v>
      </x:c>
      <x:c r="I417" s="28" t="str">
        <x:v>сок, кордиал, гаспачо, салат, соус, маринад или коктейльный компонент с свинина</x:v>
      </x:c>
      <x:c r="J417" s="28" t="str">
        <x:v>Средняя</x:v>
      </x:c>
      <x:c r="K417" s="28" t="str">
        <x:v>Тезариус вкусов (Ники Сегнит)(1).pdf</x:v>
      </x:c>
      <x:c r="L417" s="28" t="str">
        <x:v>Тезариус вкусов (Ники Сегнит)(1).pdf: 87, 225</x:v>
      </x:c>
    </x:row>
    <x:row r="418" ht="66" customHeight="1">
      <x:c r="A418" s="28" t="str">
        <x:v>VEG-0689</x:v>
      </x:c>
      <x:c r="B418" s="28" t="str">
        <x:v>свёкла</x:v>
      </x:c>
      <x:c r="C418" s="28" t="str">
        <x:v>скат</x:v>
      </x:c>
      <x:c r="D418" s="28" t="str">
        <x:v>Рыба и морепродукты</x:v>
      </x:c>
      <x:c r="E418" s="28" t="str">
        <x:v>общие характерные молекулы; умами и солёный контраст</x:v>
      </x:c>
      <x:c r="F418" s="28" t="str">
        <x:v>Свёкла имеет профиль «землистый, сладкий, минеральный и слегка зелёный». Партнёр «скат»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8" s="28" t="str">
        <x:v>геосмин легко доминирует; беталаины отвечают за цвет, а не за запах; сильный нагрев снижает яркость цвета</x:v>
      </x:c>
      <x:c r="I418" s="28" t="str">
        <x:v>сок, кордиал, гаспачо, салат, соус, маринад или коктейльный компонент с скат</x:v>
      </x:c>
      <x:c r="J418" s="28" t="str">
        <x:v>Средняя</x:v>
      </x:c>
      <x:c r="K418" s="28" t="str">
        <x:v>The Art &amp; Science of Foodpairing.pdf</x:v>
      </x:c>
      <x:c r="L418" s="28" t="str">
        <x:v>The Art &amp; Science of Foodpairing.pdf: 224</x:v>
      </x:c>
    </x:row>
    <x:row r="419" ht="66" customHeight="1">
      <x:c r="A419" s="28" t="str">
        <x:v>VEG-0691</x:v>
      </x:c>
      <x:c r="B419" s="28" t="str">
        <x:v>свёкла</x:v>
      </x:c>
      <x:c r="C419" s="28" t="str">
        <x:v>соевый соус</x:v>
      </x:c>
      <x:c r="D419" s="28" t="str">
        <x:v>Ферментированные продукты и соусы</x:v>
      </x:c>
      <x:c r="E419" s="28" t="str">
        <x:v>умами и солёный контраст</x:v>
      </x:c>
      <x:c r="F419" s="28" t="str">
        <x:v>Свёкла имеет профиль «землистый, сладкий, минеральный и слегка зелёный». Партнёр «соевый соус» относится к группе «Ферментированные продукты и соусы» и даёт жареный,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9" s="28" t="str">
        <x:v>геосмин легко доминирует; беталаины отвечают за цвет, а не за запах; сильный нагрев снижает яркость цвета</x:v>
      </x:c>
      <x:c r="I419" s="28" t="str">
        <x:v>сок, кордиал, гаспачо, салат, соус, маринад или коктейльный компонент с соевый соус</x:v>
      </x:c>
      <x:c r="J419" s="28" t="str">
        <x:v>Средняя</x:v>
      </x:c>
      <x:c r="K419" s="28" t="str">
        <x:v>The Art &amp; Science of Foodpairing.pdf</x:v>
      </x:c>
      <x:c r="L419" s="28" t="str">
        <x:v>The Art &amp; Science of Foodpairing.pdf: 224</x:v>
      </x:c>
    </x:row>
    <x:row r="420" ht="66" customHeight="1">
      <x:c r="A420" s="28" t="str">
        <x:v>VEG-0695</x:v>
      </x:c>
      <x:c r="B420" s="28" t="str">
        <x:v>свёкла</x:v>
      </x:c>
      <x:c r="C420" s="28" t="str">
        <x:v>томатильо</x:v>
      </x:c>
      <x:c r="D420" s="28" t="str">
        <x:v>Плодовые и тыквенные овощи</x:v>
      </x:c>
      <x:c r="E420" s="28" t="str">
        <x:v>общие характерные молекулы; пересечение ароматических семейств</x:v>
      </x:c>
      <x:c r="F420" s="28" t="str">
        <x:v>Свёкла имеет профиль «землистый, сладкий, минеральный и слегка зелёный». Партнёр «томатильо»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0" s="28" t="str">
        <x:v>геосмин легко доминирует; беталаины отвечают за цвет, а не за запах; сильный нагрев снижает яркость цвета</x:v>
      </x:c>
      <x:c r="I420" s="28" t="str">
        <x:v>сок, кордиал, гаспачо, салат, соус, маринад или коктейльный компонент с томатильо</x:v>
      </x:c>
      <x:c r="J420" s="28" t="str">
        <x:v>Средняя</x:v>
      </x:c>
      <x:c r="K420" s="28" t="str">
        <x:v>The Art &amp; Science of Foodpairing.pdf</x:v>
      </x:c>
      <x:c r="L420" s="28" t="str">
        <x:v>The Art &amp; Science of Foodpairing.pdf: 224</x:v>
      </x:c>
    </x:row>
    <x:row r="421" ht="66" customHeight="1">
      <x:c r="A421" s="28" t="str">
        <x:v>VEG-0696</x:v>
      </x:c>
      <x:c r="B421" s="28" t="str">
        <x:v>свёкла</x:v>
      </x:c>
      <x:c r="C421" s="28" t="str">
        <x:v>трюфель</x:v>
      </x:c>
      <x:c r="D421" s="28" t="str">
        <x:v>Грибы</x:v>
      </x:c>
      <x:c r="E421" s="28" t="str">
        <x:v>пересечение ароматических семейств; умами и солёный контраст</x:v>
      </x:c>
      <x:c r="F421" s="28" t="str">
        <x:v>Свёкла имеет профиль «землистый, сладкий, минеральный и слегка зелёный». Партнёр «трюфель» относится к группе «Грибы» и даёт землистый, грибной и умами. Профили пересекаются в семействах: землистый.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2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1" s="28" t="str">
        <x:v>геосмин легко доминирует; беталаины отвечают за цвет, а не за запах; сильный нагрев снижает яркость цвета</x:v>
      </x:c>
      <x:c r="I421" s="28" t="str">
        <x:v>сок, кордиал, гаспачо, салат, соус, маринад или коктейльный компонент с трюфель</x:v>
      </x:c>
      <x:c r="J421" s="28" t="str">
        <x:v>Средняя</x:v>
      </x:c>
      <x:c r="K421" s="28" t="str">
        <x:v>The Art &amp; Science of Foodpairing.pdf</x:v>
      </x:c>
      <x:c r="L421" s="28" t="str">
        <x:v>The Art &amp; Science of Foodpairing.pdf: 192</x:v>
      </x:c>
    </x:row>
    <x:row r="422" ht="66" customHeight="1">
      <x:c r="A422" s="28" t="str">
        <x:v>VEG-0700</x:v>
      </x:c>
      <x:c r="B422" s="28" t="str">
        <x:v>свёкла</x:v>
      </x:c>
      <x:c r="C422" s="28" t="str">
        <x:v>цветная капуста</x:v>
      </x:c>
      <x:c r="D422" s="28" t="str">
        <x:v>Крестоцветные</x:v>
      </x:c>
      <x:c r="E422" s="28" t="str">
        <x:v>сенсорная комплементарность</x:v>
      </x:c>
      <x:c r="F422" s="28" t="str">
        <x:v>Свёкла имеет профиль «землистый, сладкий, минеральный и слегка зелёный». Партнёр «цветная капуста» относится к группе «Крестоцветные» и даёт мягко капустный, ореховый, сернистый и сливочный после запекания.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2" s="28" t="str">
        <x:v>геосмин легко доминирует; беталаины отвечают за цвет, а не за запах; сильный нагрев снижает яркость цвета</x:v>
      </x:c>
      <x:c r="I422" s="28" t="str">
        <x:v>сок, кордиал, гаспачо, салат, соус, маринад или коктейльный компонент с цветная капуста</x:v>
      </x:c>
      <x:c r="J422" s="28" t="str">
        <x:v>Средняя</x:v>
      </x:c>
      <x:c r="K422" s="28" t="str">
        <x:v>The Art &amp; Science of Foodpairing.pdf</x:v>
      </x:c>
      <x:c r="L422" s="28" t="str">
        <x:v>The Art &amp; Science of Foodpairing.pdf: 224</x:v>
      </x:c>
    </x:row>
    <x:row r="423" ht="66" customHeight="1">
      <x:c r="A423" s="28" t="str">
        <x:v>VEG-0702</x:v>
      </x:c>
      <x:c r="B423" s="28" t="str">
        <x:v>свёкла</x:v>
      </x:c>
      <x:c r="C423" s="28" t="str">
        <x:v>чеснок</x:v>
      </x:c>
      <x:c r="D423" s="28" t="str">
        <x:v>Луковые овощи</x:v>
      </x:c>
      <x:c r="E423" s="28" t="str">
        <x:v>сенсорная комплементарность</x:v>
      </x:c>
      <x:c r="F423" s="28" t="str">
        <x:v>Свёкла имеет профиль «землистый, сладкий, минеральный и слегка зелёный». Партнёр «чеснок» относится к группе «Луковые овощи» и даёт резкий сернистый, зелёный и мясной; после запекания — сладкий и ореховый.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3" s="28" t="str">
        <x:v>геосмин легко доминирует; беталаины отвечают за цвет, а не за запах; сильный нагрев снижает яркость цвета</x:v>
      </x:c>
      <x:c r="I423" s="28" t="str">
        <x:v>сок, кордиал, гаспачо, салат, соус, маринад или коктейльный компонент с чеснок</x:v>
      </x:c>
      <x:c r="J423" s="28" t="str">
        <x:v>Средняя</x:v>
      </x:c>
      <x:c r="K423" s="28" t="str">
        <x:v>The Art &amp; Science of Foodpairing.pdf</x:v>
      </x:c>
      <x:c r="L423" s="28" t="str">
        <x:v>The Art &amp; Science of Foodpairing.pdf: 113, 114</x:v>
      </x:c>
    </x:row>
    <x:row r="424" ht="66" customHeight="1">
      <x:c r="A424" s="28" t="str">
        <x:v>VEG-0710</x:v>
      </x:c>
      <x:c r="B424" s="28" t="str">
        <x:v>свёкла</x:v>
      </x:c>
      <x:c r="C424" s="28" t="str">
        <x:v>яичница</x:v>
      </x:c>
      <x:c r="D424" s="28" t="str">
        <x:v>Яйца</x:v>
      </x:c>
      <x:c r="E424" s="28" t="str">
        <x:v>сенсорная комплементарность</x:v>
      </x:c>
      <x:c r="F424" s="28" t="str">
        <x:v>Свёкла имеет профиль «землистый, сладкий, минеральный и слегка зелёный». Партнёр «яичница» относится к группе «Яйца» и даёт сливочный,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4" s="28" t="str">
        <x:v>геосмин легко доминирует; беталаины отвечают за цвет, а не за запах; сильный нагрев снижает яркость цвета</x:v>
      </x:c>
      <x:c r="I424" s="28" t="str">
        <x:v>сок, кордиал, гаспачо, салат, соус, маринад или коктейльный компонент с яичница</x:v>
      </x:c>
      <x:c r="J424" s="28" t="str">
        <x:v>Средняя</x:v>
      </x:c>
      <x:c r="K424" s="28" t="str">
        <x:v>The Art &amp; Science of Foodpairing.pdf</x:v>
      </x:c>
      <x:c r="L424" s="28" t="str">
        <x:v>The Art &amp; Science of Foodpairing.pdf: 224</x:v>
      </x:c>
    </x:row>
    <x:row r="425" ht="66" customHeight="1">
      <x:c r="A425" s="28" t="str">
        <x:v>VEG-0714</x:v>
      </x:c>
      <x:c r="B425" s="28" t="str">
        <x:v>сельдерей</x:v>
      </x:c>
      <x:c r="C425" s="28" t="str">
        <x:v>баранина</x:v>
      </x:c>
      <x:c r="D425" s="28" t="str">
        <x:v>Мясо и птица</x:v>
      </x:c>
      <x:c r="E425" s="28" t="str">
        <x:v>умами и солёный контраст</x:v>
      </x:c>
      <x:c r="F425" s="28" t="str">
        <x:v>Сельдерей имеет профиль «зелёный, травянистый, пряный, слегка анисовый».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5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25" s="28" t="str">
        <x:v>быстро становится доминирующим и горьким; волокна требуют фильтрации в напитках</x:v>
      </x:c>
      <x:c r="I425" s="28" t="str">
        <x:v>сок, кордиал, гаспачо, салат, соус, маринад или коктейльный компонент с баранина</x:v>
      </x:c>
      <x:c r="J425" s="28" t="str">
        <x:v>Средняя</x:v>
      </x:c>
      <x:c r="K425" s="28" t="str">
        <x:v>Тезариус вкусов (Ники Сегнит)(1).pdf</x:v>
      </x:c>
      <x:c r="L425" s="28" t="str">
        <x:v>Тезариус вкусов (Ники Сегнит)(1).pdf: 133, 249</x:v>
      </x:c>
    </x:row>
    <x:row r="426" ht="66" customHeight="1">
      <x:c r="A426" s="28" t="str">
        <x:v>VEG-0715</x:v>
      </x:c>
      <x:c r="B426" s="28" t="str">
        <x:v>сельдерей</x:v>
      </x:c>
      <x:c r="C426" s="28" t="str">
        <x:v>белая рыба</x:v>
      </x:c>
      <x:c r="D426" s="28" t="str">
        <x:v>Рыба и морепродукты</x:v>
      </x:c>
      <x:c r="E426" s="28" t="str">
        <x:v>умами и солёный контраст</x:v>
      </x:c>
      <x:c r="F426" s="28" t="str">
        <x:v>Сельдерей имеет профиль «зелёный, травянистый, пряный, слегка анисовый».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26" s="28" t="str">
        <x:v>быстро становится доминирующим и горьким; волокна требуют фильтрации в напитках</x:v>
      </x:c>
      <x:c r="I426" s="28" t="str">
        <x:v>сок, кордиал, гаспачо, салат, соус, маринад или коктейльный компонент с белая рыба</x:v>
      </x:c>
      <x:c r="J426" s="28" t="str">
        <x:v>Средняя</x:v>
      </x:c>
      <x:c r="K426" s="28" t="str">
        <x:v>Тезариус вкусов (Ники Сегнит)(1).pdf</x:v>
      </x:c>
      <x:c r="L426" s="28" t="str">
        <x:v>Тезариус вкусов (Ники Сегнит)(1).pdf: 249, 388</x:v>
      </x:c>
    </x:row>
    <x:row r="427" ht="66" customHeight="1">
      <x:c r="A427" s="28" t="str">
        <x:v>VEG-0717</x:v>
      </x:c>
      <x:c r="B427" s="28" t="str">
        <x:v>сельдерей</x:v>
      </x:c>
      <x:c r="C427" s="28" t="str">
        <x:v>говядина</x:v>
      </x:c>
      <x:c r="D427" s="28" t="str">
        <x:v>Мясо и птица</x:v>
      </x:c>
      <x:c r="E427" s="28" t="str">
        <x:v>умами и солёный контраст</x:v>
      </x:c>
      <x:c r="F427" s="28" t="str">
        <x:v>Сельдерей имеет профиль «зелёный, травянистый, пряный, слегка анисовый».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7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27" s="28" t="str">
        <x:v>быстро становится доминирующим и горьким; волокна требуют фильтрации в напитках</x:v>
      </x:c>
      <x:c r="I427" s="28" t="str">
        <x:v>сок, кордиал, гаспачо, салат, соус, маринад или коктейльный компонент с говядина</x:v>
      </x:c>
      <x:c r="J427" s="28" t="str">
        <x:v>Средняя</x:v>
      </x:c>
      <x:c r="K427" s="28" t="str">
        <x:v>Тезариус вкусов (Ники Сегнит)(1).pdf</x:v>
      </x:c>
      <x:c r="L427" s="28" t="str">
        <x:v>Тезариус вкусов (Ники Сегнит)(1).pdf: 118, 250</x:v>
      </x:c>
    </x:row>
    <x:row r="428" ht="66" customHeight="1">
      <x:c r="A428" s="28" t="str">
        <x:v>VEG-0723</x:v>
      </x:c>
      <x:c r="B428" s="28" t="str">
        <x:v>сельдерей</x:v>
      </x:c>
      <x:c r="C428" s="28" t="str">
        <x:v>лук</x:v>
      </x:c>
      <x:c r="D428" s="28" t="str">
        <x:v>Луковые овощи</x:v>
      </x:c>
      <x:c r="E428" s="28" t="str">
        <x:v>сенсорная комплементарность</x:v>
      </x:c>
      <x:c r="F428" s="28" t="str">
        <x:v>Сельдерей имеет профиль «зелёный, травянистый, пряный, слегка анисовый». Партнёр «лук» относится к группе «Луковые овощи» и даёт сернистый, сладкий, зелёный; после жарки — карамельный и мясной.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28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28" s="28" t="str">
        <x:v>быстро становится доминирующим и горьким; волокна требуют фильтрации в напитках</x:v>
      </x:c>
      <x:c r="I428" s="28" t="str">
        <x:v>сок, кордиал, гаспачо, салат, соус, маринад или коктейльный компонент с лук</x:v>
      </x:c>
      <x:c r="J428" s="28" t="str">
        <x:v>Средняя</x:v>
      </x:c>
      <x:c r="K428" s="28" t="str">
        <x:v>Тезариус вкусов (Ники Сегнит)(1).pdf</x:v>
      </x:c>
      <x:c r="L428" s="28" t="str">
        <x:v>Тезариус вкусов (Ники Сегнит)(1).pdf: 251, 287</x:v>
      </x:c>
    </x:row>
    <x:row r="429" ht="66" customHeight="1">
      <x:c r="A429" s="28" t="str">
        <x:v>VEG-0724</x:v>
      </x:c>
      <x:c r="B429" s="28" t="str">
        <x:v>сельдерей</x:v>
      </x:c>
      <x:c r="C429" s="28" t="str">
        <x:v>моллюски</x:v>
      </x:c>
      <x:c r="D429" s="28" t="str">
        <x:v>Рыба и морепродукты</x:v>
      </x:c>
      <x:c r="E429" s="28" t="str">
        <x:v>умами и солёный контраст</x:v>
      </x:c>
      <x:c r="F429" s="28" t="str">
        <x:v>Сельдерей имеет профиль «зелёный, травянистый, пряный, слегка анисовый».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9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29" s="28" t="str">
        <x:v>быстро становится доминирующим и горьким; волокна требуют фильтрации в напитках</x:v>
      </x:c>
      <x:c r="I429" s="28" t="str">
        <x:v>сок, кордиал, гаспачо, салат, соус, маринад или коктейльный компонент с моллюски</x:v>
      </x:c>
      <x:c r="J429" s="28" t="str">
        <x:v>Средняя</x:v>
      </x:c>
      <x:c r="K429" s="28" t="str">
        <x:v>Тезариус вкусов (Ники Сегнит)(1).pdf</x:v>
      </x:c>
      <x:c r="L429" s="28" t="str">
        <x:v>Тезариус вкусов (Ники Сегнит)(1).pdf: 251, 375</x:v>
      </x:c>
    </x:row>
    <x:row r="430" ht="66" customHeight="1">
      <x:c r="A430" s="28" t="str">
        <x:v>VEG-0726</x:v>
      </x:c>
      <x:c r="B430" s="28" t="str">
        <x:v>сельдерей</x:v>
      </x:c>
      <x:c r="C430" s="28" t="str">
        <x:v>мускатный орех</x:v>
      </x:c>
      <x:c r="D430" s="28" t="str">
        <x:v>Рыба и морепродукты</x:v>
      </x:c>
      <x:c r="E430" s="28" t="str">
        <x:v>пересечение ароматических семейств; умами и солёный контраст</x:v>
      </x:c>
      <x:c r="F430" s="28" t="str">
        <x:v>Сельдерей имеет профиль «зелёный, травянистый, пряный, слегка анисовый». Партнёр «мускатный орех» относится к группе «Рыба и морепродукты» и даёт камфорный, ореховый, пряный. Профили пересекаются в семействах: пряный. Умами, соль и нуклеотиды усиливают savoury-профиль, а жарка формирует общую систему пиразинов, фуранов и сернистых молекул.</x:v>
      </x:c>
      <x:c r="G430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0" s="28" t="str">
        <x:v>быстро становится доминирующим и горьким; волокна требуют фильтрации в напитках</x:v>
      </x:c>
      <x:c r="I430" s="28" t="str">
        <x:v>сок, кордиал, гаспачо, салат, соус, маринад или коктейльный компонент с мускатный орех</x:v>
      </x:c>
      <x:c r="J430" s="28" t="str">
        <x:v>Средняя</x:v>
      </x:c>
      <x:c r="K430" s="28" t="str">
        <x:v>Тезариус вкусов (Ники Сегнит)(1).pdf</x:v>
      </x:c>
      <x:c r="L430" s="28" t="str">
        <x:v>Тезариус вкусов (Ники Сегнит)(1).pdf: 253, 589</x:v>
      </x:c>
    </x:row>
    <x:row r="431" ht="66" customHeight="1">
      <x:c r="A431" s="28" t="str">
        <x:v>VEG-0728</x:v>
      </x:c>
      <x:c r="B431" s="28" t="str">
        <x:v>сельдерей</x:v>
      </x:c>
      <x:c r="C431" s="28" t="str">
        <x:v>прошутто</x:v>
      </x:c>
      <x:c r="D431" s="28" t="str">
        <x:v>Мясо и птица</x:v>
      </x:c>
      <x:c r="E431" s="28" t="str">
        <x:v>умами и солёный контраст</x:v>
      </x:c>
      <x:c r="F431" s="28" t="str">
        <x:v>Сельдерей имеет профиль «зелёный, травянистый, пряный, слегка анисовый».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1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1" s="28" t="str">
        <x:v>быстро становится доминирующим и горьким; волокна требуют фильтрации в напитках</x:v>
      </x:c>
      <x:c r="I431" s="28" t="str">
        <x:v>сок, кордиал, гаспачо, салат, соус, маринад или коктейльный компонент с прошутто</x:v>
      </x:c>
      <x:c r="J431" s="28" t="str">
        <x:v>Средняя</x:v>
      </x:c>
      <x:c r="K431" s="28" t="str">
        <x:v>Тезариус вкусов (Ники Сегнит)(1).pdf</x:v>
      </x:c>
      <x:c r="L431" s="28" t="str">
        <x:v>Тезариус вкусов (Ники Сегнит)(1).pdf: 253, 459</x:v>
      </x:c>
    </x:row>
    <x:row r="432" ht="66" customHeight="1">
      <x:c r="A432" s="28" t="str">
        <x:v>VEG-0729</x:v>
      </x:c>
      <x:c r="B432" s="28" t="str">
        <x:v>сельдерей</x:v>
      </x:c>
      <x:c r="C432" s="28" t="str">
        <x:v>свинина</x:v>
      </x:c>
      <x:c r="D432" s="28" t="str">
        <x:v>Мясо и птица</x:v>
      </x:c>
      <x:c r="E432" s="28" t="str">
        <x:v>умами и солёный контраст</x:v>
      </x:c>
      <x:c r="F432" s="28" t="str">
        <x:v>Сельдерей имеет профиль «зелёный, травянистый, пряный, слегка анисовый».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2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2" s="28" t="str">
        <x:v>быстро становится доминирующим и горьким; волокна требуют фильтрации в напитках</x:v>
      </x:c>
      <x:c r="I432" s="28" t="str">
        <x:v>сок, кордиал, гаспачо, салат, соус, маринад или коктейльный компонент с свинина</x:v>
      </x:c>
      <x:c r="J432" s="28" t="str">
        <x:v>Средняя</x:v>
      </x:c>
      <x:c r="K432" s="28" t="str">
        <x:v>Тезариус вкусов (Ники Сегнит)(1).pdf</x:v>
      </x:c>
      <x:c r="L432" s="28" t="str">
        <x:v>Тезариус вкусов (Ники Сегнит)(1).pdf: 87, 253</x:v>
      </x:c>
    </x:row>
    <x:row r="433" ht="66" customHeight="1">
      <x:c r="A433" s="28" t="str">
        <x:v>VEG-0731</x:v>
      </x:c>
      <x:c r="B433" s="28" t="str">
        <x:v>сельдерей</x:v>
      </x:c>
      <x:c r="C433" s="28" t="str">
        <x:v>трюфель</x:v>
      </x:c>
      <x:c r="D433" s="28" t="str">
        <x:v>Грибы</x:v>
      </x:c>
      <x:c r="E433" s="28" t="str">
        <x:v>умами и солёный контраст</x:v>
      </x:c>
      <x:c r="F433" s="28" t="str">
        <x:v>Сельдерей имеет профиль «зелёный, травянистый, пряный, слегка анисовый».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3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3" s="28" t="str">
        <x:v>быстро становится доминирующим и горьким; волокна требуют фильтрации в напитках</x:v>
      </x:c>
      <x:c r="I433" s="28" t="str">
        <x:v>сок, кордиал, гаспачо, салат, соус, маринад или коктейльный компонент с трюфель</x:v>
      </x:c>
      <x:c r="J433" s="28" t="str">
        <x:v>Средняя</x:v>
      </x:c>
      <x:c r="K433" s="28" t="str">
        <x:v>Тезариус вкусов (Ники Сегнит)(1).pdf</x:v>
      </x:c>
      <x:c r="L433" s="28" t="str">
        <x:v>Тезариус вкусов (Ники Сегнит)(1).pdf: 251, 253, 305</x:v>
      </x:c>
    </x:row>
    <x:row r="434" ht="66" customHeight="1">
      <x:c r="A434" s="28" t="str">
        <x:v>VEG-0732</x:v>
      </x:c>
      <x:c r="B434" s="28" t="str">
        <x:v>сельдерей</x:v>
      </x:c>
      <x:c r="C434" s="28" t="str">
        <x:v>устрицы</x:v>
      </x:c>
      <x:c r="D434" s="28" t="str">
        <x:v>Рыба и морепродукты</x:v>
      </x:c>
      <x:c r="E434" s="28" t="str">
        <x:v>умами и солёный контраст</x:v>
      </x:c>
      <x:c r="F434" s="28" t="str">
        <x:v>Сельдерей имеет профиль «зелёный, травянистый, пряный, слегка анисовый».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4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4" s="28" t="str">
        <x:v>быстро становится доминирующим и горьким; волокна требуют фильтрации в напитках</x:v>
      </x:c>
      <x:c r="I434" s="28" t="str">
        <x:v>сок, кордиал, гаспачо, салат, соус, маринад или коктейльный компонент с устрицы</x:v>
      </x:c>
      <x:c r="J434" s="28" t="str">
        <x:v>Средняя</x:v>
      </x:c>
      <x:c r="K434" s="28" t="str">
        <x:v>Тезариус вкусов (Ники Сегнит)(1).pdf</x:v>
      </x:c>
      <x:c r="L434" s="28" t="str">
        <x:v>Тезариус вкусов (Ники Сегнит)(1).pdf: 253, 400</x:v>
      </x:c>
    </x:row>
    <x:row r="435" ht="66" customHeight="1">
      <x:c r="A435" s="28" t="str">
        <x:v>VEG-0741</x:v>
      </x:c>
      <x:c r="B435" s="28" t="str">
        <x:v>сельдерей корневой</x:v>
      </x:c>
      <x:c r="C435" s="28" t="str">
        <x:v>говядина</x:v>
      </x:c>
      <x:c r="D435" s="28" t="str">
        <x:v>Мясо и птица</x:v>
      </x:c>
      <x:c r="E435" s="28" t="str">
        <x:v>умами и солёный контраст</x:v>
      </x:c>
      <x:c r="F435" s="28" t="str">
        <x:v>Сельдерей корневой имеет профиль «землистый, ореховый, сельдерейно-пряный и слегка грибной».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5" s="28" t="str">
        <x:v>быстро окисляется после нарезки; избыток сельдерейных фталидов даёт аптечную ноту</x:v>
      </x:c>
      <x:c r="I435" s="28" t="str">
        <x:v>пюре, суп, запекание, крем, гарнир, соус или десертная разработка с говядина</x:v>
      </x:c>
      <x:c r="J435" s="28" t="str">
        <x:v>Средняя</x:v>
      </x:c>
      <x:c r="K435" s="28" t="str">
        <x:v>The Art &amp; Science of Foodpairing.pdf</x:v>
      </x:c>
      <x:c r="L435" s="28" t="str">
        <x:v>The Art &amp; Science of Foodpairing.pdf: 52</x:v>
      </x:c>
    </x:row>
    <x:row r="436" ht="66" customHeight="1">
      <x:c r="A436" s="28" t="str">
        <x:v>VEG-0749</x:v>
      </x:c>
      <x:c r="B436" s="28" t="str">
        <x:v>сельдерей корневой</x:v>
      </x:c>
      <x:c r="C436" s="28" t="str">
        <x:v>зелёная фасоль</x:v>
      </x:c>
      <x:c r="D436" s="28" t="str">
        <x:v>Бобовые</x:v>
      </x:c>
      <x:c r="E436" s="28" t="str">
        <x:v>пересечение ароматических семейств</x:v>
      </x:c>
      <x:c r="F436" s="28" t="str">
        <x:v>Сельдерей корневой имеет профиль «землистый, ореховый, сельдерейно-пряный и слегка грибной». Партнёр «зелёная фасоль» относится к группе «Бобовые» и даёт зелёный, травянистый, бобовый и слегка ореховый. Профили пересекаются в семействах: ореховый. Совместимость формируется за счёт баланса сладости, кислотности, горечи, умами и текстуры.</x:v>
      </x:c>
      <x:c r="G43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6" s="28" t="str">
        <x:v>быстро окисляется после нарезки; избыток сельдерейных фталидов даёт аптечную ноту</x:v>
      </x:c>
      <x:c r="I436" s="28" t="str">
        <x:v>пюре, суп, запекание, крем, гарнир, соус или десертная разработка с зелёная фасоль</x:v>
      </x:c>
      <x:c r="J436" s="28" t="str">
        <x:v>Средняя</x:v>
      </x:c>
      <x:c r="K436" s="28" t="str">
        <x:v>The Art &amp; Science of Foodpairing.pdf</x:v>
      </x:c>
      <x:c r="L436" s="28" t="str">
        <x:v>The Art &amp; Science of Foodpairing.pdf: 52</x:v>
      </x:c>
    </x:row>
    <x:row r="437" ht="66" customHeight="1">
      <x:c r="A437" s="28" t="str">
        <x:v>VEG-0753</x:v>
      </x:c>
      <x:c r="B437" s="28" t="str">
        <x:v>сельдерей корневой</x:v>
      </x:c>
      <x:c r="C437" s="28" t="str">
        <x:v>капуста</x:v>
      </x:c>
      <x:c r="D437" s="28" t="str">
        <x:v>Крестоцветные</x:v>
      </x:c>
      <x:c r="E437" s="28" t="str">
        <x:v>сенсорная комплементарность</x:v>
      </x:c>
      <x:c r="F437" s="28" t="str">
        <x:v>Сельдерей корневой имеет профиль «землистый, ореховый, сельдерейно-пряный и слегка грибной». Партнёр «капуста» относится к группе «Крестоцветные» и даёт зелёный, горчичный, сернистый и сладковатый после приготовления.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3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7" s="28" t="str">
        <x:v>быстро окисляется после нарезки; избыток сельдерейных фталидов даёт аптечную ноту</x:v>
      </x:c>
      <x:c r="I437" s="28" t="str">
        <x:v>пюре, суп, запекание, крем, гарнир, соус или десертная разработка с капуста</x:v>
      </x:c>
      <x:c r="J437" s="28" t="str">
        <x:v>Средняя</x:v>
      </x:c>
      <x:c r="K437" s="28" t="str">
        <x:v>The Art &amp; Science of Foodpairing.pdf</x:v>
      </x:c>
      <x:c r="L437" s="28" t="str">
        <x:v>The Art &amp; Science of Foodpairing.pdf: 52</x:v>
      </x:c>
    </x:row>
    <x:row r="438" ht="66" customHeight="1">
      <x:c r="A438" s="28" t="str">
        <x:v>VEG-0757</x:v>
      </x:c>
      <x:c r="B438" s="28" t="str">
        <x:v>сельдерей корневой</x:v>
      </x:c>
      <x:c r="C438" s="28" t="str">
        <x:v>краб</x:v>
      </x:c>
      <x:c r="D438" s="28" t="str">
        <x:v>Рыба и морепродукты</x:v>
      </x:c>
      <x:c r="E438" s="28" t="str">
        <x:v>умами и солёный контраст</x:v>
      </x:c>
      <x:c r="F438" s="28" t="str">
        <x:v>Сельдерей корневой имеет профиль «землистый, ореховый, сельдерейно-пряный и слегка грибной». Партнёр «краб»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8" s="28" t="str">
        <x:v>быстро окисляется после нарезки; избыток сельдерейных фталидов даёт аптечную ноту</x:v>
      </x:c>
      <x:c r="I438" s="28" t="str">
        <x:v>пюре, суп, запекание, крем, гарнир, соус или десертная разработка с краб</x:v>
      </x:c>
      <x:c r="J438" s="28" t="str">
        <x:v>Средняя</x:v>
      </x:c>
      <x:c r="K438" s="28" t="str">
        <x:v>The Art &amp; Science of Foodpairing.pdf</x:v>
      </x:c>
      <x:c r="L438" s="28" t="str">
        <x:v>The Art &amp; Science of Foodpairing.pdf: 52</x:v>
      </x:c>
    </x:row>
    <x:row r="439" ht="66" customHeight="1">
      <x:c r="A439" s="28" t="str">
        <x:v>VEG-0758</x:v>
      </x:c>
      <x:c r="B439" s="28" t="str">
        <x:v>сельдерей корневой</x:v>
      </x:c>
      <x:c r="C439" s="28" t="str">
        <x:v>креветка</x:v>
      </x:c>
      <x:c r="D439" s="28" t="str">
        <x:v>Рыба и морепродукты</x:v>
      </x:c>
      <x:c r="E439" s="28" t="str">
        <x:v>умами и солёный контраст</x:v>
      </x:c>
      <x:c r="F439" s="28" t="str">
        <x:v>Сельдерей корневой имеет профиль «землистый, ореховый, сельдерейно-пряный и слегка грибной». Партнёр «креветка»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9" s="28" t="str">
        <x:v>быстро окисляется после нарезки; избыток сельдерейных фталидов даёт аптечную ноту</x:v>
      </x:c>
      <x:c r="I439" s="28" t="str">
        <x:v>пюре, суп, запекание, крем, гарнир, соус или десертная разработка с креветка</x:v>
      </x:c>
      <x:c r="J439" s="28" t="str">
        <x:v>Средняя</x:v>
      </x:c>
      <x:c r="K439" s="28" t="str">
        <x:v>The Art &amp; Science of Foodpairing.pdf</x:v>
      </x:c>
      <x:c r="L439" s="28" t="str">
        <x:v>The Art &amp; Science of Foodpairing.pdf: 52</x:v>
      </x:c>
    </x:row>
    <x:row r="440" ht="66" customHeight="1">
      <x:c r="A440" s="28" t="str">
        <x:v>VEG-0759</x:v>
      </x:c>
      <x:c r="B440" s="28" t="str">
        <x:v>сельдерей корневой</x:v>
      </x:c>
      <x:c r="C440" s="28" t="str">
        <x:v>креветки</x:v>
      </x:c>
      <x:c r="D440" s="28" t="str">
        <x:v>Рыба и морепродукты</x:v>
      </x:c>
      <x:c r="E440" s="28" t="str">
        <x:v>умами и солёный контраст</x:v>
      </x:c>
      <x:c r="F440" s="28" t="str">
        <x:v>Сельдерей корневой имеет профиль «землистый, ореховый, сельдерейно-пряный и слегка грибной». Партнёр «креветки»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0" s="28" t="str">
        <x:v>быстро окисляется после нарезки; избыток сельдерейных фталидов даёт аптечную ноту</x:v>
      </x:c>
      <x:c r="I440" s="28" t="str">
        <x:v>пюре, суп, запекание, крем, гарнир, соус или десертная разработка с креветки</x:v>
      </x:c>
      <x:c r="J440" s="28" t="str">
        <x:v>Высокая</x:v>
      </x:c>
      <x:c r="K440" s="28" t="str">
        <x:v>The Art &amp; Science of Foodpairing.pdf</x:v>
      </x:c>
      <x:c r="L440" s="28" t="str">
        <x:v>The Art &amp; Science of Foodpairing.pdf: 52</x:v>
      </x:c>
    </x:row>
    <x:row r="441" ht="66" customHeight="1">
      <x:c r="A441" s="28" t="str">
        <x:v>VEG-0770</x:v>
      </x:c>
      <x:c r="B441" s="28" t="str">
        <x:v>сельдерей корневой</x:v>
      </x:c>
      <x:c r="C441" s="28" t="str">
        <x:v>морской язык</x:v>
      </x:c>
      <x:c r="D441" s="28" t="str">
        <x:v>Рыба и морепродукты</x:v>
      </x:c>
      <x:c r="E441" s="28" t="str">
        <x:v>умами и солёный контраст</x:v>
      </x:c>
      <x:c r="F441" s="28" t="str">
        <x:v>Сельдерей корневой имеет профиль «землистый, ореховый, сельдерейно-пряный и слегка грибной». Партнёр «морской язык»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1" s="28" t="str">
        <x:v>быстро окисляется после нарезки; избыток сельдерейных фталидов даёт аптечную ноту</x:v>
      </x:c>
      <x:c r="I441" s="28" t="str">
        <x:v>пюре, суп, запекание, крем, гарнир, соус или десертная разработка с морской язык</x:v>
      </x:c>
      <x:c r="J441" s="28" t="str">
        <x:v>Средняя</x:v>
      </x:c>
      <x:c r="K441" s="28" t="str">
        <x:v>The Art &amp; Science of Foodpairing.pdf</x:v>
      </x:c>
      <x:c r="L441" s="28" t="str">
        <x:v>The Art &amp; Science of Foodpairing.pdf: 52</x:v>
      </x:c>
    </x:row>
    <x:row r="442" ht="66" customHeight="1">
      <x:c r="A442" s="28" t="str">
        <x:v>VEG-0775</x:v>
      </x:c>
      <x:c r="B442" s="28" t="str">
        <x:v>сельдерей корневой</x:v>
      </x:c>
      <x:c r="C442" s="28" t="str">
        <x:v>пекинская утка</x:v>
      </x:c>
      <x:c r="D442" s="28" t="str">
        <x:v>Мясо и птица</x:v>
      </x:c>
      <x:c r="E442" s="28" t="str">
        <x:v>умами и солёный контраст</x:v>
      </x:c>
      <x:c r="F442" s="28" t="str">
        <x:v>Сельдерей корневой имеет профиль «землистый, ореховый, сельдерейно-пряный и слегка грибной». Партнёр «пекинская утка»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2" s="28" t="str">
        <x:v>быстро окисляется после нарезки; избыток сельдерейных фталидов даёт аптечную ноту</x:v>
      </x:c>
      <x:c r="I442" s="28" t="str">
        <x:v>пюре, суп, запекание, крем, гарнир, соус или десертная разработка с пекинская утка</x:v>
      </x:c>
      <x:c r="J442" s="28" t="str">
        <x:v>Средняя</x:v>
      </x:c>
      <x:c r="K442" s="28" t="str">
        <x:v>The Art &amp; Science of Foodpairing.pdf</x:v>
      </x:c>
      <x:c r="L442" s="28" t="str">
        <x:v>The Art &amp; Science of Foodpairing.pdf: 52</x:v>
      </x:c>
    </x:row>
    <x:row r="443" ht="66" customHeight="1">
      <x:c r="A443" s="28" t="str">
        <x:v>VEG-0779</x:v>
      </x:c>
      <x:c r="B443" s="28" t="str">
        <x:v>сельдерей корневой</x:v>
      </x:c>
      <x:c r="C443" s="28" t="str">
        <x:v>рыба</x:v>
      </x:c>
      <x:c r="D443" s="28" t="str">
        <x:v>Рыба и морепродукты</x:v>
      </x:c>
      <x:c r="E443" s="28" t="str">
        <x:v>умами и солёный контраст</x:v>
      </x:c>
      <x:c r="F443" s="28" t="str">
        <x:v>Сельдерей корневой имеет профиль «землистый, ореховый, сельдерейно-пряный и слегка грибной».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3" s="28" t="str">
        <x:v>быстро окисляется после нарезки; избыток сельдерейных фталидов даёт аптечную ноту</x:v>
      </x:c>
      <x:c r="I443" s="28" t="str">
        <x:v>пюре, суп, запекание, крем, гарнир, соус или десертная разработка с рыба</x:v>
      </x:c>
      <x:c r="J443" s="28" t="str">
        <x:v>Средняя</x:v>
      </x:c>
      <x:c r="K443" s="28" t="str">
        <x:v>The Art &amp; Science of Foodpairing.pdf</x:v>
      </x:c>
      <x:c r="L443" s="28" t="str">
        <x:v>The Art &amp; Science of Foodpairing.pdf: 104</x:v>
      </x:c>
    </x:row>
    <x:row r="444" ht="66" customHeight="1">
      <x:c r="A444" s="28" t="str">
        <x:v>VEG-0780</x:v>
      </x:c>
      <x:c r="B444" s="28" t="str">
        <x:v>сельдерей корневой</x:v>
      </x:c>
      <x:c r="C444" s="28" t="str">
        <x:v>свиная грудинка</x:v>
      </x:c>
      <x:c r="D444" s="28" t="str">
        <x:v>Мясо и птица</x:v>
      </x:c>
      <x:c r="E444" s="28" t="str">
        <x:v>умами и солёный контраст</x:v>
      </x:c>
      <x:c r="F444" s="28" t="str">
        <x:v>Сельдерей корневой имеет профиль «землистый, ореховый, сельдерейно-пряный и слегка грибной». Партнёр «свиная грудинка»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4" s="28" t="str">
        <x:v>быстро окисляется после нарезки; избыток сельдерейных фталидов даёт аптечную ноту</x:v>
      </x:c>
      <x:c r="I444" s="28" t="str">
        <x:v>пюре, суп, запекание, крем, гарнир, соус или десертная разработка с свиная грудинка</x:v>
      </x:c>
      <x:c r="J444" s="28" t="str">
        <x:v>Средняя</x:v>
      </x:c>
      <x:c r="K444" s="28" t="str">
        <x:v>The Art &amp; Science of Foodpairing.pdf</x:v>
      </x:c>
      <x:c r="L444" s="28" t="str">
        <x:v>The Art &amp; Science of Foodpairing.pdf: 52</x:v>
      </x:c>
    </x:row>
    <x:row r="445" ht="66" customHeight="1">
      <x:c r="A445" s="28" t="str">
        <x:v>VEG-0781</x:v>
      </x:c>
      <x:c r="B445" s="28" t="str">
        <x:v>сельдерей корневой</x:v>
      </x:c>
      <x:c r="C445" s="28" t="str">
        <x:v>скат</x:v>
      </x:c>
      <x:c r="D445" s="28" t="str">
        <x:v>Рыба и морепродукты</x:v>
      </x:c>
      <x:c r="E445" s="28" t="str">
        <x:v>умами и солёный контраст</x:v>
      </x:c>
      <x:c r="F445" s="28" t="str">
        <x:v>Сельдерей корневой имеет профиль «землистый, ореховый, сельдерейно-пряный и слегка грибной». Партнёр «скат»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5" s="28" t="str">
        <x:v>быстро окисляется после нарезки; избыток сельдерейных фталидов даёт аптечную ноту</x:v>
      </x:c>
      <x:c r="I445" s="28" t="str">
        <x:v>пюре, суп, запекание, крем, гарнир, соус или десертная разработка с скат</x:v>
      </x:c>
      <x:c r="J445" s="28" t="str">
        <x:v>Средняя</x:v>
      </x:c>
      <x:c r="K445" s="28" t="str">
        <x:v>The Art &amp; Science of Foodpairing.pdf</x:v>
      </x:c>
      <x:c r="L445" s="28" t="str">
        <x:v>The Art &amp; Science of Foodpairing.pdf: 52</x:v>
      </x:c>
    </x:row>
    <x:row r="446" ht="66" customHeight="1">
      <x:c r="A446" s="28" t="str">
        <x:v>VEG-0785</x:v>
      </x:c>
      <x:c r="B446" s="28" t="str">
        <x:v>сельдерей корневой</x:v>
      </x:c>
      <x:c r="C446" s="28" t="str">
        <x:v>томатильо</x:v>
      </x:c>
      <x:c r="D446" s="28" t="str">
        <x:v>Плодовые и тыквенные овощи</x:v>
      </x:c>
      <x:c r="E446" s="28" t="str">
        <x:v>сенсорная комплементарность</x:v>
      </x:c>
      <x:c r="F446" s="28" t="str">
        <x:v>Сельдерей корневой имеет профиль «землистый, ореховый, сельдерейно-пряный и слегка грибной». Партнёр «томатильо»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4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6" s="28" t="str">
        <x:v>быстро окисляется после нарезки; избыток сельдерейных фталидов даёт аптечную ноту</x:v>
      </x:c>
      <x:c r="I446" s="28" t="str">
        <x:v>пюре, суп, запекание, крем, гарнир, соус или десертная разработка с томатильо</x:v>
      </x:c>
      <x:c r="J446" s="28" t="str">
        <x:v>Средняя</x:v>
      </x:c>
      <x:c r="K446" s="28" t="str">
        <x:v>The Art &amp; Science of Foodpairing.pdf</x:v>
      </x:c>
      <x:c r="L446" s="28" t="str">
        <x:v>The Art &amp; Science of Foodpairing.pdf: 52</x:v>
      </x:c>
    </x:row>
    <x:row r="447" ht="66" customHeight="1">
      <x:c r="A447" s="28" t="str">
        <x:v>VEG-0787</x:v>
      </x:c>
      <x:c r="B447" s="28" t="str">
        <x:v>сельдерей корневой</x:v>
      </x:c>
      <x:c r="C447" s="28" t="str">
        <x:v>хамон иберико</x:v>
      </x:c>
      <x:c r="D447" s="28" t="str">
        <x:v>Мясо и птица</x:v>
      </x:c>
      <x:c r="E447" s="28" t="str">
        <x:v>умами и солёный контраст</x:v>
      </x:c>
      <x:c r="F447" s="28" t="str">
        <x:v>Сельдерей корневой имеет профиль «землистый, ореховый, сельдерейно-пряный и слегка грибной».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7" s="28" t="str">
        <x:v>быстро окисляется после нарезки; избыток сельдерейных фталидов даёт аптечную ноту</x:v>
      </x:c>
      <x:c r="I447" s="28" t="str">
        <x:v>пюре, суп, запекание, крем, гарнир, соус или десертная разработка с хамон иберико</x:v>
      </x:c>
      <x:c r="J447" s="28" t="str">
        <x:v>Средняя</x:v>
      </x:c>
      <x:c r="K447" s="28" t="str">
        <x:v>The Art &amp; Science of Foodpairing.pdf</x:v>
      </x:c>
      <x:c r="L447" s="28" t="str">
        <x:v>The Art &amp; Science of Foodpairing.pdf: 278</x:v>
      </x:c>
    </x:row>
    <x:row r="448" ht="66" customHeight="1">
      <x:c r="A448" s="28" t="str">
        <x:v>VEG-0791</x:v>
      </x:c>
      <x:c r="B448" s="28" t="str">
        <x:v>сельдерей корневой</x:v>
      </x:c>
      <x:c r="C448" s="28" t="str">
        <x:v>черничный уксус</x:v>
      </x:c>
      <x:c r="D448" s="28" t="str">
        <x:v>Ферментированные продукты и соусы</x:v>
      </x:c>
      <x:c r="E448" s="28" t="str">
        <x:v>умами и солёный контраст</x:v>
      </x:c>
      <x:c r="F448" s="28" t="str">
        <x:v>Сельдерей корневой имеет профиль «землистый, ореховый, сельдерейно-пряный и слегка грибной». Партнёр «черничный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8" s="28" t="str">
        <x:v>быстро окисляется после нарезки; избыток сельдерейных фталидов даёт аптечную ноту</x:v>
      </x:c>
      <x:c r="I448" s="28" t="str">
        <x:v>пюре, суп, запекание, крем, гарнир, соус или десертная разработка с черничный уксус</x:v>
      </x:c>
      <x:c r="J448" s="28" t="str">
        <x:v>Средняя</x:v>
      </x:c>
      <x:c r="K448" s="28" t="str">
        <x:v>The Art &amp; Science of Foodpairing.pdf</x:v>
      </x:c>
      <x:c r="L448" s="28" t="str">
        <x:v>The Art &amp; Science of Foodpairing.pdf: 52</x:v>
      </x:c>
    </x:row>
    <x:row r="449" ht="66" customHeight="1">
      <x:c r="A449" s="28" t="str">
        <x:v>VEG-0792</x:v>
      </x:c>
      <x:c r="B449" s="28" t="str">
        <x:v>сельдерей корневой</x:v>
      </x:c>
      <x:c r="C449" s="28" t="str">
        <x:v>чеснок</x:v>
      </x:c>
      <x:c r="D449" s="28" t="str">
        <x:v>Луковые овощи</x:v>
      </x:c>
      <x:c r="E449" s="28" t="str">
        <x:v>сенсорная комплементарность</x:v>
      </x:c>
      <x:c r="F449" s="28" t="str">
        <x:v>Сельдерей корневой имеет профиль «землистый, ореховый, сельдерейно-пряный и слегка грибной». Партнёр «чеснок» относится к группе «Луковые овощи» и даёт резкий сернистый, зелёный и мясной; после запекания — сладкий и ореховый.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4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9" s="28" t="str">
        <x:v>быстро окисляется после нарезки; избыток сельдерейных фталидов даёт аптечную ноту</x:v>
      </x:c>
      <x:c r="I449" s="28" t="str">
        <x:v>пюре, суп, запекание, крем, гарнир, соус или десертная разработка с чеснок</x:v>
      </x:c>
      <x:c r="J449" s="28" t="str">
        <x:v>Средняя</x:v>
      </x:c>
      <x:c r="K449" s="28" t="str">
        <x:v>The Art &amp; Science of Foodpairing.pdf</x:v>
      </x:c>
      <x:c r="L449" s="28" t="str">
        <x:v>The Art &amp; Science of Foodpairing.pdf: 52</x:v>
      </x:c>
    </x:row>
    <x:row r="450" ht="66" customHeight="1">
      <x:c r="A450" s="28" t="str">
        <x:v>VEG-0796</x:v>
      </x:c>
      <x:c r="B450" s="28" t="str">
        <x:v>сельдерей корневой</x:v>
      </x:c>
      <x:c r="C450" s="28" t="str">
        <x:v>яичный желток</x:v>
      </x:c>
      <x:c r="D450" s="28" t="str">
        <x:v>Яйца</x:v>
      </x:c>
      <x:c r="E450" s="28" t="str">
        <x:v>сенсорная комплементарность</x:v>
      </x:c>
      <x:c r="F450" s="28" t="str">
        <x:v>Сельдерей корневой имеет профиль «землистый, ореховый, сельдерейно-пряный и слегка грибной». Партнёр «яичный желток» относится к группе «Яйца» и даёт сливочный,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5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50" s="28" t="str">
        <x:v>быстро окисляется после нарезки; избыток сельдерейных фталидов даёт аптечную ноту</x:v>
      </x:c>
      <x:c r="I450" s="28" t="str">
        <x:v>пюре, суп, запекание, крем, гарнир, соус или десертная разработка с яичный желток</x:v>
      </x:c>
      <x:c r="J450" s="28" t="str">
        <x:v>Средняя</x:v>
      </x:c>
      <x:c r="K450" s="28" t="str">
        <x:v>The Art &amp; Science of Foodpairing.pdf</x:v>
      </x:c>
      <x:c r="L450" s="28" t="str">
        <x:v>The Art &amp; Science of Foodpairing.pdf: 52</x:v>
      </x:c>
    </x:row>
    <x:row r="451" ht="66" customHeight="1">
      <x:c r="A451" s="28" t="str">
        <x:v>VEG-0802</x:v>
      </x:c>
      <x:c r="B451" s="28" t="str">
        <x:v>спаржа</x:v>
      </x:c>
      <x:c r="C451" s="28" t="str">
        <x:v>белая рыба</x:v>
      </x:c>
      <x:c r="D451" s="28" t="str">
        <x:v>Рыба и морепродукты</x:v>
      </x:c>
      <x:c r="E451" s="28" t="str">
        <x:v>умами и солёный контраст; сернистая или горчичная комплементарность</x:v>
      </x:c>
      <x:c r="F451" s="28" t="str">
        <x:v>Спаржа имеет профиль «зелёный, сернистый, ореховый и слегка сладкий».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1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1" s="28" t="str">
        <x:v>переваривание усиливает сернистость и разрушает текстуру; толстые основания очищать</x:v>
      </x:c>
      <x:c r="I451" s="28" t="str">
        <x:v>горячее блюдо, бульон, соус, пюре, ферментация или гарнир с белая рыба</x:v>
      </x:c>
      <x:c r="J451" s="28" t="str">
        <x:v>Средняя</x:v>
      </x:c>
      <x:c r="K451" s="28" t="str">
        <x:v>Тезариус вкусов (Ники Сегнит)(1).pdf</x:v>
      </x:c>
      <x:c r="L451" s="28" t="str">
        <x:v>Тезариус вкусов (Ники Сегнит)(1).pdf: 345, 389</x:v>
      </x:c>
    </x:row>
    <x:row r="452" ht="66" customHeight="1">
      <x:c r="A452" s="28" t="str">
        <x:v>VEG-0804</x:v>
      </x:c>
      <x:c r="B452" s="28" t="str">
        <x:v>спаржа</x:v>
      </x:c>
      <x:c r="C452" s="28" t="str">
        <x:v>горох</x:v>
      </x:c>
      <x:c r="D452" s="28" t="str">
        <x:v>Бобовые</x:v>
      </x:c>
      <x:c r="E452" s="28" t="str">
        <x:v>пересечение ароматических семейств; сернистая или горчичная комплементарность</x:v>
      </x:c>
      <x:c r="F452" s="28" t="str">
        <x:v>Спаржа имеет профиль «зелёный, сернистый, ореховый и слегка сладкий».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2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2" s="28" t="str">
        <x:v>переваривание усиливает сернистость и разрушает текстуру; толстые основания очищать</x:v>
      </x:c>
      <x:c r="I452" s="28" t="str">
        <x:v>горячее блюдо, бульон, соус, пюре, ферментация или гарнир с горох</x:v>
      </x:c>
      <x:c r="J452" s="28" t="str">
        <x:v>Средняя</x:v>
      </x:c>
      <x:c r="K452" s="28" t="str">
        <x:v>Тезариус вкусов (Ники Сегнит)(1).pdf</x:v>
      </x:c>
      <x:c r="L452" s="28" t="str">
        <x:v>Тезариус вкусов (Ники Сегнит)(1).pdf: 345, 541</x:v>
      </x:c>
    </x:row>
    <x:row r="453" ht="66" customHeight="1">
      <x:c r="A453" s="28" t="str">
        <x:v>VEG-0807</x:v>
      </x:c>
      <x:c r="B453" s="28" t="str">
        <x:v>спаржа</x:v>
      </x:c>
      <x:c r="C453" s="28" t="str">
        <x:v>жирная рыба</x:v>
      </x:c>
      <x:c r="D453" s="28" t="str">
        <x:v>Рыба и морепродукты</x:v>
      </x:c>
      <x:c r="E453" s="28" t="str">
        <x:v>умами и солёный контраст; сернистая или горчичная комплементарность</x:v>
      </x:c>
      <x:c r="F453" s="28" t="str">
        <x:v>Спаржа имеет профиль «зелёный, сернистый, ореховый и слегка сладкий».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3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3" s="28" t="str">
        <x:v>переваривание усиливает сернистость и разрушает текстуру; толстые основания очищать</x:v>
      </x:c>
      <x:c r="I453" s="28" t="str">
        <x:v>горячее блюдо, бульон, соус, пюре, ферментация или гарнир с жирная рыба</x:v>
      </x:c>
      <x:c r="J453" s="28" t="str">
        <x:v>Средняя</x:v>
      </x:c>
      <x:c r="K453" s="28" t="str">
        <x:v>Тезариус вкусов (Ники Сегнит)(1).pdf</x:v>
      </x:c>
      <x:c r="L453" s="28" t="str">
        <x:v>Тезариус вкусов (Ники Сегнит)(1).pdf: 346, 417</x:v>
      </x:c>
    </x:row>
    <x:row r="454" ht="66" customHeight="1">
      <x:c r="A454" s="28" t="str">
        <x:v>VEG-0813</x:v>
      </x:c>
      <x:c r="B454" s="28" t="str">
        <x:v>спаржа</x:v>
      </x:c>
      <x:c r="C454" s="28" t="str">
        <x:v>моллюски</x:v>
      </x:c>
      <x:c r="D454" s="28" t="str">
        <x:v>Рыба и морепродукты</x:v>
      </x:c>
      <x:c r="E454" s="28" t="str">
        <x:v>умами и солёный контраст; сернистая или горчичная комплементарность</x:v>
      </x:c>
      <x:c r="F454" s="28" t="str">
        <x:v>Спаржа имеет профиль «зелёный, сернистый, ореховый и слегка сладкий».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4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4" s="28" t="str">
        <x:v>переваривание усиливает сернистость и разрушает текстуру; толстые основания очищать</x:v>
      </x:c>
      <x:c r="I454" s="28" t="str">
        <x:v>горячее блюдо, бульон, соус, пюре, ферментация или гарнир с моллюски</x:v>
      </x:c>
      <x:c r="J454" s="28" t="str">
        <x:v>Средняя</x:v>
      </x:c>
      <x:c r="K454" s="28" t="str">
        <x:v>Тезариус вкусов (Ники Сегнит)(1).pdf</x:v>
      </x:c>
      <x:c r="L454" s="28" t="str">
        <x:v>Тезариус вкусов (Ники Сегнит)(1).pdf: 347, 375</x:v>
      </x:c>
    </x:row>
    <x:row r="455" ht="66" customHeight="1">
      <x:c r="A455" s="28" t="str">
        <x:v>VEG-0816</x:v>
      </x:c>
      <x:c r="B455" s="28" t="str">
        <x:v>спаржа</x:v>
      </x:c>
      <x:c r="C455" s="28" t="str">
        <x:v>прошутто</x:v>
      </x:c>
      <x:c r="D455" s="28" t="str">
        <x:v>Мясо и птица</x:v>
      </x:c>
      <x:c r="E455" s="28" t="str">
        <x:v>общие характерные молекулы; умами и солёный контраст; сернистая или горчичная комплементарность</x:v>
      </x:c>
      <x:c r="F455" s="28" t="str">
        <x:v>Спаржа имеет профиль «зелёный, сернистый, ореховый и слегка сладкий». Партнёр «прошутто»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5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5" s="28" t="str">
        <x:v>переваривание усиливает сернистость и разрушает текстуру; толстые основания очищать</x:v>
      </x:c>
      <x:c r="I455" s="28" t="str">
        <x:v>горячее блюдо, бульон, соус, пюре, ферментация или гарнир с прошутто</x:v>
      </x:c>
      <x:c r="J455" s="28" t="str">
        <x:v>Средняя</x:v>
      </x:c>
      <x:c r="K455" s="28" t="str">
        <x:v>Тезариус вкусов (Ники Сегнит)(1).pdf</x:v>
      </x:c>
      <x:c r="L455" s="28" t="str">
        <x:v>Тезариус вкусов (Ники Сегнит)(1).pdf: 347, 460</x:v>
      </x:c>
    </x:row>
    <x:row r="456" ht="66" customHeight="1">
      <x:c r="A456" s="28" t="str">
        <x:v>VEG-0818</x:v>
      </x:c>
      <x:c r="B456" s="28" t="str">
        <x:v>спаржа</x:v>
      </x:c>
      <x:c r="C456" s="28" t="str">
        <x:v>трюфель</x:v>
      </x:c>
      <x:c r="D456" s="28" t="str">
        <x:v>Грибы</x:v>
      </x:c>
      <x:c r="E456" s="28" t="str">
        <x:v>умами и солёный контраст; сернистая или горчичная комплементарность</x:v>
      </x:c>
      <x:c r="F456" s="28" t="str">
        <x:v>Спаржа имеет профиль «зелёный, сернистый, ореховый и слегка сладкий».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6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6" s="28" t="str">
        <x:v>переваривание усиливает сернистость и разрушает текстуру; толстые основания очищать</x:v>
      </x:c>
      <x:c r="I456" s="28" t="str">
        <x:v>горячее блюдо, бульон, соус, пюре, ферментация или гарнир с трюфель</x:v>
      </x:c>
      <x:c r="J456" s="28" t="str">
        <x:v>Средняя</x:v>
      </x:c>
      <x:c r="K456" s="28" t="str">
        <x:v>Тезариус вкусов (Ники Сегнит)(1).pdf</x:v>
      </x:c>
      <x:c r="L456" s="28" t="str">
        <x:v>Тезариус вкусов (Ники Сегнит)(1).pdf: 306, 347</x:v>
      </x:c>
    </x:row>
    <x:row r="457" ht="66" customHeight="1">
      <x:c r="A457" s="28" t="str">
        <x:v>VEG-0825</x:v>
      </x:c>
      <x:c r="B457" s="28" t="str">
        <x:v>томат</x:v>
      </x:c>
      <x:c r="C457" s="28" t="str">
        <x:v>анчоусы</x:v>
      </x:c>
      <x:c r="D457" s="28" t="str">
        <x:v>Рыба и морепродукты</x:v>
      </x:c>
      <x:c r="E457" s="28" t="str">
        <x:v>пересечение ароматических семейств; умами и солёный контраст</x:v>
      </x:c>
      <x:c r="F457" s="28" t="str">
        <x:v>Томат имеет профиль «зелёный, фруктовый, листовой, сернистый и умами». Партнёр «анчоусы»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5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57" s="28" t="str">
        <x:v>незрелые плоды слишком зелёные; длительное кипячение стирает свежесть; кислота влияет на молочные эмульсии</x:v>
      </x:c>
      <x:c r="I457" s="28" t="str">
        <x:v>сок, кордиал, гаспачо, салат, соус, маринад или коктейльный компонент с анчоусы</x:v>
      </x:c>
      <x:c r="J457" s="28" t="str">
        <x:v>Средняя</x:v>
      </x:c>
      <x:c r="K457" s="28" t="str">
        <x:v>Тезариус вкусов (Ники Сегнит)(1).pdf</x:v>
      </x:c>
      <x:c r="L457" s="28" t="str">
        <x:v>Тезариус вкусов (Ники Сегнит)(1).pdf: 430, 680</x:v>
      </x:c>
    </x:row>
    <x:row r="458" ht="66" customHeight="1">
      <x:c r="A458" s="28" t="str">
        <x:v>VEG-0830</x:v>
      </x:c>
      <x:c r="B458" s="28" t="str">
        <x:v>томат</x:v>
      </x:c>
      <x:c r="C458" s="28" t="str">
        <x:v>баранина</x:v>
      </x:c>
      <x:c r="D458" s="28" t="str">
        <x:v>Мясо и птица</x:v>
      </x:c>
      <x:c r="E458" s="28" t="str">
        <x:v>пересечение ароматических семейств; умами и солёный контраст</x:v>
      </x:c>
      <x:c r="F458" s="28" t="str">
        <x:v>Томат имеет профиль «зелёный, фруктовый, листовой, сернистый и умами». Партнёр «баранина»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5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58" s="28" t="str">
        <x:v>незрелые плоды слишком зелёные; длительное кипячение стирает свежесть; кислота влияет на молочные эмульсии</x:v>
      </x:c>
      <x:c r="I458" s="28" t="str">
        <x:v>сок, кордиал, гаспачо, салат, соус, маринад или коктейльный компонент с баранина</x:v>
      </x:c>
      <x:c r="J458" s="28" t="str">
        <x:v>Высокая</x:v>
      </x:c>
      <x:c r="K458" s="28" t="str">
        <x:v>The Art &amp; Science of Foodpairing.pdf | Тезариус вкусов (Ники Сегнит)(1).pdf</x:v>
      </x:c>
      <x:c r="L458" s="28" t="str">
        <x:v>Тезариус вкусов (Ники Сегнит)(1).pdf: 133, 681; The Art &amp; Science of Foodpairing.pdf: 161</x:v>
      </x:c>
    </x:row>
    <x:row r="459" ht="66" customHeight="1">
      <x:c r="A459" s="28" t="str">
        <x:v>VEG-0831</x:v>
      </x:c>
      <x:c r="B459" s="28" t="str">
        <x:v>томат</x:v>
      </x:c>
      <x:c r="C459" s="28" t="str">
        <x:v>бекон</x:v>
      </x:c>
      <x:c r="D459" s="28" t="str">
        <x:v>Мясо и птица</x:v>
      </x:c>
      <x:c r="E459" s="28" t="str">
        <x:v>пересечение ароматических семейств; умами и солёный контраст</x:v>
      </x:c>
      <x:c r="F459" s="28" t="str">
        <x:v>Томат имеет профиль «зелёный, фруктовый, листовой, сернистый и умами». Партнёр «бекон» относится к группе «Мясо и птица» и даёт дымный, жареный,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5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59" s="28" t="str">
        <x:v>незрелые плоды слишком зелёные; длительное кипячение стирает свежесть; кислота влияет на молочные эмульсии</x:v>
      </x:c>
      <x:c r="I459" s="28" t="str">
        <x:v>сок, кордиал, гаспачо, салат, соус, маринад или коктейльный компонент с бекон</x:v>
      </x:c>
      <x:c r="J459" s="28" t="str">
        <x:v>Высокая</x:v>
      </x:c>
      <x:c r="K459" s="28" t="str">
        <x:v>The Art &amp; Science of Foodpairing.pdf | Тезариус вкусов (Ники Сегнит)(1).pdf</x:v>
      </x:c>
      <x:c r="L459" s="28" t="str">
        <x:v>Тезариус вкусов (Ники Сегнит)(1).pdf: 449, 682; The Art &amp; Science of Foodpairing.pdf: 161</x:v>
      </x:c>
    </x:row>
    <x:row r="460" ht="66" customHeight="1">
      <x:c r="A460" s="28" t="str">
        <x:v>VEG-0832</x:v>
      </x:c>
      <x:c r="B460" s="28" t="str">
        <x:v>томат</x:v>
      </x:c>
      <x:c r="C460" s="28" t="str">
        <x:v>белая рыба</x:v>
      </x:c>
      <x:c r="D460" s="28" t="str">
        <x:v>Рыба и морепродукты</x:v>
      </x:c>
      <x:c r="E460" s="28" t="str">
        <x:v>пересечение ароматических семейств; умами и солёный контраст</x:v>
      </x:c>
      <x:c r="F460" s="28" t="str">
        <x:v>Томат имеет профиль «зелёный, фруктовый, листовой, сернистый и умами».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0" s="28" t="str">
        <x:v>незрелые плоды слишком зелёные; длительное кипячение стирает свежесть; кислота влияет на молочные эмульсии</x:v>
      </x:c>
      <x:c r="I460" s="28" t="str">
        <x:v>сок, кордиал, гаспачо, салат, соус, маринад или коктейльный компонент с белая рыба</x:v>
      </x:c>
      <x:c r="J460" s="28" t="str">
        <x:v>Средняя</x:v>
      </x:c>
      <x:c r="K460" s="28" t="str">
        <x:v>Тезариус вкусов (Ники Сегнит)(1).pdf</x:v>
      </x:c>
      <x:c r="L460" s="28" t="str">
        <x:v>Тезариус вкусов (Ники Сегнит)(1).pdf: 391, 684</x:v>
      </x:c>
    </x:row>
    <x:row r="461" ht="66" customHeight="1">
      <x:c r="A461" s="28" t="str">
        <x:v>VEG-0834</x:v>
      </x:c>
      <x:c r="B461" s="28" t="str">
        <x:v>томат</x:v>
      </x:c>
      <x:c r="C461" s="28" t="str">
        <x:v>бобы</x:v>
      </x:c>
      <x:c r="D461" s="28" t="str">
        <x:v>Бобовые</x:v>
      </x:c>
      <x:c r="E461" s="28" t="str">
        <x:v>пересечение ароматических семейств</x:v>
      </x:c>
      <x:c r="F461" s="28" t="str">
        <x:v>Томат имеет профиль «зелёный, фруктовый, листовой, сернистый и умами». Партнёр «бобы» относится к группе «Бобовые» и даёт зелёный, бобовый и крахмалистый.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46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1" s="28" t="str">
        <x:v>незрелые плоды слишком зелёные; длительное кипячение стирает свежесть; кислота влияет на молочные эмульсии</x:v>
      </x:c>
      <x:c r="I461" s="28" t="str">
        <x:v>сок, кордиал, гаспачо, салат, соус, маринад или коктейльный компонент с бобы</x:v>
      </x:c>
      <x:c r="J461" s="28" t="str">
        <x:v>Средняя</x:v>
      </x:c>
      <x:c r="K461" s="28" t="str">
        <x:v>The Art &amp; Science of Foodpairing.pdf</x:v>
      </x:c>
      <x:c r="L461" s="28" t="str">
        <x:v>The Art &amp; Science of Foodpairing.pdf: 161</x:v>
      </x:c>
    </x:row>
    <x:row r="462" ht="66" customHeight="1">
      <x:c r="A462" s="28" t="str">
        <x:v>VEG-0839</x:v>
      </x:c>
      <x:c r="B462" s="28" t="str">
        <x:v>томат</x:v>
      </x:c>
      <x:c r="C462" s="28" t="str">
        <x:v>говядина</x:v>
      </x:c>
      <x:c r="D462" s="28" t="str">
        <x:v>Мясо и птица</x:v>
      </x:c>
      <x:c r="E462" s="28" t="str">
        <x:v>пересечение ароматических семейств; умами и солёный контраст</x:v>
      </x:c>
      <x:c r="F462" s="28" t="str">
        <x:v>Томат имеет профиль «зелёный, фруктовый, листовой, сернистый и умами». Партнёр «говядина»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2" s="28" t="str">
        <x:v>незрелые плоды слишком зелёные; длительное кипячение стирает свежесть; кислота влияет на молочные эмульсии</x:v>
      </x:c>
      <x:c r="I462" s="28" t="str">
        <x:v>сок, кордиал, гаспачо, салат, соус, маринад или коктейльный компонент с говядина</x:v>
      </x:c>
      <x:c r="J462" s="28" t="str">
        <x:v>Средняя</x:v>
      </x:c>
      <x:c r="K462" s="28" t="str">
        <x:v>Тезариус вкусов (Ники Сегнит)(1).pdf</x:v>
      </x:c>
      <x:c r="L462" s="28" t="str">
        <x:v>Тезариус вкусов (Ники Сегнит)(1).pdf: 118, 685</x:v>
      </x:c>
    </x:row>
    <x:row r="463" ht="66" customHeight="1">
      <x:c r="A463" s="28" t="str">
        <x:v>VEG-0840</x:v>
      </x:c>
      <x:c r="B463" s="28" t="str">
        <x:v>томат</x:v>
      </x:c>
      <x:c r="C463" s="28" t="str">
        <x:v>говядина сухой выдержки</x:v>
      </x:c>
      <x:c r="D463" s="28" t="str">
        <x:v>Мясо и птица</x:v>
      </x:c>
      <x:c r="E463" s="28" t="str">
        <x:v>пересечение ароматических семейств; умами и солёный контраст</x:v>
      </x:c>
      <x:c r="F463" s="28" t="str">
        <x:v>Томат имеет профиль «зелёный, фруктовый, листовой, сернистый и умами». Партнёр «говядина сухой выдержки»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3" s="28" t="str">
        <x:v>незрелые плоды слишком зелёные; длительное кипячение стирает свежесть; кислота влияет на молочные эмульсии</x:v>
      </x:c>
      <x:c r="I463" s="28" t="str">
        <x:v>сок, кордиал, гаспачо, салат, соус, маринад или коктейльный компонент с говядина сухой выдержки</x:v>
      </x:c>
      <x:c r="J463" s="28" t="str">
        <x:v>Средняя</x:v>
      </x:c>
      <x:c r="K463" s="28" t="str">
        <x:v>The Art &amp; Science of Foodpairing.pdf</x:v>
      </x:c>
      <x:c r="L463" s="28" t="str">
        <x:v>The Art &amp; Science of Foodpairing.pdf: 161</x:v>
      </x:c>
    </x:row>
    <x:row r="464" ht="66" customHeight="1">
      <x:c r="A464" s="28" t="str">
        <x:v>VEG-0846</x:v>
      </x:c>
      <x:c r="B464" s="28" t="str">
        <x:v>томат</x:v>
      </x:c>
      <x:c r="C464" s="28" t="str">
        <x:v>йогурт</x:v>
      </x:c>
      <x:c r="D464" s="28" t="str">
        <x:v>Плодовые и тыквенные овощи</x:v>
      </x:c>
      <x:c r="E464" s="28" t="str">
        <x:v>пересечение ароматических семейств</x:v>
      </x:c>
      <x:c r="F464" s="28" t="str">
        <x:v>Томат имеет профиль «зелёный, фруктовый, листовой, сернистый и умами». Партнёр «йогурт»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G46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4" s="28" t="str">
        <x:v>незрелые плоды слишком зелёные; длительное кипячение стирает свежесть; кислота влияет на молочные эмульсии</x:v>
      </x:c>
      <x:c r="I464" s="28" t="str">
        <x:v>сок, кордиал, гаспачо, салат, соус, маринад или коктейльный компонент с йогурт</x:v>
      </x:c>
      <x:c r="J464" s="28" t="str">
        <x:v>Средняя</x:v>
      </x:c>
      <x:c r="K464" s="28" t="str">
        <x:v>The Art &amp; Science of Foodpairing.pdf</x:v>
      </x:c>
      <x:c r="L464" s="28" t="str">
        <x:v>The Art &amp; Science of Foodpairing.pdf: 161</x:v>
      </x:c>
    </x:row>
    <x:row r="465" ht="66" customHeight="1">
      <x:c r="A465" s="28" t="str">
        <x:v>VEG-0850</x:v>
      </x:c>
      <x:c r="B465" s="28" t="str">
        <x:v>томат</x:v>
      </x:c>
      <x:c r="C465" s="28" t="str">
        <x:v>кефаль</x:v>
      </x:c>
      <x:c r="D465" s="28" t="str">
        <x:v>Рыба и морепродукты</x:v>
      </x:c>
      <x:c r="E465" s="28" t="str">
        <x:v>пересечение ароматических семейств; умами и солёный контраст</x:v>
      </x:c>
      <x:c r="F465" s="28" t="str">
        <x:v>Томат имеет профиль «зелёный, фруктовый, листовой, сернистый и умами». Партнёр «кефаль»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5" s="28" t="str">
        <x:v>незрелые плоды слишком зелёные; длительное кипячение стирает свежесть; кислота влияет на молочные эмульсии</x:v>
      </x:c>
      <x:c r="I465" s="28" t="str">
        <x:v>сок, кордиал, гаспачо, салат, соус, маринад или коктейльный компонент с кефаль</x:v>
      </x:c>
      <x:c r="J465" s="28" t="str">
        <x:v>Высокая</x:v>
      </x:c>
      <x:c r="K465" s="28" t="str">
        <x:v>The Art &amp; Science of Foodpairing.pdf</x:v>
      </x:c>
      <x:c r="L465" s="28" t="str">
        <x:v>The Art &amp; Science of Foodpairing.pdf: 70</x:v>
      </x:c>
    </x:row>
    <x:row r="466" ht="66" customHeight="1">
      <x:c r="A466" s="28" t="str">
        <x:v>VEG-0857</x:v>
      </x:c>
      <x:c r="B466" s="28" t="str">
        <x:v>томат</x:v>
      </x:c>
      <x:c r="C466" s="28" t="str">
        <x:v>краб</x:v>
      </x:c>
      <x:c r="D466" s="28" t="str">
        <x:v>Рыба и морепродукты</x:v>
      </x:c>
      <x:c r="E466" s="28" t="str">
        <x:v>пересечение ароматических семейств; умами и солёный контраст</x:v>
      </x:c>
      <x:c r="F466" s="28" t="str">
        <x:v>Томат имеет профиль «зелёный, фруктовый, листовой, сернистый и умами». Партнёр «краб»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6" s="28" t="str">
        <x:v>незрелые плоды слишком зелёные; длительное кипячение стирает свежесть; кислота влияет на молочные эмульсии</x:v>
      </x:c>
      <x:c r="I466" s="28" t="str">
        <x:v>сок, кордиал, гаспачо, салат, соус, маринад или коктейльный компонент с краб</x:v>
      </x:c>
      <x:c r="J466" s="28" t="str">
        <x:v>Средняя</x:v>
      </x:c>
      <x:c r="K466" s="28" t="str">
        <x:v>The Art &amp; Science of Foodpairing.pdf</x:v>
      </x:c>
      <x:c r="L466" s="28" t="str">
        <x:v>The Art &amp; Science of Foodpairing.pdf: 161</x:v>
      </x:c>
    </x:row>
    <x:row r="467" ht="66" customHeight="1">
      <x:c r="A467" s="28" t="str">
        <x:v>VEG-0858</x:v>
      </x:c>
      <x:c r="B467" s="28" t="str">
        <x:v>томат</x:v>
      </x:c>
      <x:c r="C467" s="28" t="str">
        <x:v>курица</x:v>
      </x:c>
      <x:c r="D467" s="28" t="str">
        <x:v>Мясо и птица</x:v>
      </x:c>
      <x:c r="E467" s="28" t="str">
        <x:v>пересечение ароматических семейств; умами и солёный контраст</x:v>
      </x:c>
      <x:c r="F467" s="28" t="str">
        <x:v>Томат имеет профиль «зелёный, фруктовый, листовой, сернистый и умами». Партнёр «курица»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7" s="28" t="str">
        <x:v>незрелые плоды слишком зелёные; длительное кипячение стирает свежесть; кислота влияет на молочные эмульсии</x:v>
      </x:c>
      <x:c r="I467" s="28" t="str">
        <x:v>сок, кордиал, гаспачо, салат, соус, маринад или коктейльный компонент с курица</x:v>
      </x:c>
      <x:c r="J467" s="28" t="str">
        <x:v>Средняя</x:v>
      </x:c>
      <x:c r="K467" s="28" t="str">
        <x:v>The Art &amp; Science of Foodpairing.pdf</x:v>
      </x:c>
      <x:c r="L467" s="28" t="str">
        <x:v>The Art &amp; Science of Foodpairing.pdf: 161</x:v>
      </x:c>
    </x:row>
    <x:row r="468" ht="66" customHeight="1">
      <x:c r="A468" s="28" t="str">
        <x:v>VEG-0867</x:v>
      </x:c>
      <x:c r="B468" s="28" t="str">
        <x:v>томат</x:v>
      </x:c>
      <x:c r="C468" s="28" t="str">
        <x:v>моллюски</x:v>
      </x:c>
      <x:c r="D468" s="28" t="str">
        <x:v>Рыба и морепродукты</x:v>
      </x:c>
      <x:c r="E468" s="28" t="str">
        <x:v>пересечение ароматических семейств; умами и солёный контраст</x:v>
      </x:c>
      <x:c r="F468" s="28" t="str">
        <x:v>Томат имеет профиль «зелёный, фруктовый, листовой, сернистый и умами».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8" s="28" t="str">
        <x:v>незрелые плоды слишком зелёные; длительное кипячение стирает свежесть; кислота влияет на молочные эмульсии</x:v>
      </x:c>
      <x:c r="I468" s="28" t="str">
        <x:v>сок, кордиал, гаспачо, салат, соус, маринад или коктейльный компонент с моллюски</x:v>
      </x:c>
      <x:c r="J468" s="28" t="str">
        <x:v>Средняя</x:v>
      </x:c>
      <x:c r="K468" s="28" t="str">
        <x:v>Тезариус вкусов (Ники Сегнит)(1).pdf</x:v>
      </x:c>
      <x:c r="L468" s="28" t="str">
        <x:v>Тезариус вкусов (Ники Сегнит)(1).pdf: 377, 687</x:v>
      </x:c>
    </x:row>
    <x:row r="469" ht="66" customHeight="1">
      <x:c r="A469" s="28" t="str">
        <x:v>VEG-0872</x:v>
      </x:c>
      <x:c r="B469" s="28" t="str">
        <x:v>томат</x:v>
      </x:c>
      <x:c r="C469" s="28" t="str">
        <x:v>мускатный орех</x:v>
      </x:c>
      <x:c r="D469" s="28" t="str">
        <x:v>Рыба и морепродукты</x:v>
      </x:c>
      <x:c r="E469" s="28" t="str">
        <x:v>умами и солёный контраст</x:v>
      </x:c>
      <x:c r="F469" s="28" t="str">
        <x:v>Томат имеет профиль «зелёный, фруктовый, листовой, сернистый и умами».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6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9" s="28" t="str">
        <x:v>незрелые плоды слишком зелёные; длительное кипячение стирает свежесть; кислота влияет на молочные эмульсии</x:v>
      </x:c>
      <x:c r="I469" s="28" t="str">
        <x:v>сок, кордиал, гаспачо, салат, соус, маринад или коктейльный компонент с мускатный орех</x:v>
      </x:c>
      <x:c r="J469" s="28" t="str">
        <x:v>Средняя</x:v>
      </x:c>
      <x:c r="K469" s="28" t="str">
        <x:v>Тезариус вкусов (Ники Сегнит)(1).pdf</x:v>
      </x:c>
      <x:c r="L469" s="28" t="str">
        <x:v>Тезариус вкусов (Ники Сегнит)(1).pdf: 590, 688</x:v>
      </x:c>
    </x:row>
    <x:row r="470" ht="66" customHeight="1">
      <x:c r="A470" s="28" t="str">
        <x:v>VEG-0874</x:v>
      </x:c>
      <x:c r="B470" s="28" t="str">
        <x:v>томат</x:v>
      </x:c>
      <x:c r="C470" s="28" t="str">
        <x:v>мясо</x:v>
      </x:c>
      <x:c r="D470" s="28" t="str">
        <x:v>Мясо и птица</x:v>
      </x:c>
      <x:c r="E470" s="28" t="str">
        <x:v>пересечение ароматических семейств; умами и солёный контраст</x:v>
      </x:c>
      <x:c r="F470" s="28" t="str">
        <x:v>Томат имеет профиль «зелёный, фруктовый, листовой, сернистый и умами». Партнёр «мясо» относится к группе «Мясо и птица» и даёт жареный, жирный,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0" s="28" t="str">
        <x:v>незрелые плоды слишком зелёные; длительное кипячение стирает свежесть; кислота влияет на молочные эмульсии</x:v>
      </x:c>
      <x:c r="I470" s="28" t="str">
        <x:v>сок, кордиал, гаспачо, салат, соус, маринад или коктейльный компонент с мясо</x:v>
      </x:c>
      <x:c r="J470" s="28" t="str">
        <x:v>Средняя</x:v>
      </x:c>
      <x:c r="K470" s="28" t="str">
        <x:v>The Art &amp; Science of Foodpairing.pdf</x:v>
      </x:c>
      <x:c r="L470" s="28" t="str">
        <x:v>The Art &amp; Science of Foodpairing.pdf: 186</x:v>
      </x:c>
    </x:row>
    <x:row r="471" ht="66" customHeight="1">
      <x:c r="A471" s="28" t="str">
        <x:v>VEG-0885</x:v>
      </x:c>
      <x:c r="B471" s="28" t="str">
        <x:v>томат</x:v>
      </x:c>
      <x:c r="C471" s="28" t="str">
        <x:v>прошутто</x:v>
      </x:c>
      <x:c r="D471" s="28" t="str">
        <x:v>Мясо и птица</x:v>
      </x:c>
      <x:c r="E471" s="28" t="str">
        <x:v>пересечение ароматических семейств; умами и солёный контраст</x:v>
      </x:c>
      <x:c r="F471" s="28" t="str">
        <x:v>Томат имеет профиль «зелёный, фруктовый, листовой, сернистый и умами». Партнёр «прошутто»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1" s="28" t="str">
        <x:v>незрелые плоды слишком зелёные; длительное кипячение стирает свежесть; кислота влияет на молочные эмульсии</x:v>
      </x:c>
      <x:c r="I471" s="28" t="str">
        <x:v>сок, кордиал, гаспачо, салат, соус, маринад или коктейльный компонент с прошутто</x:v>
      </x:c>
      <x:c r="J471" s="28" t="str">
        <x:v>Средняя</x:v>
      </x:c>
      <x:c r="K471" s="28" t="str">
        <x:v>Тезариус вкусов (Ники Сегнит)(1).pdf</x:v>
      </x:c>
      <x:c r="L471" s="28" t="str">
        <x:v>Тезариус вкусов (Ники Сегнит)(1).pdf: 460, 689</x:v>
      </x:c>
    </x:row>
    <x:row r="472" ht="66" customHeight="1">
      <x:c r="A472" s="28" t="str">
        <x:v>VEG-0888</x:v>
      </x:c>
      <x:c r="B472" s="28" t="str">
        <x:v>томат</x:v>
      </x:c>
      <x:c r="C472" s="28" t="str">
        <x:v>свинина</x:v>
      </x:c>
      <x:c r="D472" s="28" t="str">
        <x:v>Мясо и птица</x:v>
      </x:c>
      <x:c r="E472" s="28" t="str">
        <x:v>пересечение ароматических семейств; умами и солёный контраст</x:v>
      </x:c>
      <x:c r="F472" s="28" t="str">
        <x:v>Томат имеет профиль «зелёный, фруктовый, листовой, сернистый и умами». Партнёр «свинина»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2" s="28" t="str">
        <x:v>незрелые плоды слишком зелёные; длительное кипячение стирает свежесть; кислота влияет на молочные эмульсии</x:v>
      </x:c>
      <x:c r="I472" s="28" t="str">
        <x:v>сок, кордиал, гаспачо, салат, соус, маринад или коктейльный компонент с свинина</x:v>
      </x:c>
      <x:c r="J472" s="28" t="str">
        <x:v>Средняя</x:v>
      </x:c>
      <x:c r="K472" s="28" t="str">
        <x:v>Тезариус вкусов (Ники Сегнит)(1).pdf</x:v>
      </x:c>
      <x:c r="L472" s="28" t="str">
        <x:v>Тезариус вкусов (Ники Сегнит)(1).pdf: 87, 689</x:v>
      </x:c>
    </x:row>
    <x:row r="473" ht="66" customHeight="1">
      <x:c r="A473" s="28" t="str">
        <x:v>VEG-0889</x:v>
      </x:c>
      <x:c r="B473" s="28" t="str">
        <x:v>томат</x:v>
      </x:c>
      <x:c r="C473" s="28" t="str">
        <x:v>сибас</x:v>
      </x:c>
      <x:c r="D473" s="28" t="str">
        <x:v>Рыба и морепродукты</x:v>
      </x:c>
      <x:c r="E473" s="28" t="str">
        <x:v>пересечение ароматических семейств; умами и солёный контраст</x:v>
      </x:c>
      <x:c r="F473" s="28" t="str">
        <x:v>Томат имеет профиль «зелёный, фруктовый, листовой, сернистый и умами». Партнёр «сибас»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3" s="28" t="str">
        <x:v>незрелые плоды слишком зелёные; длительное кипячение стирает свежесть; кислота влияет на молочные эмульсии</x:v>
      </x:c>
      <x:c r="I473" s="28" t="str">
        <x:v>сок, кордиал, гаспачо, салат, соус, маринад или коктейльный компонент с сибас</x:v>
      </x:c>
      <x:c r="J473" s="28" t="str">
        <x:v>Средняя</x:v>
      </x:c>
      <x:c r="K473" s="28" t="str">
        <x:v>The Art &amp; Science of Foodpairing.pdf</x:v>
      </x:c>
      <x:c r="L473" s="28" t="str">
        <x:v>The Art &amp; Science of Foodpairing.pdf: 161</x:v>
      </x:c>
    </x:row>
    <x:row r="474" ht="66" customHeight="1">
      <x:c r="A474" s="28" t="str">
        <x:v>VEG-0898</x:v>
      </x:c>
      <x:c r="B474" s="28" t="str">
        <x:v>томат</x:v>
      </x:c>
      <x:c r="C474" s="28" t="str">
        <x:v>томатный сок</x:v>
      </x:c>
      <x:c r="D474" s="28" t="str">
        <x:v>Плодовые и тыквенные овощи</x:v>
      </x:c>
      <x:c r="E474" s="28" t="str">
        <x:v>пересечение ароматических семейств</x:v>
      </x:c>
      <x:c r="F474" s="28" t="str">
        <x:v>Томат имеет профиль «зелёный, фруктовый, листовой, сернистый и умами». Партнёр «томатный сок»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G47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4" s="28" t="str">
        <x:v>незрелые плоды слишком зелёные; длительное кипячение стирает свежесть; кислота влияет на молочные эмульсии</x:v>
      </x:c>
      <x:c r="I474" s="28" t="str">
        <x:v>сок, кордиал, гаспачо, салат, соус, маринад или коктейльный компонент с томатный сок</x:v>
      </x:c>
      <x:c r="J474" s="28" t="str">
        <x:v>Средняя</x:v>
      </x:c>
      <x:c r="K474" s="28" t="str">
        <x:v>The Art &amp; Science of Foodpairing.pdf</x:v>
      </x:c>
      <x:c r="L474" s="28" t="str">
        <x:v>The Art &amp; Science of Foodpairing.pdf: 161</x:v>
      </x:c>
    </x:row>
    <x:row r="475" ht="66" customHeight="1">
      <x:c r="A475" s="28" t="str">
        <x:v>VEG-0929</x:v>
      </x:c>
      <x:c r="B475" s="28" t="str">
        <x:v>тыква</x:v>
      </x:c>
      <x:c r="C475" s="28" t="str">
        <x:v>мускатный орех</x:v>
      </x:c>
      <x:c r="D475" s="28" t="str">
        <x:v>Рыба и морепродукты</x:v>
      </x:c>
      <x:c r="E475" s="28" t="str">
        <x:v>пересечение ароматических семейств; умами и солёный контраст</x:v>
      </x:c>
      <x:c r="F475" s="28" t="str">
        <x:v>Тыква имеет профиль «сладкий, крахмалистый, ореховый и слегка цветочный».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75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475" s="28" t="str">
        <x:v>водянистые сорта размывают вкус; сильная сладость требует кислоты, соли или горечи</x:v>
      </x:c>
      <x:c r="I475" s="28" t="str">
        <x:v>пюре, суп, запекание, крем, гарнир, соус или десертная разработка с мускатный орех</x:v>
      </x:c>
      <x:c r="J475" s="28" t="str">
        <x:v>Гипотеза / практическая</x:v>
      </x:c>
      <x:c r="K475" s="28" t="str">
        <x:v>Таблица сочетания(1).pdf</x:v>
      </x:c>
      <x:c r="L475" s="28" t="str">
        <x:v>Таблица сочетания(1).pdf: 18</x:v>
      </x:c>
    </x:row>
    <x:row r="476" ht="66" customHeight="1">
      <x:c r="A476" s="28" t="str">
        <x:v>VEG-0930</x:v>
      </x:c>
      <x:c r="B476" s="28" t="str">
        <x:v>тыква</x:v>
      </x:c>
      <x:c r="C476" s="28" t="str">
        <x:v>мясо</x:v>
      </x:c>
      <x:c r="D476" s="28" t="str">
        <x:v>Мясо и птица</x:v>
      </x:c>
      <x:c r="E476" s="28" t="str">
        <x:v>общие характерные молекулы; умами и солёный контраст</x:v>
      </x:c>
      <x:c r="F476" s="28" t="str">
        <x:v>Тыква имеет профиль «сладкий, крахмалистый, ореховый и слегка цветочный».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76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476" s="28" t="str">
        <x:v>водянистые сорта размывают вкус; сильная сладость требует кислоты, соли или горечи</x:v>
      </x:c>
      <x:c r="I476" s="28" t="str">
        <x:v>пюре, суп, запекание, крем, гарнир, соус или десертная разработка с мясо</x:v>
      </x:c>
      <x:c r="J476" s="28" t="str">
        <x:v>Средняя</x:v>
      </x:c>
      <x:c r="K476" s="28" t="str">
        <x:v>The Art &amp; Science of Foodpairing.pdf</x:v>
      </x:c>
      <x:c r="L476" s="28" t="str">
        <x:v>The Art &amp; Science of Foodpairing.pdf: 186</x:v>
      </x:c>
    </x:row>
    <x:row r="477" ht="66" customHeight="1">
      <x:c r="A477" s="28" t="str">
        <x:v>VEG-0933</x:v>
      </x:c>
      <x:c r="B477" s="28" t="str">
        <x:v>тыква</x:v>
      </x:c>
      <x:c r="C477" s="28" t="str">
        <x:v>рыба</x:v>
      </x:c>
      <x:c r="D477" s="28" t="str">
        <x:v>Рыба и морепродукты</x:v>
      </x:c>
      <x:c r="E477" s="28" t="str">
        <x:v>умами и солёный контраст</x:v>
      </x:c>
      <x:c r="F477" s="28" t="str">
        <x:v>Тыква имеет профиль «сладкий, крахмалистый, ореховый и слегка цветочный».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77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477" s="28" t="str">
        <x:v>водянистые сорта размывают вкус; сильная сладость требует кислоты, соли или горечи</x:v>
      </x:c>
      <x:c r="I477" s="28" t="str">
        <x:v>пюре, суп, запекание, крем, гарнир, соус или десертная разработка с рыба</x:v>
      </x:c>
      <x:c r="J477" s="28" t="str">
        <x:v>Средняя</x:v>
      </x:c>
      <x:c r="K477" s="28" t="str">
        <x:v>The Art &amp; Science of Foodpairing.pdf</x:v>
      </x:c>
      <x:c r="L477" s="28" t="str">
        <x:v>The Art &amp; Science of Foodpairing.pdf: 104</x:v>
      </x:c>
    </x:row>
    <x:row r="478" ht="66" customHeight="1">
      <x:c r="A478" s="28" t="str">
        <x:v>VEG-0934</x:v>
      </x:c>
      <x:c r="B478" s="28" t="str">
        <x:v>тыква</x:v>
      </x:c>
      <x:c r="C478" s="28" t="str">
        <x:v>соевый соус</x:v>
      </x:c>
      <x:c r="D478" s="28" t="str">
        <x:v>Ферментированные продукты и соусы</x:v>
      </x:c>
      <x:c r="E478" s="28" t="str">
        <x:v>общие характерные молекулы; умами и солёный контраст</x:v>
      </x:c>
      <x:c r="F478" s="28" t="str">
        <x:v>Тыква имеет профиль «сладкий, крахмалистый, ореховый и слегка цветочный». Партнёр «соевый соус» относится к группе «Ферментированные продукты и соусы» и даёт жареный, умами, ферментированный. Вероятный молекулярный мост: пиразины, фураны.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78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478" s="28" t="str">
        <x:v>водянистые сорта размывают вкус; сильная сладость требует кислоты, соли или горечи</x:v>
      </x:c>
      <x:c r="I478" s="28" t="str">
        <x:v>пюре, суп, запекание, крем, гарнир, соус или десертная разработка с соевый соус</x:v>
      </x:c>
      <x:c r="J478" s="28" t="str">
        <x:v>Средняя</x:v>
      </x:c>
      <x:c r="K478" s="28" t="str">
        <x:v>The Art &amp; Science of Foodpairing.pdf</x:v>
      </x:c>
      <x:c r="L478" s="28" t="str">
        <x:v>The Art &amp; Science of Foodpairing.pdf: 300</x:v>
      </x:c>
    </x:row>
    <x:row r="479" ht="66" customHeight="1">
      <x:c r="A479" s="28" t="str">
        <x:v>VEG-0942</x:v>
      </x:c>
      <x:c r="B479" s="28" t="str">
        <x:v>тыква баттернат</x:v>
      </x:c>
      <x:c r="C479" s="28" t="str">
        <x:v>бекон</x:v>
      </x:c>
      <x:c r="D479" s="28" t="str">
        <x:v>Мясо и птица</x:v>
      </x:c>
      <x:c r="E479" s="28" t="str">
        <x:v>умами и солёный контраст</x:v>
      </x:c>
      <x:c r="F479" s="28" t="str">
        <x:v>Тыква баттернат имеет профиль «сладкий, сливочный, ореховый и карамельный».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79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79" s="28" t="str">
        <x:v>может стать приторной и тяжёлой без кислоты или специй; не использовать недозрелый плод</x:v>
      </x:c>
      <x:c r="I479" s="28" t="str">
        <x:v>пюре, суп, запекание, крем, гарнир, соус или десертная разработка с бекон</x:v>
      </x:c>
      <x:c r="J479" s="28" t="str">
        <x:v>Средняя</x:v>
      </x:c>
      <x:c r="K479" s="28" t="str">
        <x:v>Тезариус вкусов (Ники Сегнит)(1).pdf</x:v>
      </x:c>
      <x:c r="L479" s="28" t="str">
        <x:v>Тезариус вкусов (Ники Сегнит)(1).pdf: 449, 609</x:v>
      </x:c>
    </x:row>
    <x:row r="480" ht="66" customHeight="1">
      <x:c r="A480" s="28" t="str">
        <x:v>VEG-0956</x:v>
      </x:c>
      <x:c r="B480" s="28" t="str">
        <x:v>тыква баттернат</x:v>
      </x:c>
      <x:c r="C480" s="28" t="str">
        <x:v>моллюски</x:v>
      </x:c>
      <x:c r="D480" s="28" t="str">
        <x:v>Рыба и морепродукты</x:v>
      </x:c>
      <x:c r="E480" s="28" t="str">
        <x:v>умами и солёный контраст</x:v>
      </x:c>
      <x:c r="F480" s="28" t="str">
        <x:v>Тыква баттернат имеет профиль «сладкий, сливочный, ореховый и карамельный».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0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0" s="28" t="str">
        <x:v>может стать приторной и тяжёлой без кислоты или специй; не использовать недозрелый плод</x:v>
      </x:c>
      <x:c r="I480" s="28" t="str">
        <x:v>пюре, суп, запекание, крем, гарнир, соус или десертная разработка с моллюски</x:v>
      </x:c>
      <x:c r="J480" s="28" t="str">
        <x:v>Средняя</x:v>
      </x:c>
      <x:c r="K480" s="28" t="str">
        <x:v>Тезариус вкусов (Ники Сегнит)(1).pdf</x:v>
      </x:c>
      <x:c r="L480" s="28" t="str">
        <x:v>Тезариус вкусов (Ники Сегнит)(1).pdf: 377, 612</x:v>
      </x:c>
    </x:row>
    <x:row r="481" ht="66" customHeight="1">
      <x:c r="A481" s="28" t="str">
        <x:v>VEG-0957</x:v>
      </x:c>
      <x:c r="B481" s="28" t="str">
        <x:v>тыква баттернат</x:v>
      </x:c>
      <x:c r="C481" s="28" t="str">
        <x:v>мускатный орех</x:v>
      </x:c>
      <x:c r="D481" s="28" t="str">
        <x:v>Рыба и морепродукты</x:v>
      </x:c>
      <x:c r="E481" s="28" t="str">
        <x:v>пересечение ароматических семейств; умами и солёный контраст</x:v>
      </x:c>
      <x:c r="F481" s="28" t="str">
        <x:v>Тыква баттернат имеет профиль «сладкий, сливочный, ореховый и карамельный».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1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1" s="28" t="str">
        <x:v>может стать приторной и тяжёлой без кислоты или специй; не использовать недозрелый плод</x:v>
      </x:c>
      <x:c r="I481" s="28" t="str">
        <x:v>пюре, суп, запекание, крем, гарнир, соус или десертная разработка с мускатный орех</x:v>
      </x:c>
      <x:c r="J481" s="28" t="str">
        <x:v>Средняя</x:v>
      </x:c>
      <x:c r="K481" s="28" t="str">
        <x:v>Тезариус вкусов (Ники Сегнит)(1).pdf</x:v>
      </x:c>
      <x:c r="L481" s="28" t="str">
        <x:v>Тезариус вкусов (Ники Сегнит)(1).pdf: 591, 612</x:v>
      </x:c>
    </x:row>
    <x:row r="482" ht="66" customHeight="1">
      <x:c r="A482" s="28" t="str">
        <x:v>VEG-0959</x:v>
      </x:c>
      <x:c r="B482" s="28" t="str">
        <x:v>тыква баттернат</x:v>
      </x:c>
      <x:c r="C482" s="28" t="str">
        <x:v>свинина</x:v>
      </x:c>
      <x:c r="D482" s="28" t="str">
        <x:v>Мясо и птица</x:v>
      </x:c>
      <x:c r="E482" s="28" t="str">
        <x:v>умами и солёный контраст</x:v>
      </x:c>
      <x:c r="F482" s="28" t="str">
        <x:v>Тыква баттернат имеет профиль «сладкий, сливочный, ореховый и карамельный».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2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2" s="28" t="str">
        <x:v>может стать приторной и тяжёлой без кислоты или специй; не использовать недозрелый плод</x:v>
      </x:c>
      <x:c r="I482" s="28" t="str">
        <x:v>пюре, суп, запекание, крем, гарнир, соус или десертная разработка с свинина</x:v>
      </x:c>
      <x:c r="J482" s="28" t="str">
        <x:v>Средняя</x:v>
      </x:c>
      <x:c r="K482" s="28" t="str">
        <x:v>Тезариус вкусов (Ники Сегнит)(1).pdf</x:v>
      </x:c>
      <x:c r="L482" s="28" t="str">
        <x:v>Тезариус вкусов (Ники Сегнит)(1).pdf: 88, 613</x:v>
      </x:c>
    </x:row>
    <x:row r="483" ht="66" customHeight="1">
      <x:c r="A483" s="28" t="str">
        <x:v>VEG-0961</x:v>
      </x:c>
      <x:c r="B483" s="28" t="str">
        <x:v>тыква баттернат</x:v>
      </x:c>
      <x:c r="C483" s="28" t="str">
        <x:v>трюфель</x:v>
      </x:c>
      <x:c r="D483" s="28" t="str">
        <x:v>Грибы</x:v>
      </x:c>
      <x:c r="E483" s="28" t="str">
        <x:v>умами и солёный контраст</x:v>
      </x:c>
      <x:c r="F483" s="28" t="str">
        <x:v>Тыква баттернат имеет профиль «сладкий, сливочный, ореховый и карамельный».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3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3" s="28" t="str">
        <x:v>может стать приторной и тяжёлой без кислоты или специй; не использовать недозрелый плод</x:v>
      </x:c>
      <x:c r="I483" s="28" t="str">
        <x:v>пюре, суп, запекание, крем, гарнир, соус или десертная разработка с трюфель</x:v>
      </x:c>
      <x:c r="J483" s="28" t="str">
        <x:v>Средняя</x:v>
      </x:c>
      <x:c r="K483" s="28" t="str">
        <x:v>The Art &amp; Science of Foodpairing.pdf</x:v>
      </x:c>
      <x:c r="L483" s="28" t="str">
        <x:v>The Art &amp; Science of Foodpairing.pdf: 192</x:v>
      </x:c>
    </x:row>
    <x:row r="484" ht="66" customHeight="1">
      <x:c r="A484" s="28" t="str">
        <x:v>VEG-0963</x:v>
      </x:c>
      <x:c r="B484" s="28" t="str">
        <x:v>тыква баттернат</x:v>
      </x:c>
      <x:c r="C484" s="28" t="str">
        <x:v>хамон иберико</x:v>
      </x:c>
      <x:c r="D484" s="28" t="str">
        <x:v>Мясо и птица</x:v>
      </x:c>
      <x:c r="E484" s="28" t="str">
        <x:v>умами и солёный контраст</x:v>
      </x:c>
      <x:c r="F484" s="28" t="str">
        <x:v>Тыква баттернат имеет профиль «сладкий, сливочный, ореховый и карамельный».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4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4" s="28" t="str">
        <x:v>может стать приторной и тяжёлой без кислоты или специй; не использовать недозрелый плод</x:v>
      </x:c>
      <x:c r="I484" s="28" t="str">
        <x:v>пюре, суп, запекание, крем, гарнир, соус или десертная разработка с хамон иберико</x:v>
      </x:c>
      <x:c r="J484" s="28" t="str">
        <x:v>Средняя</x:v>
      </x:c>
      <x:c r="K484" s="28" t="str">
        <x:v>The Art &amp; Science of Foodpairing.pdf</x:v>
      </x:c>
      <x:c r="L484" s="28" t="str">
        <x:v>The Art &amp; Science of Foodpairing.pdf: 278</x:v>
      </x:c>
    </x:row>
    <x:row r="485" ht="66" customHeight="1">
      <x:c r="A485" s="28" t="str">
        <x:v>VEG-0981</x:v>
      </x:c>
      <x:c r="B485" s="28" t="str">
        <x:v>фенхель</x:v>
      </x:c>
      <x:c r="C485" s="28" t="str">
        <x:v>рыба</x:v>
      </x:c>
      <x:c r="D485" s="28" t="str">
        <x:v>Рыба и морепродукты</x:v>
      </x:c>
      <x:c r="E485" s="28" t="str">
        <x:v>умами и солёный контраст</x:v>
      </x:c>
      <x:c r="F485" s="28" t="str">
        <x:v>Фенхель имеет профиль «анисовый, зелёный, свежий и сладковатый».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85" s="28" t="str">
        <x:v>сырой сохраняет свежий анис; запекание смягчает аромат и усиливает сладость. </x:v>
      </x:c>
      <x:c r="H485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485" s="28" t="str">
        <x:v>салат, гарнир, суп, соус, маринад, ферментация или напиток с рыба</x:v>
      </x:c>
      <x:c r="J485" s="28" t="str">
        <x:v>Средняя</x:v>
      </x:c>
      <x:c r="K485" s="28" t="str">
        <x:v>The Art &amp; Science of Foodpairing.pdf</x:v>
      </x:c>
      <x:c r="L485" s="28" t="str">
        <x:v>The Art &amp; Science of Foodpairing.pdf: 104</x:v>
      </x:c>
    </x:row>
    <x:row r="486" ht="66" customHeight="1">
      <x:c r="A486" s="28" t="str">
        <x:v>VEG-0985</x:v>
      </x:c>
      <x:c r="B486" s="28" t="str">
        <x:v>цветная капуста</x:v>
      </x:c>
      <x:c r="C486" s="28" t="str">
        <x:v>анчоусы</x:v>
      </x:c>
      <x:c r="D486" s="28" t="str">
        <x:v>Рыба и морепродукты</x:v>
      </x:c>
      <x:c r="E486" s="28" t="str">
        <x:v>умами и солёный контраст; сернистая или горчичная комплементарность</x:v>
      </x:c>
      <x:c r="F486" s="28" t="str">
        <x:v>Цветная капуста имеет профиль «мягко капустный, ореховый, сернистый и сливочный после запекания».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86" s="28" t="str">
        <x:v>не переваривать; избыток воды делает вкус плоским; сернистость усиливается при хранении</x:v>
      </x:c>
      <x:c r="I486" s="28" t="str">
        <x:v>горячее блюдо, бульон, соус, пюре, ферментация или гарнир с анчоусы</x:v>
      </x:c>
      <x:c r="J486" s="28" t="str">
        <x:v>Средняя</x:v>
      </x:c>
      <x:c r="K486" s="28" t="str">
        <x:v>Тезариус вкусов (Ники Сегнит)(1).pdf</x:v>
      </x:c>
      <x:c r="L486" s="28" t="str">
        <x:v>Тезариус вкусов (Ники Сегнит)(1).pdf: 321, 431</x:v>
      </x:c>
    </x:row>
    <x:row r="487" ht="66" customHeight="1">
      <x:c r="A487" s="28" t="str">
        <x:v>VEG-0986</x:v>
      </x:c>
      <x:c r="B487" s="28" t="str">
        <x:v>цветная капуста</x:v>
      </x:c>
      <x:c r="C487" s="28" t="str">
        <x:v>брокколи</x:v>
      </x:c>
      <x:c r="D487" s="28" t="str">
        <x:v>Крестоцветные</x:v>
      </x:c>
      <x:c r="E487" s="28" t="str">
        <x:v>общие характерные молекулы; пересечение ароматических семейств; сернистая или горчичная комплементарность</x:v>
      </x:c>
      <x:c r="F487" s="28" t="str">
        <x:v>Цветная капуста имеет профиль «мягко капустный, ореховый, сернистый и сливочный после запекания». Партнёр «брокколи» относится к группе «Крестоцветные» и даёт зелёный, капустный, сернистый и ореховый после жарки. Вероятный молекулярный мост: диметилсульфид, изотиоцианаты, пиразины.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87" s="28" t="str">
        <x:v>не переваривать; избыток воды делает вкус плоским; сернистость усиливается при хранении</x:v>
      </x:c>
      <x:c r="I487" s="28" t="str">
        <x:v>горячее блюдо, бульон, соус, пюре, ферментация или гарнир с брокколи</x:v>
      </x:c>
      <x:c r="J487" s="28" t="str">
        <x:v>Средняя</x:v>
      </x:c>
      <x:c r="K487" s="28" t="str">
        <x:v>Тезариус вкусов (Ники Сегнит)(1).pdf</x:v>
      </x:c>
      <x:c r="L487" s="28" t="str">
        <x:v>Тезариус вкусов (Ники Сегнит)(1).pdf: 321, 332</x:v>
      </x:c>
    </x:row>
    <x:row r="488" ht="66" customHeight="1">
      <x:c r="A488" s="28" t="str">
        <x:v>VEG-0987</x:v>
      </x:c>
      <x:c r="B488" s="28" t="str">
        <x:v>цветная капуста</x:v>
      </x:c>
      <x:c r="C488" s="28" t="str">
        <x:v>виноград</x:v>
      </x:c>
      <x:c r="D488" s="28" t="str">
        <x:v>Фрукты и ягоды</x:v>
      </x:c>
      <x:c r="E488" s="28" t="str">
        <x:v>кислотно-сладкий баланс; сернистая или горчичная комплементарность</x:v>
      </x:c>
      <x:c r="F488" s="28" t="str">
        <x:v>Цветная капуста имеет профиль «мягко капустный, ореховый, сернистый и сливочный после запекания».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8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88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488" s="28" t="str">
        <x:v>горячее блюдо, бульон, соус, пюре, ферментация или гарнир с виноград</x:v>
      </x:c>
      <x:c r="J488" s="28" t="str">
        <x:v>Высокая</x:v>
      </x:c>
      <x:c r="K488" s="28" t="str">
        <x:v>The Art &amp; Science of Foodpairing.pdf</x:v>
      </x:c>
      <x:c r="L488" s="28" t="str">
        <x:v>The Art &amp; Science of Foodpairing.pdf: 66</x:v>
      </x:c>
    </x:row>
    <x:row r="489" ht="66" customHeight="1">
      <x:c r="A489" s="28" t="str">
        <x:v>VEG-0988</x:v>
      </x:c>
      <x:c r="B489" s="28" t="str">
        <x:v>цветная капуста</x:v>
      </x:c>
      <x:c r="C489" s="28" t="str">
        <x:v>гибискус</x:v>
      </x:c>
      <x:c r="D489" s="28" t="str">
        <x:v>Прочее</x:v>
      </x:c>
      <x:c r="E489" s="28" t="str">
        <x:v>сернистая или горчичная комплементарность</x:v>
      </x:c>
      <x:c r="F489" s="28" t="str">
        <x:v>Цветная капуста имеет профиль «мягко капустный, ореховый, сернистый и сливочный после запекания».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89" s="28" t="str">
        <x:v>не переваривать; избыток воды делает вкус плоским; сернистость усиливается при хранении</x:v>
      </x:c>
      <x:c r="I489" s="28" t="str">
        <x:v>горячее блюдо, бульон, соус, пюре, ферментация или гарнир с гибискус</x:v>
      </x:c>
      <x:c r="J489" s="28" t="str">
        <x:v>Средняя</x:v>
      </x:c>
      <x:c r="K489" s="28" t="str">
        <x:v>The Art &amp; Science of Foodpairing.pdf</x:v>
      </x:c>
      <x:c r="L489" s="28" t="str">
        <x:v>The Art &amp; Science of Foodpairing.pdf: 67</x:v>
      </x:c>
    </x:row>
    <x:row r="490" ht="66" customHeight="1">
      <x:c r="A490" s="28" t="str">
        <x:v>VEG-0989</x:v>
      </x:c>
      <x:c r="B490" s="28" t="str">
        <x:v>цветная капуста</x:v>
      </x:c>
      <x:c r="C490" s="28" t="str">
        <x:v>грецкий орех</x:v>
      </x:c>
      <x:c r="D490" s="28" t="str">
        <x:v>Орехи и семена</x:v>
      </x:c>
      <x:c r="E490" s="28" t="str">
        <x:v>общие характерные молекулы; пересечение ароматических семейств; сернистая или горчичная комплементарность</x:v>
      </x:c>
      <x:c r="F490" s="28" t="str">
        <x:v>Цветная капуста имеет профиль «мягко капустный, ореховый, сернистый и сливочный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0" s="28" t="str">
        <x:v>не переваривать; избыток воды делает вкус плоским; сернистость усиливается при хранении</x:v>
      </x:c>
      <x:c r="I490" s="28" t="str">
        <x:v>горячее блюдо, бульон, соус, пюре, ферментация или гарнир с грецкий орех</x:v>
      </x:c>
      <x:c r="J490" s="28" t="str">
        <x:v>Средняя</x:v>
      </x:c>
      <x:c r="K490" s="28" t="str">
        <x:v>Тезариус вкусов (Ники Сегнит)(1).pdf</x:v>
      </x:c>
      <x:c r="L490" s="28" t="str">
        <x:v>Тезариус вкусов (Ники Сегнит)(1).pdf: 321, 629</x:v>
      </x:c>
    </x:row>
    <x:row r="491" ht="66" customHeight="1">
      <x:c r="A491" s="28" t="str">
        <x:v>VEG-0990</x:v>
      </x:c>
      <x:c r="B491" s="28" t="str">
        <x:v>цветная капуста</x:v>
      </x:c>
      <x:c r="C491" s="28" t="str">
        <x:v>зира</x:v>
      </x:c>
      <x:c r="D491" s="28" t="str">
        <x:v>Специи</x:v>
      </x:c>
      <x:c r="E491" s="28" t="str">
        <x:v>сернистая или горчичная комплементарность</x:v>
      </x:c>
      <x:c r="F491" s="28" t="str">
        <x:v>Цветная капуста имеет профиль «мягко капустный, ореховый, сернистый и сливочный после запекания». Партнёр «зира» относится к группе «Специи» и даёт жареный, землистый, пряный.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1" s="28" t="str">
        <x:v>не переваривать; избыток воды делает вкус плоским; сернистость усиливается при хранении</x:v>
      </x:c>
      <x:c r="I491" s="28" t="str">
        <x:v>горячее блюдо, бульон, соус, пюре, ферментация или гарнир с зира</x:v>
      </x:c>
      <x:c r="J491" s="28" t="str">
        <x:v>Средняя</x:v>
      </x:c>
      <x:c r="K491" s="28" t="str">
        <x:v>Тезариус вкусов (Ники Сегнит)(1).pdf</x:v>
      </x:c>
      <x:c r="L491" s="28" t="str">
        <x:v>Тезариус вкусов (Ники Сегнит)(1).pdf: 220, 322</x:v>
      </x:c>
    </x:row>
    <x:row r="492" ht="66" customHeight="1">
      <x:c r="A492" s="28" t="str">
        <x:v>VEG-0991</x:v>
      </x:c>
      <x:c r="B492" s="28" t="str">
        <x:v>цветная капуста</x:v>
      </x:c>
      <x:c r="C492" s="28" t="str">
        <x:v>каперсы</x:v>
      </x:c>
      <x:c r="D492" s="28" t="str">
        <x:v>Прочее</x:v>
      </x:c>
      <x:c r="E492" s="28" t="str">
        <x:v>сернистая или горчичная комплементарность</x:v>
      </x:c>
      <x:c r="F492" s="28" t="str">
        <x:v>Цветная капуста имеет профиль «мягко капустный, ореховый, сернистый и сливочный после запекания».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2" s="28" t="str">
        <x:v>не переваривать; избыток воды делает вкус плоским; сернистость усиливается при хранении</x:v>
      </x:c>
      <x:c r="I492" s="28" t="str">
        <x:v>горячее блюдо, бульон, соус, пюре, ферментация или гарнир с каперсы</x:v>
      </x:c>
      <x:c r="J492" s="28" t="str">
        <x:v>Средняя</x:v>
      </x:c>
      <x:c r="K492" s="28" t="str">
        <x:v>Тезариус вкусов (Ники Сегнит)(1).pdf</x:v>
      </x:c>
      <x:c r="L492" s="28" t="str">
        <x:v>Тезариус вкусов (Ники Сегнит)(1).pdf: 271, 322</x:v>
      </x:c>
    </x:row>
    <x:row r="493" ht="66" customHeight="1">
      <x:c r="A493" s="28" t="str">
        <x:v>VEG-0992</x:v>
      </x:c>
      <x:c r="B493" s="28" t="str">
        <x:v>цветная капуста</x:v>
      </x:c>
      <x:c r="C493" s="28" t="str">
        <x:v>кимчи</x:v>
      </x:c>
      <x:c r="D493" s="28" t="str">
        <x:v>Ферментированные продукты и соусы</x:v>
      </x:c>
      <x:c r="E493" s="28" t="str">
        <x:v>общие характерные молекулы; умами и солёный контраст; сернистая или горчичная комплементарность</x:v>
      </x:c>
      <x:c r="F493" s="28" t="str">
        <x:v>Цветная капуста имеет профиль «мягко капустный, ореховый, сернистый и сливочный после запекания». Партнёр «кимчи»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3" s="28" t="str">
        <x:v>не переваривать; избыток воды делает вкус плоским; сернистость усиливается при хранении</x:v>
      </x:c>
      <x:c r="I493" s="28" t="str">
        <x:v>горячее блюдо, бульон, соус, пюре, ферментация или гарнир с кимчи</x:v>
      </x:c>
      <x:c r="J493" s="28" t="str">
        <x:v>Средняя</x:v>
      </x:c>
      <x:c r="K493" s="28" t="str">
        <x:v>The Art &amp; Science of Foodpairing.pdf</x:v>
      </x:c>
      <x:c r="L493" s="28" t="str">
        <x:v>The Art &amp; Science of Foodpairing.pdf: 305</x:v>
      </x:c>
    </x:row>
    <x:row r="494" ht="66" customHeight="1">
      <x:c r="A494" s="28" t="str">
        <x:v>VEG-0993</x:v>
      </x:c>
      <x:c r="B494" s="28" t="str">
        <x:v>цветная капуста</x:v>
      </x:c>
      <x:c r="C494" s="28" t="str">
        <x:v>клубника</x:v>
      </x:c>
      <x:c r="D494" s="28" t="str">
        <x:v>Фрукты и ягоды</x:v>
      </x:c>
      <x:c r="E494" s="28" t="str">
        <x:v>кислотно-сладкий баланс; сернистая или горчичная комплементарность</x:v>
      </x:c>
      <x:c r="F494" s="28" t="str">
        <x:v>Цветная капуста имеет профиль «мягко капустный, ореховый, сернистый и сливочный после запекания».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4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494" s="28" t="str">
        <x:v>горячее блюдо, бульон, соус, пюре, ферментация или гарнир с клубника</x:v>
      </x:c>
      <x:c r="J494" s="28" t="str">
        <x:v>Высокая</x:v>
      </x:c>
      <x:c r="K494" s="28" t="str">
        <x:v>The Art &amp; Science of Foodpairing.pdf</x:v>
      </x:c>
      <x:c r="L494" s="28" t="str">
        <x:v>The Art &amp; Science of Foodpairing.pdf: 67</x:v>
      </x:c>
    </x:row>
    <x:row r="495" ht="66" customHeight="1">
      <x:c r="A495" s="28" t="str">
        <x:v>VEG-0994</x:v>
      </x:c>
      <x:c r="B495" s="28" t="str">
        <x:v>цветная капуста</x:v>
      </x:c>
      <x:c r="C495" s="28" t="str">
        <x:v>корица</x:v>
      </x:c>
      <x:c r="D495" s="28" t="str">
        <x:v>Специи</x:v>
      </x:c>
      <x:c r="E495" s="28" t="str">
        <x:v>сернистая или горчичная комплементарность</x:v>
      </x:c>
      <x:c r="F495" s="28" t="str">
        <x:v>Цветная капуста имеет профиль «мягко капустный, ореховый, сернистый и сливочный после запекания».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5" s="28" t="str">
        <x:v>не переваривать; избыток воды делает вкус плоским; сернистость усиливается при хранении</x:v>
      </x:c>
      <x:c r="I495" s="28" t="str">
        <x:v>горячее блюдо, бульон, соус, пюре, ферментация или гарнир с корица</x:v>
      </x:c>
      <x:c r="J495" s="28" t="str">
        <x:v>Средняя</x:v>
      </x:c>
      <x:c r="K495" s="28" t="str">
        <x:v>The Art &amp; Science of Foodpairing.pdf</x:v>
      </x:c>
      <x:c r="L495" s="28" t="str">
        <x:v>The Art &amp; Science of Foodpairing.pdf: 67</x:v>
      </x:c>
    </x:row>
    <x:row r="496" ht="66" customHeight="1">
      <x:c r="A496" s="28" t="str">
        <x:v>VEG-0995</x:v>
      </x:c>
      <x:c r="B496" s="28" t="str">
        <x:v>цветная капуста</x:v>
      </x:c>
      <x:c r="C496" s="28" t="str">
        <x:v>кофе</x:v>
      </x:c>
      <x:c r="D496" s="28" t="str">
        <x:v>Кофе</x:v>
      </x:c>
      <x:c r="E496" s="28" t="str">
        <x:v>общие характерные молекулы; пересечение ароматических семейств; сернистая или горчичная комплементарность</x:v>
      </x:c>
      <x:c r="F496" s="28" t="str">
        <x:v>Цветная капуста имеет профиль «мягко капустный, ореховый, сернистый и сливочный после запекания».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6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I496" s="28" t="str">
        <x:v>горячее блюдо, бульон, соус, пюре, ферментация или гарнир с кофе</x:v>
      </x:c>
      <x:c r="J496" s="28" t="str">
        <x:v>Средняя</x:v>
      </x:c>
      <x:c r="K496" s="28" t="str">
        <x:v>The Art &amp; Science of Foodpairing.pdf</x:v>
      </x:c>
      <x:c r="L496" s="28" t="str">
        <x:v>The Art &amp; Science of Foodpairing.pdf: 297</x:v>
      </x:c>
    </x:row>
    <x:row r="497" ht="66" customHeight="1">
      <x:c r="A497" s="28" t="str">
        <x:v>VEG-0996</x:v>
      </x:c>
      <x:c r="B497" s="28" t="str">
        <x:v>цветная капуста</x:v>
      </x:c>
      <x:c r="C497" s="28" t="str">
        <x:v>миндаль</x:v>
      </x:c>
      <x:c r="D497" s="28" t="str">
        <x:v>Орехи и семена</x:v>
      </x:c>
      <x:c r="E497" s="28" t="str">
        <x:v>общие характерные молекулы; пересечение ароматических семейств; сернистая или горчичная комплементарность</x:v>
      </x:c>
      <x:c r="F497" s="28" t="str">
        <x:v>Цветная капуста имеет профиль «мягко капустный, ореховый, сернистый и сливочный после запекания». Партнёр «миндаль» относится к группе «Орехи и семена» и даёт жареный, миндальный,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7" s="28" t="str">
        <x:v>не переваривать; избыток воды делает вкус плоским; сернистость усиливается при хранении</x:v>
      </x:c>
      <x:c r="I497" s="28" t="str">
        <x:v>горячее блюдо, бульон, соус, пюре, ферментация или гарнир с миндаль</x:v>
      </x:c>
      <x:c r="J497" s="28" t="str">
        <x:v>Средняя</x:v>
      </x:c>
      <x:c r="K497" s="28" t="str">
        <x:v>Тезариус вкусов (Ники Сегнит)(1).pdf</x:v>
      </x:c>
      <x:c r="L497" s="28" t="str">
        <x:v>Тезариус вкусов (Ники Сегнит)(1).pdf: 324, 648</x:v>
      </x:c>
    </x:row>
    <x:row r="498" ht="66" customHeight="1">
      <x:c r="A498" s="28" t="str">
        <x:v>VEG-0997</x:v>
      </x:c>
      <x:c r="B498" s="28" t="str">
        <x:v>цветная капуста</x:v>
      </x:c>
      <x:c r="C498" s="28" t="str">
        <x:v>моллюски</x:v>
      </x:c>
      <x:c r="D498" s="28" t="str">
        <x:v>Рыба и морепродукты</x:v>
      </x:c>
      <x:c r="E498" s="28" t="str">
        <x:v>умами и солёный контраст; сернистая или горчичная комплементарность</x:v>
      </x:c>
      <x:c r="F498" s="28" t="str">
        <x:v>Цветная капуста имеет профиль «мягко капустный, ореховый, сернистый и сливочный после запекания».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8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8" s="28" t="str">
        <x:v>не переваривать; избыток воды делает вкус плоским; сернистость усиливается при хранении</x:v>
      </x:c>
      <x:c r="I498" s="28" t="str">
        <x:v>горячее блюдо, бульон, соус, пюре, ферментация или гарнир с моллюски</x:v>
      </x:c>
      <x:c r="J498" s="28" t="str">
        <x:v>Средняя</x:v>
      </x:c>
      <x:c r="K498" s="28" t="str">
        <x:v>Тезариус вкусов (Ники Сегнит)(1).pdf</x:v>
      </x:c>
      <x:c r="L498" s="28" t="str">
        <x:v>Тезариус вкусов (Ники Сегнит)(1).pdf: 324, 377</x:v>
      </x:c>
    </x:row>
    <x:row r="499" ht="66" customHeight="1">
      <x:c r="A499" s="28" t="str">
        <x:v>VEG-0998</x:v>
      </x:c>
      <x:c r="B499" s="28" t="str">
        <x:v>цветная капуста</x:v>
      </x:c>
      <x:c r="C499" s="28" t="str">
        <x:v>мускатный орех</x:v>
      </x:c>
      <x:c r="D499" s="28" t="str">
        <x:v>Рыба и морепродукты</x:v>
      </x:c>
      <x:c r="E499" s="28" t="str">
        <x:v>пересечение ароматических семейств; умами и солёный контраст; сернистая или горчичная комплементарность</x:v>
      </x:c>
      <x:c r="F499" s="28" t="str">
        <x:v>Цветная капуста имеет профиль «мягко капустный, ореховый, сернистый и сливочный после запекания».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9" s="28" t="str">
        <x:v>не переваривать; избыток воды делает вкус плоским; сернистость усиливается при хранении</x:v>
      </x:c>
      <x:c r="I499" s="28" t="str">
        <x:v>горячее блюдо, бульон, соус, пюре, ферментация или гарнир с мускатный орех</x:v>
      </x:c>
      <x:c r="J499" s="28" t="str">
        <x:v>Средняя</x:v>
      </x:c>
      <x:c r="K499" s="28" t="str">
        <x:v>Тезариус вкусов (Ники Сегнит)(1).pdf</x:v>
      </x:c>
      <x:c r="L499" s="28" t="str">
        <x:v>Тезариус вкусов (Ники Сегнит)(1).pdf: 325, 592</x:v>
      </x:c>
    </x:row>
    <x:row r="500" ht="66" customHeight="1">
      <x:c r="A500" s="28" t="str">
        <x:v>VEG-0999</x:v>
      </x:c>
      <x:c r="B500" s="28" t="str">
        <x:v>цветная капуста</x:v>
      </x:c>
      <x:c r="C500" s="28" t="str">
        <x:v>сливочное масло</x:v>
      </x:c>
      <x:c r="D500" s="28" t="str">
        <x:v>Фрукты и ягоды</x:v>
      </x:c>
      <x:c r="E500" s="28" t="str">
        <x:v>пересечение ароматических семейств; кислотно-сладкий баланс; сернистая или горчичная комплементарность</x:v>
      </x:c>
      <x:c r="F500" s="28" t="str">
        <x:v>Цветная капуста имеет профиль «мягко капустный, ореховый, сернистый и сливочный после запекания». Партнёр «сливочное масло» относится к группе «Фрукты и ягоды» и даёт жирный, сливочный. Профили пересекаются в семействах: сливочный.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0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500" s="28" t="str">
        <x:v>горячее блюдо, бульон, соус, пюре, ферментация или гарнир с сливочное масло</x:v>
      </x:c>
      <x:c r="J500" s="28" t="str">
        <x:v>Средняя</x:v>
      </x:c>
      <x:c r="K500" s="28" t="str">
        <x:v>The Art &amp; Science of Foodpairing.pdf</x:v>
      </x:c>
      <x:c r="L500" s="28" t="str">
        <x:v>The Art &amp; Science of Foodpairing.pdf: 67</x:v>
      </x:c>
    </x:row>
    <x:row r="501" ht="66" customHeight="1">
      <x:c r="A501" s="28" t="str">
        <x:v>VEG-1000</x:v>
      </x:c>
      <x:c r="B501" s="28" t="str">
        <x:v>цветная капуста</x:v>
      </x:c>
      <x:c r="C501" s="28" t="str">
        <x:v>твердый сыр</x:v>
      </x:c>
      <x:c r="D501" s="28" t="str">
        <x:v>Молочные продукты и сыры</x:v>
      </x:c>
      <x:c r="E501" s="28" t="str">
        <x:v>жировая матрица; сернистая или горчичная комплементарность</x:v>
      </x:c>
      <x:c r="F501" s="28" t="str">
        <x:v>Цветная капуста имеет профиль «мягко капустный, ореховый, сернистый и сливочный после запекания».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1" s="28" t="str">
        <x:v>не переваривать; избыток воды делает вкус плоским; сернистость усиливается при хранении; жир способен приглушить свежую зелёную ароматику</x:v>
      </x:c>
      <x:c r="I501" s="28" t="str">
        <x:v>горячее блюдо, бульон, соус, пюре, ферментация или гарнир с твердый сыр</x:v>
      </x:c>
      <x:c r="J501" s="28" t="str">
        <x:v>Средняя</x:v>
      </x:c>
      <x:c r="K501" s="28" t="str">
        <x:v>Тезариус вкусов (Ники Сегнит)(1).pdf</x:v>
      </x:c>
      <x:c r="L501" s="28" t="str">
        <x:v>Тезариус вкусов (Ники Сегнит)(1).pdf: 177, 325</x:v>
      </x:c>
    </x:row>
    <x:row r="502" ht="66" customHeight="1">
      <x:c r="A502" s="28" t="str">
        <x:v>VEG-1001</x:v>
      </x:c>
      <x:c r="B502" s="28" t="str">
        <x:v>цветная капуста</x:v>
      </x:c>
      <x:c r="C502" s="28" t="str">
        <x:v>трюфель</x:v>
      </x:c>
      <x:c r="D502" s="28" t="str">
        <x:v>Грибы</x:v>
      </x:c>
      <x:c r="E502" s="28" t="str">
        <x:v>умами и солёный контраст; сернистая или горчичная комплементарность</x:v>
      </x:c>
      <x:c r="F502" s="28" t="str">
        <x:v>Цветная капуста имеет профиль «мягко капустный, ореховый, сернистый и сливочный после запекания».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2" s="28" t="str">
        <x:v>не переваривать; избыток воды делает вкус плоским; сернистость усиливается при хранении</x:v>
      </x:c>
      <x:c r="I502" s="28" t="str">
        <x:v>горячее блюдо, бульон, соус, пюре, ферментация или гарнир с трюфель</x:v>
      </x:c>
      <x:c r="J502" s="28" t="str">
        <x:v>Средняя</x:v>
      </x:c>
      <x:c r="K502" s="28" t="str">
        <x:v>Тезариус вкусов (Ники Сегнит)(1).pdf</x:v>
      </x:c>
      <x:c r="L502" s="28" t="str">
        <x:v>Тезариус вкусов (Ники Сегнит)(1).pdf: 306, 326</x:v>
      </x:c>
    </x:row>
    <x:row r="503" ht="66" customHeight="1">
      <x:c r="A503" s="28" t="str">
        <x:v>VEG-1002</x:v>
      </x:c>
      <x:c r="B503" s="28" t="str">
        <x:v>цветная капуста</x:v>
      </x:c>
      <x:c r="C503" s="28" t="str">
        <x:v>тюрбо</x:v>
      </x:c>
      <x:c r="D503" s="28" t="str">
        <x:v>Прочее</x:v>
      </x:c>
      <x:c r="E503" s="28" t="str">
        <x:v>сернистая или горчичная комплементарность</x:v>
      </x:c>
      <x:c r="F503" s="28" t="str">
        <x:v>Цветная капуста имеет профиль «мягко капустный, ореховый, сернистый и сливочный после запекания». Партнёр «тюрбо»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3" s="28" t="str">
        <x:v>не переваривать; избыток воды делает вкус плоским; сернистость усиливается при хранении</x:v>
      </x:c>
      <x:c r="I503" s="28" t="str">
        <x:v>горячее блюдо, бульон, соус, пюре, ферментация или гарнир с тюрбо</x:v>
      </x:c>
      <x:c r="J503" s="28" t="str">
        <x:v>Высокая</x:v>
      </x:c>
      <x:c r="K503" s="28" t="str">
        <x:v>The Art &amp; Science of Foodpairing.pdf</x:v>
      </x:c>
      <x:c r="L503" s="28" t="str">
        <x:v>The Art &amp; Science of Foodpairing.pdf: 66</x:v>
      </x:c>
    </x:row>
    <x:row r="504" ht="66" customHeight="1">
      <x:c r="A504" s="28" t="str">
        <x:v>VEG-1003</x:v>
      </x:c>
      <x:c r="B504" s="28" t="str">
        <x:v>цветная капуста</x:v>
      </x:c>
      <x:c r="C504" s="28" t="str">
        <x:v>черная икра</x:v>
      </x:c>
      <x:c r="D504" s="28" t="str">
        <x:v>Рыба и морепродукты</x:v>
      </x:c>
      <x:c r="E504" s="28" t="str">
        <x:v>умами и солёный контраст; сернистая или горчичная комплементарность</x:v>
      </x:c>
      <x:c r="F504" s="28" t="str">
        <x:v>Цветная капуста имеет профиль «мягко капустный, ореховый, сернистый и сливочный после запекания». Партнёр «черная икра»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4" s="28" t="str">
        <x:v>не переваривать; избыток воды делает вкус плоским; сернистость усиливается при хранении</x:v>
      </x:c>
      <x:c r="I504" s="28" t="str">
        <x:v>горячее блюдо, бульон, соус, пюре, ферментация или гарнир с черная икра</x:v>
      </x:c>
      <x:c r="J504" s="28" t="str">
        <x:v>Средняя</x:v>
      </x:c>
      <x:c r="K504" s="28" t="str">
        <x:v>Тезариус вкусов (Ники Сегнит)(1).pdf</x:v>
      </x:c>
      <x:c r="L504" s="28" t="str">
        <x:v>Тезариус вкусов (Ники Сегнит)(1).pdf: 326, 408</x:v>
      </x:c>
    </x:row>
    <x:row r="505" ht="66" customHeight="1">
      <x:c r="A505" s="28" t="str">
        <x:v>VEG-1004</x:v>
      </x:c>
      <x:c r="B505" s="28" t="str">
        <x:v>цветная капуста</x:v>
      </x:c>
      <x:c r="C505" s="28" t="str">
        <x:v>чили</x:v>
      </x:c>
      <x:c r="D505" s="28" t="str">
        <x:v>Специи</x:v>
      </x:c>
      <x:c r="E505" s="28" t="str">
        <x:v>сернистая или горчичная комплементарность</x:v>
      </x:c>
      <x:c r="F505" s="28" t="str">
        <x:v>Цветная капуста имеет профиль «мягко капустный, ореховый, сернистый и сливочный после запекания».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5" s="28" t="str">
        <x:v>не переваривать; избыток воды делает вкус плоским; сернистость усиливается при хранении</x:v>
      </x:c>
      <x:c r="I505" s="28" t="str">
        <x:v>горячее блюдо, бульон, соус, пюре, ферментация или гарнир с чили</x:v>
      </x:c>
      <x:c r="J505" s="28" t="str">
        <x:v>Средняя</x:v>
      </x:c>
      <x:c r="K505" s="28" t="str">
        <x:v>Тезариус вкусов (Ники Сегнит)(1).pdf</x:v>
      </x:c>
      <x:c r="L505" s="28" t="str">
        <x:v>Тезариус вкусов (Ники Сегнит)(1).pdf: 327, 560</x:v>
      </x:c>
    </x:row>
    <x:row r="506" ht="66" customHeight="1">
      <x:c r="A506" s="28" t="str">
        <x:v>VEG-1005</x:v>
      </x:c>
      <x:c r="B506" s="28" t="str">
        <x:v>цветная капуста</x:v>
      </x:c>
      <x:c r="C506" s="28" t="str">
        <x:v>шафран</x:v>
      </x:c>
      <x:c r="D506" s="28" t="str">
        <x:v>Специи</x:v>
      </x:c>
      <x:c r="E506" s="28" t="str">
        <x:v>сернистая или горчичная комплементарность</x:v>
      </x:c>
      <x:c r="F506" s="28" t="str">
        <x:v>Цветная капуста имеет профиль «мягко капустный, ореховый, сернистый и сливочный после запекания».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6" s="28" t="str">
        <x:v>не переваривать; избыток воды делает вкус плоским; сернистость усиливается при хранении</x:v>
      </x:c>
      <x:c r="I506" s="28" t="str">
        <x:v>горячее блюдо, бульон, соус, пюре, ферментация или гарнир с шафран</x:v>
      </x:c>
      <x:c r="J506" s="28" t="str">
        <x:v>Средняя</x:v>
      </x:c>
      <x:c r="K506" s="28" t="str">
        <x:v>Тезариус вкусов (Ники Сегнит)(1).pdf</x:v>
      </x:c>
      <x:c r="L506" s="28" t="str">
        <x:v>Тезариус вкусов (Ники Сегнит)(1).pdf: 327, 477</x:v>
      </x:c>
    </x:row>
    <x:row r="507" ht="66" customHeight="1">
      <x:c r="A507" s="28" t="str">
        <x:v>VEG-1006</x:v>
      </x:c>
      <x:c r="B507" s="28" t="str">
        <x:v>цветная капуста</x:v>
      </x:c>
      <x:c r="C507" s="28" t="str">
        <x:v>шоколад</x:v>
      </x:c>
      <x:c r="D507" s="28" t="str">
        <x:v>Какао и шоколад</x:v>
      </x:c>
      <x:c r="E507" s="28" t="str">
        <x:v>общие характерные молекулы; сернистая или горчичная комплементарность</x:v>
      </x:c>
      <x:c r="F507" s="28" t="str">
        <x:v>Цветная капуста имеет профиль «мягко капустный, ореховый, сернистый и сливочный после запекания».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7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I507" s="28" t="str">
        <x:v>горячее блюдо, бульон, соус, пюре, ферментация или гарнир с шоколад</x:v>
      </x:c>
      <x:c r="J507" s="28" t="str">
        <x:v>Высокая</x:v>
      </x:c>
      <x:c r="K507" s="28" t="str">
        <x:v>The Art &amp; Science of Foodpairing.pdf | Тезариус вкусов (Ники Сегнит)(1).pdf</x:v>
      </x:c>
      <x:c r="L507" s="28" t="str">
        <x:v>Тезариус вкусов (Ники Сегнит)(1).pdf: 37, 327; The Art &amp; Science of Foodpairing.pdf: 61, 63</x:v>
      </x:c>
    </x:row>
    <x:row r="508" ht="66" customHeight="1">
      <x:c r="A508" s="28" t="str">
        <x:v>VEG-1007</x:v>
      </x:c>
      <x:c r="B508" s="28" t="str">
        <x:v>чеснок</x:v>
      </x:c>
      <x:c r="C508" s="28" t="str">
        <x:v>айва</x:v>
      </x:c>
      <x:c r="D508" s="28" t="str">
        <x:v>Прочее</x:v>
      </x:c>
      <x:c r="E508" s="28" t="str">
        <x:v>сернистая или горчичная комплементарность</x:v>
      </x:c>
      <x:c r="F508" s="28" t="str">
        <x:v>Чеснок имеет профиль «резкий сернистый, зелёный и мясной; после запекания — сладкий и ореховый». Партнёр «айва»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08" s="28" t="str">
        <x:v>сырой чеснок быстро доминирует; пережжённый чеснок очень горький; хранить и обрабатывать по пищевым нормам</x:v>
      </x:c>
      <x:c r="I508" s="28" t="str">
        <x:v>горячее блюдо, бульон, соус, пюре, ферментация или гарнир с айва</x:v>
      </x:c>
      <x:c r="J508" s="28" t="str">
        <x:v>Средняя</x:v>
      </x:c>
      <x:c r="K508" s="28" t="str">
        <x:v>The Art &amp; Science of Foodpairing.pdf</x:v>
      </x:c>
      <x:c r="L508" s="28" t="str">
        <x:v>The Art &amp; Science of Foodpairing.pdf: 114</x:v>
      </x:c>
    </x:row>
    <x:row r="509" ht="66" customHeight="1">
      <x:c r="A509" s="28" t="str">
        <x:v>VEG-1008</x:v>
      </x:c>
      <x:c r="B509" s="28" t="str">
        <x:v>чеснок</x:v>
      </x:c>
      <x:c r="C509" s="28" t="str">
        <x:v>анчоусы</x:v>
      </x:c>
      <x:c r="D509" s="28" t="str">
        <x:v>Рыба и морепродукты</x:v>
      </x:c>
      <x:c r="E509" s="28" t="str">
        <x:v>пересечение ароматических семейств; умами и солёный контраст; сернистая или горчичная комплементарность</x:v>
      </x:c>
      <x:c r="F509" s="28" t="str">
        <x:v>Чеснок имеет профиль «резкий сернистый, зелёный и мясной; после запекания — сладкий и ореховый». Партнёр «анчоусы»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09" s="28" t="str">
        <x:v>сырой чеснок быстро доминирует; пережжённый чеснок очень горький; хранить и обрабатывать по пищевым нормам</x:v>
      </x:c>
      <x:c r="I509" s="28" t="str">
        <x:v>горячее блюдо, бульон, соус, пюре, ферментация или гарнир с анчоусы</x:v>
      </x:c>
      <x:c r="J509" s="28" t="str">
        <x:v>Средняя</x:v>
      </x:c>
      <x:c r="K509" s="28" t="str">
        <x:v>Тезариус вкусов (Ники Сегнит)(1).pdf</x:v>
      </x:c>
      <x:c r="L509" s="28" t="str">
        <x:v>Тезариус вкусов (Ники Сегнит)(1).pdf: 291, 431</x:v>
      </x:c>
    </x:row>
    <x:row r="510" ht="66" customHeight="1">
      <x:c r="A510" s="28" t="str">
        <x:v>VEG-1009</x:v>
      </x:c>
      <x:c r="B510" s="28" t="str">
        <x:v>чеснок</x:v>
      </x:c>
      <x:c r="C510" s="28" t="str">
        <x:v>арахис</x:v>
      </x:c>
      <x:c r="D510" s="28" t="str">
        <x:v>Орехи и семена</x:v>
      </x:c>
      <x:c r="E510" s="28" t="str">
        <x:v>пересечение ароматических семейств; сернистая или горчичная комплементарность</x:v>
      </x:c>
      <x:c r="F510" s="28" t="str">
        <x:v>Чеснок имеет профиль «резкий сернистый, зелёный и мясной; после запекания — сладкий и ореховый». Партнёр «арахис»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0" s="28" t="str">
        <x:v>сырой чеснок быстро доминирует; пережжённый чеснок очень горький; хранить и обрабатывать по пищевым нормам</x:v>
      </x:c>
      <x:c r="I510" s="28" t="str">
        <x:v>горячее блюдо, бульон, соус, пюре, ферментация или гарнир с арахис</x:v>
      </x:c>
      <x:c r="J510" s="28" t="str">
        <x:v>Средняя</x:v>
      </x:c>
      <x:c r="K510" s="28" t="str">
        <x:v>The Art &amp; Science of Foodpairing.pdf</x:v>
      </x:c>
      <x:c r="L510" s="28" t="str">
        <x:v>The Art &amp; Science of Foodpairing.pdf: 113, 114</x:v>
      </x:c>
    </x:row>
    <x:row r="511" ht="66" customHeight="1">
      <x:c r="A511" s="28" t="str">
        <x:v>VEG-1010</x:v>
      </x:c>
      <x:c r="B511" s="28" t="str">
        <x:v>чеснок</x:v>
      </x:c>
      <x:c r="C511" s="28" t="str">
        <x:v>арахисовая паста</x:v>
      </x:c>
      <x:c r="D511" s="28" t="str">
        <x:v>Орехи и семена</x:v>
      </x:c>
      <x:c r="E511" s="28" t="str">
        <x:v>пересечение ароматических семейств; сернистая или горчичная комплементарность</x:v>
      </x:c>
      <x:c r="F511" s="28" t="str">
        <x:v>Чеснок имеет профиль «резкий сернистый, зелёный и мясной; после запекания — сладкий и ореховый». Партнёр «арахисовая паста»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1" s="28" t="str">
        <x:v>сырой чеснок быстро доминирует; пережжённый чеснок очень горький; хранить и обрабатывать по пищевым нормам</x:v>
      </x:c>
      <x:c r="I511" s="28" t="str">
        <x:v>горячее блюдо, бульон, соус, пюре, ферментация или гарнир с арахисовая паста</x:v>
      </x:c>
      <x:c r="J511" s="28" t="str">
        <x:v>Средняя</x:v>
      </x:c>
      <x:c r="K511" s="28" t="str">
        <x:v>The Art &amp; Science of Foodpairing.pdf</x:v>
      </x:c>
      <x:c r="L511" s="28" t="str">
        <x:v>The Art &amp; Science of Foodpairing.pdf: 114</x:v>
      </x:c>
    </x:row>
    <x:row r="512" ht="66" customHeight="1">
      <x:c r="A512" s="28" t="str">
        <x:v>VEG-1011</x:v>
      </x:c>
      <x:c r="B512" s="28" t="str">
        <x:v>чеснок</x:v>
      </x:c>
      <x:c r="C512" s="28" t="str">
        <x:v>артишок</x:v>
      </x:c>
      <x:c r="D512" s="28" t="str">
        <x:v>Соцветия и стеблевые овощи</x:v>
      </x:c>
      <x:c r="E512" s="28" t="str">
        <x:v>сернистая или горчичная комплементарность</x:v>
      </x:c>
      <x:c r="F512" s="28" t="str">
        <x:v>Чеснок имеет профиль «резкий сернистый, зелёный и мясной; после запекания — сладкий и ореховый». Партнёр «артишок» относится к группе «Соцветия и стеблевые овощи» и даёт зелёный, ореховый, травянистый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2" s="28" t="str">
        <x:v>сырой чеснок быстро доминирует; пережжённый чеснок очень горький; хранить и обрабатывать по пищевым нормам</x:v>
      </x:c>
      <x:c r="I512" s="28" t="str">
        <x:v>горячее блюдо, бульон, соус, пюре, ферментация или гарнир с артишок</x:v>
      </x:c>
      <x:c r="J512" s="28" t="str">
        <x:v>Средняя</x:v>
      </x:c>
      <x:c r="K512" s="28" t="str">
        <x:v>The Art &amp; Science of Foodpairing.pdf</x:v>
      </x:c>
      <x:c r="L512" s="28" t="str">
        <x:v>The Art &amp; Science of Foodpairing.pdf: 114</x:v>
      </x:c>
    </x:row>
    <x:row r="513" ht="66" customHeight="1">
      <x:c r="A513" s="28" t="str">
        <x:v>VEG-1012</x:v>
      </x:c>
      <x:c r="B513" s="28" t="str">
        <x:v>чеснок</x:v>
      </x:c>
      <x:c r="C513" s="28" t="str">
        <x:v>базилик</x:v>
      </x:c>
      <x:c r="D513" s="28" t="str">
        <x:v>Травы, цветы и листья</x:v>
      </x:c>
      <x:c r="E513" s="28" t="str">
        <x:v>сернистая или горчичная комплементарность</x:v>
      </x:c>
      <x:c r="F513" s="28" t="str">
        <x:v>Чеснок имеет профиль «резкий сернистый, зелёный и мясной; после запекания — сладкий и ореховый».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3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13" s="28" t="str">
        <x:v>горячее блюдо, бульон, соус, пюре, ферментация или гарнир с базилик</x:v>
      </x:c>
      <x:c r="J513" s="28" t="str">
        <x:v>Средняя</x:v>
      </x:c>
      <x:c r="K513" s="28" t="str">
        <x:v>Тезариус вкусов (Ники Сегнит)(1).pdf</x:v>
      </x:c>
      <x:c r="L513" s="28" t="str">
        <x:v>Тезариус вкусов (Ники Сегнит)(1).pdf: 291, 570</x:v>
      </x:c>
    </x:row>
    <x:row r="514" ht="66" customHeight="1">
      <x:c r="A514" s="28" t="str">
        <x:v>VEG-1013</x:v>
      </x:c>
      <x:c r="B514" s="28" t="str">
        <x:v>чеснок</x:v>
      </x:c>
      <x:c r="C514" s="28" t="str">
        <x:v>баранина</x:v>
      </x:c>
      <x:c r="D514" s="28" t="str">
        <x:v>Мясо и птица</x:v>
      </x:c>
      <x:c r="E514" s="28" t="str">
        <x:v>пересечение ароматических семейств; умами и солёный контраст; сернистая или горчичная комплементарность</x:v>
      </x:c>
      <x:c r="F514" s="28" t="str">
        <x:v>Чеснок имеет профиль «резкий сернистый, зелёный и мясной; после запекания — сладкий и ореховый». Партнёр «баранина»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4" s="28" t="str">
        <x:v>сырой чеснок быстро доминирует; пережжённый чеснок очень горький; хранить и обрабатывать по пищевым нормам</x:v>
      </x:c>
      <x:c r="I514" s="28" t="str">
        <x:v>горячее блюдо, бульон, соус, пюре, ферментация или гарнир с баранина</x:v>
      </x:c>
      <x:c r="J514" s="28" t="str">
        <x:v>Высокая</x:v>
      </x:c>
      <x:c r="K514" s="28" t="str">
        <x:v>The Art &amp; Science of Foodpairing.pdf | Тезариус вкусов (Ники Сегнит)(1).pdf</x:v>
      </x:c>
      <x:c r="L514" s="28" t="str">
        <x:v>Тезариус вкусов (Ники Сегнит)(1).pdf: 133, 292; The Art &amp; Science of Foodpairing.pdf: 113, 114</x:v>
      </x:c>
    </x:row>
    <x:row r="515" ht="66" customHeight="1">
      <x:c r="A515" s="28" t="str">
        <x:v>VEG-1014</x:v>
      </x:c>
      <x:c r="B515" s="28" t="str">
        <x:v>чеснок</x:v>
      </x:c>
      <x:c r="C515" s="28" t="str">
        <x:v>бекон</x:v>
      </x:c>
      <x:c r="D515" s="28" t="str">
        <x:v>Мясо и птица</x:v>
      </x:c>
      <x:c r="E515" s="28" t="str">
        <x:v>пересечение ароматических семейств; умами и солёный контраст; сернистая или горчичная комплементарность</x:v>
      </x:c>
      <x:c r="F515" s="28" t="str">
        <x:v>Чеснок имеет профиль «резкий сернистый, зелёный и мясной; после запекания — сладкий и ореховый». Партнёр «бекон» относится к группе «Мясо и птица» и даёт дымный, жареный,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5" s="28" t="str">
        <x:v>сырой чеснок быстро доминирует; пережжённый чеснок очень горький; хранить и обрабатывать по пищевым нормам</x:v>
      </x:c>
      <x:c r="I515" s="28" t="str">
        <x:v>горячее блюдо, бульон, соус, пюре, ферментация или гарнир с бекон</x:v>
      </x:c>
      <x:c r="J515" s="28" t="str">
        <x:v>Средняя</x:v>
      </x:c>
      <x:c r="K515" s="28" t="str">
        <x:v>The Art &amp; Science of Foodpairing.pdf</x:v>
      </x:c>
      <x:c r="L515" s="28" t="str">
        <x:v>The Art &amp; Science of Foodpairing.pdf: 113</x:v>
      </x:c>
    </x:row>
    <x:row r="516" ht="66" customHeight="1">
      <x:c r="A516" s="28" t="str">
        <x:v>VEG-1015</x:v>
      </x:c>
      <x:c r="B516" s="28" t="str">
        <x:v>чеснок</x:v>
      </x:c>
      <x:c r="C516" s="28" t="str">
        <x:v>белая рыба</x:v>
      </x:c>
      <x:c r="D516" s="28" t="str">
        <x:v>Рыба и морепродукты</x:v>
      </x:c>
      <x:c r="E516" s="28" t="str">
        <x:v>пересечение ароматических семейств; умами и солёный контраст; сернистая или горчичная комплементарность</x:v>
      </x:c>
      <x:c r="F516" s="28" t="str">
        <x:v>Чеснок имеет профиль «резкий сернистый, зелёный и мясной; после запекания — сладкий и ореховый».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6" s="28" t="str">
        <x:v>сырой чеснок быстро доминирует; пережжённый чеснок очень горький; хранить и обрабатывать по пищевым нормам</x:v>
      </x:c>
      <x:c r="I516" s="28" t="str">
        <x:v>горячее блюдо, бульон, соус, пюре, ферментация или гарнир с белая рыба</x:v>
      </x:c>
      <x:c r="J516" s="28" t="str">
        <x:v>Средняя</x:v>
      </x:c>
      <x:c r="K516" s="28" t="str">
        <x:v>Тезариус вкусов (Ники Сегнит)(1).pdf</x:v>
      </x:c>
      <x:c r="L516" s="28" t="str">
        <x:v>Тезариус вкусов (Ники Сегнит)(1).pdf: 293, 393</x:v>
      </x:c>
    </x:row>
    <x:row r="517" ht="66" customHeight="1">
      <x:c r="A517" s="28" t="str">
        <x:v>VEG-1016</x:v>
      </x:c>
      <x:c r="B517" s="28" t="str">
        <x:v>чеснок</x:v>
      </x:c>
      <x:c r="C517" s="28" t="str">
        <x:v>болгарский перец</x:v>
      </x:c>
      <x:c r="D517" s="28" t="str">
        <x:v>Плодовые овощи</x:v>
      </x:c>
      <x:c r="E517" s="28" t="str">
        <x:v>сернистая или горчичная комплементарность</x:v>
      </x:c>
      <x:c r="F517" s="28" t="str">
        <x:v>Чеснок имеет профиль «резкий сернистый, зелёный и мясной; после запекания — сладкий и ореховый». Партнёр «болгарский перец» относится к группе «Плодовые овощи» и даёт зелёный, травянистый, фруктовый; у красного — сладкий и жареный.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7" s="28" t="str">
        <x:v>сырой чеснок быстро доминирует; пережжённый чеснок очень горький; хранить и обрабатывать по пищевым нормам</x:v>
      </x:c>
      <x:c r="I517" s="28" t="str">
        <x:v>горячее блюдо, бульон, соус, пюре, ферментация или гарнир с болгарский перец</x:v>
      </x:c>
      <x:c r="J517" s="28" t="str">
        <x:v>Высокая</x:v>
      </x:c>
      <x:c r="K517" s="28" t="str">
        <x:v>The Art &amp; Science of Foodpairing.pdf</x:v>
      </x:c>
      <x:c r="L517" s="28" t="str">
        <x:v>The Art &amp; Science of Foodpairing.pdf: 109, 113</x:v>
      </x:c>
    </x:row>
    <x:row r="518" ht="66" customHeight="1">
      <x:c r="A518" s="28" t="str">
        <x:v>VEG-1017</x:v>
      </x:c>
      <x:c r="B518" s="28" t="str">
        <x:v>чеснок</x:v>
      </x:c>
      <x:c r="C518" s="28" t="str">
        <x:v>брокколи</x:v>
      </x:c>
      <x:c r="D518" s="28" t="str">
        <x:v>Крестоцветные</x:v>
      </x:c>
      <x:c r="E518" s="28" t="str">
        <x:v>пересечение ароматических семейств; сернистая или горчичная комплементарность</x:v>
      </x:c>
      <x:c r="F518" s="28" t="str">
        <x:v>Чеснок имеет профиль «резкий сернистый, зелёный и мясной; после запекания — сладкий и ореховый». Партнёр «брокколи» относится к группе «Крестоцветные» и даёт зелёный, капустный, сернистый и ореховый после жарки.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8" s="28" t="str">
        <x:v>сырой чеснок быстро доминирует; пережжённый чеснок очень горький; хранить и обрабатывать по пищевым нормам</x:v>
      </x:c>
      <x:c r="I518" s="28" t="str">
        <x:v>горячее блюдо, бульон, соус, пюре, ферментация или гарнир с брокколи</x:v>
      </x:c>
      <x:c r="J518" s="28" t="str">
        <x:v>Высокая</x:v>
      </x:c>
      <x:c r="K518" s="28" t="str">
        <x:v>The Art &amp; Science of Foodpairing.pdf | Тезариус вкусов (Ники Сегнит)(1).pdf</x:v>
      </x:c>
      <x:c r="L518" s="28" t="str">
        <x:v>Тезариус вкусов (Ники Сегнит)(1).pdf: 293, 333; The Art &amp; Science of Foodpairing.pdf: 114</x:v>
      </x:c>
    </x:row>
    <x:row r="519" ht="66" customHeight="1">
      <x:c r="A519" s="28" t="str">
        <x:v>VEG-1018</x:v>
      </x:c>
      <x:c r="B519" s="28" t="str">
        <x:v>чеснок</x:v>
      </x:c>
      <x:c r="C519" s="28" t="str">
        <x:v>виноград</x:v>
      </x:c>
      <x:c r="D519" s="28" t="str">
        <x:v>Фрукты и ягоды</x:v>
      </x:c>
      <x:c r="E519" s="28" t="str">
        <x:v>кислотно-сладкий баланс; сернистая или горчичная комплементарность</x:v>
      </x:c>
      <x:c r="F519" s="28" t="str">
        <x:v>Чеснок имеет профиль «резкий сернистый, зелёный и мясной; после запекания — сладкий и ореховый».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9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19" s="28" t="str">
        <x:v>горячее блюдо, бульон, соус, пюре, ферментация или гарнир с виноград</x:v>
      </x:c>
      <x:c r="J519" s="28" t="str">
        <x:v>Средняя</x:v>
      </x:c>
      <x:c r="K519" s="28" t="str">
        <x:v>The Art &amp; Science of Foodpairing.pdf</x:v>
      </x:c>
      <x:c r="L519" s="28" t="str">
        <x:v>The Art &amp; Science of Foodpairing.pdf: 113</x:v>
      </x:c>
    </x:row>
    <x:row r="520" ht="66" customHeight="1">
      <x:c r="A520" s="28" t="str">
        <x:v>VEG-1019</x:v>
      </x:c>
      <x:c r="B520" s="28" t="str">
        <x:v>чеснок</x:v>
      </x:c>
      <x:c r="C520" s="28" t="str">
        <x:v>водоросль кодиум</x:v>
      </x:c>
      <x:c r="D520" s="28" t="str">
        <x:v>Прочее</x:v>
      </x:c>
      <x:c r="E520" s="28" t="str">
        <x:v>сернистая или горчичная комплементарность</x:v>
      </x:c>
      <x:c r="F520" s="28" t="str">
        <x:v>Чеснок имеет профиль «резкий сернистый, зелёный и мясной; после запекания — сладкий и ореховый». Партнёр «водоросль кодиум»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0" s="28" t="str">
        <x:v>сырой чеснок быстро доминирует; пережжённый чеснок очень горький; хранить и обрабатывать по пищевым нормам</x:v>
      </x:c>
      <x:c r="I520" s="28" t="str">
        <x:v>горячее блюдо, бульон, соус, пюре, ферментация или гарнир с водоросль кодиум</x:v>
      </x:c>
      <x:c r="J520" s="28" t="str">
        <x:v>Средняя</x:v>
      </x:c>
      <x:c r="K520" s="28" t="str">
        <x:v>The Art &amp; Science of Foodpairing.pdf</x:v>
      </x:c>
      <x:c r="L520" s="28" t="str">
        <x:v>The Art &amp; Science of Foodpairing.pdf: 113, 114</x:v>
      </x:c>
    </x:row>
    <x:row r="521" ht="66" customHeight="1">
      <x:c r="A521" s="28" t="str">
        <x:v>VEG-1020</x:v>
      </x:c>
      <x:c r="B521" s="28" t="str">
        <x:v>чеснок</x:v>
      </x:c>
      <x:c r="C521" s="28" t="str">
        <x:v>вьетнамский рыбный соус</x:v>
      </x:c>
      <x:c r="D521" s="28" t="str">
        <x:v>Рыба и морепродукты</x:v>
      </x:c>
      <x:c r="E521" s="28" t="str">
        <x:v>пересечение ароматических семейств; умами и солёный контраст; сернистая или горчичная комплементарность</x:v>
      </x:c>
      <x:c r="F521" s="28" t="str">
        <x:v>Чеснок имеет профиль «резкий сернистый, зелёный и мясной; после запекания — сладкий и ореховый». Партнёр «вьетнамский рыбный соус»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1" s="28" t="str">
        <x:v>сырой чеснок быстро доминирует; пережжённый чеснок очень горький; хранить и обрабатывать по пищевым нормам</x:v>
      </x:c>
      <x:c r="I521" s="28" t="str">
        <x:v>горячее блюдо, бульон, соус, пюре, ферментация или гарнир с вьетнамский рыбный соус</x:v>
      </x:c>
      <x:c r="J521" s="28" t="str">
        <x:v>Средняя</x:v>
      </x:c>
      <x:c r="K521" s="28" t="str">
        <x:v>The Art &amp; Science of Foodpairing.pdf</x:v>
      </x:c>
      <x:c r="L521" s="28" t="str">
        <x:v>The Art &amp; Science of Foodpairing.pdf: 114</x:v>
      </x:c>
    </x:row>
    <x:row r="522" ht="66" customHeight="1">
      <x:c r="A522" s="28" t="str">
        <x:v>VEG-1021</x:v>
      </x:c>
      <x:c r="B522" s="28" t="str">
        <x:v>чеснок</x:v>
      </x:c>
      <x:c r="C522" s="28" t="str">
        <x:v>говядина</x:v>
      </x:c>
      <x:c r="D522" s="28" t="str">
        <x:v>Мясо и птица</x:v>
      </x:c>
      <x:c r="E522" s="28" t="str">
        <x:v>пересечение ароматических семейств; умами и солёный контраст; сернистая или горчичная комплементарность</x:v>
      </x:c>
      <x:c r="F522" s="28" t="str">
        <x:v>Чеснок имеет профиль «резкий сернистый, зелёный и мясной; после запекания — сладкий и ореховый». Партнёр «говядина»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2" s="28" t="str">
        <x:v>сырой чеснок быстро доминирует; пережжённый чеснок очень горький; хранить и обрабатывать по пищевым нормам</x:v>
      </x:c>
      <x:c r="I522" s="28" t="str">
        <x:v>горячее блюдо, бульон, соус, пюре, ферментация или гарнир с говядина</x:v>
      </x:c>
      <x:c r="J522" s="28" t="str">
        <x:v>Высокая</x:v>
      </x:c>
      <x:c r="K522" s="28" t="str">
        <x:v>The Art &amp; Science of Foodpairing.pdf | Тезариус вкусов (Ники Сегнит)(1).pdf</x:v>
      </x:c>
      <x:c r="L522" s="28" t="str">
        <x:v>Тезариус вкусов (Ники Сегнит)(1).pdf: 120, 293; The Art &amp; Science of Foodpairing.pdf: 113</x:v>
      </x:c>
    </x:row>
    <x:row r="523" ht="66" customHeight="1">
      <x:c r="A523" s="28" t="str">
        <x:v>VEG-1022</x:v>
      </x:c>
      <x:c r="B523" s="28" t="str">
        <x:v>чеснок</x:v>
      </x:c>
      <x:c r="C523" s="28" t="str">
        <x:v>говяжья вырезка</x:v>
      </x:c>
      <x:c r="D523" s="28" t="str">
        <x:v>Прочее</x:v>
      </x:c>
      <x:c r="E523" s="28" t="str">
        <x:v>сернистая или горчичная комплементарность</x:v>
      </x:c>
      <x:c r="F523" s="28" t="str">
        <x:v>Чеснок имеет профиль «резкий сернистый, зелёный и мясной; после запекания — сладкий и ореховый». Партнёр «говяжья вырезка»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3" s="28" t="str">
        <x:v>сырой чеснок быстро доминирует; пережжённый чеснок очень горький; хранить и обрабатывать по пищевым нормам</x:v>
      </x:c>
      <x:c r="I523" s="28" t="str">
        <x:v>горячее блюдо, бульон, соус, пюре, ферментация или гарнир с говяжья вырезка</x:v>
      </x:c>
      <x:c r="J523" s="28" t="str">
        <x:v>Средняя</x:v>
      </x:c>
      <x:c r="K523" s="28" t="str">
        <x:v>The Art &amp; Science of Foodpairing.pdf</x:v>
      </x:c>
      <x:c r="L523" s="28" t="str">
        <x:v>The Art &amp; Science of Foodpairing.pdf: 114</x:v>
      </x:c>
    </x:row>
    <x:row r="524" ht="66" customHeight="1">
      <x:c r="A524" s="28" t="str">
        <x:v>VEG-1023</x:v>
      </x:c>
      <x:c r="B524" s="28" t="str">
        <x:v>чеснок</x:v>
      </x:c>
      <x:c r="C524" s="28" t="str">
        <x:v>горох</x:v>
      </x:c>
      <x:c r="D524" s="28" t="str">
        <x:v>Бобовые</x:v>
      </x:c>
      <x:c r="E524" s="28" t="str">
        <x:v>сернистая или горчичная комплементарность</x:v>
      </x:c>
      <x:c r="F524" s="28" t="str">
        <x:v>Чеснок имеет профиль «резкий сернистый, зелёный и мясной; после запекания — сладкий и ореховый». Партнёр «горох» относится к группе «Бобовые» и даёт зелёный, сладкий, бобовый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4" s="28" t="str">
        <x:v>сырой чеснок быстро доминирует; пережжённый чеснок очень горький; хранить и обрабатывать по пищевым нормам</x:v>
      </x:c>
      <x:c r="I524" s="28" t="str">
        <x:v>горячее блюдо, бульон, соус, пюре, ферментация или гарнир с горох</x:v>
      </x:c>
      <x:c r="J524" s="28" t="str">
        <x:v>Средняя</x:v>
      </x:c>
      <x:c r="K524" s="28" t="str">
        <x:v>The Art &amp; Science of Foodpairing.pdf</x:v>
      </x:c>
      <x:c r="L524" s="28" t="str">
        <x:v>The Art &amp; Science of Foodpairing.pdf: 114</x:v>
      </x:c>
    </x:row>
    <x:row r="525" ht="66" customHeight="1">
      <x:c r="A525" s="28" t="str">
        <x:v>VEG-1024</x:v>
      </x:c>
      <x:c r="B525" s="28" t="str">
        <x:v>чеснок</x:v>
      </x:c>
      <x:c r="C525" s="28" t="str">
        <x:v>горчичная зелень</x:v>
      </x:c>
      <x:c r="D525" s="28" t="str">
        <x:v>Прочее</x:v>
      </x:c>
      <x:c r="E525" s="28" t="str">
        <x:v>сернистая или горчичная комплементарность</x:v>
      </x:c>
      <x:c r="F525" s="28" t="str">
        <x:v>Чеснок имеет профиль «резкий сернистый, зелёный и мясной; после запекания — сладкий и ореховый». Партнёр «горчичная зелень»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5" s="28" t="str">
        <x:v>сырой чеснок быстро доминирует; пережжённый чеснок очень горький; хранить и обрабатывать по пищевым нормам</x:v>
      </x:c>
      <x:c r="I525" s="28" t="str">
        <x:v>горячее блюдо, бульон, соус, пюре, ферментация или гарнир с горчичная зелень</x:v>
      </x:c>
      <x:c r="J525" s="28" t="str">
        <x:v>Средняя</x:v>
      </x:c>
      <x:c r="K525" s="28" t="str">
        <x:v>The Art &amp; Science of Foodpairing.pdf</x:v>
      </x:c>
      <x:c r="L525" s="28" t="str">
        <x:v>The Art &amp; Science of Foodpairing.pdf: 114</x:v>
      </x:c>
    </x:row>
    <x:row r="526" ht="66" customHeight="1">
      <x:c r="A526" s="28" t="str">
        <x:v>VEG-1025</x:v>
      </x:c>
      <x:c r="B526" s="28" t="str">
        <x:v>чеснок</x:v>
      </x:c>
      <x:c r="C526" s="28" t="str">
        <x:v>грана падано</x:v>
      </x:c>
      <x:c r="D526" s="28" t="str">
        <x:v>Прочее</x:v>
      </x:c>
      <x:c r="E526" s="28" t="str">
        <x:v>сернистая или горчичная комплементарность</x:v>
      </x:c>
      <x:c r="F526" s="28" t="str">
        <x:v>Чеснок имеет профиль «резкий сернистый, зелёный и мясной; после запекания — сладкий и ореховый». Партнёр «грана падано»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6" s="28" t="str">
        <x:v>сырой чеснок быстро доминирует; пережжённый чеснок очень горький; хранить и обрабатывать по пищевым нормам</x:v>
      </x:c>
      <x:c r="I526" s="28" t="str">
        <x:v>горячее блюдо, бульон, соус, пюре, ферментация или гарнир с грана падано</x:v>
      </x:c>
      <x:c r="J526" s="28" t="str">
        <x:v>Средняя</x:v>
      </x:c>
      <x:c r="K526" s="28" t="str">
        <x:v>The Art &amp; Science of Foodpairing.pdf</x:v>
      </x:c>
      <x:c r="L526" s="28" t="str">
        <x:v>The Art &amp; Science of Foodpairing.pdf: 114</x:v>
      </x:c>
    </x:row>
    <x:row r="527" ht="66" customHeight="1">
      <x:c r="A527" s="28" t="str">
        <x:v>VEG-1026</x:v>
      </x:c>
      <x:c r="B527" s="28" t="str">
        <x:v>чеснок</x:v>
      </x:c>
      <x:c r="C527" s="28" t="str">
        <x:v>гранатовый сок</x:v>
      </x:c>
      <x:c r="D527" s="28" t="str">
        <x:v>Прочее</x:v>
      </x:c>
      <x:c r="E527" s="28" t="str">
        <x:v>сернистая или горчичная комплементарность</x:v>
      </x:c>
      <x:c r="F527" s="28" t="str">
        <x:v>Чеснок имеет профиль «резкий сернистый, зелёный и мясной; после запекания — сладкий и ореховый». Партнёр «гранатовый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7" s="28" t="str">
        <x:v>сырой чеснок быстро доминирует; пережжённый чеснок очень горький; хранить и обрабатывать по пищевым нормам</x:v>
      </x:c>
      <x:c r="I527" s="28" t="str">
        <x:v>горячее блюдо, бульон, соус, пюре, ферментация или гарнир с гранатовый сок</x:v>
      </x:c>
      <x:c r="J527" s="28" t="str">
        <x:v>Средняя</x:v>
      </x:c>
      <x:c r="K527" s="28" t="str">
        <x:v>The Art &amp; Science of Foodpairing.pdf</x:v>
      </x:c>
      <x:c r="L527" s="28" t="str">
        <x:v>The Art &amp; Science of Foodpairing.pdf: 113</x:v>
      </x:c>
    </x:row>
    <x:row r="528" ht="66" customHeight="1">
      <x:c r="A528" s="28" t="str">
        <x:v>VEG-1027</x:v>
      </x:c>
      <x:c r="B528" s="28" t="str">
        <x:v>чеснок</x:v>
      </x:c>
      <x:c r="C528" s="28" t="str">
        <x:v>грецкий орех</x:v>
      </x:c>
      <x:c r="D528" s="28" t="str">
        <x:v>Орехи и семена</x:v>
      </x:c>
      <x:c r="E528" s="28" t="str">
        <x:v>сернистая или горчичная комплементарность</x:v>
      </x:c>
      <x:c r="F528" s="28" t="str">
        <x:v>Чеснок имеет профиль «резкий сернистый, зелёный и мясной; после запекания — сладкий и ореховый». Партнёр «грецкий орех» относится к группе «Орехи и семена» и даёт древесный, землистый,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8" s="28" t="str">
        <x:v>сырой чеснок быстро доминирует; пережжённый чеснок очень горький; хранить и обрабатывать по пищевым нормам</x:v>
      </x:c>
      <x:c r="I528" s="28" t="str">
        <x:v>горячее блюдо, бульон, соус, пюре, ферментация или гарнир с грецкий орех</x:v>
      </x:c>
      <x:c r="J528" s="28" t="str">
        <x:v>Средняя</x:v>
      </x:c>
      <x:c r="K528" s="28" t="str">
        <x:v>Тезариус вкусов (Ники Сегнит)(1).pdf</x:v>
      </x:c>
      <x:c r="L528" s="28" t="str">
        <x:v>Тезариус вкусов (Ники Сегнит)(1).pdf: 293, 630</x:v>
      </x:c>
    </x:row>
    <x:row r="529" ht="66" customHeight="1">
      <x:c r="A529" s="28" t="str">
        <x:v>VEG-1028</x:v>
      </x:c>
      <x:c r="B529" s="28" t="str">
        <x:v>чеснок</x:v>
      </x:c>
      <x:c r="C529" s="28" t="str">
        <x:v>груша</x:v>
      </x:c>
      <x:c r="D529" s="28" t="str">
        <x:v>Фрукты и ягоды</x:v>
      </x:c>
      <x:c r="E529" s="28" t="str">
        <x:v>кислотно-сладкий баланс; сернистая или горчичная комплементарность</x:v>
      </x:c>
      <x:c r="F529" s="28" t="str">
        <x:v>Чеснок имеет профиль «резкий сернистый, зелёный и мясной; после запекания — сладкий и ореховый». Партнёр «груша» относится к группе «Фрукты и ягоды» и даёт сладкий, фруктовый, цветочный.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9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29" s="28" t="str">
        <x:v>горячее блюдо, бульон, соус, пюре, ферментация или гарнир с груша</x:v>
      </x:c>
      <x:c r="J529" s="28" t="str">
        <x:v>Средняя</x:v>
      </x:c>
      <x:c r="K529" s="28" t="str">
        <x:v>The Art &amp; Science of Foodpairing.pdf</x:v>
      </x:c>
      <x:c r="L529" s="28" t="str">
        <x:v>The Art &amp; Science of Foodpairing.pdf: 114</x:v>
      </x:c>
    </x:row>
    <x:row r="530" ht="66" customHeight="1">
      <x:c r="A530" s="28" t="str">
        <x:v>VEG-1029</x:v>
      </x:c>
      <x:c r="B530" s="28" t="str">
        <x:v>чеснок</x:v>
      </x:c>
      <x:c r="C530" s="28" t="str">
        <x:v>гуава</x:v>
      </x:c>
      <x:c r="D530" s="28" t="str">
        <x:v>Фрукты и ягоды</x:v>
      </x:c>
      <x:c r="E530" s="28" t="str">
        <x:v>кислотно-сладкий баланс; сернистая или горчичная комплементарность</x:v>
      </x:c>
      <x:c r="F530" s="28" t="str">
        <x:v>Чеснок имеет профиль «резкий сернистый, зелёный и мясной; после запекания — сладкий и ореховый». Партнёр «гуава»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0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30" s="28" t="str">
        <x:v>горячее блюдо, бульон, соус, пюре, ферментация или гарнир с гуава</x:v>
      </x:c>
      <x:c r="J530" s="28" t="str">
        <x:v>Средняя</x:v>
      </x:c>
      <x:c r="K530" s="28" t="str">
        <x:v>The Art &amp; Science of Foodpairing.pdf</x:v>
      </x:c>
      <x:c r="L530" s="28" t="str">
        <x:v>The Art &amp; Science of Foodpairing.pdf: 114</x:v>
      </x:c>
    </x:row>
    <x:row r="531" ht="66" customHeight="1">
      <x:c r="A531" s="28" t="str">
        <x:v>VEG-1030</x:v>
      </x:c>
      <x:c r="B531" s="28" t="str">
        <x:v>чеснок</x:v>
      </x:c>
      <x:c r="C531" s="28" t="str">
        <x:v>дикий рис</x:v>
      </x:c>
      <x:c r="D531" s="28" t="str">
        <x:v>Выпечка, крупы, сахара и десерты</x:v>
      </x:c>
      <x:c r="E531" s="28" t="str">
        <x:v>пересечение ароматических семейств; сернистая или горчичная комплементарность</x:v>
      </x:c>
      <x:c r="F531" s="28" t="str">
        <x:v>Чеснок имеет профиль «резкий сернистый, зелёный и мясной; после запекания — сладкий и ореховый». Партнёр «дикий рис»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1" s="28" t="str">
        <x:v>сырой чеснок быстро доминирует; пережжённый чеснок очень горький; хранить и обрабатывать по пищевым нормам</x:v>
      </x:c>
      <x:c r="I531" s="28" t="str">
        <x:v>горячее блюдо, бульон, соус, пюре, ферментация или гарнир с дикий рис</x:v>
      </x:c>
      <x:c r="J531" s="28" t="str">
        <x:v>Средняя</x:v>
      </x:c>
      <x:c r="K531" s="28" t="str">
        <x:v>The Art &amp; Science of Foodpairing.pdf</x:v>
      </x:c>
      <x:c r="L531" s="28" t="str">
        <x:v>The Art &amp; Science of Foodpairing.pdf: 114</x:v>
      </x:c>
    </x:row>
    <x:row r="532" ht="66" customHeight="1">
      <x:c r="A532" s="28" t="str">
        <x:v>VEG-1031</x:v>
      </x:c>
      <x:c r="B532" s="28" t="str">
        <x:v>чеснок</x:v>
      </x:c>
      <x:c r="C532" s="28" t="str">
        <x:v>длинный перец</x:v>
      </x:c>
      <x:c r="D532" s="28" t="str">
        <x:v>Прочее</x:v>
      </x:c>
      <x:c r="E532" s="28" t="str">
        <x:v>сернистая или горчичная комплементарность</x:v>
      </x:c>
      <x:c r="F532" s="28" t="str">
        <x:v>Чеснок имеет профиль «резкий сернистый, зелёный и мясной; после запекания — сладкий и ореховый». Партнёр «длинный перец»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2" s="28" t="str">
        <x:v>сырой чеснок быстро доминирует; пережжённый чеснок очень горький; хранить и обрабатывать по пищевым нормам</x:v>
      </x:c>
      <x:c r="I532" s="28" t="str">
        <x:v>горячее блюдо, бульон, соус, пюре, ферментация или гарнир с длинный перец</x:v>
      </x:c>
      <x:c r="J532" s="28" t="str">
        <x:v>Средняя</x:v>
      </x:c>
      <x:c r="K532" s="28" t="str">
        <x:v>The Art &amp; Science of Foodpairing.pdf</x:v>
      </x:c>
      <x:c r="L532" s="28" t="str">
        <x:v>The Art &amp; Science of Foodpairing.pdf: 114</x:v>
      </x:c>
    </x:row>
    <x:row r="533" ht="66" customHeight="1">
      <x:c r="A533" s="28" t="str">
        <x:v>VEG-1032</x:v>
      </x:c>
      <x:c r="B533" s="28" t="str">
        <x:v>чеснок</x:v>
      </x:c>
      <x:c r="C533" s="28" t="str">
        <x:v>дыня</x:v>
      </x:c>
      <x:c r="D533" s="28" t="str">
        <x:v>Фрукты и ягоды</x:v>
      </x:c>
      <x:c r="E533" s="28" t="str">
        <x:v>кислотно-сладкий баланс; сернистая или горчичная комплементарность</x:v>
      </x:c>
      <x:c r="F533" s="28" t="str">
        <x:v>Чеснок имеет профиль «резкий сернистый, зелёный и мясной; после запекания — сладкий и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33" s="28" t="str">
        <x:v>горячее блюдо, бульон, соус, пюре, ферментация или гарнир с дыня</x:v>
      </x:c>
      <x:c r="J533" s="28" t="str">
        <x:v>Средняя</x:v>
      </x:c>
      <x:c r="K533" s="28" t="str">
        <x:v>The Art &amp; Science of Foodpairing.pdf</x:v>
      </x:c>
      <x:c r="L533" s="28" t="str">
        <x:v>The Art &amp; Science of Foodpairing.pdf: 113</x:v>
      </x:c>
    </x:row>
    <x:row r="534" ht="66" customHeight="1">
      <x:c r="A534" s="28" t="str">
        <x:v>VEG-1033</x:v>
      </x:c>
      <x:c r="B534" s="28" t="str">
        <x:v>чеснок</x:v>
      </x:c>
      <x:c r="C534" s="28" t="str">
        <x:v>жаботикаба</x:v>
      </x:c>
      <x:c r="D534" s="28" t="str">
        <x:v>Прочее</x:v>
      </x:c>
      <x:c r="E534" s="28" t="str">
        <x:v>сернистая или горчичная комплементарность</x:v>
      </x:c>
      <x:c r="F534" s="28" t="str">
        <x:v>Чеснок имеет профиль «резкий сернистый, зелёный и мясной; после запекания — сладкий и ореховый». Партнёр «жаботикаба»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4" s="28" t="str">
        <x:v>сырой чеснок быстро доминирует; пережжённый чеснок очень горький; хранить и обрабатывать по пищевым нормам</x:v>
      </x:c>
      <x:c r="I534" s="28" t="str">
        <x:v>горячее блюдо, бульон, соус, пюре, ферментация или гарнир с жаботикаба</x:v>
      </x:c>
      <x:c r="J534" s="28" t="str">
        <x:v>Средняя</x:v>
      </x:c>
      <x:c r="K534" s="28" t="str">
        <x:v>The Art &amp; Science of Foodpairing.pdf</x:v>
      </x:c>
      <x:c r="L534" s="28" t="str">
        <x:v>The Art &amp; Science of Foodpairing.pdf: 114</x:v>
      </x:c>
    </x:row>
    <x:row r="535" ht="66" customHeight="1">
      <x:c r="A535" s="28" t="str">
        <x:v>VEG-1034</x:v>
      </x:c>
      <x:c r="B535" s="28" t="str">
        <x:v>чеснок</x:v>
      </x:c>
      <x:c r="C535" s="28" t="str">
        <x:v>жареная индейка</x:v>
      </x:c>
      <x:c r="D535" s="28" t="str">
        <x:v>Мясо и птица</x:v>
      </x:c>
      <x:c r="E535" s="28" t="str">
        <x:v>пересечение ароматических семейств; умами и солёный контраст; сернистая или горчичная комплементарность</x:v>
      </x:c>
      <x:c r="F535" s="28" t="str">
        <x:v>Чеснок имеет профиль «резкий сернистый, зелёный и мясной; после запекания — сладкий и ореховый». Партнёр «жареная индейка»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5" s="28" t="str">
        <x:v>сырой чеснок быстро доминирует; пережжённый чеснок очень горький; хранить и обрабатывать по пищевым нормам</x:v>
      </x:c>
      <x:c r="I535" s="28" t="str">
        <x:v>горячее блюдо, бульон, соус, пюре, ферментация или гарнир с жареная индейка</x:v>
      </x:c>
      <x:c r="J535" s="28" t="str">
        <x:v>Средняя</x:v>
      </x:c>
      <x:c r="K535" s="28" t="str">
        <x:v>The Art &amp; Science of Foodpairing.pdf</x:v>
      </x:c>
      <x:c r="L535" s="28" t="str">
        <x:v>The Art &amp; Science of Foodpairing.pdf: 114</x:v>
      </x:c>
    </x:row>
    <x:row r="536" ht="66" customHeight="1">
      <x:c r="A536" s="28" t="str">
        <x:v>VEG-1035</x:v>
      </x:c>
      <x:c r="B536" s="28" t="str">
        <x:v>чеснок</x:v>
      </x:c>
      <x:c r="C536" s="28" t="str">
        <x:v>жирная рыба</x:v>
      </x:c>
      <x:c r="D536" s="28" t="str">
        <x:v>Рыба и морепродукты</x:v>
      </x:c>
      <x:c r="E536" s="28" t="str">
        <x:v>пересечение ароматических семейств; умами и солёный контраст; сернистая или горчичная комплементарность</x:v>
      </x:c>
      <x:c r="F536" s="28" t="str">
        <x:v>Чеснок имеет профиль «резкий сернистый, зелёный и мясной; после запекания — сладкий и ореховый». Партнёр «жирная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6" s="28" t="str">
        <x:v>сырой чеснок быстро доминирует; пережжённый чеснок очень горький; хранить и обрабатывать по пищевым нормам</x:v>
      </x:c>
      <x:c r="I536" s="28" t="str">
        <x:v>горячее блюдо, бульон, соус, пюре, ферментация или гарнир с жирная рыба</x:v>
      </x:c>
      <x:c r="J536" s="28" t="str">
        <x:v>Средняя</x:v>
      </x:c>
      <x:c r="K536" s="28" t="str">
        <x:v>Тезариус вкусов (Ники Сегнит)(1).pdf</x:v>
      </x:c>
      <x:c r="L536" s="28" t="str">
        <x:v>Тезариус вкусов (Ники Сегнит)(1).pdf: 293, 419</x:v>
      </x:c>
    </x:row>
    <x:row r="537" ht="66" customHeight="1">
      <x:c r="A537" s="28" t="str">
        <x:v>VEG-1036</x:v>
      </x:c>
      <x:c r="B537" s="28" t="str">
        <x:v>чеснок</x:v>
      </x:c>
      <x:c r="C537" s="28" t="str">
        <x:v>зелёные водоросли</x:v>
      </x:c>
      <x:c r="D537" s="28" t="str">
        <x:v>Прочее</x:v>
      </x:c>
      <x:c r="E537" s="28" t="str">
        <x:v>сернистая или горчичная комплементарность</x:v>
      </x:c>
      <x:c r="F537" s="28" t="str">
        <x:v>Чеснок имеет профиль «резкий сернистый, зелёный и мясной; после запекания — сладкий и ореховый». Партнёр «зелёные 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7" s="28" t="str">
        <x:v>сырой чеснок быстро доминирует; пережжённый чеснок очень горький; хранить и обрабатывать по пищевым нормам</x:v>
      </x:c>
      <x:c r="I537" s="28" t="str">
        <x:v>горячее блюдо, бульон, соус, пюре, ферментация или гарнир с зелёные водоросли</x:v>
      </x:c>
      <x:c r="J537" s="28" t="str">
        <x:v>Средняя</x:v>
      </x:c>
      <x:c r="K537" s="28" t="str">
        <x:v>The Art &amp; Science of Foodpairing.pdf</x:v>
      </x:c>
      <x:c r="L537" s="28" t="str">
        <x:v>The Art &amp; Science of Foodpairing.pdf: 114</x:v>
      </x:c>
    </x:row>
    <x:row r="538" ht="66" customHeight="1">
      <x:c r="A538" s="28" t="str">
        <x:v>VEG-1037</x:v>
      </x:c>
      <x:c r="B538" s="28" t="str">
        <x:v>чеснок</x:v>
      </x:c>
      <x:c r="C538" s="28" t="str">
        <x:v>зелёный чай</x:v>
      </x:c>
      <x:c r="D538" s="28" t="str">
        <x:v>Чай</x:v>
      </x:c>
      <x:c r="E538" s="28" t="str">
        <x:v>сернистая или горчичная комплементарность</x:v>
      </x:c>
      <x:c r="F538" s="28" t="str">
        <x:v>Чеснок имеет профиль «резкий сернистый, зелёный и мясной; после запекания — сладкий и ореховый». Партнёр «зелёный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8" s="28" t="str">
        <x:v>сырой чеснок быстро доминирует; пережжённый чеснок очень горький; хранить и обрабатывать по пищевым нормам</x:v>
      </x:c>
      <x:c r="I538" s="28" t="str">
        <x:v>горячее блюдо, бульон, соус, пюре, ферментация или гарнир с зелёный чай</x:v>
      </x:c>
      <x:c r="J538" s="28" t="str">
        <x:v>Средняя</x:v>
      </x:c>
      <x:c r="K538" s="28" t="str">
        <x:v>The Art &amp; Science of Foodpairing.pdf</x:v>
      </x:c>
      <x:c r="L538" s="28" t="str">
        <x:v>The Art &amp; Science of Foodpairing.pdf: 113</x:v>
      </x:c>
    </x:row>
    <x:row r="539" ht="66" customHeight="1">
      <x:c r="A539" s="28" t="str">
        <x:v>VEG-1038</x:v>
      </x:c>
      <x:c r="B539" s="28" t="str">
        <x:v>чеснок</x:v>
      </x:c>
      <x:c r="C539" s="28" t="str">
        <x:v>зира</x:v>
      </x:c>
      <x:c r="D539" s="28" t="str">
        <x:v>Специи</x:v>
      </x:c>
      <x:c r="E539" s="28" t="str">
        <x:v>пересечение ароматических семейств; сернистая или горчичная комплементарность</x:v>
      </x:c>
      <x:c r="F539" s="28" t="str">
        <x:v>Чеснок имеет профиль «резкий сернистый, зелёный и мясной; после запекания — сладкий и ореховый». Партнёр «зира» относится к группе «Специи» и даёт жареный, землистый, пряный. Профили пересекаются в семействах: жареный.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9" s="28" t="str">
        <x:v>сырой чеснок быстро доминирует; пережжённый чеснок очень горький; хранить и обрабатывать по пищевым нормам</x:v>
      </x:c>
      <x:c r="I539" s="28" t="str">
        <x:v>горячее блюдо, бульон, соус, пюре, ферментация или гарнир с зира</x:v>
      </x:c>
      <x:c r="J539" s="28" t="str">
        <x:v>Средняя</x:v>
      </x:c>
      <x:c r="K539" s="28" t="str">
        <x:v>The Art &amp; Science of Foodpairing.pdf</x:v>
      </x:c>
      <x:c r="L539" s="28" t="str">
        <x:v>The Art &amp; Science of Foodpairing.pdf: 228</x:v>
      </x:c>
    </x:row>
    <x:row r="540" ht="66" customHeight="1">
      <x:c r="A540" s="28" t="str">
        <x:v>VEG-1039</x:v>
      </x:c>
      <x:c r="B540" s="28" t="str">
        <x:v>чеснок</x:v>
      </x:c>
      <x:c r="C540" s="28" t="str">
        <x:v>имбирь</x:v>
      </x:c>
      <x:c r="D540" s="28" t="str">
        <x:v>Специи</x:v>
      </x:c>
      <x:c r="E540" s="28" t="str">
        <x:v>сернистая или горчичная комплементарность</x:v>
      </x:c>
      <x:c r="F540" s="28" t="str">
        <x:v>Чеснок имеет профиль «резкий сернистый, зелёный и мясной; после запекания — сладкий и ореховый».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0" s="28" t="str">
        <x:v>сырой чеснок быстро доминирует; пережжённый чеснок очень горький; хранить и обрабатывать по пищевым нормам</x:v>
      </x:c>
      <x:c r="I540" s="28" t="str">
        <x:v>горячее блюдо, бульон, соус, пюре, ферментация или гарнир с имбирь</x:v>
      </x:c>
      <x:c r="J540" s="28" t="str">
        <x:v>Средняя</x:v>
      </x:c>
      <x:c r="K540" s="28" t="str">
        <x:v>Тезариус вкусов (Ники Сегнит)(1).pdf</x:v>
      </x:c>
      <x:c r="L540" s="28" t="str">
        <x:v>Тезариус вкусов (Ники Сегнит)(1).pdf: 293, 821</x:v>
      </x:c>
    </x:row>
    <x:row r="541" ht="66" customHeight="1">
      <x:c r="A541" s="28" t="str">
        <x:v>VEG-1040</x:v>
      </x:c>
      <x:c r="B541" s="28" t="str">
        <x:v>чеснок</x:v>
      </x:c>
      <x:c r="C541" s="28" t="str">
        <x:v>индейка</x:v>
      </x:c>
      <x:c r="D541" s="28" t="str">
        <x:v>Мясо и птица</x:v>
      </x:c>
      <x:c r="E541" s="28" t="str">
        <x:v>пересечение ароматических семейств; умами и солёный контраст; сернистая или горчичная комплементарность</x:v>
      </x:c>
      <x:c r="F541" s="28" t="str">
        <x:v>Чеснок имеет профиль «резкий сернистый, зелёный и мясной; после запекания — сладкий и ореховый». Партнёр «индейка»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1" s="28" t="str">
        <x:v>сырой чеснок быстро доминирует; пережжённый чеснок очень горький; хранить и обрабатывать по пищевым нормам</x:v>
      </x:c>
      <x:c r="I541" s="28" t="str">
        <x:v>горячее блюдо, бульон, соус, пюре, ферментация или гарнир с индейка</x:v>
      </x:c>
      <x:c r="J541" s="28" t="str">
        <x:v>Средняя</x:v>
      </x:c>
      <x:c r="K541" s="28" t="str">
        <x:v>The Art &amp; Science of Foodpairing.pdf</x:v>
      </x:c>
      <x:c r="L541" s="28" t="str">
        <x:v>The Art &amp; Science of Foodpairing.pdf: 113</x:v>
      </x:c>
    </x:row>
    <x:row r="542" ht="66" customHeight="1">
      <x:c r="A542" s="28" t="str">
        <x:v>VEG-1041</x:v>
      </x:c>
      <x:c r="B542" s="28" t="str">
        <x:v>чеснок</x:v>
      </x:c>
      <x:c r="C542" s="28" t="str">
        <x:v>испанский чоризо</x:v>
      </x:c>
      <x:c r="D542" s="28" t="str">
        <x:v>Прочее</x:v>
      </x:c>
      <x:c r="E542" s="28" t="str">
        <x:v>сернистая или горчичная комплементарность</x:v>
      </x:c>
      <x:c r="F542" s="28" t="str">
        <x:v>Чеснок имеет профиль «резкий сернистый, зелёный и мясной; после запекания — сладкий и ореховый».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2" s="28" t="str">
        <x:v>сырой чеснок быстро доминирует; пережжённый чеснок очень горький; хранить и обрабатывать по пищевым нормам</x:v>
      </x:c>
      <x:c r="I542" s="28" t="str">
        <x:v>горячее блюдо, бульон, соус, пюре, ферментация или гарнир с испанский чоризо</x:v>
      </x:c>
      <x:c r="J542" s="28" t="str">
        <x:v>Средняя</x:v>
      </x:c>
      <x:c r="K542" s="28" t="str">
        <x:v>The Art &amp; Science of Foodpairing.pdf</x:v>
      </x:c>
      <x:c r="L542" s="28" t="str">
        <x:v>The Art &amp; Science of Foodpairing.pdf: 114</x:v>
      </x:c>
    </x:row>
    <x:row r="543" ht="66" customHeight="1">
      <x:c r="A543" s="28" t="str">
        <x:v>VEG-1042</x:v>
      </x:c>
      <x:c r="B543" s="28" t="str">
        <x:v>чеснок</x:v>
      </x:c>
      <x:c r="C543" s="28" t="str">
        <x:v>какао-крупка</x:v>
      </x:c>
      <x:c r="D543" s="28" t="str">
        <x:v>Какао и шоколад</x:v>
      </x:c>
      <x:c r="E543" s="28" t="str">
        <x:v>пересечение ароматических семейств; сернистая или горчичная комплементарность</x:v>
      </x:c>
      <x:c r="F543" s="28" t="str">
        <x:v>Чеснок имеет профиль «резкий сернистый, зелёный и мясной; после запекания — сладкий и ореховый». Партнёр «какао-крупка» относится к группе «Какао и шоколад» и даёт какаовый, жареный и горько-сладкий.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3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543" s="28" t="str">
        <x:v>горячее блюдо, бульон, соус, пюре, ферментация или гарнир с какао-крупка</x:v>
      </x:c>
      <x:c r="J543" s="28" t="str">
        <x:v>Средняя</x:v>
      </x:c>
      <x:c r="K543" s="28" t="str">
        <x:v>The Art &amp; Science of Foodpairing.pdf</x:v>
      </x:c>
      <x:c r="L543" s="28" t="str">
        <x:v>The Art &amp; Science of Foodpairing.pdf: 113</x:v>
      </x:c>
    </x:row>
    <x:row r="544" ht="66" customHeight="1">
      <x:c r="A544" s="28" t="str">
        <x:v>VEG-1043</x:v>
      </x:c>
      <x:c r="B544" s="28" t="str">
        <x:v>чеснок</x:v>
      </x:c>
      <x:c r="C544" s="28" t="str">
        <x:v>канталупа</x:v>
      </x:c>
      <x:c r="D544" s="28" t="str">
        <x:v>Прочее</x:v>
      </x:c>
      <x:c r="E544" s="28" t="str">
        <x:v>сернистая или горчичная комплементарность</x:v>
      </x:c>
      <x:c r="F544" s="28" t="str">
        <x:v>Чеснок имеет профиль «резкий сернистый, зелёный и мясной; после запекания — сладкий и ореховый». Партнёр «канталупа»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4" s="28" t="str">
        <x:v>сырой чеснок быстро доминирует; пережжённый чеснок очень горький; хранить и обрабатывать по пищевым нормам</x:v>
      </x:c>
      <x:c r="I544" s="28" t="str">
        <x:v>горячее блюдо, бульон, соус, пюре, ферментация или гарнир с канталупа</x:v>
      </x:c>
      <x:c r="J544" s="28" t="str">
        <x:v>Средняя</x:v>
      </x:c>
      <x:c r="K544" s="28" t="str">
        <x:v>The Art &amp; Science of Foodpairing.pdf</x:v>
      </x:c>
      <x:c r="L544" s="28" t="str">
        <x:v>The Art &amp; Science of Foodpairing.pdf: 114</x:v>
      </x:c>
    </x:row>
    <x:row r="545" ht="66" customHeight="1">
      <x:c r="A545" s="28" t="str">
        <x:v>VEG-1044</x:v>
      </x:c>
      <x:c r="B545" s="28" t="str">
        <x:v>чеснок</x:v>
      </x:c>
      <x:c r="C545" s="28" t="str">
        <x:v>капуста</x:v>
      </x:c>
      <x:c r="D545" s="28" t="str">
        <x:v>Крестоцветные</x:v>
      </x:c>
      <x:c r="E545" s="28" t="str">
        <x:v>общие характерные молекулы; пересечение ароматических семейств; сернистая или горчичная комплементарность</x:v>
      </x:c>
      <x:c r="F545" s="28" t="str">
        <x:v>Чеснок имеет профиль «резкий сернистый, зелёный и мясной; после запекания — сладкий и ореховый». Партнёр «капуста» относится к группе «Крестоцветные» и даёт зелёный, горчичный, сернистый и сладковатый после приготовления.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5" s="28" t="str">
        <x:v>сырой чеснок быстро доминирует; пережжённый чеснок очень горький; хранить и обрабатывать по пищевым нормам</x:v>
      </x:c>
      <x:c r="I545" s="28" t="str">
        <x:v>горячее блюдо, бульон, соус, пюре, ферментация или гарнир с капуста</x:v>
      </x:c>
      <x:c r="J545" s="28" t="str">
        <x:v>Высокая</x:v>
      </x:c>
      <x:c r="K545" s="28" t="str">
        <x:v>The Art &amp; Science of Foodpairing.pdf | Тезариус вкусов (Ники Сегнит)(1).pdf</x:v>
      </x:c>
      <x:c r="L545" s="28" t="str">
        <x:v>Тезариус вкусов (Ники Сегнит)(1).pdf: 294, 316; The Art &amp; Science of Foodpairing.pdf: 114</x:v>
      </x:c>
    </x:row>
    <x:row r="546" ht="66" customHeight="1">
      <x:c r="A546" s="28" t="str">
        <x:v>VEG-1045</x:v>
      </x:c>
      <x:c r="B546" s="28" t="str">
        <x:v>чеснок</x:v>
      </x:c>
      <x:c r="C546" s="28" t="str">
        <x:v>кефаль</x:v>
      </x:c>
      <x:c r="D546" s="28" t="str">
        <x:v>Рыба и морепродукты</x:v>
      </x:c>
      <x:c r="E546" s="28" t="str">
        <x:v>пересечение ароматических семейств; умами и солёный контраст; сернистая или горчичная комплементарность</x:v>
      </x:c>
      <x:c r="F546" s="28" t="str">
        <x:v>Чеснок имеет профиль «резкий сернистый, зелёный и мясной; после запекания — сладкий и ореховый». Партнёр «кефаль»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6" s="28" t="str">
        <x:v>сырой чеснок быстро доминирует; пережжённый чеснок очень горький; хранить и обрабатывать по пищевым нормам</x:v>
      </x:c>
      <x:c r="I546" s="28" t="str">
        <x:v>горячее блюдо, бульон, соус, пюре, ферментация или гарнир с кефаль</x:v>
      </x:c>
      <x:c r="J546" s="28" t="str">
        <x:v>Средняя</x:v>
      </x:c>
      <x:c r="K546" s="28" t="str">
        <x:v>The Art &amp; Science of Foodpairing.pdf</x:v>
      </x:c>
      <x:c r="L546" s="28" t="str">
        <x:v>The Art &amp; Science of Foodpairing.pdf: 114</x:v>
      </x:c>
    </x:row>
    <x:row r="547" ht="66" customHeight="1">
      <x:c r="A547" s="28" t="str">
        <x:v>VEG-1046</x:v>
      </x:c>
      <x:c r="B547" s="28" t="str">
        <x:v>чеснок</x:v>
      </x:c>
      <x:c r="C547" s="28" t="str">
        <x:v>кимчи</x:v>
      </x:c>
      <x:c r="D547" s="28" t="str">
        <x:v>Ферментированные продукты и соусы</x:v>
      </x:c>
      <x:c r="E547" s="28" t="str">
        <x:v>пересечение ароматических семейств; умами и солёный контраст; сернистая или горчичная комплементарность</x:v>
      </x:c>
      <x:c r="F547" s="28" t="str">
        <x:v>Чеснок имеет профиль «резкий сернистый, зелёный и мясной; после запекания — сладкий и ореховый». Партнёр «кимчи» относится к группе «Ферментированные продукты и соусы» и даёт ферментированный, умами и сложный.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7" s="28" t="str">
        <x:v>сырой чеснок быстро доминирует; пережжённый чеснок очень горький; хранить и обрабатывать по пищевым нормам</x:v>
      </x:c>
      <x:c r="I547" s="28" t="str">
        <x:v>горячее блюдо, бульон, соус, пюре, ферментация или гарнир с кимчи</x:v>
      </x:c>
      <x:c r="J547" s="28" t="str">
        <x:v>Средняя</x:v>
      </x:c>
      <x:c r="K547" s="28" t="str">
        <x:v>The Art &amp; Science of Foodpairing.pdf</x:v>
      </x:c>
      <x:c r="L547" s="28" t="str">
        <x:v>The Art &amp; Science of Foodpairing.pdf: 114, 305</x:v>
      </x:c>
    </x:row>
    <x:row r="548" ht="66" customHeight="1">
      <x:c r="A548" s="28" t="str">
        <x:v>VEG-1047</x:v>
      </x:c>
      <x:c r="B548" s="28" t="str">
        <x:v>чеснок</x:v>
      </x:c>
      <x:c r="C548" s="28" t="str">
        <x:v>клубника</x:v>
      </x:c>
      <x:c r="D548" s="28" t="str">
        <x:v>Фрукты и ягоды</x:v>
      </x:c>
      <x:c r="E548" s="28" t="str">
        <x:v>кислотно-сладкий баланс; сернистая или горчичная комплементарность</x:v>
      </x:c>
      <x:c r="F548" s="28" t="str">
        <x:v>Чеснок имеет профиль «резкий сернистый, зелёный и мясной; после запекания — сладкий и ореховый».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8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48" s="28" t="str">
        <x:v>горячее блюдо, бульон, соус, пюре, ферментация или гарнир с клубника</x:v>
      </x:c>
      <x:c r="J548" s="28" t="str">
        <x:v>Высокая</x:v>
      </x:c>
      <x:c r="K548" s="28" t="str">
        <x:v>The Art &amp; Science of Foodpairing.pdf</x:v>
      </x:c>
      <x:c r="L548" s="28" t="str">
        <x:v>The Art &amp; Science of Foodpairing.pdf: 112, 113</x:v>
      </x:c>
    </x:row>
    <x:row r="549" ht="66" customHeight="1">
      <x:c r="A549" s="28" t="str">
        <x:v>VEG-1048</x:v>
      </x:c>
      <x:c r="B549" s="28" t="str">
        <x:v>чеснок</x:v>
      </x:c>
      <x:c r="C549" s="28" t="str">
        <x:v>козий сыр</x:v>
      </x:c>
      <x:c r="D549" s="28" t="str">
        <x:v>Молочные продукты и сыры</x:v>
      </x:c>
      <x:c r="E549" s="28" t="str">
        <x:v>пересечение ароматических семейств; жировая матрица; сернистая или горчичная комплементарность</x:v>
      </x:c>
      <x:c r="F549" s="28" t="str">
        <x:v>Чеснок имеет профиль «резкий сернистый, зелёный и мясной; после запекания — сладкий и ореховый».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9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49" s="28" t="str">
        <x:v>горячее блюдо, бульон, соус, пюре, ферментация или гарнир с козий сыр</x:v>
      </x:c>
      <x:c r="J549" s="28" t="str">
        <x:v>Средняя</x:v>
      </x:c>
      <x:c r="K549" s="28" t="str">
        <x:v>Тезариус вкусов (Ники Сегнит)(1).pdf</x:v>
      </x:c>
      <x:c r="L549" s="28" t="str">
        <x:v>Тезариус вкусов (Ники Сегнит)(1).pdf: 143, 294</x:v>
      </x:c>
    </x:row>
    <x:row r="550" ht="66" customHeight="1">
      <x:c r="A550" s="28" t="str">
        <x:v>VEG-1049</x:v>
      </x:c>
      <x:c r="B550" s="28" t="str">
        <x:v>чеснок</x:v>
      </x:c>
      <x:c r="C550" s="28" t="str">
        <x:v>кольраби</x:v>
      </x:c>
      <x:c r="D550" s="28" t="str">
        <x:v>Прочее</x:v>
      </x:c>
      <x:c r="E550" s="28" t="str">
        <x:v>сернистая или горчичная комплементарность</x:v>
      </x:c>
      <x:c r="F550" s="28" t="str">
        <x:v>Чеснок имеет профиль «резкий сернистый, зелёный и мясной; после запекания — сладкий и ореховый». Партнёр «кольраби»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0" s="28" t="str">
        <x:v>сырой чеснок быстро доминирует; пережжённый чеснок очень горький; хранить и обрабатывать по пищевым нормам</x:v>
      </x:c>
      <x:c r="I550" s="28" t="str">
        <x:v>горячее блюдо, бульон, соус, пюре, ферментация или гарнир с кольраби</x:v>
      </x:c>
      <x:c r="J550" s="28" t="str">
        <x:v>Средняя</x:v>
      </x:c>
      <x:c r="K550" s="28" t="str">
        <x:v>The Art &amp; Science of Foodpairing.pdf</x:v>
      </x:c>
      <x:c r="L550" s="28" t="str">
        <x:v>The Art &amp; Science of Foodpairing.pdf: 114</x:v>
      </x:c>
    </x:row>
    <x:row r="551" ht="66" customHeight="1">
      <x:c r="A551" s="28" t="str">
        <x:v>VEG-1050</x:v>
      </x:c>
      <x:c r="B551" s="28" t="str">
        <x:v>чеснок</x:v>
      </x:c>
      <x:c r="C551" s="28" t="str">
        <x:v>коньяк</x:v>
      </x:c>
      <x:c r="D551" s="28" t="str">
        <x:v>Алкогольные напитки</x:v>
      </x:c>
      <x:c r="E551" s="28" t="str">
        <x:v>сернистая или горчичная комплементарность</x:v>
      </x:c>
      <x:c r="F551" s="28" t="str">
        <x:v>Чеснок имеет профиль «резкий сернистый, зелёный и мясной; после запекания — сладкий и ореховый».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1" s="28" t="str">
        <x:v>сырой чеснок быстро доминирует; пережжённый чеснок очень горький; хранить и обрабатывать по пищевым нормам</x:v>
      </x:c>
      <x:c r="I551" s="28" t="str">
        <x:v>горячее блюдо, бульон, соус, пюре, ферментация или гарнир с коньяк</x:v>
      </x:c>
      <x:c r="J551" s="28" t="str">
        <x:v>Средняя</x:v>
      </x:c>
      <x:c r="K551" s="28" t="str">
        <x:v>The Art &amp; Science of Foodpairing.pdf</x:v>
      </x:c>
      <x:c r="L551" s="28" t="str">
        <x:v>The Art &amp; Science of Foodpairing.pdf: 123</x:v>
      </x:c>
    </x:row>
    <x:row r="552" ht="66" customHeight="1">
      <x:c r="A552" s="28" t="str">
        <x:v>VEG-1051</x:v>
      </x:c>
      <x:c r="B552" s="28" t="str">
        <x:v>чеснок</x:v>
      </x:c>
      <x:c r="C552" s="28" t="str">
        <x:v>копчёный лосось</x:v>
      </x:c>
      <x:c r="D552" s="28" t="str">
        <x:v>Рыба и морепродукты</x:v>
      </x:c>
      <x:c r="E552" s="28" t="str">
        <x:v>пересечение ароматических семейств; умами и солёный контраст; сернистая или горчичная комплементарность</x:v>
      </x:c>
      <x:c r="F552" s="28" t="str">
        <x:v>Чеснок имеет профиль «резкий сернистый, зелёный и мясной; после запекания — сладкий и ореховый». Партнёр «копчёный лосось»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2" s="28" t="str">
        <x:v>сырой чеснок быстро доминирует; пережжённый чеснок очень горький; хранить и обрабатывать по пищевым нормам</x:v>
      </x:c>
      <x:c r="I552" s="28" t="str">
        <x:v>горячее блюдо, бульон, соус, пюре, ферментация или гарнир с копчёный лосось</x:v>
      </x:c>
      <x:c r="J552" s="28" t="str">
        <x:v>Средняя</x:v>
      </x:c>
      <x:c r="K552" s="28" t="str">
        <x:v>The Art &amp; Science of Foodpairing.pdf</x:v>
      </x:c>
      <x:c r="L552" s="28" t="str">
        <x:v>The Art &amp; Science of Foodpairing.pdf: 113</x:v>
      </x:c>
    </x:row>
    <x:row r="553" ht="66" customHeight="1">
      <x:c r="A553" s="28" t="str">
        <x:v>VEG-1052</x:v>
      </x:c>
      <x:c r="B553" s="28" t="str">
        <x:v>чеснок</x:v>
      </x:c>
      <x:c r="C553" s="28" t="str">
        <x:v>корица</x:v>
      </x:c>
      <x:c r="D553" s="28" t="str">
        <x:v>Специи</x:v>
      </x:c>
      <x:c r="E553" s="28" t="str">
        <x:v>сернистая или горчичная комплементарность</x:v>
      </x:c>
      <x:c r="F553" s="28" t="str">
        <x:v>Чеснок имеет профиль «резкий сернистый, зелёный и мясной; после запекания — сладкий и ореховый».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3" s="28" t="str">
        <x:v>сырой чеснок быстро доминирует; пережжённый чеснок очень горький; хранить и обрабатывать по пищевым нормам</x:v>
      </x:c>
      <x:c r="I553" s="28" t="str">
        <x:v>горячее блюдо, бульон, соус, пюре, ферментация или гарнир с корица</x:v>
      </x:c>
      <x:c r="J553" s="28" t="str">
        <x:v>Средняя</x:v>
      </x:c>
      <x:c r="K553" s="28" t="str">
        <x:v>The Art &amp; Science of Foodpairing.pdf</x:v>
      </x:c>
      <x:c r="L553" s="28" t="str">
        <x:v>The Art &amp; Science of Foodpairing.pdf: 113</x:v>
      </x:c>
    </x:row>
    <x:row r="554" ht="66" customHeight="1">
      <x:c r="A554" s="28" t="str">
        <x:v>VEG-1053</x:v>
      </x:c>
      <x:c r="B554" s="28" t="str">
        <x:v>чеснок</x:v>
      </x:c>
      <x:c r="C554" s="28" t="str">
        <x:v>кофе</x:v>
      </x:c>
      <x:c r="D554" s="28" t="str">
        <x:v>Кофе</x:v>
      </x:c>
      <x:c r="E554" s="28" t="str">
        <x:v>пересечение ароматических семейств; сернистая или горчичная комплементарность</x:v>
      </x:c>
      <x:c r="F554" s="28" t="str">
        <x:v>Чеснок имеет профиль «резкий сернистый, зелёный и мясной; после запекания — сладкий и ореховый». Партнёр «кофе» относится к группе «Кофе» и даёт жареный, карамельный,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4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554" s="28" t="str">
        <x:v>горячее блюдо, бульон, соус, пюре, ферментация или гарнир с кофе</x:v>
      </x:c>
      <x:c r="J554" s="28" t="str">
        <x:v>Средняя</x:v>
      </x:c>
      <x:c r="K554" s="28" t="str">
        <x:v>The Art &amp; Science of Foodpairing.pdf</x:v>
      </x:c>
      <x:c r="L554" s="28" t="str">
        <x:v>The Art &amp; Science of Foodpairing.pdf: 113</x:v>
      </x:c>
    </x:row>
    <x:row r="555" ht="66" customHeight="1">
      <x:c r="A555" s="28" t="str">
        <x:v>VEG-1054</x:v>
      </x:c>
      <x:c r="B555" s="28" t="str">
        <x:v>чеснок</x:v>
      </x:c>
      <x:c r="C555" s="28" t="str">
        <x:v>креветки</x:v>
      </x:c>
      <x:c r="D555" s="28" t="str">
        <x:v>Рыба и морепродукты</x:v>
      </x:c>
      <x:c r="E555" s="28" t="str">
        <x:v>пересечение ароматических семейств; умами и солёный контраст; сернистая или горчичная комплементарность</x:v>
      </x:c>
      <x:c r="F555" s="28" t="str">
        <x:v>Чеснок имеет профиль «резкий сернистый, зелёный и мясной; после запекания — сладкий и ореховый». Партнёр «креветки»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5" s="28" t="str">
        <x:v>сырой чеснок быстро доминирует; пережжённый чеснок очень горький; хранить и обрабатывать по пищевым нормам</x:v>
      </x:c>
      <x:c r="I555" s="28" t="str">
        <x:v>горячее блюдо, бульон, соус, пюре, ферментация или гарнир с креветки</x:v>
      </x:c>
      <x:c r="J555" s="28" t="str">
        <x:v>Средняя</x:v>
      </x:c>
      <x:c r="K555" s="28" t="str">
        <x:v>The Art &amp; Science of Foodpairing.pdf</x:v>
      </x:c>
      <x:c r="L555" s="28" t="str">
        <x:v>The Art &amp; Science of Foodpairing.pdf: 113, 114</x:v>
      </x:c>
    </x:row>
    <x:row r="556" ht="66" customHeight="1">
      <x:c r="A556" s="28" t="str">
        <x:v>VEG-1055</x:v>
      </x:c>
      <x:c r="B556" s="28" t="str">
        <x:v>чеснок</x:v>
      </x:c>
      <x:c r="C556" s="28" t="str">
        <x:v>кумкват</x:v>
      </x:c>
      <x:c r="D556" s="28" t="str">
        <x:v>Прочее</x:v>
      </x:c>
      <x:c r="E556" s="28" t="str">
        <x:v>сернистая или горчичная комплементарность</x:v>
      </x:c>
      <x:c r="F556" s="28" t="str">
        <x:v>Чеснок имеет профиль «резкий сернистый, зелёный и мясной; после запекания — сладкий и ореховый». Партнёр «кумкват»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6" s="28" t="str">
        <x:v>сырой чеснок быстро доминирует; пережжённый чеснок очень горький; хранить и обрабатывать по пищевым нормам</x:v>
      </x:c>
      <x:c r="I556" s="28" t="str">
        <x:v>горячее блюдо, бульон, соус, пюре, ферментация или гарнир с кумкват</x:v>
      </x:c>
      <x:c r="J556" s="28" t="str">
        <x:v>Средняя</x:v>
      </x:c>
      <x:c r="K556" s="28" t="str">
        <x:v>The Art &amp; Science of Foodpairing.pdf</x:v>
      </x:c>
      <x:c r="L556" s="28" t="str">
        <x:v>The Art &amp; Science of Foodpairing.pdf: 113</x:v>
      </x:c>
    </x:row>
    <x:row r="557" ht="66" customHeight="1">
      <x:c r="A557" s="28" t="str">
        <x:v>VEG-1056</x:v>
      </x:c>
      <x:c r="B557" s="28" t="str">
        <x:v>чеснок</x:v>
      </x:c>
      <x:c r="C557" s="28" t="str">
        <x:v>курица</x:v>
      </x:c>
      <x:c r="D557" s="28" t="str">
        <x:v>Мясо и птица</x:v>
      </x:c>
      <x:c r="E557" s="28" t="str">
        <x:v>пересечение ароматических семейств; умами и солёный контраст; сернистая или горчичная комплементарность</x:v>
      </x:c>
      <x:c r="F557" s="28" t="str">
        <x:v>Чеснок имеет профиль «резкий сернистый, зелёный и мясной; после запекания — сладкий и ореховый». Партнёр «курица»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7" s="28" t="str">
        <x:v>сырой чеснок быстро доминирует; пережжённый чеснок очень горький; хранить и обрабатывать по пищевым нормам</x:v>
      </x:c>
      <x:c r="I557" s="28" t="str">
        <x:v>горячее блюдо, бульон, соус, пюре, ферментация или гарнир с курица</x:v>
      </x:c>
      <x:c r="J557" s="28" t="str">
        <x:v>Средняя</x:v>
      </x:c>
      <x:c r="K557" s="28" t="str">
        <x:v>The Art &amp; Science of Foodpairing.pdf</x:v>
      </x:c>
      <x:c r="L557" s="28" t="str">
        <x:v>The Art &amp; Science of Foodpairing.pdf: 113</x:v>
      </x:c>
    </x:row>
    <x:row r="558" ht="66" customHeight="1">
      <x:c r="A558" s="28" t="str">
        <x:v>VEG-1057</x:v>
      </x:c>
      <x:c r="B558" s="28" t="str">
        <x:v>чеснок</x:v>
      </x:c>
      <x:c r="C558" s="28" t="str">
        <x:v>куркума</x:v>
      </x:c>
      <x:c r="D558" s="28" t="str">
        <x:v>Прочее</x:v>
      </x:c>
      <x:c r="E558" s="28" t="str">
        <x:v>сернистая или горчичная комплементарность</x:v>
      </x:c>
      <x:c r="F558" s="28" t="str">
        <x:v>Чеснок имеет профиль «резкий сернистый, зелёный и мясной; после запекания — сладкий и ореховый».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8" s="28" t="str">
        <x:v>сырой чеснок быстро доминирует; пережжённый чеснок очень горький; хранить и обрабатывать по пищевым нормам</x:v>
      </x:c>
      <x:c r="I558" s="28" t="str">
        <x:v>горячее блюдо, бульон, соус, пюре, ферментация или гарнир с куркума</x:v>
      </x:c>
      <x:c r="J558" s="28" t="str">
        <x:v>Средняя</x:v>
      </x:c>
      <x:c r="K558" s="28" t="str">
        <x:v>The Art &amp; Science of Foodpairing.pdf</x:v>
      </x:c>
      <x:c r="L558" s="28" t="str">
        <x:v>The Art &amp; Science of Foodpairing.pdf: 113</x:v>
      </x:c>
    </x:row>
    <x:row r="559" ht="66" customHeight="1">
      <x:c r="A559" s="28" t="str">
        <x:v>VEG-1058</x:v>
      </x:c>
      <x:c r="B559" s="28" t="str">
        <x:v>чеснок</x:v>
      </x:c>
      <x:c r="C559" s="28" t="str">
        <x:v>лемонграсс</x:v>
      </x:c>
      <x:c r="D559" s="28" t="str">
        <x:v>Травы, цветы и листья</x:v>
      </x:c>
      <x:c r="E559" s="28" t="str">
        <x:v>сернистая или горчичная комплементарность</x:v>
      </x:c>
      <x:c r="F559" s="28" t="str">
        <x:v>Чеснок имеет профиль «резкий сернистый, зелёный и мясной; после запекания — сладкий и ореховый». Партнёр «лемонграсс»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9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59" s="28" t="str">
        <x:v>горячее блюдо, бульон, соус, пюре, ферментация или гарнир с лемонграсс</x:v>
      </x:c>
      <x:c r="J559" s="28" t="str">
        <x:v>Средняя</x:v>
      </x:c>
      <x:c r="K559" s="28" t="str">
        <x:v>The Art &amp; Science of Foodpairing.pdf</x:v>
      </x:c>
      <x:c r="L559" s="28" t="str">
        <x:v>The Art &amp; Science of Foodpairing.pdf: 113, 114</x:v>
      </x:c>
    </x:row>
    <x:row r="560" ht="66" customHeight="1">
      <x:c r="A560" s="28" t="str">
        <x:v>VEG-1059</x:v>
      </x:c>
      <x:c r="B560" s="28" t="str">
        <x:v>чеснок</x:v>
      </x:c>
      <x:c r="C560" s="28" t="str">
        <x:v>лепестки розы</x:v>
      </x:c>
      <x:c r="D560" s="28" t="str">
        <x:v>Прочее</x:v>
      </x:c>
      <x:c r="E560" s="28" t="str">
        <x:v>сернистая или горчичная комплементарность</x:v>
      </x:c>
      <x:c r="F560" s="28" t="str">
        <x:v>Чеснок имеет профиль «резкий сернистый, зелёный и мясной; после запекания — сладкий и ореховый». Партнёр «лепестки розы»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0" s="28" t="str">
        <x:v>сырой чеснок быстро доминирует; пережжённый чеснок очень горький; хранить и обрабатывать по пищевым нормам</x:v>
      </x:c>
      <x:c r="I560" s="28" t="str">
        <x:v>горячее блюдо, бульон, соус, пюре, ферментация или гарнир с лепестки розы</x:v>
      </x:c>
      <x:c r="J560" s="28" t="str">
        <x:v>Средняя</x:v>
      </x:c>
      <x:c r="K560" s="28" t="str">
        <x:v>The Art &amp; Science of Foodpairing.pdf</x:v>
      </x:c>
      <x:c r="L560" s="28" t="str">
        <x:v>The Art &amp; Science of Foodpairing.pdf: 113</x:v>
      </x:c>
    </x:row>
    <x:row r="561" ht="66" customHeight="1">
      <x:c r="A561" s="28" t="str">
        <x:v>VEG-1060</x:v>
      </x:c>
      <x:c r="B561" s="28" t="str">
        <x:v>чеснок</x:v>
      </x:c>
      <x:c r="C561" s="28" t="str">
        <x:v>лимонная вербена</x:v>
      </x:c>
      <x:c r="D561" s="28" t="str">
        <x:v>Фрукты и ягоды</x:v>
      </x:c>
      <x:c r="E561" s="28" t="str">
        <x:v>кислотно-сладкий баланс; сернистая или горчичная комплементарность</x:v>
      </x:c>
      <x:c r="F561" s="28" t="str">
        <x:v>Чеснок имеет профиль «резкий сернистый, зелёный и мясной; после запекания — сладкий и ореховый». Партнёр «лимонная вербена»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1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61" s="28" t="str">
        <x:v>горячее блюдо, бульон, соус, пюре, ферментация или гарнир с лимонная вербена</x:v>
      </x:c>
      <x:c r="J561" s="28" t="str">
        <x:v>Средняя</x:v>
      </x:c>
      <x:c r="K561" s="28" t="str">
        <x:v>The Art &amp; Science of Foodpairing.pdf</x:v>
      </x:c>
      <x:c r="L561" s="28" t="str">
        <x:v>The Art &amp; Science of Foodpairing.pdf: 113</x:v>
      </x:c>
    </x:row>
    <x:row r="562" ht="66" customHeight="1">
      <x:c r="A562" s="28" t="str">
        <x:v>VEG-1061</x:v>
      </x:c>
      <x:c r="B562" s="28" t="str">
        <x:v>чеснок</x:v>
      </x:c>
      <x:c r="C562" s="28" t="str">
        <x:v>листья кориандра</x:v>
      </x:c>
      <x:c r="D562" s="28" t="str">
        <x:v>Травы, цветы и листья</x:v>
      </x:c>
      <x:c r="E562" s="28" t="str">
        <x:v>сернистая или горчичная комплементарность</x:v>
      </x:c>
      <x:c r="F562" s="28" t="str">
        <x:v>Чеснок имеет профиль «резкий сернистый, зелёный и мясной; после запекания — сладкий и ореховый».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2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62" s="28" t="str">
        <x:v>горячее блюдо, бульон, соус, пюре, ферментация или гарнир с листья кориандра</x:v>
      </x:c>
      <x:c r="J562" s="28" t="str">
        <x:v>Средняя</x:v>
      </x:c>
      <x:c r="K562" s="28" t="str">
        <x:v>Тезариус вкусов (Ники Сегнит)(1).pdf</x:v>
      </x:c>
      <x:c r="L562" s="28" t="str">
        <x:v>Тезариус вкусов (Ники Сегнит)(1).pdf: 294, 523</x:v>
      </x:c>
    </x:row>
    <x:row r="563" ht="66" customHeight="1">
      <x:c r="A563" s="28" t="str">
        <x:v>VEG-1062</x:v>
      </x:c>
      <x:c r="B563" s="28" t="str">
        <x:v>чеснок</x:v>
      </x:c>
      <x:c r="C563" s="28" t="str">
        <x:v>листья тмина</x:v>
      </x:c>
      <x:c r="D563" s="28" t="str">
        <x:v>Прочее</x:v>
      </x:c>
      <x:c r="E563" s="28" t="str">
        <x:v>сернистая или горчичная комплементарность</x:v>
      </x:c>
      <x:c r="F563" s="28" t="str">
        <x:v>Чеснок имеет профиль «резкий сернистый, зелёный и мясной; после запекания — сладкий и ореховый». Партнёр «листья тмина»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3" s="28" t="str">
        <x:v>сырой чеснок быстро доминирует; пережжённый чеснок очень горький; хранить и обрабатывать по пищевым нормам</x:v>
      </x:c>
      <x:c r="I563" s="28" t="str">
        <x:v>горячее блюдо, бульон, соус, пюре, ферментация или гарнир с листья тмина</x:v>
      </x:c>
      <x:c r="J563" s="28" t="str">
        <x:v>Средняя</x:v>
      </x:c>
      <x:c r="K563" s="28" t="str">
        <x:v>The Art &amp; Science of Foodpairing.pdf</x:v>
      </x:c>
      <x:c r="L563" s="28" t="str">
        <x:v>The Art &amp; Science of Foodpairing.pdf: 113</x:v>
      </x:c>
    </x:row>
    <x:row r="564" ht="66" customHeight="1">
      <x:c r="A564" s="28" t="str">
        <x:v>VEG-1063</x:v>
      </x:c>
      <x:c r="B564" s="28" t="str">
        <x:v>чеснок</x:v>
      </x:c>
      <x:c r="C564" s="28" t="str">
        <x:v>лобстер</x:v>
      </x:c>
      <x:c r="D564" s="28" t="str">
        <x:v>Прочее</x:v>
      </x:c>
      <x:c r="E564" s="28" t="str">
        <x:v>сернистая или горчичная комплементарность</x:v>
      </x:c>
      <x:c r="F564" s="28" t="str">
        <x:v>Чеснок имеет профиль «резкий сернистый, зелёный и мясной; после запекания — сладкий и ореховый». Партнёр «лобстер»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4" s="28" t="str">
        <x:v>сырой чеснок быстро доминирует; пережжённый чеснок очень горький; хранить и обрабатывать по пищевым нормам</x:v>
      </x:c>
      <x:c r="I564" s="28" t="str">
        <x:v>горячее блюдо, бульон, соус, пюре, ферментация или гарнир с лобстер</x:v>
      </x:c>
      <x:c r="J564" s="28" t="str">
        <x:v>Средняя</x:v>
      </x:c>
      <x:c r="K564" s="28" t="str">
        <x:v>The Art &amp; Science of Foodpairing.pdf</x:v>
      </x:c>
      <x:c r="L564" s="28" t="str">
        <x:v>The Art &amp; Science of Foodpairing.pdf: 113, 114</x:v>
      </x:c>
    </x:row>
    <x:row r="565" ht="66" customHeight="1">
      <x:c r="A565" s="28" t="str">
        <x:v>VEG-1064</x:v>
      </x:c>
      <x:c r="B565" s="28" t="str">
        <x:v>чеснок</x:v>
      </x:c>
      <x:c r="C565" s="28" t="str">
        <x:v>лосось</x:v>
      </x:c>
      <x:c r="D565" s="28" t="str">
        <x:v>Рыба и морепродукты</x:v>
      </x:c>
      <x:c r="E565" s="28" t="str">
        <x:v>пересечение ароматических семейств; умами и солёный контраст; сернистая или горчичная комплементарность</x:v>
      </x:c>
      <x:c r="F565" s="28" t="str">
        <x:v>Чеснок имеет профиль «резкий сернистый, зелёный и мясной; после запекания — сладкий и ореховый». Партнёр «лосось»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5" s="28" t="str">
        <x:v>сырой чеснок быстро доминирует; пережжённый чеснок очень горький; хранить и обрабатывать по пищевым нормам</x:v>
      </x:c>
      <x:c r="I565" s="28" t="str">
        <x:v>горячее блюдо, бульон, соус, пюре, ферментация или гарнир с лосось</x:v>
      </x:c>
      <x:c r="J565" s="28" t="str">
        <x:v>Средняя</x:v>
      </x:c>
      <x:c r="K565" s="28" t="str">
        <x:v>The Art &amp; Science of Foodpairing.pdf</x:v>
      </x:c>
      <x:c r="L565" s="28" t="str">
        <x:v>The Art &amp; Science of Foodpairing.pdf: 114</x:v>
      </x:c>
    </x:row>
    <x:row r="566" ht="66" customHeight="1">
      <x:c r="A566" s="28" t="str">
        <x:v>VEG-1065</x:v>
      </x:c>
      <x:c r="B566" s="28" t="str">
        <x:v>чеснок</x:v>
      </x:c>
      <x:c r="C566" s="28" t="str">
        <x:v>манго</x:v>
      </x:c>
      <x:c r="D566" s="28" t="str">
        <x:v>Фрукты и ягоды</x:v>
      </x:c>
      <x:c r="E566" s="28" t="str">
        <x:v>кислотно-сладкий баланс; сернистая или горчичная комплементарность</x:v>
      </x:c>
      <x:c r="F566" s="28" t="str">
        <x:v>Чеснок имеет профиль «резкий сернистый, зелёный и мясной; после запекания — сладкий и ореховый».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6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66" s="28" t="str">
        <x:v>горячее блюдо, бульон, соус, пюре, ферментация или гарнир с манго</x:v>
      </x:c>
      <x:c r="J566" s="28" t="str">
        <x:v>Средняя</x:v>
      </x:c>
      <x:c r="K566" s="28" t="str">
        <x:v>The Art &amp; Science of Foodpairing.pdf</x:v>
      </x:c>
      <x:c r="L566" s="28" t="str">
        <x:v>The Art &amp; Science of Foodpairing.pdf: 113</x:v>
      </x:c>
    </x:row>
    <x:row r="567" ht="66" customHeight="1">
      <x:c r="A567" s="28" t="str">
        <x:v>VEG-1066</x:v>
      </x:c>
      <x:c r="B567" s="28" t="str">
        <x:v>чеснок</x:v>
      </x:c>
      <x:c r="C567" s="28" t="str">
        <x:v>мандариновая цедра</x:v>
      </x:c>
      <x:c r="D567" s="28" t="str">
        <x:v>Прочее</x:v>
      </x:c>
      <x:c r="E567" s="28" t="str">
        <x:v>сернистая или горчичная комплементарность</x:v>
      </x:c>
      <x:c r="F567" s="28" t="str">
        <x:v>Чеснок имеет профиль «резкий сернистый, зелёный и мясной; после запекания — сладкий и ореховый». Партнёр «мандариновая цедра»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7" s="28" t="str">
        <x:v>сырой чеснок быстро доминирует; пережжённый чеснок очень горький; хранить и обрабатывать по пищевым нормам</x:v>
      </x:c>
      <x:c r="I567" s="28" t="str">
        <x:v>горячее блюдо, бульон, соус, пюре, ферментация или гарнир с мандариновая цедра</x:v>
      </x:c>
      <x:c r="J567" s="28" t="str">
        <x:v>Средняя</x:v>
      </x:c>
      <x:c r="K567" s="28" t="str">
        <x:v>The Art &amp; Science of Foodpairing.pdf</x:v>
      </x:c>
      <x:c r="L567" s="28" t="str">
        <x:v>The Art &amp; Science of Foodpairing.pdf: 113</x:v>
      </x:c>
    </x:row>
    <x:row r="568" ht="66" customHeight="1">
      <x:c r="A568" s="28" t="str">
        <x:v>VEG-1067</x:v>
      </x:c>
      <x:c r="B568" s="28" t="str">
        <x:v>чеснок</x:v>
      </x:c>
      <x:c r="C568" s="28" t="str">
        <x:v>матча</x:v>
      </x:c>
      <x:c r="D568" s="28" t="str">
        <x:v>Чай</x:v>
      </x:c>
      <x:c r="E568" s="28" t="str">
        <x:v>сернистая или горчичная комплементарность</x:v>
      </x:c>
      <x:c r="F568" s="28" t="str">
        <x:v>Чеснок имеет профиль «резкий сернистый, зелёный и мясной; после запекания — сладкий и ореховый». Партнёр «матча»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8" s="28" t="str">
        <x:v>сырой чеснок быстро доминирует; пережжённый чеснок очень горький; хранить и обрабатывать по пищевым нормам</x:v>
      </x:c>
      <x:c r="I568" s="28" t="str">
        <x:v>горячее блюдо, бульон, соус, пюре, ферментация или гарнир с матча</x:v>
      </x:c>
      <x:c r="J568" s="28" t="str">
        <x:v>Средняя</x:v>
      </x:c>
      <x:c r="K568" s="28" t="str">
        <x:v>The Art &amp; Science of Foodpairing.pdf</x:v>
      </x:c>
      <x:c r="L568" s="28" t="str">
        <x:v>The Art &amp; Science of Foodpairing.pdf: 113</x:v>
      </x:c>
    </x:row>
    <x:row r="569" ht="66" customHeight="1">
      <x:c r="A569" s="28" t="str">
        <x:v>VEG-1068</x:v>
      </x:c>
      <x:c r="B569" s="28" t="str">
        <x:v>чеснок</x:v>
      </x:c>
      <x:c r="C569" s="28" t="str">
        <x:v>мерланг</x:v>
      </x:c>
      <x:c r="D569" s="28" t="str">
        <x:v>Прочее</x:v>
      </x:c>
      <x:c r="E569" s="28" t="str">
        <x:v>сернистая или горчичная комплементарность</x:v>
      </x:c>
      <x:c r="F569" s="28" t="str">
        <x:v>Чеснок имеет профиль «резкий сернистый, зелёный и мясной; после запекания — сладкий и ореховый». Партнёр «мерланг»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9" s="28" t="str">
        <x:v>сырой чеснок быстро доминирует; пережжённый чеснок очень горький; хранить и обрабатывать по пищевым нормам</x:v>
      </x:c>
      <x:c r="I569" s="28" t="str">
        <x:v>горячее блюдо, бульон, соус, пюре, ферментация или гарнир с мерланг</x:v>
      </x:c>
      <x:c r="J569" s="28" t="str">
        <x:v>Средняя</x:v>
      </x:c>
      <x:c r="K569" s="28" t="str">
        <x:v>The Art &amp; Science of Foodpairing.pdf</x:v>
      </x:c>
      <x:c r="L569" s="28" t="str">
        <x:v>The Art &amp; Science of Foodpairing.pdf: 114</x:v>
      </x:c>
    </x:row>
    <x:row r="570" ht="66" customHeight="1">
      <x:c r="A570" s="28" t="str">
        <x:v>VEG-1069</x:v>
      </x:c>
      <x:c r="B570" s="28" t="str">
        <x:v>чеснок</x:v>
      </x:c>
      <x:c r="C570" s="28" t="str">
        <x:v>миндаль</x:v>
      </x:c>
      <x:c r="D570" s="28" t="str">
        <x:v>Орехи и семена</x:v>
      </x:c>
      <x:c r="E570" s="28" t="str">
        <x:v>пересечение ароматических семейств; сернистая или горчичная комплементарность</x:v>
      </x:c>
      <x:c r="F570" s="28" t="str">
        <x:v>Чеснок имеет профиль «резкий сернистый, зелёный и мясной; после запекания — сладкий и ореховый». Партнёр «миндаль» относится к группе «Орехи и семена» и даёт жареный, миндальный,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0" s="28" t="str">
        <x:v>сырой чеснок быстро доминирует; пережжённый чеснок очень горький; хранить и обрабатывать по пищевым нормам</x:v>
      </x:c>
      <x:c r="I570" s="28" t="str">
        <x:v>горячее блюдо, бульон, соус, пюре, ферментация или гарнир с миндаль</x:v>
      </x:c>
      <x:c r="J570" s="28" t="str">
        <x:v>Средняя</x:v>
      </x:c>
      <x:c r="K570" s="28" t="str">
        <x:v>Тезариус вкусов (Ники Сегнит)(1).pdf</x:v>
      </x:c>
      <x:c r="L570" s="28" t="str">
        <x:v>Тезариус вкусов (Ники Сегнит)(1).pdf: 295, 650</x:v>
      </x:c>
    </x:row>
    <x:row r="571" ht="66" customHeight="1">
      <x:c r="A571" s="28" t="str">
        <x:v>VEG-1070</x:v>
      </x:c>
      <x:c r="B571" s="28" t="str">
        <x:v>чеснок</x:v>
      </x:c>
      <x:c r="C571" s="28" t="str">
        <x:v>моллюски</x:v>
      </x:c>
      <x:c r="D571" s="28" t="str">
        <x:v>Рыба и морепродукты</x:v>
      </x:c>
      <x:c r="E571" s="28" t="str">
        <x:v>пересечение ароматических семейств; умами и солёный контраст; сернистая или горчичная комплементарность</x:v>
      </x:c>
      <x:c r="F571" s="28" t="str">
        <x:v>Чеснок имеет профиль «резкий сернистый, зелёный и мясной; после запекания — сладкий и ореховый».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1" s="28" t="str">
        <x:v>сырой чеснок быстро доминирует; пережжённый чеснок очень горький; хранить и обрабатывать по пищевым нормам</x:v>
      </x:c>
      <x:c r="I571" s="28" t="str">
        <x:v>горячее блюдо, бульон, соус, пюре, ферментация или гарнир с моллюски</x:v>
      </x:c>
      <x:c r="J571" s="28" t="str">
        <x:v>Высокая</x:v>
      </x:c>
      <x:c r="K571" s="28" t="str">
        <x:v>The Art &amp; Science of Foodpairing.pdf | Тезариус вкусов (Ники Сегнит)(1).pdf</x:v>
      </x:c>
      <x:c r="L571" s="28" t="str">
        <x:v>Тезариус вкусов (Ники Сегнит)(1).pdf: 296, 378; The Art &amp; Science of Foodpairing.pdf: 114</x:v>
      </x:c>
    </x:row>
    <x:row r="572" ht="66" customHeight="1">
      <x:c r="A572" s="28" t="str">
        <x:v>VEG-1071</x:v>
      </x:c>
      <x:c r="B572" s="28" t="str">
        <x:v>чеснок</x:v>
      </x:c>
      <x:c r="C572" s="28" t="str">
        <x:v>морской угорь</x:v>
      </x:c>
      <x:c r="D572" s="28" t="str">
        <x:v>Прочее</x:v>
      </x:c>
      <x:c r="E572" s="28" t="str">
        <x:v>сернистая или горчичная комплементарность</x:v>
      </x:c>
      <x:c r="F572" s="28" t="str">
        <x:v>Чеснок имеет профиль «резкий сернистый, зелёный и мясной; после запекания — сладкий и ореховый». Партнёр «морской угорь»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2" s="28" t="str">
        <x:v>сырой чеснок быстро доминирует; пережжённый чеснок очень горький; хранить и обрабатывать по пищевым нормам</x:v>
      </x:c>
      <x:c r="I572" s="28" t="str">
        <x:v>горячее блюдо, бульон, соус, пюре, ферментация или гарнир с морской угорь</x:v>
      </x:c>
      <x:c r="J572" s="28" t="str">
        <x:v>Средняя</x:v>
      </x:c>
      <x:c r="K572" s="28" t="str">
        <x:v>The Art &amp; Science of Foodpairing.pdf</x:v>
      </x:c>
      <x:c r="L572" s="28" t="str">
        <x:v>The Art &amp; Science of Foodpairing.pdf: 114</x:v>
      </x:c>
    </x:row>
    <x:row r="573" ht="66" customHeight="1">
      <x:c r="A573" s="28" t="str">
        <x:v>VEG-1072</x:v>
      </x:c>
      <x:c r="B573" s="28" t="str">
        <x:v>чеснок</x:v>
      </x:c>
      <x:c r="C573" s="28" t="str">
        <x:v>мягкий сыр</x:v>
      </x:c>
      <x:c r="D573" s="28" t="str">
        <x:v>Молочные продукты и сыры</x:v>
      </x:c>
      <x:c r="E573" s="28" t="str">
        <x:v>пересечение ароматических семейств; жировая матрица; сернистая или горчичная комплементарность</x:v>
      </x:c>
      <x:c r="F573" s="28" t="str">
        <x:v>Чеснок имеет профиль «резкий сернистый, зелёный и мясной; после запекания — сладкий и ореховый».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3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73" s="28" t="str">
        <x:v>горячее блюдо, бульон, соус, пюре, ферментация или гарнир с мягкий сыр</x:v>
      </x:c>
      <x:c r="J573" s="28" t="str">
        <x:v>Средняя</x:v>
      </x:c>
      <x:c r="K573" s="28" t="str">
        <x:v>Тезариус вкусов (Ники Сегнит)(1).pdf</x:v>
      </x:c>
      <x:c r="L573" s="28" t="str">
        <x:v>Тезариус вкусов (Ники Сегнит)(1).pdf: 188, 296</x:v>
      </x:c>
    </x:row>
    <x:row r="574" ht="66" customHeight="1">
      <x:c r="A574" s="28" t="str">
        <x:v>VEG-1073</x:v>
      </x:c>
      <x:c r="B574" s="28" t="str">
        <x:v>чеснок</x:v>
      </x:c>
      <x:c r="C574" s="28" t="str">
        <x:v>мята</x:v>
      </x:c>
      <x:c r="D574" s="28" t="str">
        <x:v>Травы, цветы и листья</x:v>
      </x:c>
      <x:c r="E574" s="28" t="str">
        <x:v>сернистая или горчичная комплементарность</x:v>
      </x:c>
      <x:c r="F574" s="28" t="str">
        <x:v>Чеснок имеет профиль «резкий сернистый, зелёный и мясной; после запекания — сладкий и ореховый».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4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74" s="28" t="str">
        <x:v>горячее блюдо, бульон, соус, пюре, ферментация или гарнир с мята</x:v>
      </x:c>
      <x:c r="J574" s="28" t="str">
        <x:v>Средняя</x:v>
      </x:c>
      <x:c r="K574" s="28" t="str">
        <x:v>Тезариус вкусов (Ники Сегнит)(1).pdf</x:v>
      </x:c>
      <x:c r="L574" s="28" t="str">
        <x:v>Тезариус вкусов (Ники Сегнит)(1).pdf: 296, 870</x:v>
      </x:c>
    </x:row>
    <x:row r="575" ht="66" customHeight="1">
      <x:c r="A575" s="28" t="str">
        <x:v>VEG-1074</x:v>
      </x:c>
      <x:c r="B575" s="28" t="str">
        <x:v>чеснок</x:v>
      </x:c>
      <x:c r="C575" s="28" t="str">
        <x:v>нори</x:v>
      </x:c>
      <x:c r="D575" s="28" t="str">
        <x:v>Прочее</x:v>
      </x:c>
      <x:c r="E575" s="28" t="str">
        <x:v>сернистая или горчичная комплементарность</x:v>
      </x:c>
      <x:c r="F575" s="28" t="str">
        <x:v>Чеснок имеет профиль «резкий сернистый, зелёный и мясной; после запекания — сладкий и ореховый». Партнёр «нори»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5" s="28" t="str">
        <x:v>сырой чеснок быстро доминирует; пережжённый чеснок очень горький; хранить и обрабатывать по пищевым нормам</x:v>
      </x:c>
      <x:c r="I575" s="28" t="str">
        <x:v>горячее блюдо, бульон, соус, пюре, ферментация или гарнир с нори</x:v>
      </x:c>
      <x:c r="J575" s="28" t="str">
        <x:v>Средняя</x:v>
      </x:c>
      <x:c r="K575" s="28" t="str">
        <x:v>The Art &amp; Science of Foodpairing.pdf</x:v>
      </x:c>
      <x:c r="L575" s="28" t="str">
        <x:v>The Art &amp; Science of Foodpairing.pdf: 113</x:v>
      </x:c>
    </x:row>
    <x:row r="576" ht="66" customHeight="1">
      <x:c r="A576" s="28" t="str">
        <x:v>VEG-1075</x:v>
      </x:c>
      <x:c r="B576" s="28" t="str">
        <x:v>чеснок</x:v>
      </x:c>
      <x:c r="C576" s="28" t="str">
        <x:v>огурец</x:v>
      </x:c>
      <x:c r="D576" s="28" t="str">
        <x:v>Тыквенные</x:v>
      </x:c>
      <x:c r="E576" s="28" t="str">
        <x:v>сернистая или горчичная комплементарность</x:v>
      </x:c>
      <x:c r="F576" s="28" t="str">
        <x:v>Чеснок имеет профиль «резкий сернистый, зелёный и мясной; после запекания — сладкий и ореховый».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6" s="28" t="str">
        <x:v>сырой чеснок быстро доминирует; пережжённый чеснок очень горький; хранить и обрабатывать по пищевым нормам</x:v>
      </x:c>
      <x:c r="I576" s="28" t="str">
        <x:v>горячее блюдо, бульон, соус, пюре, ферментация или гарнир с огурец</x:v>
      </x:c>
      <x:c r="J576" s="28" t="str">
        <x:v>Средняя</x:v>
      </x:c>
      <x:c r="K576" s="28" t="str">
        <x:v>Тезариус вкусов (Ники Сегнит)(1).pdf</x:v>
      </x:c>
      <x:c r="L576" s="28" t="str">
        <x:v>Тезариус вкусов (Ники Сегнит)(1).pdf: 296, 498</x:v>
      </x:c>
    </x:row>
    <x:row r="577" ht="66" customHeight="1">
      <x:c r="A577" s="28" t="str">
        <x:v>VEG-1076</x:v>
      </x:c>
      <x:c r="B577" s="28" t="str">
        <x:v>чеснок</x:v>
      </x:c>
      <x:c r="C577" s="28" t="str">
        <x:v>оленина</x:v>
      </x:c>
      <x:c r="D577" s="28" t="str">
        <x:v>Прочее</x:v>
      </x:c>
      <x:c r="E577" s="28" t="str">
        <x:v>сернистая или горчичная комплементарность</x:v>
      </x:c>
      <x:c r="F577" s="28" t="str">
        <x:v>Чеснок имеет профиль «резкий сернистый, зелёный и мясной; после запекания — сладкий и ореховый». Партнёр «оленина»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7" s="28" t="str">
        <x:v>сырой чеснок быстро доминирует; пережжённый чеснок очень горький; хранить и обрабатывать по пищевым нормам</x:v>
      </x:c>
      <x:c r="I577" s="28" t="str">
        <x:v>горячее блюдо, бульон, соус, пюре, ферментация или гарнир с оленина</x:v>
      </x:c>
      <x:c r="J577" s="28" t="str">
        <x:v>Средняя</x:v>
      </x:c>
      <x:c r="K577" s="28" t="str">
        <x:v>The Art &amp; Science of Foodpairing.pdf</x:v>
      </x:c>
      <x:c r="L577" s="28" t="str">
        <x:v>The Art &amp; Science of Foodpairing.pdf: 113</x:v>
      </x:c>
    </x:row>
    <x:row r="578" ht="66" customHeight="1">
      <x:c r="A578" s="28" t="str">
        <x:v>VEG-1077</x:v>
      </x:c>
      <x:c r="B578" s="28" t="str">
        <x:v>чеснок</x:v>
      </x:c>
      <x:c r="C578" s="28" t="str">
        <x:v>оливки</x:v>
      </x:c>
      <x:c r="D578" s="28" t="str">
        <x:v>Прочее</x:v>
      </x:c>
      <x:c r="E578" s="28" t="str">
        <x:v>сернистая или горчичная комплементарность</x:v>
      </x:c>
      <x:c r="F578" s="28" t="str">
        <x:v>Чеснок имеет профиль «резкий сернистый, зелёный и мясной; после запекания — сладкий и ореховый».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8" s="28" t="str">
        <x:v>сырой чеснок быстро доминирует; пережжённый чеснок очень горький; хранить и обрабатывать по пищевым нормам</x:v>
      </x:c>
      <x:c r="I578" s="28" t="str">
        <x:v>горячее блюдо, бульон, соус, пюре, ферментация или гарнир с оливки</x:v>
      </x:c>
      <x:c r="J578" s="28" t="str">
        <x:v>Средняя</x:v>
      </x:c>
      <x:c r="K578" s="28" t="str">
        <x:v>Тезариус вкусов (Ники Сегнит)(1).pdf</x:v>
      </x:c>
      <x:c r="L578" s="28" t="str">
        <x:v>Тезариус вкусов (Ники Сегнит)(1).pdf: 297, 471</x:v>
      </x:c>
    </x:row>
    <x:row r="579" ht="66" customHeight="1">
      <x:c r="A579" s="28" t="str">
        <x:v>VEG-1078</x:v>
      </x:c>
      <x:c r="B579" s="28" t="str">
        <x:v>чеснок</x:v>
      </x:c>
      <x:c r="C579" s="28" t="str">
        <x:v>оливковое масло пикваль</x:v>
      </x:c>
      <x:c r="D579" s="28" t="str">
        <x:v>Масла и жиры</x:v>
      </x:c>
      <x:c r="E579" s="28" t="str">
        <x:v>жировая матрица; сернистая или горчичная комплементарность</x:v>
      </x:c>
      <x:c r="F579" s="28" t="str">
        <x:v>Чеснок имеет профиль «резкий сернистый, зелёный и мясной; после запекания — сладкий и ореховый».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9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79" s="28" t="str">
        <x:v>горячее блюдо, бульон, соус, пюре, ферментация или гарнир с оливковое масло пикваль</x:v>
      </x:c>
      <x:c r="J579" s="28" t="str">
        <x:v>Средняя</x:v>
      </x:c>
      <x:c r="K579" s="28" t="str">
        <x:v>The Art &amp; Science of Foodpairing.pdf</x:v>
      </x:c>
      <x:c r="L579" s="28" t="str">
        <x:v>The Art &amp; Science of Foodpairing.pdf: 113</x:v>
      </x:c>
    </x:row>
    <x:row r="580" ht="66" customHeight="1">
      <x:c r="A580" s="28" t="str">
        <x:v>VEG-1079</x:v>
      </x:c>
      <x:c r="B580" s="28" t="str">
        <x:v>чеснок</x:v>
      </x:c>
      <x:c r="C580" s="28" t="str">
        <x:v>паста тикка масала</x:v>
      </x:c>
      <x:c r="D580" s="28" t="str">
        <x:v>Выпечка, крупы, сахара и десерты</x:v>
      </x:c>
      <x:c r="E580" s="28" t="str">
        <x:v>пересечение ароматических семейств; сернистая или горчичная комплементарность</x:v>
      </x:c>
      <x:c r="F580" s="28" t="str">
        <x:v>Чеснок имеет профиль «резкий сернистый, зелёный и мясной; после запекания — сладкий и ореховый». Партнёр «паста тикка масала»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0" s="28" t="str">
        <x:v>сырой чеснок быстро доминирует; пережжённый чеснок очень горький; хранить и обрабатывать по пищевым нормам</x:v>
      </x:c>
      <x:c r="I580" s="28" t="str">
        <x:v>горячее блюдо, бульон, соус, пюре, ферментация или гарнир с паста тикка масала</x:v>
      </x:c>
      <x:c r="J580" s="28" t="str">
        <x:v>Средняя</x:v>
      </x:c>
      <x:c r="K580" s="28" t="str">
        <x:v>The Art &amp; Science of Foodpairing.pdf</x:v>
      </x:c>
      <x:c r="L580" s="28" t="str">
        <x:v>The Art &amp; Science of Foodpairing.pdf: 114</x:v>
      </x:c>
    </x:row>
    <x:row r="581" ht="66" customHeight="1">
      <x:c r="A581" s="28" t="str">
        <x:v>VEG-1080</x:v>
      </x:c>
      <x:c r="B581" s="28" t="str">
        <x:v>чеснок</x:v>
      </x:c>
      <x:c r="C581" s="28" t="str">
        <x:v>пастернак</x:v>
      </x:c>
      <x:c r="D581" s="28" t="str">
        <x:v>Корнеплоды</x:v>
      </x:c>
      <x:c r="E581" s="28" t="str">
        <x:v>сернистая или горчичная комплементарность</x:v>
      </x:c>
      <x:c r="F581" s="28" t="str">
        <x:v>Чеснок имеет профиль «резкий сернистый, зелёный и мясной; после запекания — сладкий и ореховый». Партнёр «пастернак» относится к группе «Корнеплоды» и даёт сладкий, пряный, древесный и слегка анисовый.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1" s="28" t="str">
        <x:v>сырой чеснок быстро доминирует; пережжённый чеснок очень горький; хранить и обрабатывать по пищевым нормам</x:v>
      </x:c>
      <x:c r="I581" s="28" t="str">
        <x:v>горячее блюдо, бульон, соус, пюре, ферментация или гарнир с пастернак</x:v>
      </x:c>
      <x:c r="J581" s="28" t="str">
        <x:v>Средняя</x:v>
      </x:c>
      <x:c r="K581" s="28" t="str">
        <x:v>The Art &amp; Science of Foodpairing.pdf</x:v>
      </x:c>
      <x:c r="L581" s="28" t="str">
        <x:v>The Art &amp; Science of Foodpairing.pdf: 113, 114</x:v>
      </x:c>
    </x:row>
    <x:row r="582" ht="66" customHeight="1">
      <x:c r="A582" s="28" t="str">
        <x:v>VEG-1081</x:v>
      </x:c>
      <x:c r="B582" s="28" t="str">
        <x:v>чеснок</x:v>
      </x:c>
      <x:c r="C582" s="28" t="str">
        <x:v>пекинская утка</x:v>
      </x:c>
      <x:c r="D582" s="28" t="str">
        <x:v>Мясо и птица</x:v>
      </x:c>
      <x:c r="E582" s="28" t="str">
        <x:v>пересечение ароматических семейств; умами и солёный контраст; сернистая или горчичная комплементарность</x:v>
      </x:c>
      <x:c r="F582" s="28" t="str">
        <x:v>Чеснок имеет профиль «резкий сернистый, зелёный и мясной; после запекания — сладкий и ореховый». Партнёр «пекинская утка»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2" s="28" t="str">
        <x:v>сырой чеснок быстро доминирует; пережжённый чеснок очень горький; хранить и обрабатывать по пищевым нормам</x:v>
      </x:c>
      <x:c r="I582" s="28" t="str">
        <x:v>горячее блюдо, бульон, соус, пюре, ферментация или гарнир с пекинская утка</x:v>
      </x:c>
      <x:c r="J582" s="28" t="str">
        <x:v>Средняя</x:v>
      </x:c>
      <x:c r="K582" s="28" t="str">
        <x:v>The Art &amp; Science of Foodpairing.pdf</x:v>
      </x:c>
      <x:c r="L582" s="28" t="str">
        <x:v>The Art &amp; Science of Foodpairing.pdf: 114</x:v>
      </x:c>
    </x:row>
    <x:row r="583" ht="66" customHeight="1">
      <x:c r="A583" s="28" t="str">
        <x:v>VEG-1082</x:v>
      </x:c>
      <x:c r="B583" s="28" t="str">
        <x:v>чеснок</x:v>
      </x:c>
      <x:c r="C583" s="28" t="str">
        <x:v>пепперони</x:v>
      </x:c>
      <x:c r="D583" s="28" t="str">
        <x:v>Прочее</x:v>
      </x:c>
      <x:c r="E583" s="28" t="str">
        <x:v>сернистая или горчичная комплементарность</x:v>
      </x:c>
      <x:c r="F583" s="28" t="str">
        <x:v>Чеснок имеет профиль «резкий сернистый, зелёный и мясной; после запекания — сладкий и ореховый». Партнёр «пепперони»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3" s="28" t="str">
        <x:v>сырой чеснок быстро доминирует; пережжённый чеснок очень горький; хранить и обрабатывать по пищевым нормам</x:v>
      </x:c>
      <x:c r="I583" s="28" t="str">
        <x:v>горячее блюдо, бульон, соус, пюре, ферментация или гарнир с пепперони</x:v>
      </x:c>
      <x:c r="J583" s="28" t="str">
        <x:v>Средняя</x:v>
      </x:c>
      <x:c r="K583" s="28" t="str">
        <x:v>The Art &amp; Science of Foodpairing.pdf</x:v>
      </x:c>
      <x:c r="L583" s="28" t="str">
        <x:v>The Art &amp; Science of Foodpairing.pdf: 113</x:v>
      </x:c>
    </x:row>
    <x:row r="584" ht="66" customHeight="1">
      <x:c r="A584" s="28" t="str">
        <x:v>VEG-1083</x:v>
      </x:c>
      <x:c r="B584" s="28" t="str">
        <x:v>чеснок</x:v>
      </x:c>
      <x:c r="C584" s="28" t="str">
        <x:v>петрушка</x:v>
      </x:c>
      <x:c r="D584" s="28" t="str">
        <x:v>Травы, цветы и листья</x:v>
      </x:c>
      <x:c r="E584" s="28" t="str">
        <x:v>сернистая или горчичная комплементарность</x:v>
      </x:c>
      <x:c r="F584" s="28" t="str">
        <x:v>Чеснок имеет профиль «резкий сернистый, зелёный и мясной; после запекания — сладкий и ореховый».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4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84" s="28" t="str">
        <x:v>горячее блюдо, бульон, соус, пюре, ферментация или гарнир с петрушка</x:v>
      </x:c>
      <x:c r="J584" s="28" t="str">
        <x:v>Средняя</x:v>
      </x:c>
      <x:c r="K584" s="28" t="str">
        <x:v>Тезариус вкусов (Ники Сегнит)(1).pdf</x:v>
      </x:c>
      <x:c r="L584" s="28" t="str">
        <x:v>Тезариус вкусов (Ники Сегнит)(1).pdf: 297, 511, 806</x:v>
      </x:c>
    </x:row>
    <x:row r="585" ht="66" customHeight="1">
      <x:c r="A585" s="28" t="str">
        <x:v>VEG-1084</x:v>
      </x:c>
      <x:c r="B585" s="28" t="str">
        <x:v>чеснок</x:v>
      </x:c>
      <x:c r="C585" s="28" t="str">
        <x:v>печень</x:v>
      </x:c>
      <x:c r="D585" s="28" t="str">
        <x:v>Мясо и птица</x:v>
      </x:c>
      <x:c r="E585" s="28" t="str">
        <x:v>пересечение ароматических семейств; умами и солёный контраст; сернистая или горчичная комплементарность</x:v>
      </x:c>
      <x:c r="F585" s="28" t="str">
        <x:v>Чеснок имеет профиль «резкий сернистый, зелёный и мясной; после запекания — сладкий и ореховый». Партнёр «печень»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5" s="28" t="str">
        <x:v>сырой чеснок быстро доминирует; пережжённый чеснок очень горький; хранить и обрабатывать по пищевым нормам</x:v>
      </x:c>
      <x:c r="I585" s="28" t="str">
        <x:v>горячее блюдо, бульон, соус, пюре, ферментация или гарнир с печень</x:v>
      </x:c>
      <x:c r="J585" s="28" t="str">
        <x:v>Средняя</x:v>
      </x:c>
      <x:c r="K585" s="28" t="str">
        <x:v>Тезариус вкусов (Ники Сегнит)(1).pdf</x:v>
      </x:c>
      <x:c r="L585" s="28" t="str">
        <x:v>Тезариус вкусов (Ники Сегнит)(1).pdf: 102, 297</x:v>
      </x:c>
    </x:row>
    <x:row r="586" ht="66" customHeight="1">
      <x:c r="A586" s="28" t="str">
        <x:v>VEG-1085</x:v>
      </x:c>
      <x:c r="B586" s="28" t="str">
        <x:v>чеснок</x:v>
      </x:c>
      <x:c r="C586" s="28" t="str">
        <x:v>пралине из миндаля и фундука</x:v>
      </x:c>
      <x:c r="D586" s="28" t="str">
        <x:v>Орехи и семена</x:v>
      </x:c>
      <x:c r="E586" s="28" t="str">
        <x:v>пересечение ароматических семейств; сернистая или горчичная комплементарность</x:v>
      </x:c>
      <x:c r="F586" s="28" t="str">
        <x:v>Чеснок имеет профиль «резкий сернистый, зелёный и мясной; после запекания — сладкий и ореховый». Партнёр «пралине из миндаля и фундука»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6" s="28" t="str">
        <x:v>сырой чеснок быстро доминирует; пережжённый чеснок очень горький; хранить и обрабатывать по пищевым нормам</x:v>
      </x:c>
      <x:c r="I586" s="28" t="str">
        <x:v>горячее блюдо, бульон, соус, пюре, ферментация или гарнир с пралине из миндаля и фундука</x:v>
      </x:c>
      <x:c r="J586" s="28" t="str">
        <x:v>Средняя</x:v>
      </x:c>
      <x:c r="K586" s="28" t="str">
        <x:v>The Art &amp; Science of Foodpairing.pdf</x:v>
      </x:c>
      <x:c r="L586" s="28" t="str">
        <x:v>The Art &amp; Science of Foodpairing.pdf: 113</x:v>
      </x:c>
    </x:row>
    <x:row r="587" ht="66" customHeight="1">
      <x:c r="A587" s="28" t="str">
        <x:v>VEG-1086</x:v>
      </x:c>
      <x:c r="B587" s="28" t="str">
        <x:v>чеснок</x:v>
      </x:c>
      <x:c r="C587" s="28" t="str">
        <x:v>рассольный сыр</x:v>
      </x:c>
      <x:c r="D587" s="28" t="str">
        <x:v>Молочные продукты и сыры</x:v>
      </x:c>
      <x:c r="E587" s="28" t="str">
        <x:v>пересечение ароматических семейств; жировая матрица; сернистая или горчичная комплементарность</x:v>
      </x:c>
      <x:c r="F587" s="28" t="str">
        <x:v>Чеснок имеет профиль «резкий сернистый, зелёный и мясной; после запекания — сладкий и ореховый». Партнёр «рассольный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7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87" s="28" t="str">
        <x:v>горячее блюдо, бульон, соус, пюре, ферментация или гарнир с рассольный сыр</x:v>
      </x:c>
      <x:c r="J587" s="28" t="str">
        <x:v>Средняя</x:v>
      </x:c>
      <x:c r="K587" s="28" t="str">
        <x:v>Тезариус вкусов (Ники Сегнит)(1).pdf</x:v>
      </x:c>
      <x:c r="L587" s="28" t="str">
        <x:v>Тезариус вкусов (Ники Сегнит)(1).pdf: 150, 297</x:v>
      </x:c>
    </x:row>
    <x:row r="588" ht="66" customHeight="1">
      <x:c r="A588" s="28" t="str">
        <x:v>VEG-1087</x:v>
      </x:c>
      <x:c r="B588" s="28" t="str">
        <x:v>чеснок</x:v>
      </x:c>
      <x:c r="C588" s="28" t="str">
        <x:v>редис</x:v>
      </x:c>
      <x:c r="D588" s="28" t="str">
        <x:v>Корнеплоды и крестоцветные</x:v>
      </x:c>
      <x:c r="E588" s="28" t="str">
        <x:v>общие характерные молекулы; сернистая или горчичная комплементарность</x:v>
      </x:c>
      <x:c r="F588" s="28" t="str">
        <x:v>Чеснок имеет профиль «резкий сернистый, зелёный и мясной; после запекания — сладкий и ореховый». Партнёр «редис» относится к группе «Корнеплоды и крестоцветные» и даёт горчичный, зелёный, перечный и водянистый.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8" s="28" t="str">
        <x:v>сырой чеснок быстро доминирует; пережжённый чеснок очень горький; хранить и обрабатывать по пищевым нормам</x:v>
      </x:c>
      <x:c r="I588" s="28" t="str">
        <x:v>горячее блюдо, бульон, соус, пюре, ферментация или гарнир с редис</x:v>
      </x:c>
      <x:c r="J588" s="28" t="str">
        <x:v>Средняя</x:v>
      </x:c>
      <x:c r="K588" s="28" t="str">
        <x:v>The Art &amp; Science of Foodpairing.pdf</x:v>
      </x:c>
      <x:c r="L588" s="28" t="str">
        <x:v>The Art &amp; Science of Foodpairing.pdf: 113</x:v>
      </x:c>
    </x:row>
    <x:row r="589" ht="66" customHeight="1">
      <x:c r="A589" s="28" t="str">
        <x:v>VEG-1088</x:v>
      </x:c>
      <x:c r="B589" s="28" t="str">
        <x:v>чеснок</x:v>
      </x:c>
      <x:c r="C589" s="28" t="str">
        <x:v>розмарин</x:v>
      </x:c>
      <x:c r="D589" s="28" t="str">
        <x:v>Травы, цветы и листья</x:v>
      </x:c>
      <x:c r="E589" s="28" t="str">
        <x:v>сернистая или горчичная комплементарность</x:v>
      </x:c>
      <x:c r="F589" s="28" t="str">
        <x:v>Чеснок имеет профиль «резкий сернистый, зелёный и мясной; после запекания — сладкий и ореховый».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9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89" s="28" t="str">
        <x:v>горячее блюдо, бульон, соус, пюре, ферментация или гарнир с розмарин</x:v>
      </x:c>
      <x:c r="J589" s="28" t="str">
        <x:v>Высокая</x:v>
      </x:c>
      <x:c r="K589" s="28" t="str">
        <x:v>The Art &amp; Science of Foodpairing.pdf | Тезариус вкусов (Ники Сегнит)(1).pdf</x:v>
      </x:c>
      <x:c r="L589" s="28" t="str">
        <x:v>Тезариус вкусов (Ники Сегнит)(1).pdf: 297, 840; The Art &amp; Science of Foodpairing.pdf: 113</x:v>
      </x:c>
    </x:row>
    <x:row r="590" ht="66" customHeight="1">
      <x:c r="A590" s="28" t="str">
        <x:v>VEG-1089</x:v>
      </x:c>
      <x:c r="B590" s="28" t="str">
        <x:v>чеснок</x:v>
      </x:c>
      <x:c r="C590" s="28" t="str">
        <x:v>свинина</x:v>
      </x:c>
      <x:c r="D590" s="28" t="str">
        <x:v>Мясо и птица</x:v>
      </x:c>
      <x:c r="E590" s="28" t="str">
        <x:v>пересечение ароматических семейств; умами и солёный контраст; сернистая или горчичная комплементарность</x:v>
      </x:c>
      <x:c r="F590" s="28" t="str">
        <x:v>Чеснок имеет профиль «резкий сернистый, зелёный и мясной; после запекания — сладкий и ореховый». Партнёр «свинина»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0" s="28" t="str">
        <x:v>сырой чеснок быстро доминирует; пережжённый чеснок очень горький; хранить и обрабатывать по пищевым нормам</x:v>
      </x:c>
      <x:c r="I590" s="28" t="str">
        <x:v>горячее блюдо, бульон, соус, пюре, ферментация или гарнир с свинина</x:v>
      </x:c>
      <x:c r="J590" s="28" t="str">
        <x:v>Средняя</x:v>
      </x:c>
      <x:c r="K590" s="28" t="str">
        <x:v>Тезариус вкусов (Ники Сегнит)(1).pdf</x:v>
      </x:c>
      <x:c r="L590" s="28" t="str">
        <x:v>Тезариус вкусов (Ники Сегнит)(1).pdf: 89, 298</x:v>
      </x:c>
    </x:row>
    <x:row r="591" ht="66" customHeight="1">
      <x:c r="A591" s="28" t="str">
        <x:v>VEG-1090</x:v>
      </x:c>
      <x:c r="B591" s="28" t="str">
        <x:v>чеснок</x:v>
      </x:c>
      <x:c r="C591" s="28" t="str">
        <x:v>семена кориандра</x:v>
      </x:c>
      <x:c r="D591" s="28" t="str">
        <x:v>Специи</x:v>
      </x:c>
      <x:c r="E591" s="28" t="str">
        <x:v>сернистая или горчичная комплементарность</x:v>
      </x:c>
      <x:c r="F591" s="28" t="str">
        <x:v>Чеснок имеет профиль «резкий сернистый, зелёный и мясной; после запекания — сладкий и ореховый». Партнёр «семена кориандра» относится к группе «Специи» и даёт пряный,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1" s="28" t="str">
        <x:v>сырой чеснок быстро доминирует; пережжённый чеснок очень горький; хранить и обрабатывать по пищевым нормам</x:v>
      </x:c>
      <x:c r="I591" s="28" t="str">
        <x:v>горячее блюдо, бульон, соус, пюре, ферментация или гарнир с семена кориандра</x:v>
      </x:c>
      <x:c r="J591" s="28" t="str">
        <x:v>Средняя</x:v>
      </x:c>
      <x:c r="K591" s="28" t="str">
        <x:v>Тезариус вкусов (Ники Сегнит)(1).pdf</x:v>
      </x:c>
      <x:c r="L591" s="28" t="str">
        <x:v>Тезариус вкусов (Ники Сегнит)(1).pdf: 298, 910</x:v>
      </x:c>
    </x:row>
    <x:row r="592" ht="66" customHeight="1">
      <x:c r="A592" s="28" t="str">
        <x:v>VEG-1091</x:v>
      </x:c>
      <x:c r="B592" s="28" t="str">
        <x:v>чеснок</x:v>
      </x:c>
      <x:c r="C592" s="28" t="str">
        <x:v>скорцонера</x:v>
      </x:c>
      <x:c r="D592" s="28" t="str">
        <x:v>Прочее</x:v>
      </x:c>
      <x:c r="E592" s="28" t="str">
        <x:v>сернистая или горчичная комплементарность</x:v>
      </x:c>
      <x:c r="F592" s="28" t="str">
        <x:v>Чеснок имеет профиль «резкий сернистый, зелёный и мясной; после запекания — сладкий и ореховый». Партнёр «скорцонера»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2" s="28" t="str">
        <x:v>сырой чеснок быстро доминирует; пережжённый чеснок очень горький; хранить и обрабатывать по пищевым нормам</x:v>
      </x:c>
      <x:c r="I592" s="28" t="str">
        <x:v>горячее блюдо, бульон, соус, пюре, ферментация или гарнир с скорцонера</x:v>
      </x:c>
      <x:c r="J592" s="28" t="str">
        <x:v>Средняя</x:v>
      </x:c>
      <x:c r="K592" s="28" t="str">
        <x:v>The Art &amp; Science of Foodpairing.pdf</x:v>
      </x:c>
      <x:c r="L592" s="28" t="str">
        <x:v>The Art &amp; Science of Foodpairing.pdf: 113</x:v>
      </x:c>
    </x:row>
    <x:row r="593" ht="66" customHeight="1">
      <x:c r="A593" s="28" t="str">
        <x:v>VEG-1092</x:v>
      </x:c>
      <x:c r="B593" s="28" t="str">
        <x:v>чеснок</x:v>
      </x:c>
      <x:c r="C593" s="28" t="str">
        <x:v>сливовый бренди</x:v>
      </x:c>
      <x:c r="D593" s="28" t="str">
        <x:v>Фрукты и ягоды</x:v>
      </x:c>
      <x:c r="E593" s="28" t="str">
        <x:v>кислотно-сладкий баланс; сернистая или горчичная комплементарность</x:v>
      </x:c>
      <x:c r="F593" s="28" t="str">
        <x:v>Чеснок имеет профиль «резкий сернистый, зелёный и мясной; после запекания — сладкий и ореховый». Партнёр «сливовый бренди»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93" s="28" t="str">
        <x:v>горячее блюдо, бульон, соус, пюре, ферментация или гарнир с сливовый бренди</x:v>
      </x:c>
      <x:c r="J593" s="28" t="str">
        <x:v>Средняя</x:v>
      </x:c>
      <x:c r="K593" s="28" t="str">
        <x:v>The Art &amp; Science of Foodpairing.pdf</x:v>
      </x:c>
      <x:c r="L593" s="28" t="str">
        <x:v>The Art &amp; Science of Foodpairing.pdf: 113</x:v>
      </x:c>
    </x:row>
    <x:row r="594" ht="66" customHeight="1">
      <x:c r="A594" s="28" t="str">
        <x:v>VEG-1093</x:v>
      </x:c>
      <x:c r="B594" s="28" t="str">
        <x:v>чеснок</x:v>
      </x:c>
      <x:c r="C594" s="28" t="str">
        <x:v>сметана</x:v>
      </x:c>
      <x:c r="D594" s="28" t="str">
        <x:v>Молочные продукты и сыры</x:v>
      </x:c>
      <x:c r="E594" s="28" t="str">
        <x:v>пересечение ароматических семейств; жировая матрица; сернистая или горчичная комплементарность</x:v>
      </x:c>
      <x:c r="F594" s="28" t="str">
        <x:v>Чеснок имеет профиль «резкий сернистый, зелёный и мясной; после запекания — сладкий и ореховый». Партнёр «сметана» относится к группе «Молочные продукты и сыры» и даёт молочный, сливочный и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4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94" s="28" t="str">
        <x:v>горячее блюдо, бульон, соус, пюре, ферментация или гарнир с сметана</x:v>
      </x:c>
      <x:c r="J594" s="28" t="str">
        <x:v>Средняя</x:v>
      </x:c>
      <x:c r="K594" s="28" t="str">
        <x:v>The Art &amp; Science of Foodpairing.pdf</x:v>
      </x:c>
      <x:c r="L594" s="28" t="str">
        <x:v>The Art &amp; Science of Foodpairing.pdf: 114</x:v>
      </x:c>
    </x:row>
    <x:row r="595" ht="66" customHeight="1">
      <x:c r="A595" s="28" t="str">
        <x:v>VEG-1094</x:v>
      </x:c>
      <x:c r="B595" s="28" t="str">
        <x:v>чеснок</x:v>
      </x:c>
      <x:c r="C595" s="28" t="str">
        <x:v>соевый напиток</x:v>
      </x:c>
      <x:c r="D595" s="28" t="str">
        <x:v>Прочее</x:v>
      </x:c>
      <x:c r="E595" s="28" t="str">
        <x:v>сернистая или горчичная комплементарность</x:v>
      </x:c>
      <x:c r="F595" s="28" t="str">
        <x:v>Чеснок имеет профиль «резкий сернистый, зелёный и мясной; после запекания — сладкий и ореховый». Партнёр «соевый напиток»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5" s="28" t="str">
        <x:v>сырой чеснок быстро доминирует; пережжённый чеснок очень горький; хранить и обрабатывать по пищевым нормам</x:v>
      </x:c>
      <x:c r="I595" s="28" t="str">
        <x:v>горячее блюдо, бульон, соус, пюре, ферментация или гарнир с соевый напиток</x:v>
      </x:c>
      <x:c r="J595" s="28" t="str">
        <x:v>Средняя</x:v>
      </x:c>
      <x:c r="K595" s="28" t="str">
        <x:v>The Art &amp; Science of Foodpairing.pdf</x:v>
      </x:c>
      <x:c r="L595" s="28" t="str">
        <x:v>The Art &amp; Science of Foodpairing.pdf: 113</x:v>
      </x:c>
    </x:row>
    <x:row r="596" ht="66" customHeight="1">
      <x:c r="A596" s="28" t="str">
        <x:v>VEG-1095</x:v>
      </x:c>
      <x:c r="B596" s="28" t="str">
        <x:v>чеснок</x:v>
      </x:c>
      <x:c r="C596" s="28" t="str">
        <x:v>солёные анчоусы</x:v>
      </x:c>
      <x:c r="D596" s="28" t="str">
        <x:v>Рыба и морепродукты</x:v>
      </x:c>
      <x:c r="E596" s="28" t="str">
        <x:v>пересечение ароматических семейств; умами и солёный контраст; сернистая или горчичная комплементарность</x:v>
      </x:c>
      <x:c r="F596" s="28" t="str">
        <x:v>Чеснок имеет профиль «резкий сернистый, зелёный и мясной; после запекания — сладкий и ореховый». Партнёр «солёные 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6" s="28" t="str">
        <x:v>сырой чеснок быстро доминирует; пережжённый чеснок очень горький; хранить и обрабатывать по пищевым нормам</x:v>
      </x:c>
      <x:c r="I596" s="28" t="str">
        <x:v>горячее блюдо, бульон, соус, пюре, ферментация или гарнир с солёные анчоусы</x:v>
      </x:c>
      <x:c r="J596" s="28" t="str">
        <x:v>Средняя</x:v>
      </x:c>
      <x:c r="K596" s="28" t="str">
        <x:v>The Art &amp; Science of Foodpairing.pdf</x:v>
      </x:c>
      <x:c r="L596" s="28" t="str">
        <x:v>The Art &amp; Science of Foodpairing.pdf: 113</x:v>
      </x:c>
    </x:row>
    <x:row r="597" ht="66" customHeight="1">
      <x:c r="A597" s="28" t="str">
        <x:v>VEG-1096</x:v>
      </x:c>
      <x:c r="B597" s="28" t="str">
        <x:v>чеснок</x:v>
      </x:c>
      <x:c r="C597" s="28" t="str">
        <x:v>спаржа</x:v>
      </x:c>
      <x:c r="D597" s="28" t="str">
        <x:v>Побеговые овощи</x:v>
      </x:c>
      <x:c r="E597" s="28" t="str">
        <x:v>общие характерные молекулы; пересечение ароматических семейств; сернистая или горчичная комплементарность</x:v>
      </x:c>
      <x:c r="F597" s="28" t="str">
        <x:v>Чеснок имеет профиль «резкий сернистый, зелёный и мясной; после запекания — сладкий и ореховый». Партнёр «спаржа» относится к группе «Побеговые овощи» и даёт зелёный, сернистый, ореховый и слегка сладкий.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7" s="28" t="str">
        <x:v>сырой чеснок быстро доминирует; пережжённый чеснок очень горький; хранить и обрабатывать по пищевым нормам</x:v>
      </x:c>
      <x:c r="I597" s="28" t="str">
        <x:v>горячее блюдо, бульон, соус, пюре, ферментация или гарнир с спаржа</x:v>
      </x:c>
      <x:c r="J597" s="28" t="str">
        <x:v>Средняя</x:v>
      </x:c>
      <x:c r="K597" s="28" t="str">
        <x:v>The Art &amp; Science of Foodpairing.pdf</x:v>
      </x:c>
      <x:c r="L597" s="28" t="str">
        <x:v>The Art &amp; Science of Foodpairing.pdf: 114</x:v>
      </x:c>
    </x:row>
    <x:row r="598" ht="66" customHeight="1">
      <x:c r="A598" s="28" t="str">
        <x:v>VEG-1097</x:v>
      </x:c>
      <x:c r="B598" s="28" t="str">
        <x:v>чеснок</x:v>
      </x:c>
      <x:c r="C598" s="28" t="str">
        <x:v>стилтон</x:v>
      </x:c>
      <x:c r="D598" s="28" t="str">
        <x:v>Прочее</x:v>
      </x:c>
      <x:c r="E598" s="28" t="str">
        <x:v>сернистая или горчичная комплементарность</x:v>
      </x:c>
      <x:c r="F598" s="28" t="str">
        <x:v>Чеснок имеет профиль «резкий сернистый, зелёный и мясной; после запекания — сладкий и ореховый». Партнёр «стилтон»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8" s="28" t="str">
        <x:v>сырой чеснок быстро доминирует; пережжённый чеснок очень горький; хранить и обрабатывать по пищевым нормам</x:v>
      </x:c>
      <x:c r="I598" s="28" t="str">
        <x:v>горячее блюдо, бульон, соус, пюре, ферментация или гарнир с стилтон</x:v>
      </x:c>
      <x:c r="J598" s="28" t="str">
        <x:v>Средняя</x:v>
      </x:c>
      <x:c r="K598" s="28" t="str">
        <x:v>The Art &amp; Science of Foodpairing.pdf</x:v>
      </x:c>
      <x:c r="L598" s="28" t="str">
        <x:v>The Art &amp; Science of Foodpairing.pdf: 114</x:v>
      </x:c>
    </x:row>
    <x:row r="599" ht="66" customHeight="1">
      <x:c r="A599" s="28" t="str">
        <x:v>VEG-1098</x:v>
      </x:c>
      <x:c r="B599" s="28" t="str">
        <x:v>чеснок</x:v>
      </x:c>
      <x:c r="C599" s="28" t="str">
        <x:v>сыр</x:v>
      </x:c>
      <x:c r="D599" s="28" t="str">
        <x:v>Молочные продукты и сыры</x:v>
      </x:c>
      <x:c r="E599" s="28" t="str">
        <x:v>пересечение ароматических семейств; жировая матрица; сернистая или горчичная комплементарность</x:v>
      </x:c>
      <x:c r="F599" s="28" t="str">
        <x:v>Чеснок имеет профиль «резкий сернистый, зелёный и мясной; после запекания — сладкий и ореховый». Партнёр «сыр»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9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99" s="28" t="str">
        <x:v>горячее блюдо, бульон, соус, пюре, ферментация или гарнир с сыр</x:v>
      </x:c>
      <x:c r="J599" s="28" t="str">
        <x:v>Средняя</x:v>
      </x:c>
      <x:c r="K599" s="28" t="str">
        <x:v>The Art &amp; Science of Foodpairing.pdf</x:v>
      </x:c>
      <x:c r="L599" s="28" t="str">
        <x:v>The Art &amp; Science of Foodpairing.pdf: 113, 114</x:v>
      </x:c>
    </x:row>
    <x:row r="600" ht="66" customHeight="1">
      <x:c r="A600" s="28" t="str">
        <x:v>VEG-1099</x:v>
      </x:c>
      <x:c r="B600" s="28" t="str">
        <x:v>чеснок</x:v>
      </x:c>
      <x:c r="C600" s="28" t="str">
        <x:v>таитянская ваниль</x:v>
      </x:c>
      <x:c r="D600" s="28" t="str">
        <x:v>Специи</x:v>
      </x:c>
      <x:c r="E600" s="28" t="str">
        <x:v>сернистая или горчичная комплементарность</x:v>
      </x:c>
      <x:c r="F600" s="28" t="str">
        <x:v>Чеснок имеет профиль «резкий сернистый, зелёный и мясной; после запекания — сладкий и ореховый». Партнёр «таитянская 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0" s="28" t="str">
        <x:v>сырой чеснок быстро доминирует; пережжённый чеснок очень горький; хранить и обрабатывать по пищевым нормам</x:v>
      </x:c>
      <x:c r="I600" s="28" t="str">
        <x:v>горячее блюдо, бульон, соус, пюре, ферментация или гарнир с таитянская ваниль</x:v>
      </x:c>
      <x:c r="J600" s="28" t="str">
        <x:v>Средняя</x:v>
      </x:c>
      <x:c r="K600" s="28" t="str">
        <x:v>The Art &amp; Science of Foodpairing.pdf</x:v>
      </x:c>
      <x:c r="L600" s="28" t="str">
        <x:v>The Art &amp; Science of Foodpairing.pdf: 114</x:v>
      </x:c>
    </x:row>
    <x:row r="601" ht="66" customHeight="1">
      <x:c r="A601" s="28" t="str">
        <x:v>VEG-1100</x:v>
      </x:c>
      <x:c r="B601" s="28" t="str">
        <x:v>чеснок</x:v>
      </x:c>
      <x:c r="C601" s="28" t="str">
        <x:v>тамаринд</x:v>
      </x:c>
      <x:c r="D601" s="28" t="str">
        <x:v>Прочее</x:v>
      </x:c>
      <x:c r="E601" s="28" t="str">
        <x:v>сернистая или горчичная комплементарность</x:v>
      </x:c>
      <x:c r="F601" s="28" t="str">
        <x:v>Чеснок имеет профиль «резкий сернистый, зелёный и мясной; после запекания — сладкий и ореховый». Партнёр «тамаринд»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1" s="28" t="str">
        <x:v>сырой чеснок быстро доминирует; пережжённый чеснок очень горький; хранить и обрабатывать по пищевым нормам</x:v>
      </x:c>
      <x:c r="I601" s="28" t="str">
        <x:v>горячее блюдо, бульон, соус, пюре, ферментация или гарнир с тамаринд</x:v>
      </x:c>
      <x:c r="J601" s="28" t="str">
        <x:v>Высокая</x:v>
      </x:c>
      <x:c r="K601" s="28" t="str">
        <x:v>The Art &amp; Science of Foodpairing.pdf</x:v>
      </x:c>
      <x:c r="L601" s="28" t="str">
        <x:v>The Art &amp; Science of Foodpairing.pdf: 114</x:v>
      </x:c>
    </x:row>
    <x:row r="602" ht="66" customHeight="1">
      <x:c r="A602" s="28" t="str">
        <x:v>VEG-1101</x:v>
      </x:c>
      <x:c r="B602" s="28" t="str">
        <x:v>чеснок</x:v>
      </x:c>
      <x:c r="C602" s="28" t="str">
        <x:v>тимьян</x:v>
      </x:c>
      <x:c r="D602" s="28" t="str">
        <x:v>Травы, цветы и листья</x:v>
      </x:c>
      <x:c r="E602" s="28" t="str">
        <x:v>сернистая или горчичная комплементарность</x:v>
      </x:c>
      <x:c r="F602" s="28" t="str">
        <x:v>Чеснок имеет профиль «резкий сернистый, зелёный и мясной; после запекания — сладкий и ореховый».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2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602" s="28" t="str">
        <x:v>горячее блюдо, бульон, соус, пюре, ферментация или гарнир с тимьян</x:v>
      </x:c>
      <x:c r="J602" s="28" t="str">
        <x:v>Высокая</x:v>
      </x:c>
      <x:c r="K602" s="28" t="str">
        <x:v>The Art &amp; Science of Foodpairing.pdf | Тезариус вкусов (Ники Сегнит)(1).pdf</x:v>
      </x:c>
      <x:c r="L602" s="28" t="str">
        <x:v>Тезариус вкусов (Ники Сегнит)(1).pdf: 210, 298, 862; The Art &amp; Science of Foodpairing.pdf: 114</x:v>
      </x:c>
    </x:row>
    <x:row r="603" ht="66" customHeight="1">
      <x:c r="A603" s="28" t="str">
        <x:v>VEG-1102</x:v>
      </x:c>
      <x:c r="B603" s="28" t="str">
        <x:v>чеснок</x:v>
      </x:c>
      <x:c r="C603" s="28" t="str">
        <x:v>томат</x:v>
      </x:c>
      <x:c r="D603" s="28" t="str">
        <x:v>Плодовые овощи</x:v>
      </x:c>
      <x:c r="E603" s="28" t="str">
        <x:v>пересечение ароматических семейств; сернистая или горчичная комплементарность</x:v>
      </x:c>
      <x:c r="F603" s="28" t="str">
        <x:v>Чеснок имеет профиль «резкий сернистый, зелёный и мясной; после запекания — сладкий и ореховый». Партнёр «томат» относится к группе «Плодовые овощи» и даёт зелёный, фруктовый, листовой, сернистый и умами. Профили пересекаются в семействах: сернистый, умами.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3" s="28" t="str">
        <x:v>сырой чеснок быстро доминирует; пережжённый чеснок очень горький; хранить и обрабатывать по пищевым нормам</x:v>
      </x:c>
      <x:c r="I603" s="28" t="str">
        <x:v>горячее блюдо, бульон, соус, пюре, ферментация или гарнир с томат</x:v>
      </x:c>
      <x:c r="J603" s="28" t="str">
        <x:v>Высокая</x:v>
      </x:c>
      <x:c r="K603" s="28" t="str">
        <x:v>The Art &amp; Science of Foodpairing.pdf | Тезариус вкусов (Ники Сегнит)(1).pdf</x:v>
      </x:c>
      <x:c r="L603" s="28" t="str">
        <x:v>Тезариус вкусов (Ники Сегнит)(1).pdf: 299, 690; The Art &amp; Science of Foodpairing.pdf: 114, 161</x:v>
      </x:c>
    </x:row>
    <x:row r="604" ht="66" customHeight="1">
      <x:c r="A604" s="28" t="str">
        <x:v>VEG-1103</x:v>
      </x:c>
      <x:c r="B604" s="28" t="str">
        <x:v>чеснок</x:v>
      </x:c>
      <x:c r="C604" s="28" t="str">
        <x:v>трюфель</x:v>
      </x:c>
      <x:c r="D604" s="28" t="str">
        <x:v>Грибы</x:v>
      </x:c>
      <x:c r="E604" s="28" t="str">
        <x:v>пересечение ароматических семейств; умами и солёный контраст; сернистая или горчичная комплементарность</x:v>
      </x:c>
      <x:c r="F604" s="28" t="str">
        <x:v>Чеснок имеет профиль «резкий сернистый, зелёный и мясной; после запекания — сладкий и ореховый». Партнёр «трюфель» относится к группе «Грибы» и даёт землистый, грибной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4" s="28" t="str">
        <x:v>сырой чеснок быстро доминирует; пережжённый чеснок очень горький; хранить и обрабатывать по пищевым нормам</x:v>
      </x:c>
      <x:c r="I604" s="28" t="str">
        <x:v>горячее блюдо, бульон, соус, пюре, ферментация или гарнир с трюфель</x:v>
      </x:c>
      <x:c r="J604" s="28" t="str">
        <x:v>Средняя</x:v>
      </x:c>
      <x:c r="K604" s="28" t="str">
        <x:v>Тезариус вкусов (Ники Сегнит)(1).pdf</x:v>
      </x:c>
      <x:c r="L604" s="28" t="str">
        <x:v>Тезариус вкусов (Ники Сегнит)(1).pdf: 299, 307</x:v>
      </x:c>
    </x:row>
    <x:row r="605" ht="66" customHeight="1">
      <x:c r="A605" s="28" t="str">
        <x:v>VEG-1104</x:v>
      </x:c>
      <x:c r="B605" s="28" t="str">
        <x:v>чеснок</x:v>
      </x:c>
      <x:c r="C605" s="28" t="str">
        <x:v>тыква</x:v>
      </x:c>
      <x:c r="D605" s="28" t="str">
        <x:v>Тыквенные</x:v>
      </x:c>
      <x:c r="E605" s="28" t="str">
        <x:v>сернистая или горчичная комплементарность</x:v>
      </x:c>
      <x:c r="F605" s="28" t="str">
        <x:v>Чеснок имеет профиль «резкий сернистый, зелёный и мясной; после запекания — сладкий и ореховый». Партнёр «тыква» относится к группе «Тыквенные» и даёт сладкий, крахмалистый, ореховый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5" s="28" t="str">
        <x:v>сырой чеснок быстро доминирует; пережжённый чеснок очень горький; хранить и обрабатывать по пищевым нормам</x:v>
      </x:c>
      <x:c r="I605" s="28" t="str">
        <x:v>горячее блюдо, бульон, соус, пюре, ферментация или гарнир с тыква</x:v>
      </x:c>
      <x:c r="J605" s="28" t="str">
        <x:v>Средняя</x:v>
      </x:c>
      <x:c r="K605" s="28" t="str">
        <x:v>The Art &amp; Science of Foodpairing.pdf</x:v>
      </x:c>
      <x:c r="L605" s="28" t="str">
        <x:v>The Art &amp; Science of Foodpairing.pdf: 113</x:v>
      </x:c>
    </x:row>
    <x:row r="606" ht="66" customHeight="1">
      <x:c r="A606" s="28" t="str">
        <x:v>VEG-1105</x:v>
      </x:c>
      <x:c r="B606" s="28" t="str">
        <x:v>чеснок</x:v>
      </x:c>
      <x:c r="C606" s="28" t="str">
        <x:v>тыква баттернат</x:v>
      </x:c>
      <x:c r="D606" s="28" t="str">
        <x:v>Тыквенные</x:v>
      </x:c>
      <x:c r="E606" s="28" t="str">
        <x:v>сернистая или горчичная комплементарность</x:v>
      </x:c>
      <x:c r="F606" s="28" t="str">
        <x:v>Чеснок имеет профиль «резкий сернистый, зелёный и мясной; после запекания — сладкий и ореховый».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6" s="28" t="str">
        <x:v>сырой чеснок быстро доминирует; пережжённый чеснок очень горький; хранить и обрабатывать по пищевым нормам</x:v>
      </x:c>
      <x:c r="I606" s="28" t="str">
        <x:v>горячее блюдо, бульон, соус, пюре, ферментация или гарнир с тыква баттернат</x:v>
      </x:c>
      <x:c r="J606" s="28" t="str">
        <x:v>Средняя</x:v>
      </x:c>
      <x:c r="K606" s="28" t="str">
        <x:v>The Art &amp; Science of Foodpairing.pdf</x:v>
      </x:c>
      <x:c r="L606" s="28" t="str">
        <x:v>The Art &amp; Science of Foodpairing.pdf: 114</x:v>
      </x:c>
    </x:row>
    <x:row r="607" ht="66" customHeight="1">
      <x:c r="A607" s="28" t="str">
        <x:v>VEG-1106</x:v>
      </x:c>
      <x:c r="B607" s="28" t="str">
        <x:v>чеснок</x:v>
      </x:c>
      <x:c r="C607" s="28" t="str">
        <x:v>тюрбо</x:v>
      </x:c>
      <x:c r="D607" s="28" t="str">
        <x:v>Прочее</x:v>
      </x:c>
      <x:c r="E607" s="28" t="str">
        <x:v>сернистая или горчичная комплементарность</x:v>
      </x:c>
      <x:c r="F607" s="28" t="str">
        <x:v>Чеснок имеет профиль «резкий сернистый, зелёный и мясной; после запекания — сладкий и ореховый». Партнёр «тюрбо»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7" s="28" t="str">
        <x:v>сырой чеснок быстро доминирует; пережжённый чеснок очень горький; хранить и обрабатывать по пищевым нормам</x:v>
      </x:c>
      <x:c r="I607" s="28" t="str">
        <x:v>горячее блюдо, бульон, соус, пюре, ферментация или гарнир с тюрбо</x:v>
      </x:c>
      <x:c r="J607" s="28" t="str">
        <x:v>Средняя</x:v>
      </x:c>
      <x:c r="K607" s="28" t="str">
        <x:v>The Art &amp; Science of Foodpairing.pdf</x:v>
      </x:c>
      <x:c r="L607" s="28" t="str">
        <x:v>The Art &amp; Science of Foodpairing.pdf: 113</x:v>
      </x:c>
    </x:row>
    <x:row r="608" ht="66" customHeight="1">
      <x:c r="A608" s="28" t="str">
        <x:v>VEG-1107</x:v>
      </x:c>
      <x:c r="B608" s="28" t="str">
        <x:v>чеснок</x:v>
      </x:c>
      <x:c r="C608" s="28" t="str">
        <x:v>устрица</x:v>
      </x:c>
      <x:c r="D608" s="28" t="str">
        <x:v>Рыба и морепродукты</x:v>
      </x:c>
      <x:c r="E608" s="28" t="str">
        <x:v>пересечение ароматических семейств; умами и солёный контраст; сернистая или горчичная комплементарность</x:v>
      </x:c>
      <x:c r="F608" s="28" t="str">
        <x:v>Чеснок имеет профиль «резкий сернистый, зелёный и мясной; после запекания — сладкий и ореховый». Партнёр «устрица»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8" s="28" t="str">
        <x:v>сырой чеснок быстро доминирует; пережжённый чеснок очень горький; хранить и обрабатывать по пищевым нормам</x:v>
      </x:c>
      <x:c r="I608" s="28" t="str">
        <x:v>горячее блюдо, бульон, соус, пюре, ферментация или гарнир с устрица</x:v>
      </x:c>
      <x:c r="J608" s="28" t="str">
        <x:v>Средняя</x:v>
      </x:c>
      <x:c r="K608" s="28" t="str">
        <x:v>The Art &amp; Science of Foodpairing.pdf</x:v>
      </x:c>
      <x:c r="L608" s="28" t="str">
        <x:v>The Art &amp; Science of Foodpairing.pdf: 113, 114</x:v>
      </x:c>
    </x:row>
    <x:row r="609" ht="66" customHeight="1">
      <x:c r="A609" s="28" t="str">
        <x:v>VEG-1108</x:v>
      </x:c>
      <x:c r="B609" s="28" t="str">
        <x:v>чеснок</x:v>
      </x:c>
      <x:c r="C609" s="28" t="str">
        <x:v>утиная грудка</x:v>
      </x:c>
      <x:c r="D609" s="28" t="str">
        <x:v>Прочее</x:v>
      </x:c>
      <x:c r="E609" s="28" t="str">
        <x:v>сернистая или горчичная комплементарность</x:v>
      </x:c>
      <x:c r="F609" s="28" t="str">
        <x:v>Чеснок имеет профиль «резкий сернистый, зелёный и мясной; после запекания — сладкий и ореховый». Партнёр «утиная грудка»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9" s="28" t="str">
        <x:v>сырой чеснок быстро доминирует; пережжённый чеснок очень горький; хранить и обрабатывать по пищевым нормам</x:v>
      </x:c>
      <x:c r="I609" s="28" t="str">
        <x:v>горячее блюдо, бульон, соус, пюре, ферментация или гарнир с утиная грудка</x:v>
      </x:c>
      <x:c r="J609" s="28" t="str">
        <x:v>Средняя</x:v>
      </x:c>
      <x:c r="K609" s="28" t="str">
        <x:v>The Art &amp; Science of Foodpairing.pdf</x:v>
      </x:c>
      <x:c r="L609" s="28" t="str">
        <x:v>The Art &amp; Science of Foodpairing.pdf: 113</x:v>
      </x:c>
    </x:row>
    <x:row r="610" ht="66" customHeight="1">
      <x:c r="A610" s="28" t="str">
        <x:v>VEG-1109</x:v>
      </x:c>
      <x:c r="B610" s="28" t="str">
        <x:v>чеснок</x:v>
      </x:c>
      <x:c r="C610" s="28" t="str">
        <x:v>фундук</x:v>
      </x:c>
      <x:c r="D610" s="28" t="str">
        <x:v>Орехи и семена</x:v>
      </x:c>
      <x:c r="E610" s="28" t="str">
        <x:v>пересечение ароматических семейств; сернистая или горчичная комплементарность</x:v>
      </x:c>
      <x:c r="F610" s="28" t="str">
        <x:v>Чеснок имеет профиль «резкий сернистый, зелёный и мясной; после запекания — сладкий и ореховый». Партнёр «фундук»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0" s="28" t="str">
        <x:v>сырой чеснок быстро доминирует; пережжённый чеснок очень горький; хранить и обрабатывать по пищевым нормам</x:v>
      </x:c>
      <x:c r="I610" s="28" t="str">
        <x:v>горячее блюдо, бульон, соус, пюре, ферментация или гарнир с фундук</x:v>
      </x:c>
      <x:c r="J610" s="28" t="str">
        <x:v>Средняя</x:v>
      </x:c>
      <x:c r="K610" s="28" t="str">
        <x:v>Тезариус вкусов (Ники Сегнит)(1).pdf</x:v>
      </x:c>
      <x:c r="L610" s="28" t="str">
        <x:v>Тезариус вкусов (Ники Сегнит)(1).pdf: 299, 377, 638</x:v>
      </x:c>
    </x:row>
    <x:row r="611" ht="66" customHeight="1">
      <x:c r="A611" s="28" t="str">
        <x:v>VEG-1110</x:v>
      </x:c>
      <x:c r="B611" s="28" t="str">
        <x:v>чеснок</x:v>
      </x:c>
      <x:c r="C611" s="28" t="str">
        <x:v>хамон иберико</x:v>
      </x:c>
      <x:c r="D611" s="28" t="str">
        <x:v>Мясо и птица</x:v>
      </x:c>
      <x:c r="E611" s="28" t="str">
        <x:v>пересечение ароматических семейств; умами и солёный контраст; сернистая или горчичная комплементарность</x:v>
      </x:c>
      <x:c r="F611" s="28" t="str">
        <x:v>Чеснок имеет профиль «резкий сернистый, зелёный и мясной; после запекания — сладкий и ореховый». Партнёр «хамон иберико»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1" s="28" t="str">
        <x:v>сырой чеснок быстро доминирует; пережжённый чеснок очень горький; хранить и обрабатывать по пищевым нормам</x:v>
      </x:c>
      <x:c r="I611" s="28" t="str">
        <x:v>горячее блюдо, бульон, соус, пюре, ферментация или гарнир с хамон иберико</x:v>
      </x:c>
      <x:c r="J611" s="28" t="str">
        <x:v>Средняя</x:v>
      </x:c>
      <x:c r="K611" s="28" t="str">
        <x:v>The Art &amp; Science of Foodpairing.pdf</x:v>
      </x:c>
      <x:c r="L611" s="28" t="str">
        <x:v>The Art &amp; Science of Foodpairing.pdf: 278</x:v>
      </x:c>
    </x:row>
    <x:row r="612" ht="66" customHeight="1">
      <x:c r="A612" s="28" t="str">
        <x:v>VEG-1111</x:v>
      </x:c>
      <x:c r="B612" s="28" t="str">
        <x:v>чеснок</x:v>
      </x:c>
      <x:c r="C612" s="28" t="str">
        <x:v>хлеб</x:v>
      </x:c>
      <x:c r="D612" s="28" t="str">
        <x:v>Выпечка, крупы, сахара и десерты</x:v>
      </x:c>
      <x:c r="E612" s="28" t="str">
        <x:v>пересечение ароматических семейств; сернистая или горчичная комплементарность</x:v>
      </x:c>
      <x:c r="F612" s="28" t="str">
        <x:v>Чеснок имеет профиль «резкий сернистый, зелёный и мясной; после запекания — сладкий и ореховый». Партнёр «хлеб» относится к группе «Выпечка, крупы, сахара и десерты» и даёт жареный, зерновой.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2" s="28" t="str">
        <x:v>сырой чеснок быстро доминирует; пережжённый чеснок очень горький; хранить и обрабатывать по пищевым нормам</x:v>
      </x:c>
      <x:c r="I612" s="28" t="str">
        <x:v>горячее блюдо, бульон, соус, пюре, ферментация или гарнир с хлеб</x:v>
      </x:c>
      <x:c r="J612" s="28" t="str">
        <x:v>Высокая</x:v>
      </x:c>
      <x:c r="K612" s="28" t="str">
        <x:v>The Art &amp; Science of Foodpairing.pdf</x:v>
      </x:c>
      <x:c r="L612" s="28" t="str">
        <x:v>The Art &amp; Science of Foodpairing.pdf: 112, 114</x:v>
      </x:c>
    </x:row>
    <x:row r="613" ht="66" customHeight="1">
      <x:c r="A613" s="28" t="str">
        <x:v>VEG-1112</x:v>
      </x:c>
      <x:c r="B613" s="28" t="str">
        <x:v>чеснок</x:v>
      </x:c>
      <x:c r="C613" s="28" t="str">
        <x:v>цветная капуста</x:v>
      </x:c>
      <x:c r="D613" s="28" t="str">
        <x:v>Крестоцветные</x:v>
      </x:c>
      <x:c r="E613" s="28" t="str">
        <x:v>общие характерные молекулы; пересечение ароматических семейств; сернистая или горчичная комплементарность</x:v>
      </x:c>
      <x:c r="F613" s="28" t="str">
        <x:v>Чеснок имеет профиль «резкий сернистый, зелёный и мясной; после запекания — сладкий и ореховый». Партнёр «цветная капуста» относится к группе «Крестоцветные» и даёт мягко капустный, ореховый, сернистый и сливочный после запекания.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3" s="28" t="str">
        <x:v>сырой чеснок быстро доминирует; пережжённый чеснок очень горький; хранить и обрабатывать по пищевым нормам</x:v>
      </x:c>
      <x:c r="I613" s="28" t="str">
        <x:v>горячее блюдо, бульон, соус, пюре, ферментация или гарнир с цветная капуста</x:v>
      </x:c>
      <x:c r="J613" s="28" t="str">
        <x:v>Высокая</x:v>
      </x:c>
      <x:c r="K613" s="28" t="str">
        <x:v>The Art &amp; Science of Foodpairing.pdf | Тезариус вкусов (Ники Сегнит)(1).pdf</x:v>
      </x:c>
      <x:c r="L613" s="28" t="str">
        <x:v>Тезариус вкусов (Ники Сегнит)(1).pdf: 299, 326; The Art &amp; Science of Foodpairing.pdf: 113</x:v>
      </x:c>
    </x:row>
    <x:row r="614" ht="66" customHeight="1">
      <x:c r="A614" s="28" t="str">
        <x:v>VEG-1113</x:v>
      </x:c>
      <x:c r="B614" s="28" t="str">
        <x:v>чеснок</x:v>
      </x:c>
      <x:c r="C614" s="28" t="str">
        <x:v>цветок акмеллы</x:v>
      </x:c>
      <x:c r="D614" s="28" t="str">
        <x:v>Прочее</x:v>
      </x:c>
      <x:c r="E614" s="28" t="str">
        <x:v>сернистая или горчичная комплементарность</x:v>
      </x:c>
      <x:c r="F614" s="28" t="str">
        <x:v>Чеснок имеет профиль «резкий сернистый, зелёный и мясной; после запекания — сладкий и ореховый». Партнёр «цветок акмеллы»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4" s="28" t="str">
        <x:v>сырой чеснок быстро доминирует; пережжённый чеснок очень горький; хранить и обрабатывать по пищевым нормам</x:v>
      </x:c>
      <x:c r="I614" s="28" t="str">
        <x:v>горячее блюдо, бульон, соус, пюре, ферментация или гарнир с цветок акмеллы</x:v>
      </x:c>
      <x:c r="J614" s="28" t="str">
        <x:v>Высокая</x:v>
      </x:c>
      <x:c r="K614" s="28" t="str">
        <x:v>The Art &amp; Science of Foodpairing.pdf</x:v>
      </x:c>
      <x:c r="L614" s="28" t="str">
        <x:v>The Art &amp; Science of Foodpairing.pdf: 113</x:v>
      </x:c>
    </x:row>
    <x:row r="615" ht="66" customHeight="1">
      <x:c r="A615" s="28" t="str">
        <x:v>VEG-1114</x:v>
      </x:c>
      <x:c r="B615" s="28" t="str">
        <x:v>чеснок</x:v>
      </x:c>
      <x:c r="C615" s="28" t="str">
        <x:v>цесарка</x:v>
      </x:c>
      <x:c r="D615" s="28" t="str">
        <x:v>Прочее</x:v>
      </x:c>
      <x:c r="E615" s="28" t="str">
        <x:v>сернистая или горчичная комплементарность</x:v>
      </x:c>
      <x:c r="F615" s="28" t="str">
        <x:v>Чеснок имеет профиль «резкий сернистый, зелёный и мясной; после запекания — сладкий и ореховый». Партнёр «цесарка»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5" s="28" t="str">
        <x:v>сырой чеснок быстро доминирует; пережжённый чеснок очень горький; хранить и обрабатывать по пищевым нормам</x:v>
      </x:c>
      <x:c r="I615" s="28" t="str">
        <x:v>горячее блюдо, бульон, соус, пюре, ферментация или гарнир с цесарка</x:v>
      </x:c>
      <x:c r="J615" s="28" t="str">
        <x:v>Средняя</x:v>
      </x:c>
      <x:c r="K615" s="28" t="str">
        <x:v>The Art &amp; Science of Foodpairing.pdf</x:v>
      </x:c>
      <x:c r="L615" s="28" t="str">
        <x:v>The Art &amp; Science of Foodpairing.pdf: 114</x:v>
      </x:c>
    </x:row>
    <x:row r="616" ht="66" customHeight="1">
      <x:c r="A616" s="28" t="str">
        <x:v>VEG-1115</x:v>
      </x:c>
      <x:c r="B616" s="28" t="str">
        <x:v>чеснок</x:v>
      </x:c>
      <x:c r="C616" s="28" t="str">
        <x:v>цыпленок</x:v>
      </x:c>
      <x:c r="D616" s="28" t="str">
        <x:v>Прочее</x:v>
      </x:c>
      <x:c r="E616" s="28" t="str">
        <x:v>сернистая или горчичная комплементарность</x:v>
      </x:c>
      <x:c r="F616" s="28" t="str">
        <x:v>Чеснок имеет профиль «резкий сернистый, зелёный и мясной; после запекания — сладкий и ореховый».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6" s="28" t="str">
        <x:v>сырой чеснок быстро доминирует; пережжённый чеснок очень горький; хранить и обрабатывать по пищевым нормам</x:v>
      </x:c>
      <x:c r="I616" s="28" t="str">
        <x:v>горячее блюдо, бульон, соус, пюре, ферментация или гарнир с цыпленок</x:v>
      </x:c>
      <x:c r="J616" s="28" t="str">
        <x:v>Средняя</x:v>
      </x:c>
      <x:c r="K616" s="28" t="str">
        <x:v>Тезариус вкусов (Ники Сегнит)(1).pdf</x:v>
      </x:c>
      <x:c r="L616" s="28" t="str">
        <x:v>Тезариус вкусов (Ники Сегнит)(1).pdf: 75, 299</x:v>
      </x:c>
    </x:row>
    <x:row r="617" ht="66" customHeight="1">
      <x:c r="A617" s="28" t="str">
        <x:v>VEG-1116</x:v>
      </x:c>
      <x:c r="B617" s="28" t="str">
        <x:v>чеснок</x:v>
      </x:c>
      <x:c r="C617" s="28" t="str">
        <x:v>чай</x:v>
      </x:c>
      <x:c r="D617" s="28" t="str">
        <x:v>Чай</x:v>
      </x:c>
      <x:c r="E617" s="28" t="str">
        <x:v>сернистая или горчичная комплементарность</x:v>
      </x:c>
      <x:c r="F617" s="28" t="str">
        <x:v>Чеснок имеет профиль «резкий сернистый, зелёный и мясной; после запекания — сладкий и ореховый».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7" s="28" t="str">
        <x:v>сырой чеснок быстро доминирует; пережжённый чеснок очень горький; хранить и обрабатывать по пищевым нормам</x:v>
      </x:c>
      <x:c r="I617" s="28" t="str">
        <x:v>горячее блюдо, бульон, соус, пюре, ферментация или гарнир с чай</x:v>
      </x:c>
      <x:c r="J617" s="28" t="str">
        <x:v>Средняя</x:v>
      </x:c>
      <x:c r="K617" s="28" t="str">
        <x:v>The Art &amp; Science of Foodpairing.pdf</x:v>
      </x:c>
      <x:c r="L617" s="28" t="str">
        <x:v>The Art &amp; Science of Foodpairing.pdf: 113</x:v>
      </x:c>
    </x:row>
    <x:row r="618" ht="66" customHeight="1">
      <x:c r="A618" s="28" t="str">
        <x:v>VEG-1117</x:v>
      </x:c>
      <x:c r="B618" s="28" t="str">
        <x:v>чеснок</x:v>
      </x:c>
      <x:c r="C618" s="28" t="str">
        <x:v>чиабатта</x:v>
      </x:c>
      <x:c r="D618" s="28" t="str">
        <x:v>Прочее</x:v>
      </x:c>
      <x:c r="E618" s="28" t="str">
        <x:v>сернистая или горчичная комплементарность</x:v>
      </x:c>
      <x:c r="F618" s="28" t="str">
        <x:v>Чеснок имеет профиль «резкий сернистый, зелёный и мясной; после запекания — сладкий и ореховый».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8" s="28" t="str">
        <x:v>сырой чеснок быстро доминирует; пережжённый чеснок очень горький; хранить и обрабатывать по пищевым нормам</x:v>
      </x:c>
      <x:c r="I618" s="28" t="str">
        <x:v>горячее блюдо, бульон, соус, пюре, ферментация или гарнир с чиабатта</x:v>
      </x:c>
      <x:c r="J618" s="28" t="str">
        <x:v>Средняя</x:v>
      </x:c>
      <x:c r="K618" s="28" t="str">
        <x:v>The Art &amp; Science of Foodpairing.pdf</x:v>
      </x:c>
      <x:c r="L618" s="28" t="str">
        <x:v>The Art &amp; Science of Foodpairing.pdf: 114</x:v>
      </x:c>
    </x:row>
    <x:row r="619" ht="66" customHeight="1">
      <x:c r="A619" s="28" t="str">
        <x:v>VEG-1118</x:v>
      </x:c>
      <x:c r="B619" s="28" t="str">
        <x:v>чеснок</x:v>
      </x:c>
      <x:c r="C619" s="28" t="str">
        <x:v>чили</x:v>
      </x:c>
      <x:c r="D619" s="28" t="str">
        <x:v>Специи</x:v>
      </x:c>
      <x:c r="E619" s="28" t="str">
        <x:v>сернистая или горчичная комплементарность</x:v>
      </x:c>
      <x:c r="F619" s="28" t="str">
        <x:v>Чеснок имеет профиль «резкий сернистый, зелёный и мясной; после запекания — сладкий и ореховый».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9" s="28" t="str">
        <x:v>сырой чеснок быстро доминирует; пережжённый чеснок очень горький; хранить и обрабатывать по пищевым нормам</x:v>
      </x:c>
      <x:c r="I619" s="28" t="str">
        <x:v>горячее блюдо, бульон, соус, пюре, ферментация или гарнир с чили</x:v>
      </x:c>
      <x:c r="J619" s="28" t="str">
        <x:v>Средняя</x:v>
      </x:c>
      <x:c r="K619" s="28" t="str">
        <x:v>Тезариус вкусов (Ники Сегнит)(1).pdf</x:v>
      </x:c>
      <x:c r="L619" s="28" t="str">
        <x:v>Тезариус вкусов (Ники Сегнит)(1).pdf: 300, 560</x:v>
      </x:c>
    </x:row>
    <x:row r="620" ht="66" customHeight="1">
      <x:c r="A620" s="28" t="str">
        <x:v>VEG-1119</x:v>
      </x:c>
      <x:c r="B620" s="28" t="str">
        <x:v>чеснок</x:v>
      </x:c>
      <x:c r="C620" s="28" t="str">
        <x:v>чоризо</x:v>
      </x:c>
      <x:c r="D620" s="28" t="str">
        <x:v>Прочее</x:v>
      </x:c>
      <x:c r="E620" s="28" t="str">
        <x:v>сернистая или горчичная комплементарность</x:v>
      </x:c>
      <x:c r="F620" s="28" t="str">
        <x:v>Чеснок имеет профиль «резкий сернистый, зелёный и мясной; после запекания — сладкий и ореховый».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0" s="28" t="str">
        <x:v>сырой чеснок быстро доминирует; пережжённый чеснок очень горький; хранить и обрабатывать по пищевым нормам</x:v>
      </x:c>
      <x:c r="I620" s="28" t="str">
        <x:v>горячее блюдо, бульон, соус, пюре, ферментация или гарнир с чоризо</x:v>
      </x:c>
      <x:c r="J620" s="28" t="str">
        <x:v>Средняя</x:v>
      </x:c>
      <x:c r="K620" s="28" t="str">
        <x:v>The Art &amp; Science of Foodpairing.pdf</x:v>
      </x:c>
      <x:c r="L620" s="28" t="str">
        <x:v>The Art &amp; Science of Foodpairing.pdf: 288</x:v>
      </x:c>
    </x:row>
    <x:row r="621" ht="66" customHeight="1">
      <x:c r="A621" s="28" t="str">
        <x:v>VEG-1120</x:v>
      </x:c>
      <x:c r="B621" s="28" t="str">
        <x:v>чеснок</x:v>
      </x:c>
      <x:c r="C621" s="28" t="str">
        <x:v>чёрная смородина</x:v>
      </x:c>
      <x:c r="D621" s="28" t="str">
        <x:v>Фрукты и ягоды</x:v>
      </x:c>
      <x:c r="E621" s="28" t="str">
        <x:v>кислотно-сладкий баланс; сернистая или горчичная комплементарность</x:v>
      </x:c>
      <x:c r="F621" s="28" t="str">
        <x:v>Чеснок имеет профиль «резкий сернистый, зелёный и мясной; после запекания — сладкий и ореховый».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1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621" s="28" t="str">
        <x:v>горячее блюдо, бульон, соус, пюре, ферментация или гарнир с чёрная смородина</x:v>
      </x:c>
      <x:c r="J621" s="28" t="str">
        <x:v>Средняя</x:v>
      </x:c>
      <x:c r="K621" s="28" t="str">
        <x:v>The Art &amp; Science of Foodpairing.pdf</x:v>
      </x:c>
      <x:c r="L621" s="28" t="str">
        <x:v>The Art &amp; Science of Foodpairing.pdf: 113</x:v>
      </x:c>
    </x:row>
    <x:row r="622" ht="66" customHeight="1">
      <x:c r="A622" s="28" t="str">
        <x:v>VEG-1121</x:v>
      </x:c>
      <x:c r="B622" s="28" t="str">
        <x:v>чеснок</x:v>
      </x:c>
      <x:c r="C622" s="28" t="str">
        <x:v>чёрные оливки</x:v>
      </x:c>
      <x:c r="D622" s="28" t="str">
        <x:v>Прочее</x:v>
      </x:c>
      <x:c r="E622" s="28" t="str">
        <x:v>сернистая или горчичная комплементарность</x:v>
      </x:c>
      <x:c r="F622" s="28" t="str">
        <x:v>Чеснок имеет профиль «резкий сернистый, зелёный и мясной; после запекания — сладкий и ореховый». Партнёр «чёрные 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2" s="28" t="str">
        <x:v>сырой чеснок быстро доминирует; пережжённый чеснок очень горький; хранить и обрабатывать по пищевым нормам</x:v>
      </x:c>
      <x:c r="I622" s="28" t="str">
        <x:v>горячее блюдо, бульон, соус, пюре, ферментация или гарнир с чёрные оливки</x:v>
      </x:c>
      <x:c r="J622" s="28" t="str">
        <x:v>Средняя</x:v>
      </x:c>
      <x:c r="K622" s="28" t="str">
        <x:v>The Art &amp; Science of Foodpairing.pdf</x:v>
      </x:c>
      <x:c r="L622" s="28" t="str">
        <x:v>The Art &amp; Science of Foodpairing.pdf: 113</x:v>
      </x:c>
    </x:row>
    <x:row r="623" ht="66" customHeight="1">
      <x:c r="A623" s="28" t="str">
        <x:v>VEG-1122</x:v>
      </x:c>
      <x:c r="B623" s="28" t="str">
        <x:v>чеснок</x:v>
      </x:c>
      <x:c r="C623" s="28" t="str">
        <x:v>чёрный трюфель</x:v>
      </x:c>
      <x:c r="D623" s="28" t="str">
        <x:v>Грибы</x:v>
      </x:c>
      <x:c r="E623" s="28" t="str">
        <x:v>пересечение ароматических семейств; умами и солёный контраст; сернистая или горчичная комплементарность</x:v>
      </x:c>
      <x:c r="F623" s="28" t="str">
        <x:v>Чеснок имеет профиль «резкий сернистый, зелёный и мясной; после запекания — сладкий и ореховый». Партнёр «чёрный трюфель» относится к группе «Грибы» и даёт землистый, грибной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3" s="28" t="str">
        <x:v>сырой чеснок быстро доминирует; пережжённый чеснок очень горький; хранить и обрабатывать по пищевым нормам</x:v>
      </x:c>
      <x:c r="I623" s="28" t="str">
        <x:v>горячее блюдо, бульон, соус, пюре, ферментация или гарнир с чёрный трюфель</x:v>
      </x:c>
      <x:c r="J623" s="28" t="str">
        <x:v>Средняя</x:v>
      </x:c>
      <x:c r="K623" s="28" t="str">
        <x:v>The Art &amp; Science of Foodpairing.pdf</x:v>
      </x:c>
      <x:c r="L623" s="28" t="str">
        <x:v>The Art &amp; Science of Foodpairing.pdf: 114</x:v>
      </x:c>
    </x:row>
    <x:row r="624" ht="66" customHeight="1">
      <x:c r="A624" s="28" t="str">
        <x:v>VEG-1123</x:v>
      </x:c>
      <x:c r="B624" s="28" t="str">
        <x:v>чеснок</x:v>
      </x:c>
      <x:c r="C624" s="28" t="str">
        <x:v>чёрный чеснок</x:v>
      </x:c>
      <x:c r="D624" s="28" t="str">
        <x:v>Луковые овощи</x:v>
      </x:c>
      <x:c r="E624" s="28" t="str">
        <x:v>пересечение ароматических семейств; сернистая или горчичная комплементарность</x:v>
      </x:c>
      <x:c r="F624" s="28" t="str">
        <x:v>Чеснок имеет профиль «резкий сернистый, зелёный и мясной; после запекания — сладкий и ореховый». Партнёр «чёрный чеснок» относится к группе «Луковые овощи» и даёт сернистый, сладкий и жареный.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4" s="28" t="str">
        <x:v>сырой чеснок быстро доминирует; пережжённый чеснок очень горький; хранить и обрабатывать по пищевым нормам</x:v>
      </x:c>
      <x:c r="I624" s="28" t="str">
        <x:v>горячее блюдо, бульон, соус, пюре, ферментация или гарнир с чёрный чеснок</x:v>
      </x:c>
      <x:c r="J624" s="28" t="str">
        <x:v>Средняя</x:v>
      </x:c>
      <x:c r="K624" s="28" t="str">
        <x:v>The Art &amp; Science of Foodpairing.pdf</x:v>
      </x:c>
      <x:c r="L624" s="28" t="str">
        <x:v>The Art &amp; Science of Foodpairing.pdf: 114</x:v>
      </x:c>
    </x:row>
    <x:row r="625" ht="66" customHeight="1">
      <x:c r="A625" s="28" t="str">
        <x:v>VEG-1124</x:v>
      </x:c>
      <x:c r="B625" s="28" t="str">
        <x:v>чеснок</x:v>
      </x:c>
      <x:c r="C625" s="28" t="str">
        <x:v>шафран</x:v>
      </x:c>
      <x:c r="D625" s="28" t="str">
        <x:v>Специи</x:v>
      </x:c>
      <x:c r="E625" s="28" t="str">
        <x:v>сернистая или горчичная комплементарность</x:v>
      </x:c>
      <x:c r="F625" s="28" t="str">
        <x:v>Чеснок имеет профиль «резкий сернистый, зелёный и мясной; после запекания — сладкий и ореховый».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5" s="28" t="str">
        <x:v>сырой чеснок быстро доминирует; пережжённый чеснок очень горький; хранить и обрабатывать по пищевым нормам</x:v>
      </x:c>
      <x:c r="I625" s="28" t="str">
        <x:v>горячее блюдо, бульон, соус, пюре, ферментация или гарнир с шафран</x:v>
      </x:c>
      <x:c r="J625" s="28" t="str">
        <x:v>Средняя</x:v>
      </x:c>
      <x:c r="K625" s="28" t="str">
        <x:v>The Art &amp; Science of Foodpairing.pdf</x:v>
      </x:c>
      <x:c r="L625" s="28" t="str">
        <x:v>The Art &amp; Science of Foodpairing.pdf: 114</x:v>
      </x:c>
    </x:row>
    <x:row r="626" ht="66" customHeight="1">
      <x:c r="A626" s="28" t="str">
        <x:v>VEG-1125</x:v>
      </x:c>
      <x:c r="B626" s="28" t="str">
        <x:v>чеснок</x:v>
      </x:c>
      <x:c r="C626" s="28" t="str">
        <x:v>шнитт-лук</x:v>
      </x:c>
      <x:c r="D626" s="28" t="str">
        <x:v>Луковые овощи</x:v>
      </x:c>
      <x:c r="E626" s="28" t="str">
        <x:v>пересечение ароматических семейств; сернистая или горчичная комплементарность</x:v>
      </x:c>
      <x:c r="F626" s="28" t="str">
        <x:v>Чеснок имеет профиль «резкий сернистый, зелёный и мясной; после запекания — сладкий и ореховый». Партнёр «шнитт-лук» относится к группе «Луковые овощи» и даёт сернистый, сладкий и жареный.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6" s="28" t="str">
        <x:v>сырой чеснок быстро доминирует; пережжённый чеснок очень горький; хранить и обрабатывать по пищевым нормам</x:v>
      </x:c>
      <x:c r="I626" s="28" t="str">
        <x:v>горячее блюдо, бульон, соус, пюре, ферментация или гарнир с шнитт-лук</x:v>
      </x:c>
      <x:c r="J626" s="28" t="str">
        <x:v>Средняя</x:v>
      </x:c>
      <x:c r="K626" s="28" t="str">
        <x:v>The Art &amp; Science of Foodpairing.pdf</x:v>
      </x:c>
      <x:c r="L626" s="28" t="str">
        <x:v>The Art &amp; Science of Foodpairing.pdf: 114</x:v>
      </x:c>
    </x:row>
    <x:row r="627" ht="66" customHeight="1">
      <x:c r="A627" s="28" t="str">
        <x:v>VEG-1126</x:v>
      </x:c>
      <x:c r="B627" s="28" t="str">
        <x:v>чеснок</x:v>
      </x:c>
      <x:c r="C627" s="28" t="str">
        <x:v>шоколад</x:v>
      </x:c>
      <x:c r="D627" s="28" t="str">
        <x:v>Какао и шоколад</x:v>
      </x:c>
      <x:c r="E627" s="28" t="str">
        <x:v>пересечение ароматических семейств; сернистая или горчичная комплементарность</x:v>
      </x:c>
      <x:c r="F627" s="28" t="str">
        <x:v>Чеснок имеет профиль «резкий сернистый, зелёный и мясной; после запекания — сладкий и ореховый». Партнёр «шоколад» относится к группе «Какао и шоколад» и даёт жареный, какаовый, карамельный.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7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627" s="28" t="str">
        <x:v>горячее блюдо, бульон, соус, пюре, ферментация или гарнир с шоколад</x:v>
      </x:c>
      <x:c r="J627" s="28" t="str">
        <x:v>Высокая</x:v>
      </x:c>
      <x:c r="K627" s="28" t="str">
        <x:v>The Art &amp; Science of Foodpairing.pdf</x:v>
      </x:c>
      <x:c r="L627" s="28" t="str">
        <x:v>The Art &amp; Science of Foodpairing.pdf: 113</x:v>
      </x:c>
    </x:row>
    <x:row r="628" ht="66" customHeight="1">
      <x:c r="A628" s="28" t="str">
        <x:v>VEG-1127</x:v>
      </x:c>
      <x:c r="B628" s="28" t="str">
        <x:v>чеснок</x:v>
      </x:c>
      <x:c r="C628" s="28" t="str">
        <x:v>эмменталь</x:v>
      </x:c>
      <x:c r="D628" s="28" t="str">
        <x:v>Прочее</x:v>
      </x:c>
      <x:c r="E628" s="28" t="str">
        <x:v>сернистая или горчичная комплементарность</x:v>
      </x:c>
      <x:c r="F628" s="28" t="str">
        <x:v>Чеснок имеет профиль «резкий сернистый, зелёный и мясной; после запекания — сладкий и ореховый». Партнёр «эмменталь»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8" s="28" t="str">
        <x:v>сырой чеснок быстро доминирует; пережжённый чеснок очень горький; хранить и обрабатывать по пищевым нормам</x:v>
      </x:c>
      <x:c r="I628" s="28" t="str">
        <x:v>горячее блюдо, бульон, соус, пюре, ферментация или гарнир с эмменталь</x:v>
      </x:c>
      <x:c r="J628" s="28" t="str">
        <x:v>Средняя</x:v>
      </x:c>
      <x:c r="K628" s="28" t="str">
        <x:v>The Art &amp; Science of Foodpairing.pdf</x:v>
      </x:c>
      <x:c r="L628" s="28" t="str">
        <x:v>The Art &amp; Science of Foodpairing.pdf: 113</x:v>
      </x:c>
    </x:row>
    <x:row r="629" ht="66" customHeight="1">
      <x:c r="A629" s="28" t="str">
        <x:v>VEG-1128</x:v>
      </x:c>
      <x:c r="B629" s="28" t="str">
        <x:v>чеснок</x:v>
      </x:c>
      <x:c r="C629" s="28" t="str">
        <x:v>яблоко</x:v>
      </x:c>
      <x:c r="D629" s="28" t="str">
        <x:v>Фрукты и ягоды</x:v>
      </x:c>
      <x:c r="E629" s="28" t="str">
        <x:v>кислотно-сладкий баланс; сернистая или горчичная комплементарность</x:v>
      </x:c>
      <x:c r="F629" s="28" t="str">
        <x:v>Чеснок имеет профиль «резкий сернистый, зелёный и мясной; после запекания — сладкий и ореховый».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9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629" s="28" t="str">
        <x:v>горячее блюдо, бульон, соус, пюре, ферментация или гарнир с яблоко</x:v>
      </x:c>
      <x:c r="J629" s="28" t="str">
        <x:v>Средняя</x:v>
      </x:c>
      <x:c r="K629" s="28" t="str">
        <x:v>The Art &amp; Science of Foodpairing.pdf</x:v>
      </x:c>
      <x:c r="L629" s="28" t="str">
        <x:v>The Art &amp; Science of Foodpairing.pdf: 114</x:v>
      </x:c>
    </x:row>
  </x:sheetData>
  <x:conditionalFormatting sqref="J2:J629">
    <x:cfRule type="expression" dxfId="24" priority="1">
      <x:formula>J2="Высокая"</x:formula>
    </x:cfRule>
    <x:cfRule type="expression" dxfId="25" priority="2">
      <x:formula>J2="Средняя"</x:formula>
    </x:cfRule>
    <x:cfRule type="expression" dxfId="26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fa5ac4ff3b444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VEG-0002</x:v>
      </x:c>
      <x:c r="B2" s="28" t="str">
        <x:v>артишок</x:v>
      </x:c>
      <x:c r="C2" s="28" t="str">
        <x:v>банан</x:v>
      </x:c>
      <x:c r="D2" s="28" t="str">
        <x:v>Фрукты и ягоды</x:v>
      </x:c>
      <x:c r="E2" s="28" t="str">
        <x:v>пересечение ароматических семейств; кислотно-сладкий баланс</x:v>
      </x:c>
      <x:c r="F2" s="28" t="str">
        <x:v>Артишок имеет профиль «зелёный, ореховый, травянистый и слегка цветочный». Партнёр «банан» относится к группе «Фрукты и ягоды» и даёт фруктовый, цветочный и свежий. Профили пересекаются в семействах: цветочный.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" s="28" t="str">
        <x:v>кислота ограничивает потемнение; варка и гриль смягчают горечь и усиливают ореховые ноты. </x:v>
      </x:c>
      <x:c r="H2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I2" s="28" t="str">
        <x:v>горячее блюдо, бульон, соус, пюре, ферментация или гарнир с банан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342</x:v>
      </x:c>
    </x:row>
    <x:row r="3" ht="66" customHeight="1">
      <x:c r="A3" s="28" t="str">
        <x:v>VEG-0009</x:v>
      </x:c>
      <x:c r="B3" s="28" t="str">
        <x:v>артишок</x:v>
      </x:c>
      <x:c r="C3" s="28" t="str">
        <x:v>лимон</x:v>
      </x:c>
      <x:c r="D3" s="28" t="str">
        <x:v>Фрукты и ягоды</x:v>
      </x:c>
      <x:c r="E3" s="28" t="str">
        <x:v>кислотно-сладкий баланс</x:v>
      </x:c>
      <x:c r="F3" s="28" t="str">
        <x:v>Артишок имеет профиль «зелёный, ореховый, травянистый и слегка цветочный».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" s="28" t="str">
        <x:v>кислота ограничивает потемнение; варка и гриль смягчают горечь и усиливают ореховые ноты. </x:v>
      </x:c>
      <x:c r="H3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I3" s="28" t="str">
        <x:v>горячее блюдо, бульон, соус, пюре, ферментация или гарнир с лимон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339, 800</x:v>
      </x:c>
    </x:row>
    <x:row r="4" ht="66" customHeight="1">
      <x:c r="A4" s="28" t="str">
        <x:v>VEG-0011</x:v>
      </x:c>
      <x:c r="B4" s="28" t="str">
        <x:v>артишок</x:v>
      </x:c>
      <x:c r="C4" s="28" t="str">
        <x:v>манго</x:v>
      </x:c>
      <x:c r="D4" s="28" t="str">
        <x:v>Фрукты и ягоды</x:v>
      </x:c>
      <x:c r="E4" s="28" t="str">
        <x:v>пересечение ароматических семейств; кислотно-сладкий баланс</x:v>
      </x:c>
      <x:c r="F4" s="28" t="str">
        <x:v>Артишок имеет профиль «зелёный, ореховый, травянистый и слегка цветочный». Партнёр «манго» относится к группе «Фрукты и ягоды» и даёт фруктовый, цветочный и свежий. Профили пересекаются в семействах: цветочный.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4" s="28" t="str">
        <x:v>кислота ограничивает потемнение; варка и гриль смягчают горечь и усиливают ореховые ноты. </x:v>
      </x:c>
      <x:c r="H4" s="28" t="str">
        <x:v>быстро темнеет; цинарин изменяет восприятие последующей сладости и может мешать винным сочетаниям; избыток кислоты или воды может сделать овощной вкус тонким и разрушить сливочную эмульсию</x:v>
      </x:c>
      <x:c r="I4" s="28" t="str">
        <x:v>горячее блюдо, бульон, соус, пюре, ферментация или гарнир с манго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312, 328</x:v>
      </x:c>
    </x:row>
    <x:row r="5" ht="66" customHeight="1">
      <x:c r="A5" s="28" t="str">
        <x:v>VEG-0014</x:v>
      </x:c>
      <x:c r="B5" s="28" t="str">
        <x:v>артишок</x:v>
      </x:c>
      <x:c r="C5" s="28" t="str">
        <x:v>паста</x:v>
      </x:c>
      <x:c r="D5" s="28" t="str">
        <x:v>Выпечка, крупы, сахара и десерты</x:v>
      </x:c>
      <x:c r="E5" s="28" t="str">
        <x:v>сенсорная комплементарность</x:v>
      </x:c>
      <x:c r="F5" s="28" t="str">
        <x:v>Артишок имеет профиль «зелёный, ореховый, травянистый и слегка цветочный». Партнёр «паста»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5" s="28" t="str">
        <x:v>кислота ограничивает потемнение; варка и гриль смягчают горечь и усиливают ореховые ноты. </x:v>
      </x:c>
      <x:c r="H5" s="28" t="str">
        <x:v>быстро темнеет; цинарин изменяет восприятие последующей сладости и может мешать винным сочетаниям</x:v>
      </x:c>
      <x:c r="I5" s="28" t="str">
        <x:v>горячее блюдо, бульон, соус, пюре, ферментация или гарнир с паста</x:v>
      </x:c>
      <x:c r="J5" s="28" t="str">
        <x:v>Высокая</x:v>
      </x:c>
      <x:c r="K5" s="28" t="str">
        <x:v>The Art &amp; Science of Foodpairing.pdf</x:v>
      </x:c>
      <x:c r="L5" s="28" t="str">
        <x:v>The Art &amp; Science of Foodpairing.pdf: 325</x:v>
      </x:c>
    </x:row>
    <x:row r="6" ht="66" customHeight="1">
      <x:c r="A6" s="28" t="str">
        <x:v>VEG-0017</x:v>
      </x:c>
      <x:c r="B6" s="28" t="str">
        <x:v>артишок</x:v>
      </x:c>
      <x:c r="C6" s="28" t="str">
        <x:v>твердый сыр</x:v>
      </x:c>
      <x:c r="D6" s="28" t="str">
        <x:v>Молочные продукты и сыры</x:v>
      </x:c>
      <x:c r="E6" s="28" t="str">
        <x:v>жировая матрица</x:v>
      </x:c>
      <x:c r="F6" s="28" t="str">
        <x:v>Артишок имеет профиль «зелёный, ореховый, травянистый и слегка цветочный».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6" s="28" t="str">
        <x:v>кислота ограничивает потемнение; варка и гриль смягчают горечь и усиливают ореховые ноты. </x:v>
      </x:c>
      <x:c r="H6" s="28" t="str">
        <x:v>быстро темнеет; цинарин изменяет восприятие последующей сладости и может мешать винным сочетаниям; жир способен приглушить свежую зелёную ароматику</x:v>
      </x:c>
      <x:c r="I6" s="28" t="str">
        <x:v>горячее блюдо, бульон, соус, пюре, ферментация или гарнир с твердый сыр</x:v>
      </x:c>
      <x:c r="J6" s="28" t="str">
        <x:v>Средняя</x:v>
      </x:c>
      <x:c r="K6" s="28" t="str">
        <x:v>Тезариус вкусов (Ники Сегнит)(1).pdf</x:v>
      </x:c>
      <x:c r="L6" s="28" t="str">
        <x:v>Тезариус вкусов (Ники Сегнит)(1).pdf: 165, 341</x:v>
      </x:c>
    </x:row>
    <x:row r="7" ht="66" customHeight="1">
      <x:c r="A7" s="28" t="str">
        <x:v>VEG-0021</x:v>
      </x:c>
      <x:c r="B7" s="28" t="str">
        <x:v>артишок</x:v>
      </x:c>
      <x:c r="C7" s="28" t="str">
        <x:v>фундук</x:v>
      </x:c>
      <x:c r="D7" s="28" t="str">
        <x:v>Орехи и семена</x:v>
      </x:c>
      <x:c r="E7" s="28" t="str">
        <x:v>пересечение ароматических семейств</x:v>
      </x:c>
      <x:c r="F7" s="28" t="str">
        <x:v>Артишок имеет профиль «зелёный, ореховый, травянистый и слегка цветочный».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G7" s="28" t="str">
        <x:v>кислота ограничивает потемнение; варка и гриль смягчают горечь и усиливают ореховые ноты. </x:v>
      </x:c>
      <x:c r="H7" s="28" t="str">
        <x:v>быстро темнеет; цинарин изменяет восприятие последующей сладости и может мешать винным сочетаниям</x:v>
      </x:c>
      <x:c r="I7" s="28" t="str">
        <x:v>горячее блюдо, бульон, соус, пюре, ферментация или гарнир с фундук</x:v>
      </x:c>
      <x:c r="J7" s="28" t="str">
        <x:v>Высокая</x:v>
      </x:c>
      <x:c r="K7" s="28" t="str">
        <x:v>The Art &amp; Science of Foodpairing.pdf</x:v>
      </x:c>
      <x:c r="L7" s="28" t="str">
        <x:v>The Art &amp; Science of Foodpairing.pdf: 329</x:v>
      </x:c>
    </x:row>
    <x:row r="8" ht="66" customHeight="1">
      <x:c r="A8" s="28" t="str">
        <x:v>VEG-0023</x:v>
      </x:c>
      <x:c r="B8" s="28" t="str">
        <x:v>артишок</x:v>
      </x:c>
      <x:c r="C8" s="28" t="str">
        <x:v>хлеб</x:v>
      </x:c>
      <x:c r="D8" s="28" t="str">
        <x:v>Выпечка, крупы, сахара и десерты</x:v>
      </x:c>
      <x:c r="E8" s="28" t="str">
        <x:v>сенсорная комплементарность</x:v>
      </x:c>
      <x:c r="F8" s="28" t="str">
        <x:v>Артишок имеет профиль «зелёный, ореховый, травянистый и слегка цветочный».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8" s="28" t="str">
        <x:v>кислота ограничивает потемнение; варка и гриль смягчают горечь и усиливают ореховые ноты. </x:v>
      </x:c>
      <x:c r="H8" s="28" t="str">
        <x:v>быстро темнеет; цинарин изменяет восприятие последующей сладости и может мешать винным сочетаниям</x:v>
      </x:c>
      <x:c r="I8" s="28" t="str">
        <x:v>горячее блюдо, бульон, соус, пюре, ферментация или гарнир с хлеб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328</x:v>
      </x:c>
    </x:row>
    <x:row r="9" ht="66" customHeight="1">
      <x:c r="A9" s="28" t="str">
        <x:v>VEG-0032</x:v>
      </x:c>
      <x:c r="B9" s="28" t="str">
        <x:v>баклажан</x:v>
      </x:c>
      <x:c r="C9" s="28" t="str">
        <x:v>грецкий орех</x:v>
      </x:c>
      <x:c r="D9" s="28" t="str">
        <x:v>Орехи и семена</x:v>
      </x:c>
      <x:c r="E9" s="28" t="str">
        <x:v>общие характерные молекулы; пересечение ароматических семейств</x:v>
      </x:c>
      <x:c r="F9" s="28" t="str">
        <x:v>Баклажан имеет профиль «зелёный, землистый, слегка грибной и дымный после жарки».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9" s="28" t="str">
        <x:v>гриль и жарка формируют дымные и жареные ноты; соль и нагрев смягчают горечь. </x:v>
      </x:c>
      <x:c r="H9" s="28" t="str">
        <x:v>избыток масла делает продукт тяжёлым; недоготовленная мякоть остаётся губчатой</x:v>
      </x:c>
      <x:c r="I9" s="28" t="str">
        <x:v>салат, гарнир, суп, соус, маринад, ферментация или напиток с грецкий орех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210, 623</x:v>
      </x:c>
    </x:row>
    <x:row r="10" ht="66" customHeight="1">
      <x:c r="A10" s="28" t="str">
        <x:v>VEG-0036</x:v>
      </x:c>
      <x:c r="B10" s="28" t="str">
        <x:v>баклажан</x:v>
      </x:c>
      <x:c r="C10" s="28" t="str">
        <x:v>козий сыр и молоко</x:v>
      </x:c>
      <x:c r="D10" s="28" t="str">
        <x:v>Молочные продукты и сыры</x:v>
      </x:c>
      <x:c r="E10" s="28" t="str">
        <x:v>жировая матрица</x:v>
      </x:c>
      <x:c r="F10" s="28" t="str">
        <x:v>Баклажан имеет профиль «зелёный, землистый, слегка грибной и дымный после жарки». Партнёр «козий сыр и молоко»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0" s="28" t="str">
        <x:v>гриль и жарка формируют дымные и жареные ноты; соль и нагрев смягчают горечь. </x:v>
      </x:c>
      <x:c r="H10" s="28" t="str">
        <x:v>избыток масла делает продукт тяжёлым; недоготовленная мякоть остаётся губчатой; жир способен приглушить свежую зелёную ароматику</x:v>
      </x:c>
      <x:c r="I10" s="28" t="str">
        <x:v>салат, гарнир, суп, соус, маринад, ферментация или напиток с козий сыр и молоко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200</x:v>
      </x:c>
    </x:row>
    <x:row r="11" ht="66" customHeight="1">
      <x:c r="A11" s="28" t="str">
        <x:v>VEG-0038</x:v>
      </x:c>
      <x:c r="B11" s="28" t="str">
        <x:v>баклажан</x:v>
      </x:c>
      <x:c r="C11" s="28" t="str">
        <x:v>кунжут, халва и тахини</x:v>
      </x:c>
      <x:c r="D11" s="28" t="str">
        <x:v>Орехи и семена</x:v>
      </x:c>
      <x:c r="E11" s="28" t="str">
        <x:v>общие характерные молекулы; пересечение ароматических семейств</x:v>
      </x:c>
      <x:c r="F11" s="28" t="str">
        <x:v>Баклажан имеет профиль «зелёный, землистый, слегка грибной и дымный после жарки». Партнёр «кунжут, халва и тахини»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1" s="28" t="str">
        <x:v>гриль и жарка формируют дымные и жареные ноты; соль и нагрев смягчают горечь. </x:v>
      </x:c>
      <x:c r="H11" s="28" t="str">
        <x:v>избыток масла делает продукт тяжёлым; недоготовленная мякоть остаётся губчатой</x:v>
      </x:c>
      <x:c r="I11" s="28" t="str">
        <x:v>салат, гарнир, суп, соус, маринад, ферментация или напиток с кунжут, халва и тахини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308</x:v>
      </x:c>
    </x:row>
    <x:row r="12" ht="66" customHeight="1">
      <x:c r="A12" s="28" t="str">
        <x:v>VEG-0041</x:v>
      </x:c>
      <x:c r="B12" s="28" t="str">
        <x:v>баклажан</x:v>
      </x:c>
      <x:c r="C12" s="28" t="str">
        <x:v>мягкий сыр</x:v>
      </x:c>
      <x:c r="D12" s="28" t="str">
        <x:v>Молочные продукты и сыры</x:v>
      </x:c>
      <x:c r="E12" s="28" t="str">
        <x:v>жировая матрица</x:v>
      </x:c>
      <x:c r="F12" s="28" t="str">
        <x:v>Баклажан имеет профиль «зелёный, землистый, слегка грибной и дымный после жарки».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2" s="28" t="str">
        <x:v>гриль и жарка формируют дымные и жареные ноты; соль и нагрев смягчают горечь. </x:v>
      </x:c>
      <x:c r="H12" s="28" t="str">
        <x:v>избыток масла делает продукт тяжёлым; недоготовленная мякоть остаётся губчатой; жир способен приглушить свежую зелёную ароматику</x:v>
      </x:c>
      <x:c r="I12" s="28" t="str">
        <x:v>салат, гарнир, суп, соус, маринад, ферментация или напиток с мягкий сыр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181, 211</x:v>
      </x:c>
    </x:row>
    <x:row r="13" ht="66" customHeight="1">
      <x:c r="A13" s="28" t="str">
        <x:v>VEG-0050</x:v>
      </x:c>
      <x:c r="B13" s="28" t="str">
        <x:v>батат</x:v>
      </x:c>
      <x:c r="C13" s="28" t="str">
        <x:v>арахис</x:v>
      </x:c>
      <x:c r="D13" s="28" t="str">
        <x:v>Орехи и семена</x:v>
      </x:c>
      <x:c r="E13" s="28" t="str">
        <x:v>общие характерные молекулы; пересечение ароматических семейств</x:v>
      </x:c>
      <x:c r="F13" s="28" t="str">
        <x:v>Батат имеет профиль «сладкий, крахмалистый, цветочный, карамельный и ореховый после запекания». Партнёр «арахис»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3" s="28" t="str">
        <x:v>водянистое пюре размывает аромат; сильная сладость требует кислоты, соли или горечи</x:v>
      </x:c>
      <x:c r="I13" s="28" t="str">
        <x:v>пюре, суп, запекание, крем, гарнир, соус или десертная разработка с арахис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119</x:v>
      </x:c>
    </x:row>
    <x:row r="14" ht="66" customHeight="1">
      <x:c r="A14" s="28" t="str">
        <x:v>VEG-0053</x:v>
      </x:c>
      <x:c r="B14" s="28" t="str">
        <x:v>батат</x:v>
      </x:c>
      <x:c r="C14" s="28" t="str">
        <x:v>барбарис</x:v>
      </x:c>
      <x:c r="D14" s="28" t="str">
        <x:v>Выпечка, крупы, сахара и десерты</x:v>
      </x:c>
      <x:c r="E14" s="28" t="str">
        <x:v>общие характерные молекулы; пересечение ароматических семейств</x:v>
      </x:c>
      <x:c r="F14" s="28" t="str">
        <x:v>Батат имеет профиль «сладкий, крахмалистый, цветочный, карамельный и ореховый после запекания». Партнёр «барбарис»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4" s="28" t="str">
        <x:v>водянистое пюре размывает аромат; сильная сладость требует кислоты, соли или горечи</x:v>
      </x:c>
      <x:c r="I14" s="28" t="str">
        <x:v>пюре, суп, запекание, крем, гарнир, соус или десертная разработка с барбарис</x:v>
      </x:c>
      <x:c r="J14" s="28" t="str">
        <x:v>Высокая</x:v>
      </x:c>
      <x:c r="K14" s="28" t="str">
        <x:v>The Art &amp; Science of Foodpairing.pdf</x:v>
      </x:c>
      <x:c r="L14" s="28" t="str">
        <x:v>The Art &amp; Science of Foodpairing.pdf: 118</x:v>
      </x:c>
    </x:row>
    <x:row r="15" ht="66" customHeight="1">
      <x:c r="A15" s="28" t="str">
        <x:v>VEG-0057</x:v>
      </x:c>
      <x:c r="B15" s="28" t="str">
        <x:v>батат</x:v>
      </x:c>
      <x:c r="C15" s="28" t="str">
        <x:v>грецкий орех</x:v>
      </x:c>
      <x:c r="D15" s="28" t="str">
        <x:v>Орехи и семена</x:v>
      </x:c>
      <x:c r="E15" s="28" t="str">
        <x:v>общие характерные молекулы</x:v>
      </x:c>
      <x:c r="F15" s="28" t="str">
        <x:v>Батат имеет профиль «сладкий, крахмалистый, цветочный, карамельный и ореховый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5" s="28" t="str">
        <x:v>водянистое пюре размывает аромат; сильная сладость требует кислоты, соли или горечи</x:v>
      </x:c>
      <x:c r="I15" s="28" t="str">
        <x:v>пюре, суп, запекание, крем, гарнир, соус или десертная разработка с грецкий орех</x:v>
      </x:c>
      <x:c r="J15" s="28" t="str">
        <x:v>Средняя</x:v>
      </x:c>
      <x:c r="K15" s="28" t="str">
        <x:v>The Art &amp; Science of Foodpairing.pdf</x:v>
      </x:c>
      <x:c r="L15" s="28" t="str">
        <x:v>The Art &amp; Science of Foodpairing.pdf: 119</x:v>
      </x:c>
    </x:row>
    <x:row r="16" ht="66" customHeight="1">
      <x:c r="A16" s="28" t="str">
        <x:v>VEG-0059</x:v>
      </x:c>
      <x:c r="B16" s="28" t="str">
        <x:v>батат</x:v>
      </x:c>
      <x:c r="C16" s="28" t="str">
        <x:v>дыня</x:v>
      </x:c>
      <x:c r="D16" s="28" t="str">
        <x:v>Фрукты и ягоды</x:v>
      </x:c>
      <x:c r="E16" s="28" t="str">
        <x:v>кислотно-сладкий баланс</x:v>
      </x:c>
      <x:c r="F16" s="28" t="str">
        <x:v>Батат имеет профиль «сладкий, крахмалистый, цветочный, карамельный и ореховый после запекания».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6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16" s="28" t="str">
        <x:v>пюре, суп, запекание, крем, гарнир, соус или десертная разработка с дыня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119</x:v>
      </x:c>
    </x:row>
    <x:row r="17" ht="66" customHeight="1">
      <x:c r="A17" s="28" t="str">
        <x:v>VEG-0063</x:v>
      </x:c>
      <x:c r="B17" s="28" t="str">
        <x:v>батат</x:v>
      </x:c>
      <x:c r="C17" s="28" t="str">
        <x:v>инжир</x:v>
      </x:c>
      <x:c r="D17" s="28" t="str">
        <x:v>Фрукты и ягоды</x:v>
      </x:c>
      <x:c r="E17" s="28" t="str">
        <x:v>кислотно-сладкий баланс</x:v>
      </x:c>
      <x:c r="F17" s="28" t="str">
        <x:v>Батат имеет профиль «сладкий, крахмалистый, цветочный, карамельный и ореховый после запекания». Партнёр «инжир»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7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17" s="28" t="str">
        <x:v>пюре, суп, запекание, крем, гарнир, соус или десертная разработка с инжир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119</x:v>
      </x:c>
    </x:row>
    <x:row r="18" ht="66" customHeight="1">
      <x:c r="A18" s="28" t="str">
        <x:v>VEG-0064</x:v>
      </x:c>
      <x:c r="B18" s="28" t="str">
        <x:v>батат</x:v>
      </x:c>
      <x:c r="C18" s="28" t="str">
        <x:v>какао-порошок</x:v>
      </x:c>
      <x:c r="D18" s="28" t="str">
        <x:v>Какао и шоколад</x:v>
      </x:c>
      <x:c r="E18" s="28" t="str">
        <x:v>общие характерные молекулы; пересечение ароматических семейств</x:v>
      </x:c>
      <x:c r="F18" s="28" t="str">
        <x:v>Батат имеет профиль «сладкий, крахмалистый, цветочный, карамельный и ореховый после запекания». Партнёр «какао-порошок» относится к группе «Какао и шоколад» и даёт какаовый, жареный и горько-сладкий.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8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18" s="28" t="str">
        <x:v>пюре, суп, запекание, крем, гарнир, соус или десертная разработка с какао-порошок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119</x:v>
      </x:c>
    </x:row>
    <x:row r="19" ht="66" customHeight="1">
      <x:c r="A19" s="28" t="str">
        <x:v>VEG-0070</x:v>
      </x:c>
      <x:c r="B19" s="28" t="str">
        <x:v>батат</x:v>
      </x:c>
      <x:c r="C19" s="28" t="str">
        <x:v>красный виноград</x:v>
      </x:c>
      <x:c r="D19" s="28" t="str">
        <x:v>Фрукты и ягоды</x:v>
      </x:c>
      <x:c r="E19" s="28" t="str">
        <x:v>кислотно-сладкий баланс</x:v>
      </x:c>
      <x:c r="F19" s="28" t="str">
        <x:v>Батат имеет профиль «сладкий, крахмалистый, цветочный, карамельный и ореховый после запекания». Партнёр «красный 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19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19" s="28" t="str">
        <x:v>пюре, суп, запекание, крем, гарнир, соус или десертная разработка с красный виноград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119</x:v>
      </x:c>
    </x:row>
    <x:row r="20" ht="66" customHeight="1">
      <x:c r="A20" s="28" t="str">
        <x:v>VEG-0073</x:v>
      </x:c>
      <x:c r="B20" s="28" t="str">
        <x:v>батат</x:v>
      </x:c>
      <x:c r="C20" s="28" t="str">
        <x:v>логанова ягода</x:v>
      </x:c>
      <x:c r="D20" s="28" t="str">
        <x:v>Фрукты и ягоды</x:v>
      </x:c>
      <x:c r="E20" s="28" t="str">
        <x:v>кислотно-сладкий баланс</x:v>
      </x:c>
      <x:c r="F20" s="28" t="str">
        <x:v>Батат имеет профиль «сладкий, крахмалистый, цветочный, карамельный и ореховый после запекания». Партнёр «логанова ягода»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0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0" s="28" t="str">
        <x:v>пюре, суп, запекание, крем, гарнир, соус или десертная разработка с логанова ягода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119</x:v>
      </x:c>
    </x:row>
    <x:row r="21" ht="66" customHeight="1">
      <x:c r="A21" s="28" t="str">
        <x:v>VEG-0076</x:v>
      </x:c>
      <x:c r="B21" s="28" t="str">
        <x:v>батат</x:v>
      </x:c>
      <x:c r="C21" s="28" t="str">
        <x:v>манго</x:v>
      </x:c>
      <x:c r="D21" s="28" t="str">
        <x:v>Фрукты и ягоды</x:v>
      </x:c>
      <x:c r="E21" s="28" t="str">
        <x:v>кислотно-сладкий баланс</x:v>
      </x:c>
      <x:c r="F21" s="28" t="str">
        <x:v>Батат имеет профиль «сладкий, крахмалистый, цветочный, карамельный и ореховый после запекания».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1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1" s="28" t="str">
        <x:v>пюре, суп, запекание, крем, гарнир, соус или десертная разработка с манго</x:v>
      </x:c>
      <x:c r="J21" s="28" t="str">
        <x:v>Высокая</x:v>
      </x:c>
      <x:c r="K21" s="28" t="str">
        <x:v>The Art &amp; Science of Foodpairing.pdf</x:v>
      </x:c>
      <x:c r="L21" s="28" t="str">
        <x:v>The Art &amp; Science of Foodpairing.pdf: 118, 119</x:v>
      </x:c>
    </x:row>
    <x:row r="22" ht="66" customHeight="1">
      <x:c r="A22" s="28" t="str">
        <x:v>VEG-0077</x:v>
      </x:c>
      <x:c r="B22" s="28" t="str">
        <x:v>батат</x:v>
      </x:c>
      <x:c r="C22" s="28" t="str">
        <x:v>мангольд</x:v>
      </x:c>
      <x:c r="D22" s="28" t="str">
        <x:v>Фрукты и ягоды</x:v>
      </x:c>
      <x:c r="E22" s="28" t="str">
        <x:v>кислотно-сладкий баланс</x:v>
      </x:c>
      <x:c r="F22" s="28" t="str">
        <x:v>Батат имеет профиль «сладкий, крахмалистый, цветочный, карамельный и ореховый после запекания». Партнёр «мангольд»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2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2" s="28" t="str">
        <x:v>пюре, суп, запекание, крем, гарнир, соус или десертная разработка с мангольд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119</x:v>
      </x:c>
    </x:row>
    <x:row r="23" ht="66" customHeight="1">
      <x:c r="A23" s="28" t="str">
        <x:v>VEG-0085</x:v>
      </x:c>
      <x:c r="B23" s="28" t="str">
        <x:v>батат</x:v>
      </x:c>
      <x:c r="C23" s="28" t="str">
        <x:v>паста карри мадрас</x:v>
      </x:c>
      <x:c r="D23" s="28" t="str">
        <x:v>Выпечка, крупы, сахара и десерты</x:v>
      </x:c>
      <x:c r="E23" s="28" t="str">
        <x:v>общие характерные молекулы; пересечение ароматических семейств</x:v>
      </x:c>
      <x:c r="F23" s="28" t="str">
        <x:v>Батат имеет профиль «сладкий, крахмалистый, цветочный, карамельный и ореховый после запекания». Партнёр «паста карри мадрас»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3" s="28" t="str">
        <x:v>водянистое пюре размывает аромат; сильная сладость требует кислоты, соли или горечи</x:v>
      </x:c>
      <x:c r="I23" s="28" t="str">
        <x:v>пюре, суп, запекание, крем, гарнир, соус или десертная разработка с паста карри мадрас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119</x:v>
      </x:c>
    </x:row>
    <x:row r="24" ht="66" customHeight="1">
      <x:c r="A24" s="28" t="str">
        <x:v>VEG-0086</x:v>
      </x:c>
      <x:c r="B24" s="28" t="str">
        <x:v>батат</x:v>
      </x:c>
      <x:c r="C24" s="28" t="str">
        <x:v>паста тикка масала</x:v>
      </x:c>
      <x:c r="D24" s="28" t="str">
        <x:v>Выпечка, крупы, сахара и десерты</x:v>
      </x:c>
      <x:c r="E24" s="28" t="str">
        <x:v>общие характерные молекулы; пересечение ароматических семейств</x:v>
      </x:c>
      <x:c r="F24" s="28" t="str">
        <x:v>Батат имеет профиль «сладкий, крахмалистый, цветочный, карамельный и ореховый после запекания». Партнёр «паста тикка масала»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4" s="28" t="str">
        <x:v>водянистое пюре размывает аромат; сильная сладость требует кислоты, соли или горечи</x:v>
      </x:c>
      <x:c r="I24" s="28" t="str">
        <x:v>пюре, суп, запекание, крем, гарнир, соус или десертная разработка с паста тикка масала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119</x:v>
      </x:c>
    </x:row>
    <x:row r="25" ht="66" customHeight="1">
      <x:c r="A25" s="28" t="str">
        <x:v>VEG-0090</x:v>
      </x:c>
      <x:c r="B25" s="28" t="str">
        <x:v>батат</x:v>
      </x:c>
      <x:c r="C25" s="28" t="str">
        <x:v>рис басмати</x:v>
      </x:c>
      <x:c r="D25" s="28" t="str">
        <x:v>Выпечка, крупы, сахара и десерты</x:v>
      </x:c>
      <x:c r="E25" s="28" t="str">
        <x:v>общие характерные молекулы; пересечение ароматических семейств</x:v>
      </x:c>
      <x:c r="F25" s="28" t="str">
        <x:v>Батат имеет профиль «сладкий, крахмалистый, цветочный, карамельный и ореховый после запекания». Партнёр «рис басмати»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5" s="28" t="str">
        <x:v>водянистое пюре размывает аромат; сильная сладость требует кислоты, соли или горечи</x:v>
      </x:c>
      <x:c r="I25" s="28" t="str">
        <x:v>пюре, суп, запекание, крем, гарнир, соус или десертная разработка с рис басмати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119</x:v>
      </x:c>
    </x:row>
    <x:row r="26" ht="66" customHeight="1">
      <x:c r="A26" s="28" t="str">
        <x:v>VEG-0093</x:v>
      </x:c>
      <x:c r="B26" s="28" t="str">
        <x:v>батат</x:v>
      </x:c>
      <x:c r="C26" s="28" t="str">
        <x:v>семена нигеллы</x:v>
      </x:c>
      <x:c r="D26" s="28" t="str">
        <x:v>Орехи и семена</x:v>
      </x:c>
      <x:c r="E26" s="28" t="str">
        <x:v>общие характерные молекулы; пересечение ароматических семейств</x:v>
      </x:c>
      <x:c r="F26" s="28" t="str">
        <x:v>Батат имеет профиль «сладкий, крахмалистый, цветочный, карамельный и ореховый после запекания». Партнёр «семена нигеллы»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6" s="28" t="str">
        <x:v>водянистое пюре размывает аромат; сильная сладость требует кислоты, соли или горечи</x:v>
      </x:c>
      <x:c r="I26" s="28" t="str">
        <x:v>пюре, суп, запекание, крем, гарнир, соус или десертная разработка с семена нигеллы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119</x:v>
      </x:c>
    </x:row>
    <x:row r="27" ht="66" customHeight="1">
      <x:c r="A27" s="28" t="str">
        <x:v>VEG-0094</x:v>
      </x:c>
      <x:c r="B27" s="28" t="str">
        <x:v>батат</x:v>
      </x:c>
      <x:c r="C27" s="28" t="str">
        <x:v>соевая паста</x:v>
      </x:c>
      <x:c r="D27" s="28" t="str">
        <x:v>Выпечка, крупы, сахара и десерты</x:v>
      </x:c>
      <x:c r="E27" s="28" t="str">
        <x:v>общие характерные молекулы; пересечение ароматических семейств</x:v>
      </x:c>
      <x:c r="F27" s="28" t="str">
        <x:v>Батат имеет профиль «сладкий, крахмалистый, цветочный, карамельный и ореховый после запекания». Партнёр «соевая паста»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7" s="28" t="str">
        <x:v>водянистое пюре размывает аромат; сильная сладость требует кислоты, соли или горечи</x:v>
      </x:c>
      <x:c r="I27" s="28" t="str">
        <x:v>пюре, суп, запекание, крем, гарнир, соус или десертная разработка с соевая паста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119</x:v>
      </x:c>
    </x:row>
    <x:row r="28" ht="66" customHeight="1">
      <x:c r="A28" s="28" t="str">
        <x:v>VEG-0095</x:v>
      </x:c>
      <x:c r="B28" s="28" t="str">
        <x:v>батат</x:v>
      </x:c>
      <x:c r="C28" s="28" t="str">
        <x:v>сушёный барбарис</x:v>
      </x:c>
      <x:c r="D28" s="28" t="str">
        <x:v>Выпечка, крупы, сахара и десерты</x:v>
      </x:c>
      <x:c r="E28" s="28" t="str">
        <x:v>общие характерные молекулы; пересечение ароматических семейств</x:v>
      </x:c>
      <x:c r="F28" s="28" t="str">
        <x:v>Батат имеет профиль «сладкий, крахмалистый, цветочный, карамельный и ореховый после запекания». Партнёр «сушёный 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8" s="28" t="str">
        <x:v>водянистое пюре размывает аромат; сильная сладость требует кислоты, соли или горечи</x:v>
      </x:c>
      <x:c r="I28" s="28" t="str">
        <x:v>пюре, суп, запекание, крем, гарнир, соус или десертная разработка с сушёный барбарис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119</x:v>
      </x:c>
    </x:row>
    <x:row r="29" ht="66" customHeight="1">
      <x:c r="A29" s="28" t="str">
        <x:v>VEG-0097</x:v>
      </x:c>
      <x:c r="B29" s="28" t="str">
        <x:v>батат</x:v>
      </x:c>
      <x:c r="C29" s="28" t="str">
        <x:v>сыр ронкаль</x:v>
      </x:c>
      <x:c r="D29" s="28" t="str">
        <x:v>Молочные продукты и сыры</x:v>
      </x:c>
      <x:c r="E29" s="28" t="str">
        <x:v>жировая матрица</x:v>
      </x:c>
      <x:c r="F29" s="28" t="str">
        <x:v>Батат имеет профиль «сладкий, крахмалистый, цветочный, карамельный и ореховый после запекания». Партнёр «сыр ронкаль»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9" s="28" t="str">
        <x:v>водянистое пюре размывает аромат; сильная сладость требует кислоты, соли или горечи; жир способен приглушить свежую зелёную ароматику</x:v>
      </x:c>
      <x:c r="I29" s="28" t="str">
        <x:v>пюре, суп, запекание, крем, гарнир, соус или десертная разработка с сыр ронкаль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119</x:v>
      </x:c>
    </x:row>
    <x:row r="30" ht="66" customHeight="1">
      <x:c r="A30" s="28" t="str">
        <x:v>VEG-0101</x:v>
      </x:c>
      <x:c r="B30" s="28" t="str">
        <x:v>батат</x:v>
      </x:c>
      <x:c r="C30" s="28" t="str">
        <x:v>фундук</x:v>
      </x:c>
      <x:c r="D30" s="28" t="str">
        <x:v>Орехи и семена</x:v>
      </x:c>
      <x:c r="E30" s="28" t="str">
        <x:v>общие характерные молекулы; пересечение ароматических семейств</x:v>
      </x:c>
      <x:c r="F30" s="28" t="str">
        <x:v>Батат имеет профиль «сладкий, крахмалистый, цветочный, карамельный и ореховый после запекания».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0" s="28" t="str">
        <x:v>водянистое пюре размывает аромат; сильная сладость требует кислоты, соли или горечи</x:v>
      </x:c>
      <x:c r="I30" s="28" t="str">
        <x:v>пюре, суп, запекание, крем, гарнир, соус или десертная разработка с фундук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119, 332</x:v>
      </x:c>
    </x:row>
    <x:row r="31" ht="66" customHeight="1">
      <x:c r="A31" s="28" t="str">
        <x:v>VEG-0102</x:v>
      </x:c>
      <x:c r="B31" s="28" t="str">
        <x:v>батат</x:v>
      </x:c>
      <x:c r="C31" s="28" t="str">
        <x:v>цукаты из апельсиновой корки</x:v>
      </x:c>
      <x:c r="D31" s="28" t="str">
        <x:v>Фрукты и ягоды</x:v>
      </x:c>
      <x:c r="E31" s="28" t="str">
        <x:v>пересечение ароматических семейств; кислотно-сладкий баланс</x:v>
      </x:c>
      <x:c r="F31" s="28" t="str">
        <x:v>Батат имеет профиль «сладкий, крахмалистый, цветочный, карамельный и ореховый после запекания». Партнёр «цукаты из апельсиновой корки»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1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31" s="28" t="str">
        <x:v>пюре, суп, запекание, крем, гарнир, соус или десертная разработка с цукаты из апельсиновой корки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119</x:v>
      </x:c>
    </x:row>
    <x:row r="32" ht="66" customHeight="1">
      <x:c r="A32" s="28" t="str">
        <x:v>VEG-0110</x:v>
      </x:c>
      <x:c r="B32" s="28" t="str">
        <x:v>батат</x:v>
      </x:c>
      <x:c r="C32" s="28" t="str">
        <x:v>шоколадная паста</x:v>
      </x:c>
      <x:c r="D32" s="28" t="str">
        <x:v>Какао и шоколад</x:v>
      </x:c>
      <x:c r="E32" s="28" t="str">
        <x:v>общие характерные молекулы; пересечение ароматических семейств</x:v>
      </x:c>
      <x:c r="F32" s="28" t="str">
        <x:v>Батат имеет профиль «сладкий, крахмалистый, цветочный, карамельный и ореховый после запекания». Партнёр «шоколадная паста» относится к группе «Какао и шоколад» и даёт жареный, какаовый, карамельный.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2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32" s="28" t="str">
        <x:v>пюре, суп, запекание, крем, гарнир, соус или десертная разработка с шоколадная паста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119</x:v>
      </x:c>
    </x:row>
    <x:row r="33" ht="66" customHeight="1">
      <x:c r="A33" s="28" t="str">
        <x:v>VEG-0111</x:v>
      </x:c>
      <x:c r="B33" s="28" t="str">
        <x:v>батат</x:v>
      </x:c>
      <x:c r="C33" s="28" t="str">
        <x:v>эвкалиптовый мёд</x:v>
      </x:c>
      <x:c r="D33" s="28" t="str">
        <x:v>Выпечка, крупы, сахара и десерты</x:v>
      </x:c>
      <x:c r="E33" s="28" t="str">
        <x:v>общие характерные молекулы; пересечение ароматических семейств</x:v>
      </x:c>
      <x:c r="F33" s="28" t="str">
        <x:v>Батат имеет профиль «сладкий, крахмалистый, цветочный, карамельный и ореховый после запекания». Партнёр «эвкалиптовый мёд» относится к группе «Выпечка, крупы, сахара и десерты» и даёт медовый, сладкий, цветочный. Вероятный молекулярный мост: норизопреноиды.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3" s="28" t="str">
        <x:v>водянистое пюре размывает аромат; сильная сладость требует кислоты, соли или горечи</x:v>
      </x:c>
      <x:c r="I33" s="28" t="str">
        <x:v>пюре, суп, запекание, крем, гарнир, соус или десертная разработка с эвкалиптовый мёд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119</x:v>
      </x:c>
    </x:row>
    <x:row r="34" ht="66" customHeight="1">
      <x:c r="A34" s="28" t="str">
        <x:v>VEG-0113</x:v>
      </x:c>
      <x:c r="B34" s="28" t="str">
        <x:v>батат</x:v>
      </x:c>
      <x:c r="C34" s="28" t="str">
        <x:v>яблоко</x:v>
      </x:c>
      <x:c r="D34" s="28" t="str">
        <x:v>Фрукты и ягоды</x:v>
      </x:c>
      <x:c r="E34" s="28" t="str">
        <x:v>кислотно-сладкий баланс</x:v>
      </x:c>
      <x:c r="F34" s="28" t="str">
        <x:v>Батат имеет профиль «сладкий, крахмалистый, цветочный, карамельный и ореховый после запекания».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4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34" s="28" t="str">
        <x:v>пюре, суп, запекание, крем, гарнир, соус или десертная разработка с яблоко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119</x:v>
      </x:c>
    </x:row>
    <x:row r="35" ht="66" customHeight="1">
      <x:c r="A35" s="28" t="str">
        <x:v>VEG-0114</x:v>
      </x:c>
      <x:c r="B35" s="28" t="str">
        <x:v>болгарский перец</x:v>
      </x:c>
      <x:c r="C35" s="28" t="str">
        <x:v>абрикос</x:v>
      </x:c>
      <x:c r="D35" s="28" t="str">
        <x:v>Фрукты и ягоды</x:v>
      </x:c>
      <x:c r="E35" s="28" t="str">
        <x:v>общие характерные молекулы; пересечение ароматических семейств; кислотно-сладкий баланс</x:v>
      </x:c>
      <x:c r="F35" s="28" t="str">
        <x:v>Болгарский перец имеет профиль «зелёный, травянистый, фруктовый; у красного — сладкий и жареный». Партнёр «абрикос»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5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I35" s="28" t="str">
        <x:v>сок, кордиал, гаспачо, салат, соус, маринад или коктейльный компонент с абрикос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108</x:v>
      </x:c>
    </x:row>
    <x:row r="36" ht="66" customHeight="1">
      <x:c r="A36" s="28" t="str">
        <x:v>VEG-0115</x:v>
      </x:c>
      <x:c r="B36" s="28" t="str">
        <x:v>болгарский перец</x:v>
      </x:c>
      <x:c r="C36" s="28" t="str">
        <x:v>акациевый мёд</x:v>
      </x:c>
      <x:c r="D36" s="28" t="str">
        <x:v>Выпечка, крупы, сахара и десерты</x:v>
      </x:c>
      <x:c r="E36" s="28" t="str">
        <x:v>пересечение ароматических семейств</x:v>
      </x:c>
      <x:c r="F36" s="28" t="str">
        <x:v>Болгарский перец имеет профиль «зелёный, травянистый, фруктовый; у красного — сладкий и жареный». Партнёр «акациевый 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G3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6" s="28" t="str">
        <x:v>зелёный перец может доминировать метоксипиразином; обугленную кожицу удалять</x:v>
      </x:c>
      <x:c r="I36" s="28" t="str">
        <x:v>сок, кордиал, гаспачо, салат, соус, маринад или коктейльный компонент с акациевый мёд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108</x:v>
      </x:c>
    </x:row>
    <x:row r="37" ht="66" customHeight="1">
      <x:c r="A37" s="28" t="str">
        <x:v>VEG-0118</x:v>
      </x:c>
      <x:c r="B37" s="28" t="str">
        <x:v>болгарский перец</x:v>
      </x:c>
      <x:c r="C37" s="28" t="str">
        <x:v>банан</x:v>
      </x:c>
      <x:c r="D37" s="28" t="str">
        <x:v>Фрукты и ягоды</x:v>
      </x:c>
      <x:c r="E37" s="28" t="str">
        <x:v>общие характерные молекулы; пересечение ароматических семейств; кислотно-сладкий баланс</x:v>
      </x:c>
      <x:c r="F37" s="28" t="str">
        <x:v>Болгарский перец имеет профиль «зелёный, травянистый, фруктовый; у красного — сладкий и жареный». Партнёр «банан»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7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I37" s="28" t="str">
        <x:v>сок, кордиал, гаспачо, салат, соус, маринад или коктейльный компонент с банан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342</x:v>
      </x:c>
    </x:row>
    <x:row r="38" ht="66" customHeight="1">
      <x:c r="A38" s="28" t="str">
        <x:v>VEG-0125</x:v>
      </x:c>
      <x:c r="B38" s="28" t="str">
        <x:v>болгарский перец</x:v>
      </x:c>
      <x:c r="C38" s="28" t="str">
        <x:v>восковое яблоко</x:v>
      </x:c>
      <x:c r="D38" s="28" t="str">
        <x:v>Фрукты и ягоды</x:v>
      </x:c>
      <x:c r="E38" s="28" t="str">
        <x:v>общие характерные молекулы; пересечение ароматических семейств; кислотно-сладкий баланс</x:v>
      </x:c>
      <x:c r="F38" s="28" t="str">
        <x:v>Болгарский перец имеет профиль «зелёный, травянистый, фруктовый; у красного — сладкий и жареный». Партнёр «восковое яблоко» относится к группе «Фрукты и ягоды» и даёт зелёный, свежий, фруктовый. Вероятный молекулярный мост: гексаналь.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8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I38" s="28" t="str">
        <x:v>сок, кордиал, гаспачо, салат, соус, маринад или коктейльный компонент с восковое яблоко</x:v>
      </x:c>
      <x:c r="J38" s="28" t="str">
        <x:v>Высокая</x:v>
      </x:c>
      <x:c r="K38" s="28" t="str">
        <x:v>The Art &amp; Science of Foodpairing.pdf</x:v>
      </x:c>
      <x:c r="L38" s="28" t="str">
        <x:v>The Art &amp; Science of Foodpairing.pdf: 108</x:v>
      </x:c>
    </x:row>
    <x:row r="39" ht="66" customHeight="1">
      <x:c r="A39" s="28" t="str">
        <x:v>VEG-0127</x:v>
      </x:c>
      <x:c r="B39" s="28" t="str">
        <x:v>болгарский перец</x:v>
      </x:c>
      <x:c r="C39" s="28" t="str">
        <x:v>голубой сыр</x:v>
      </x:c>
      <x:c r="D39" s="28" t="str">
        <x:v>Молочные продукты и сыры</x:v>
      </x:c>
      <x:c r="E39" s="28" t="str">
        <x:v>жировая матрица</x:v>
      </x:c>
      <x:c r="F39" s="28" t="str">
        <x:v>Болгарский перец имеет профиль «зелёный, травянистый, фруктовый; у красного — сладкий и жареный».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39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I39" s="28" t="str">
        <x:v>сок, кордиал, гаспачо, салат, соус, маринад или коктейльный компонент с голубой сыр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164</x:v>
      </x:c>
    </x:row>
    <x:row r="40" ht="66" customHeight="1">
      <x:c r="A40" s="28" t="str">
        <x:v>VEG-0139</x:v>
      </x:c>
      <x:c r="B40" s="28" t="str">
        <x:v>болгарский перец</x:v>
      </x:c>
      <x:c r="C40" s="28" t="str">
        <x:v>манго</x:v>
      </x:c>
      <x:c r="D40" s="28" t="str">
        <x:v>Фрукты и ягоды</x:v>
      </x:c>
      <x:c r="E40" s="28" t="str">
        <x:v>общие характерные молекулы; пересечение ароматических семейств; кислотно-сладкий баланс</x:v>
      </x:c>
      <x:c r="F40" s="28" t="str">
        <x:v>Болгарский перец имеет профиль «зелёный, травянистый, фруктовый; у красного — сладкий и жареный». Партнёр «манго» относится к группе «Фрукты и ягоды» и даёт фруктовый, цветочный и свежий. Вероятный молекулярный мост: эфиры.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4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0" s="28" t="str">
        <x:v>зелёный перец может доминировать метоксипиразином; обугленную кожицу удалять; избыток кислоты или воды может сделать овощной вкус тонким и разрушить сливочную эмульсию</x:v>
      </x:c>
      <x:c r="I40" s="28" t="str">
        <x:v>сок, кордиал, гаспачо, салат, соус, маринад или коктейльный компонент с манго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108</x:v>
      </x:c>
    </x:row>
    <x:row r="41" ht="66" customHeight="1">
      <x:c r="A41" s="28" t="str">
        <x:v>VEG-0142</x:v>
      </x:c>
      <x:c r="B41" s="28" t="str">
        <x:v>болгарский перец</x:v>
      </x:c>
      <x:c r="C41" s="28" t="str">
        <x:v>мягкий сыр</x:v>
      </x:c>
      <x:c r="D41" s="28" t="str">
        <x:v>Молочные продукты и сыры</x:v>
      </x:c>
      <x:c r="E41" s="28" t="str">
        <x:v>жировая матрица</x:v>
      </x:c>
      <x:c r="F41" s="28" t="str">
        <x:v>Болгарский перец имеет профиль «зелёный, травянистый, фруктовый; у красного — сладкий и жареный».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4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1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I41" s="28" t="str">
        <x:v>сок, кордиал, гаспачо, салат, соус, маринад или коктейльный компонент с мягкий сыр</x:v>
      </x:c>
      <x:c r="J41" s="28" t="str">
        <x:v>Средняя</x:v>
      </x:c>
      <x:c r="K41" s="28" t="str">
        <x:v>Тезариус вкусов (Ники Сегнит)(1).pdf</x:v>
      </x:c>
      <x:c r="L41" s="28" t="str">
        <x:v>Тезариус вкусов (Ники Сегнит)(1).pdf: 181, 547</x:v>
      </x:c>
    </x:row>
    <x:row r="42" ht="66" customHeight="1">
      <x:c r="A42" s="28" t="str">
        <x:v>VEG-0149</x:v>
      </x:c>
      <x:c r="B42" s="28" t="str">
        <x:v>болгарский перец</x:v>
      </x:c>
      <x:c r="C42" s="28" t="str">
        <x:v>сметана</x:v>
      </x:c>
      <x:c r="D42" s="28" t="str">
        <x:v>Молочные продукты и сыры</x:v>
      </x:c>
      <x:c r="E42" s="28" t="str">
        <x:v>жировая матрица</x:v>
      </x:c>
      <x:c r="F42" s="28" t="str">
        <x:v>Болгарский перец имеет профиль «зелёный, травянистый, фруктовый; у красного — сладкий и жареный». Партнёр «сметана» относится к группе «Молочные продукты и сыры» и даёт молочный, сливочный и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4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2" s="28" t="str">
        <x:v>зелёный перец может доминировать метоксипиразином; обугленную кожицу удалять; жир способен приглушить свежую зелёную ароматику</x:v>
      </x:c>
      <x:c r="I42" s="28" t="str">
        <x:v>сок, кордиал, гаспачо, салат, соус, маринад или коктейльный компонент с сметана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108</x:v>
      </x:c>
    </x:row>
    <x:row r="43" ht="66" customHeight="1">
      <x:c r="A43" s="28" t="str">
        <x:v>VEG-0159</x:v>
      </x:c>
      <x:c r="B43" s="28" t="str">
        <x:v>болгарский перец</x:v>
      </x:c>
      <x:c r="C43" s="28" t="str">
        <x:v>фундук</x:v>
      </x:c>
      <x:c r="D43" s="28" t="str">
        <x:v>Орехи и семена</x:v>
      </x:c>
      <x:c r="E43" s="28" t="str">
        <x:v>сенсорная комплементарность</x:v>
      </x:c>
      <x:c r="F43" s="28" t="str">
        <x:v>Болгарский перец имеет профиль «зелёный, травянистый, фруктовый; у красного — сладкий и жареный».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4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3" s="28" t="str">
        <x:v>зелёный перец может доминировать метоксипиразином; обугленную кожицу удалять</x:v>
      </x:c>
      <x:c r="I43" s="28" t="str">
        <x:v>сок, кордиал, гаспачо, салат, соус, маринад или коктейльный компонент с фундук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108</x:v>
      </x:c>
    </x:row>
    <x:row r="44" ht="66" customHeight="1">
      <x:c r="A44" s="28" t="str">
        <x:v>VEG-0160</x:v>
      </x:c>
      <x:c r="B44" s="28" t="str">
        <x:v>болгарский перец</x:v>
      </x:c>
      <x:c r="C44" s="28" t="str">
        <x:v>хлеб на закваске</x:v>
      </x:c>
      <x:c r="D44" s="28" t="str">
        <x:v>Выпечка, крупы, сахара и десерты</x:v>
      </x:c>
      <x:c r="E44" s="28" t="str">
        <x:v>сенсорная комплементарность</x:v>
      </x:c>
      <x:c r="F44" s="28" t="str">
        <x:v>Болгарский перец имеет профиль «зелёный, травянистый, фруктовый; у красного — сладкий и жареный». Партнёр «хлеб на закваске»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4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44" s="28" t="str">
        <x:v>зелёный перец может доминировать метоксипиразином; обугленную кожицу удалять</x:v>
      </x:c>
      <x:c r="I44" s="28" t="str">
        <x:v>сок, кордиал, гаспачо, салат, соус, маринад или коктейльный компонент с хлеб на закваске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108</x:v>
      </x:c>
    </x:row>
    <x:row r="45" ht="66" customHeight="1">
      <x:c r="A45" s="28" t="str">
        <x:v>VEG-0172</x:v>
      </x:c>
      <x:c r="B45" s="28" t="str">
        <x:v>брокколи</x:v>
      </x:c>
      <x:c r="C45" s="28" t="str">
        <x:v>арахис</x:v>
      </x:c>
      <x:c r="D45" s="28" t="str">
        <x:v>Орехи и семена</x:v>
      </x:c>
      <x:c r="E45" s="28" t="str">
        <x:v>общие характерные молекулы; пересечение ароматических семейств; сернистая или горчичная комплементарность</x:v>
      </x:c>
      <x:c r="F45" s="28" t="str">
        <x:v>Брокколи имеет профиль «зелёный, капустный, сернистый и ореховый после жарки». Партнёр «арахис»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45" s="28" t="str">
        <x:v>переваривание даёт сернистый запах и тусклый цвет; толстые стебли требуют отдельной обработки</x:v>
      </x:c>
      <x:c r="I45" s="28" t="str">
        <x:v>горячее блюдо, бульон, соус, пюре, ферментация или гарнир с арахис</x:v>
      </x:c>
      <x:c r="J45" s="28" t="str">
        <x:v>Средняя</x:v>
      </x:c>
      <x:c r="K45" s="28" t="str">
        <x:v>Тезариус вкусов (Ники Сегнит)(1).pdf</x:v>
      </x:c>
      <x:c r="L45" s="28" t="str">
        <x:v>Тезариус вкусов (Ники Сегнит)(1).pdf: 51, 329</x:v>
      </x:c>
    </x:row>
    <x:row r="46" ht="66" customHeight="1">
      <x:c r="A46" s="28" t="str">
        <x:v>VEG-0175</x:v>
      </x:c>
      <x:c r="B46" s="28" t="str">
        <x:v>брокколи</x:v>
      </x:c>
      <x:c r="C46" s="28" t="str">
        <x:v>голубой сыр</x:v>
      </x:c>
      <x:c r="D46" s="28" t="str">
        <x:v>Молочные продукты и сыры</x:v>
      </x:c>
      <x:c r="E46" s="28" t="str">
        <x:v>жировая матрица; сернистая или горчичная комплементарность</x:v>
      </x:c>
      <x:c r="F46" s="28" t="str">
        <x:v>Брокколи имеет профиль «зелёный, капустный, сернистый и ореховый после жарки».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6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46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I46" s="28" t="str">
        <x:v>горячее блюдо, бульон, соус, пюре, ферментация или гарнир с голубой сыр</x:v>
      </x:c>
      <x:c r="J46" s="28" t="str">
        <x:v>Средняя</x:v>
      </x:c>
      <x:c r="K46" s="28" t="str">
        <x:v>Тезариус вкусов (Ники Сегнит)(1).pdf</x:v>
      </x:c>
      <x:c r="L46" s="28" t="str">
        <x:v>Тезариус вкусов (Ники Сегнит)(1).pdf: 155, 331</x:v>
      </x:c>
    </x:row>
    <x:row r="47" ht="66" customHeight="1">
      <x:c r="A47" s="28" t="str">
        <x:v>VEG-0176</x:v>
      </x:c>
      <x:c r="B47" s="28" t="str">
        <x:v>брокколи</x:v>
      </x:c>
      <x:c r="C47" s="28" t="str">
        <x:v>грецкий орех</x:v>
      </x:c>
      <x:c r="D47" s="28" t="str">
        <x:v>Орехи и семена</x:v>
      </x:c>
      <x:c r="E47" s="28" t="str">
        <x:v>общие характерные молекулы; сернистая или горчичная комплементарность</x:v>
      </x:c>
      <x:c r="F47" s="28" t="str">
        <x:v>Брокколи имеет профиль «зелёный, капустный, сернистый и ореховый после жарки».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7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47" s="28" t="str">
        <x:v>переваривание даёт сернистый запах и тусклый цвет; толстые стебли требуют отдельной обработки</x:v>
      </x:c>
      <x:c r="I47" s="28" t="str">
        <x:v>горячее блюдо, бульон, соус, пюре, ферментация или гарнир с грецкий орех</x:v>
      </x:c>
      <x:c r="J47" s="28" t="str">
        <x:v>Средняя</x:v>
      </x:c>
      <x:c r="K47" s="28" t="str">
        <x:v>Тезариус вкусов (Ники Сегнит)(1).pdf</x:v>
      </x:c>
      <x:c r="L47" s="28" t="str">
        <x:v>Тезариус вкусов (Ники Сегнит)(1).pdf: 331, 624</x:v>
      </x:c>
    </x:row>
    <x:row r="48" ht="66" customHeight="1">
      <x:c r="A48" s="28" t="str">
        <x:v>VEG-0179</x:v>
      </x:c>
      <x:c r="B48" s="28" t="str">
        <x:v>брокколи</x:v>
      </x:c>
      <x:c r="C48" s="28" t="str">
        <x:v>кунжут, халва и тахини</x:v>
      </x:c>
      <x:c r="D48" s="28" t="str">
        <x:v>Орехи и семена</x:v>
      </x:c>
      <x:c r="E48" s="28" t="str">
        <x:v>общие характерные молекулы; пересечение ароматических семейств; сернистая или горчичная комплементарность</x:v>
      </x:c>
      <x:c r="F48" s="28" t="str">
        <x:v>Брокколи имеет профиль «зелёный, капустный, сернистый и ореховый после жарки». Партнёр «кунжут, халва и тахини»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48" s="28" t="str">
        <x:v>переваривание даёт сернистый запах и тусклый цвет; толстые стебли требуют отдельной обработки</x:v>
      </x:c>
      <x:c r="I48" s="28" t="str">
        <x:v>горячее блюдо, бульон, соус, пюре, ферментация или гарнир с кунжут, халва и тахини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308</x:v>
      </x:c>
    </x:row>
    <x:row r="49" ht="66" customHeight="1">
      <x:c r="A49" s="28" t="str">
        <x:v>VEG-0180</x:v>
      </x:c>
      <x:c r="B49" s="28" t="str">
        <x:v>брокколи</x:v>
      </x:c>
      <x:c r="C49" s="28" t="str">
        <x:v>лимон</x:v>
      </x:c>
      <x:c r="D49" s="28" t="str">
        <x:v>Фрукты и ягоды</x:v>
      </x:c>
      <x:c r="E49" s="28" t="str">
        <x:v>кислотно-сладкий баланс; сернистая или горчичная комплементарность</x:v>
      </x:c>
      <x:c r="F49" s="28" t="str">
        <x:v>Брокколи имеет профиль «зелёный, капустный, сернистый и ореховый после жарки».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49" s="28" t="str">
        <x:v>переваривание даёт сернистый запах и тусклый цвет; толстые стебли требуют отдельной обработки; избыток кислоты или воды может сделать овощной вкус тонким и разрушить сливочную эмульсию</x:v>
      </x:c>
      <x:c r="I49" s="28" t="str">
        <x:v>горячее блюдо, бульон, соус, пюре, ферментация или гарнир с лимон</x:v>
      </x:c>
      <x:c r="J49" s="28" t="str">
        <x:v>Средняя</x:v>
      </x:c>
      <x:c r="K49" s="28" t="str">
        <x:v>Тезариус вкусов (Ники Сегнит)(1).pdf</x:v>
      </x:c>
      <x:c r="L49" s="28" t="str">
        <x:v>Тезариус вкусов (Ники Сегнит)(1).pdf: 331, 801</x:v>
      </x:c>
    </x:row>
    <x:row r="50" ht="66" customHeight="1">
      <x:c r="A50" s="28" t="str">
        <x:v>VEG-0183</x:v>
      </x:c>
      <x:c r="B50" s="28" t="str">
        <x:v>брокколи</x:v>
      </x:c>
      <x:c r="C50" s="28" t="str">
        <x:v>твердый сыр</x:v>
      </x:c>
      <x:c r="D50" s="28" t="str">
        <x:v>Молочные продукты и сыры</x:v>
      </x:c>
      <x:c r="E50" s="28" t="str">
        <x:v>жировая матрица; сернистая или горчичная комплементарность</x:v>
      </x:c>
      <x:c r="F50" s="28" t="str">
        <x:v>Брокколи имеет профиль «зелёный, капустный, сернистый и ореховый после жарки».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50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I50" s="28" t="str">
        <x:v>горячее блюдо, бульон, соус, пюре, ферментация или гарнир с твердый сыр</x:v>
      </x:c>
      <x:c r="J50" s="28" t="str">
        <x:v>Средняя</x:v>
      </x:c>
      <x:c r="K50" s="28" t="str">
        <x:v>Тезариус вкусов (Ники Сегнит)(1).pdf</x:v>
      </x:c>
      <x:c r="L50" s="28" t="str">
        <x:v>Тезариус вкусов (Ники Сегнит)(1).pdf: 168, 332</x:v>
      </x:c>
    </x:row>
    <x:row r="51" ht="66" customHeight="1">
      <x:c r="A51" s="28" t="str">
        <x:v>VEG-0184</x:v>
      </x:c>
      <x:c r="B51" s="28" t="str">
        <x:v>брокколи</x:v>
      </x:c>
      <x:c r="C51" s="28" t="str">
        <x:v>тёмный шоколад</x:v>
      </x:c>
      <x:c r="D51" s="28" t="str">
        <x:v>Какао и шоколад</x:v>
      </x:c>
      <x:c r="E51" s="28" t="str">
        <x:v>общие характерные молекулы; пересечение ароматических семейств; сернистая или горчичная комплементарность</x:v>
      </x:c>
      <x:c r="F51" s="28" t="str">
        <x:v>Брокколи имеет профиль «зелёный, капустный, сернистый и ореховый после жарки». Партнёр «тёмный 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51" s="28" t="str">
        <x:v>переваривание даёт сернистый запах и тусклый цвет; толстые стебли требуют отдельной обработки; жареная горечь легко маскирует нежный овощной аромат</x:v>
      </x:c>
      <x:c r="I51" s="28" t="str">
        <x:v>горячее блюдо, бульон, соус, пюре, ферментация или гарнир с тёмный шоколад</x:v>
      </x:c>
      <x:c r="J51" s="28" t="str">
        <x:v>Высокая</x:v>
      </x:c>
      <x:c r="K51" s="28" t="str">
        <x:v>The Art &amp; Science of Foodpairing.pdf</x:v>
      </x:c>
      <x:c r="L51" s="28" t="str">
        <x:v>The Art &amp; Science of Foodpairing.pdf: 60</x:v>
      </x:c>
    </x:row>
    <x:row r="52" ht="66" customHeight="1">
      <x:c r="A52" s="28" t="str">
        <x:v>VEG-0195</x:v>
      </x:c>
      <x:c r="B52" s="28" t="str">
        <x:v>горох</x:v>
      </x:c>
      <x:c r="C52" s="28" t="str">
        <x:v>апельсин</x:v>
      </x:c>
      <x:c r="D52" s="28" t="str">
        <x:v>Фрукты и ягоды</x:v>
      </x:c>
      <x:c r="E52" s="28" t="str">
        <x:v>пересечение ароматических семейств; кислотно-сладкий баланс</x:v>
      </x:c>
      <x:c r="F52" s="28" t="str">
        <x:v>Горох имеет профиль «зелёный, сладкий, бобовый и слегка цветочный».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5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52" s="28" t="str">
        <x:v>старый горох мучнистый; длительное хранение и нагрев снижают цвет и свежий аромат; избыток кислоты или воды может сделать овощной вкус тонким и разрушить сливочную эмульсию</x:v>
      </x:c>
      <x:c r="I52" s="28" t="str">
        <x:v>салат, гарнир, суп, соус, маринад, ферментация или напиток с апельсин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236</x:v>
      </x:c>
    </x:row>
    <x:row r="53" ht="66" customHeight="1">
      <x:c r="A53" s="28" t="str">
        <x:v>VEG-0202</x:v>
      </x:c>
      <x:c r="B53" s="28" t="str">
        <x:v>горох</x:v>
      </x:c>
      <x:c r="C53" s="28" t="str">
        <x:v>кунжут, халва и тахини</x:v>
      </x:c>
      <x:c r="D53" s="28" t="str">
        <x:v>Орехи и семена</x:v>
      </x:c>
      <x:c r="E53" s="28" t="str">
        <x:v>сенсорная комплементарность</x:v>
      </x:c>
      <x:c r="F53" s="28" t="str">
        <x:v>Горох имеет профиль «зелёный, сладкий, бобовый и слегка цветочный».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5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53" s="28" t="str">
        <x:v>старый горох мучнистый; длительное хранение и нагрев снижают цвет и свежий аромат</x:v>
      </x:c>
      <x:c r="I53" s="28" t="str">
        <x:v>салат, гарнир, суп, соус, маринад, ферментация или напиток с кунжут, халва и тахини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308</x:v>
      </x:c>
    </x:row>
    <x:row r="54" ht="66" customHeight="1">
      <x:c r="A54" s="28" t="str">
        <x:v>VEG-0211</x:v>
      </x:c>
      <x:c r="B54" s="28" t="str">
        <x:v>горох</x:v>
      </x:c>
      <x:c r="C54" s="28" t="str">
        <x:v>твердый сыр</x:v>
      </x:c>
      <x:c r="D54" s="28" t="str">
        <x:v>Молочные продукты и сыры</x:v>
      </x:c>
      <x:c r="E54" s="28" t="str">
        <x:v>жировая матрица</x:v>
      </x:c>
      <x:c r="F54" s="28" t="str">
        <x:v>Горох имеет профиль «зелёный, сладкий, бобовый и слегка цветочный».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5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54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I54" s="28" t="str">
        <x:v>салат, гарнир, суп, соус, маринад, ферментация или напиток с твердый сыр</x:v>
      </x:c>
      <x:c r="J54" s="28" t="str">
        <x:v>Средняя</x:v>
      </x:c>
      <x:c r="K54" s="28" t="str">
        <x:v>Тезариус вкусов (Ники Сегнит)(1).pdf</x:v>
      </x:c>
      <x:c r="L54" s="28" t="str">
        <x:v>Тезариус вкусов (Ники Сегнит)(1).pdf: 170, 541</x:v>
      </x:c>
    </x:row>
    <x:row r="55" ht="66" customHeight="1">
      <x:c r="A55" s="28" t="str">
        <x:v>VEG-0216</x:v>
      </x:c>
      <x:c r="B55" s="28" t="str">
        <x:v>грибы</x:v>
      </x:c>
      <x:c r="C55" s="28" t="str">
        <x:v>абрикос</x:v>
      </x:c>
      <x:c r="D55" s="28" t="str">
        <x:v>Фрукты и ягоды</x:v>
      </x:c>
      <x:c r="E55" s="28" t="str">
        <x:v>кислотно-сладкий баланс</x:v>
      </x:c>
      <x:c r="F55" s="28" t="str">
        <x:v>Грибы имеет профиль «землистый, лесной, жареный, мясной и слегка сернистый». Партнёр «абрикос»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5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I55" s="28" t="str">
        <x:v>горячее блюдо, бульон, соус, пюре, ферментация или гарнир с абрикос</x:v>
      </x:c>
      <x:c r="J55" s="28" t="str">
        <x:v>Высокая</x:v>
      </x:c>
      <x:c r="K55" s="28" t="str">
        <x:v>The Art &amp; Science of Foodpairing.pdf | Тезариус вкусов (Ники Сегнит)(1).pdf</x:v>
      </x:c>
      <x:c r="L55" s="28" t="str">
        <x:v>Тезариус вкусов (Ники Сегнит)(1).pdf: 192, 742; The Art &amp; Science of Foodpairing.pdf: 206</x:v>
      </x:c>
    </x:row>
    <x:row r="56" ht="66" customHeight="1">
      <x:c r="A56" s="28" t="str">
        <x:v>VEG-0220</x:v>
      </x:c>
      <x:c r="B56" s="28" t="str">
        <x:v>грибы</x:v>
      </x:c>
      <x:c r="C56" s="28" t="str">
        <x:v>банан</x:v>
      </x:c>
      <x:c r="D56" s="28" t="str">
        <x:v>Фрукты и ягоды</x:v>
      </x:c>
      <x:c r="E56" s="28" t="str">
        <x:v>кислотно-сладкий баланс</x:v>
      </x:c>
      <x:c r="F56" s="28" t="str">
        <x:v>Грибы имеет профиль «землистый, лесной, жареный, мясной и слегка сернистый».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5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I56" s="28" t="str">
        <x:v>горячее блюдо, бульон, соус, пюре, ферментация или гарнир с банан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342</x:v>
      </x:c>
    </x:row>
    <x:row r="57" ht="66" customHeight="1">
      <x:c r="A57" s="28" t="str">
        <x:v>VEG-0226</x:v>
      </x:c>
      <x:c r="B57" s="28" t="str">
        <x:v>грибы</x:v>
      </x:c>
      <x:c r="C57" s="28" t="str">
        <x:v>голубой сыр</x:v>
      </x:c>
      <x:c r="D57" s="28" t="str">
        <x:v>Молочные продукты и сыры</x:v>
      </x:c>
      <x:c r="E57" s="28" t="str">
        <x:v>пересечение ароматических семейств; жировая матрица</x:v>
      </x:c>
      <x:c r="F57" s="28" t="str">
        <x:v>Грибы имеет профиль «землистый, лесной, жареный, мясной и слегка сернистый». Партнёр «голубой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5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57" s="28" t="str">
        <x:v>горячее блюдо, бульон, соус, пюре, ферментация или гарнир с голубой сыр</x:v>
      </x:c>
      <x:c r="J57" s="28" t="str">
        <x:v>Средняя</x:v>
      </x:c>
      <x:c r="K57" s="28" t="str">
        <x:v>Тезариус вкусов (Ники Сегнит)(1).pdf</x:v>
      </x:c>
      <x:c r="L57" s="28" t="str">
        <x:v>Тезариус вкусов (Ники Сегнит)(1).pdf: 157, 195</x:v>
      </x:c>
    </x:row>
    <x:row r="58" ht="66" customHeight="1">
      <x:c r="A58" s="28" t="str">
        <x:v>VEG-0227</x:v>
      </x:c>
      <x:c r="B58" s="28" t="str">
        <x:v>грибы</x:v>
      </x:c>
      <x:c r="C58" s="28" t="str">
        <x:v>грецкий орех</x:v>
      </x:c>
      <x:c r="D58" s="28" t="str">
        <x:v>Орехи и семена</x:v>
      </x:c>
      <x:c r="E58" s="28" t="str">
        <x:v>общие характерные молекулы; пересечение ароматических семейств</x:v>
      </x:c>
      <x:c r="F58" s="28" t="str">
        <x:v>Грибы имеет профиль «землистый, лесной, жареный, мясной и слегка сернистый».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5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8" s="28" t="str">
        <x:v>горячее блюдо, бульон, соус, пюре, ферментация или гарнир с грецкий орех</x:v>
      </x:c>
      <x:c r="J58" s="28" t="str">
        <x:v>Средняя</x:v>
      </x:c>
      <x:c r="K58" s="28" t="str">
        <x:v>Тезариус вкусов (Ники Сегнит)(1).pdf</x:v>
      </x:c>
      <x:c r="L58" s="28" t="str">
        <x:v>Тезариус вкусов (Ники Сегнит)(1).pdf: 195, 625</x:v>
      </x:c>
    </x:row>
    <x:row r="59" ht="66" customHeight="1">
      <x:c r="A59" s="28" t="str">
        <x:v>VEG-0232</x:v>
      </x:c>
      <x:c r="B59" s="28" t="str">
        <x:v>грибы</x:v>
      </x:c>
      <x:c r="C59" s="28" t="str">
        <x:v>каштаны</x:v>
      </x:c>
      <x:c r="D59" s="28" t="str">
        <x:v>Орехи и семена</x:v>
      </x:c>
      <x:c r="E59" s="28" t="str">
        <x:v>общие характерные молекулы; пересечение ароматических семейств</x:v>
      </x:c>
      <x:c r="F59" s="28" t="str">
        <x:v>Грибы имеет профиль «землистый, лесной, жареный, мясной и слегка сернистый». Партнёр «каштаны»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5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5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59" s="28" t="str">
        <x:v>горячее блюдо, бульон, соус, пюре, ферментация или гарнир с каштаны</x:v>
      </x:c>
      <x:c r="J59" s="28" t="str">
        <x:v>Средняя</x:v>
      </x:c>
      <x:c r="K59" s="28" t="str">
        <x:v>Тезариус вкусов (Ники Сегнит)(1).pdf</x:v>
      </x:c>
      <x:c r="L59" s="28" t="str">
        <x:v>Тезариус вкусов (Ники Сегнит)(1).pdf: 197, 617</x:v>
      </x:c>
    </x:row>
    <x:row r="60" ht="66" customHeight="1">
      <x:c r="A60" s="28" t="str">
        <x:v>VEG-0234</x:v>
      </x:c>
      <x:c r="B60" s="28" t="str">
        <x:v>грибы</x:v>
      </x:c>
      <x:c r="C60" s="28" t="str">
        <x:v>козий сыр</x:v>
      </x:c>
      <x:c r="D60" s="28" t="str">
        <x:v>Молочные продукты и сыры</x:v>
      </x:c>
      <x:c r="E60" s="28" t="str">
        <x:v>пересечение ароматических семейств; жировая матрица</x:v>
      </x:c>
      <x:c r="F60" s="28" t="str">
        <x:v>Грибы имеет профиль «землистый, лесной, жареный, мясной и слегка сернистый».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6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60" s="28" t="str">
        <x:v>горячее блюдо, бульон, соус, пюре, ферментация или гарнир с козий сыр</x:v>
      </x:c>
      <x:c r="J60" s="28" t="str">
        <x:v>Средняя</x:v>
      </x:c>
      <x:c r="K60" s="28" t="str">
        <x:v>Тезариус вкусов (Ники Сегнит)(1).pdf</x:v>
      </x:c>
      <x:c r="L60" s="28" t="str">
        <x:v>Тезариус вкусов (Ники Сегнит)(1).pdf: 138, 198</x:v>
      </x:c>
    </x:row>
    <x:row r="61" ht="66" customHeight="1">
      <x:c r="A61" s="28" t="str">
        <x:v>VEG-0235</x:v>
      </x:c>
      <x:c r="B61" s="28" t="str">
        <x:v>грибы</x:v>
      </x:c>
      <x:c r="C61" s="28" t="str">
        <x:v>козий сыр и молоко</x:v>
      </x:c>
      <x:c r="D61" s="28" t="str">
        <x:v>Молочные продукты и сыры</x:v>
      </x:c>
      <x:c r="E61" s="28" t="str">
        <x:v>пересечение ароматических семейств; жировая матрица</x:v>
      </x:c>
      <x:c r="F61" s="28" t="str">
        <x:v>Грибы имеет профиль «землистый, лесной, жареный, мясной и слегка сернистый».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6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61" s="28" t="str">
        <x:v>горячее блюдо, бульон, соус, пюре, ферментация или гарнир с козий сыр и молоко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200</x:v>
      </x:c>
    </x:row>
    <x:row r="62" ht="66" customHeight="1">
      <x:c r="A62" s="28" t="str">
        <x:v>VEG-0243</x:v>
      </x:c>
      <x:c r="B62" s="28" t="str">
        <x:v>грибы</x:v>
      </x:c>
      <x:c r="C62" s="28" t="str">
        <x:v>мягкий сыр</x:v>
      </x:c>
      <x:c r="D62" s="28" t="str">
        <x:v>Молочные продукты и сыры</x:v>
      </x:c>
      <x:c r="E62" s="28" t="str">
        <x:v>пересечение ароматических семейств; жировая матрица</x:v>
      </x:c>
      <x:c r="F62" s="28" t="str">
        <x:v>Грибы имеет профиль «землистый, лесной, жареный, мясной и слегка сернистый».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6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62" s="28" t="str">
        <x:v>горячее блюдо, бульон, соус, пюре, ферментация или гарнир с мягкий сыр</x:v>
      </x:c>
      <x:c r="J62" s="28" t="str">
        <x:v>Средняя</x:v>
      </x:c>
      <x:c r="K62" s="28" t="str">
        <x:v>Тезариус вкусов (Ники Сегнит)(1).pdf</x:v>
      </x:c>
      <x:c r="L62" s="28" t="str">
        <x:v>Тезариус вкусов (Ники Сегнит)(1).pdf: 184, 202</x:v>
      </x:c>
    </x:row>
    <x:row r="63" ht="66" customHeight="1">
      <x:c r="A63" s="28" t="str">
        <x:v>VEG-0256</x:v>
      </x:c>
      <x:c r="B63" s="28" t="str">
        <x:v>грибы</x:v>
      </x:c>
      <x:c r="C63" s="28" t="str">
        <x:v>твердый сыр</x:v>
      </x:c>
      <x:c r="D63" s="28" t="str">
        <x:v>Молочные продукты и сыры</x:v>
      </x:c>
      <x:c r="E63" s="28" t="str">
        <x:v>пересечение ароматических семейств; жировая матрица</x:v>
      </x:c>
      <x:c r="F63" s="28" t="str">
        <x:v>Грибы имеет профиль «землистый, лесной, жареный, мясной и слегка сернистый». Партнёр «твердый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6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6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63" s="28" t="str">
        <x:v>горячее блюдо, бульон, соус, пюре, ферментация или гарнир с твердый сыр</x:v>
      </x:c>
      <x:c r="J63" s="28" t="str">
        <x:v>Средняя</x:v>
      </x:c>
      <x:c r="K63" s="28" t="str">
        <x:v>Тезариус вкусов (Ники Сегнит)(1).pdf</x:v>
      </x:c>
      <x:c r="L63" s="28" t="str">
        <x:v>Тезариус вкусов (Ники Сегнит)(1).pdf: 170, 203</x:v>
      </x:c>
    </x:row>
    <x:row r="64" ht="66" customHeight="1">
      <x:c r="A64" s="28" t="str">
        <x:v>VEG-0271</x:v>
      </x:c>
      <x:c r="B64" s="28" t="str">
        <x:v>зелёная фасоль</x:v>
      </x:c>
      <x:c r="C64" s="28" t="str">
        <x:v>дыня</x:v>
      </x:c>
      <x:c r="D64" s="28" t="str">
        <x:v>Фрукты и ягоды</x:v>
      </x:c>
      <x:c r="E64" s="28" t="str">
        <x:v>кислотно-сладкий баланс</x:v>
      </x:c>
      <x:c r="F64" s="28" t="str">
        <x:v>Зелёная фасоль имеет профиль «зелёный, травянистый, бобовый и слегка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64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64" s="28" t="str">
        <x:v>недоготовленная груба, переваренная водяниста; использовать пищевые сорта после достаточной тепловой обработки; избыток кислоты или воды может сделать овощной вкус тонким и разрушить сливочную эмульсию</x:v>
      </x:c>
      <x:c r="I64" s="28" t="str">
        <x:v>салат, гарнир, суп, соус, маринад, ферментация или напиток с дыня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320</x:v>
      </x:c>
    </x:row>
    <x:row r="65" ht="66" customHeight="1">
      <x:c r="A65" s="28" t="str">
        <x:v>VEG-0276</x:v>
      </x:c>
      <x:c r="B65" s="28" t="str">
        <x:v>зелёная фасоль</x:v>
      </x:c>
      <x:c r="C65" s="28" t="str">
        <x:v>фундук</x:v>
      </x:c>
      <x:c r="D65" s="28" t="str">
        <x:v>Орехи и семена</x:v>
      </x:c>
      <x:c r="E65" s="28" t="str">
        <x:v>пересечение ароматических семейств</x:v>
      </x:c>
      <x:c r="F65" s="28" t="str">
        <x:v>Зелёная фасоль имеет профиль «зелёный, травянистый, бобовый и слегка ореховый».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G65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65" s="28" t="str">
        <x:v>недоготовленная груба, переваренная водяниста; использовать пищевые сорта после достаточной тепловой обработки</x:v>
      </x:c>
      <x:c r="I65" s="28" t="str">
        <x:v>салат, гарнир, суп, соус, маринад, ферментация или напиток с фундук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332</x:v>
      </x:c>
    </x:row>
    <x:row r="66" ht="66" customHeight="1">
      <x:c r="A66" s="28" t="str">
        <x:v>VEG-0277</x:v>
      </x:c>
      <x:c r="B66" s="28" t="str">
        <x:v>зелёная фасоль</x:v>
      </x:c>
      <x:c r="C66" s="28" t="str">
        <x:v>хлеб на закваске</x:v>
      </x:c>
      <x:c r="D66" s="28" t="str">
        <x:v>Выпечка, крупы, сахара и десерты</x:v>
      </x:c>
      <x:c r="E66" s="28" t="str">
        <x:v>сенсорная комплементарность</x:v>
      </x:c>
      <x:c r="F66" s="28" t="str">
        <x:v>Зелёная фасоль имеет профиль «зелёный, травянистый, бобовый и слегка ореховый». Партнёр «хлеб на закваске»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66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66" s="28" t="str">
        <x:v>недоготовленная груба, переваренная водяниста; использовать пищевые сорта после достаточной тепловой обработки</x:v>
      </x:c>
      <x:c r="I66" s="28" t="str">
        <x:v>салат, гарнир, суп, соус, маринад, ферментация или напиток с хлеб на закваске</x:v>
      </x:c>
      <x:c r="J66" s="28" t="str">
        <x:v>Высокая</x:v>
      </x:c>
      <x:c r="K66" s="28" t="str">
        <x:v>The Art &amp; Science of Foodpairing.pdf</x:v>
      </x:c>
      <x:c r="L66" s="28" t="str">
        <x:v>The Art &amp; Science of Foodpairing.pdf: 321</x:v>
      </x:c>
    </x:row>
    <x:row r="67" ht="66" customHeight="1">
      <x:c r="A67" s="28" t="str">
        <x:v>VEG-0279</x:v>
      </x:c>
      <x:c r="B67" s="28" t="str">
        <x:v>кабачок</x:v>
      </x:c>
      <x:c r="C67" s="28" t="str">
        <x:v>манго</x:v>
      </x:c>
      <x:c r="D67" s="28" t="str">
        <x:v>Фрукты и ягоды</x:v>
      </x:c>
      <x:c r="E67" s="28" t="str">
        <x:v>общие характерные молекулы; кислотно-сладкий баланс</x:v>
      </x:c>
      <x:c r="F67" s="28" t="str">
        <x:v>Кабачок имеет профиль «мягкий зелёный, водянистый, ореховый после жарки». Партнёр «манго»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67" s="28" t="str">
        <x:v>гриль и жарка концентрируют вкус и создают ореховые ноты; соль выводит лишнюю воду. </x:v>
      </x:c>
      <x:c r="H67" s="28" t="str">
        <x:v>переготовка даёт водянистую кашу; необычно сильная горечь является основанием продукт не использовать; избыток кислоты или воды может сделать овощной вкус тонким и разрушить сливочную эмульсию</x:v>
      </x:c>
      <x:c r="I67" s="28" t="str">
        <x:v>салат, гарнир, суп, соус, маринад, ферментация или напиток с манго</x:v>
      </x:c>
      <x:c r="J67" s="28" t="str">
        <x:v>Средняя</x:v>
      </x:c>
      <x:c r="K67" s="28" t="str">
        <x:v>The Art &amp; Science of Foodpairing.pdf</x:v>
      </x:c>
      <x:c r="L67" s="28" t="str">
        <x:v>The Art &amp; Science of Foodpairing.pdf: 312</x:v>
      </x:c>
    </x:row>
    <x:row r="68" ht="66" customHeight="1">
      <x:c r="A68" s="28" t="str">
        <x:v>VEG-0280</x:v>
      </x:c>
      <x:c r="B68" s="28" t="str">
        <x:v>кабачок</x:v>
      </x:c>
      <x:c r="C68" s="28" t="str">
        <x:v>фундук</x:v>
      </x:c>
      <x:c r="D68" s="28" t="str">
        <x:v>Орехи и семена</x:v>
      </x:c>
      <x:c r="E68" s="28" t="str">
        <x:v>общие характерные молекулы; пересечение ароматических семейств</x:v>
      </x:c>
      <x:c r="F68" s="28" t="str">
        <x:v>Кабачок имеет профиль «мягкий зелёный, водянистый, ореховый после жарки».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68" s="28" t="str">
        <x:v>гриль и жарка концентрируют вкус и создают ореховые ноты; соль выводит лишнюю воду. </x:v>
      </x:c>
      <x:c r="H68" s="28" t="str">
        <x:v>переготовка даёт водянистую кашу; необычно сильная горечь является основанием продукт не использовать</x:v>
      </x:c>
      <x:c r="I68" s="28" t="str">
        <x:v>салат, гарнир, суп, соус, маринад, ферментация или напиток с фундук</x:v>
      </x:c>
      <x:c r="J68" s="28" t="str">
        <x:v>Высокая</x:v>
      </x:c>
      <x:c r="K68" s="28" t="str">
        <x:v>The Art &amp; Science of Foodpairing.pdf</x:v>
      </x:c>
      <x:c r="L68" s="28" t="str">
        <x:v>The Art &amp; Science of Foodpairing.pdf: 332</x:v>
      </x:c>
    </x:row>
    <x:row r="69" ht="66" customHeight="1">
      <x:c r="A69" s="28" t="str">
        <x:v>VEG-0281</x:v>
      </x:c>
      <x:c r="B69" s="28" t="str">
        <x:v>кабачок</x:v>
      </x:c>
      <x:c r="C69" s="28" t="str">
        <x:v>шоколад</x:v>
      </x:c>
      <x:c r="D69" s="28" t="str">
        <x:v>Какао и шоколад</x:v>
      </x:c>
      <x:c r="E69" s="28" t="str">
        <x:v>общие характерные молекулы; пересечение ароматических семейств</x:v>
      </x:c>
      <x:c r="F69" s="28" t="str">
        <x:v>Кабачок имеет профиль «мягкий зелёный, водянистый, ореховый после жарки».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69" s="28" t="str">
        <x:v>гриль и жарка концентрируют вкус и создают ореховые ноты; соль выводит лишнюю воду. </x:v>
      </x:c>
      <x:c r="H69" s="28" t="str">
        <x:v>переготовка даёт водянистую кашу; необычно сильная горечь является основанием продукт не использовать; жареная горечь легко маскирует нежный овощной аромат</x:v>
      </x:c>
      <x:c r="I69" s="28" t="str">
        <x:v>салат, гарнир, суп, соус, маринад, ферментация или напиток с шоколад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62</x:v>
      </x:c>
    </x:row>
    <x:row r="70" ht="66" customHeight="1">
      <x:c r="A70" s="28" t="str">
        <x:v>VEG-0287</x:v>
      </x:c>
      <x:c r="B70" s="28" t="str">
        <x:v>капуста</x:v>
      </x:c>
      <x:c r="C70" s="28" t="str">
        <x:v>голубой сыр</x:v>
      </x:c>
      <x:c r="D70" s="28" t="str">
        <x:v>Молочные продукты и сыры</x:v>
      </x:c>
      <x:c r="E70" s="28" t="str">
        <x:v>жировая матрица; сернистая или горчичная комплементарность</x:v>
      </x:c>
      <x:c r="F70" s="28" t="str">
        <x:v>Капуста имеет профиль «зелёный, горчичный, сернистый и сладковатый после приготовления».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70" s="28" t="str">
        <x:v>не переваривать; красная капуста меняет цвет с pH; сернистые ноты могут конфликтовать с тонкими цветами; жир способен приглушить свежую зелёную ароматику</x:v>
      </x:c>
      <x:c r="I70" s="28" t="str">
        <x:v>горячее блюдо, бульон, соус, пюре, ферментация или гарнир с голубой сыр</x:v>
      </x:c>
      <x:c r="J70" s="28" t="str">
        <x:v>Высокая</x:v>
      </x:c>
      <x:c r="K70" s="28" t="str">
        <x:v>The Art &amp; Science of Foodpairing.pdf | Тезариус вкусов (Ники Сегнит)(1).pdf</x:v>
      </x:c>
      <x:c r="L70" s="28" t="str">
        <x:v>Тезариус вкусов (Ники Сегнит)(1).pdf: 159, 311; The Art &amp; Science of Foodpairing.pdf: 164</x:v>
      </x:c>
    </x:row>
    <x:row r="71" ht="66" customHeight="1">
      <x:c r="A71" s="28" t="str">
        <x:v>VEG-0290</x:v>
      </x:c>
      <x:c r="B71" s="28" t="str">
        <x:v>капуста</x:v>
      </x:c>
      <x:c r="C71" s="28" t="str">
        <x:v>каштаны</x:v>
      </x:c>
      <x:c r="D71" s="28" t="str">
        <x:v>Орехи и семена</x:v>
      </x:c>
      <x:c r="E71" s="28" t="str">
        <x:v>сернистая или горчичная комплементарность</x:v>
      </x:c>
      <x:c r="F71" s="28" t="str">
        <x:v>Капуста имеет профиль «зелёный, горчичный, сернистый и сладковатый после приготовления». Партнёр «каштаны»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71" s="28" t="str">
        <x:v>не переваривать; красная капуста меняет цвет с pH; сернистые ноты могут конфликтовать с тонкими цветами</x:v>
      </x:c>
      <x:c r="I71" s="28" t="str">
        <x:v>горячее блюдо, бульон, соус, пюре, ферментация или гарнир с каштаны</x:v>
      </x:c>
      <x:c r="J71" s="28" t="str">
        <x:v>Средняя</x:v>
      </x:c>
      <x:c r="K71" s="28" t="str">
        <x:v>Тезариус вкусов (Ники Сегнит)(1).pdf</x:v>
      </x:c>
      <x:c r="L71" s="28" t="str">
        <x:v>Тезариус вкусов (Ники Сегнит)(1).pdf: 311, 617</x:v>
      </x:c>
    </x:row>
    <x:row r="72" ht="66" customHeight="1">
      <x:c r="A72" s="28" t="str">
        <x:v>VEG-0294</x:v>
      </x:c>
      <x:c r="B72" s="28" t="str">
        <x:v>капуста</x:v>
      </x:c>
      <x:c r="C72" s="28" t="str">
        <x:v>кунжут</x:v>
      </x:c>
      <x:c r="D72" s="28" t="str">
        <x:v>Орехи и семена</x:v>
      </x:c>
      <x:c r="E72" s="28" t="str">
        <x:v>сернистая или горчичная комплементарность</x:v>
      </x:c>
      <x:c r="F72" s="28" t="str">
        <x:v>Капуста имеет профиль «зелёный, горчичный, сернистый и сладковатый после приготовления». Партнёр «кунжут»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72" s="28" t="str">
        <x:v>не переваривать; красная капуста меняет цвет с pH; сернистые ноты могут конфликтовать с тонкими цветами</x:v>
      </x:c>
      <x:c r="I72" s="28" t="str">
        <x:v>горячее блюдо, бульон, соус, пюре, ферментация или гарнир с кунжут</x:v>
      </x:c>
      <x:c r="J72" s="28" t="str">
        <x:v>Высокая</x:v>
      </x:c>
      <x:c r="K72" s="28" t="str">
        <x:v>The Art &amp; Science of Foodpairing.pdf</x:v>
      </x:c>
      <x:c r="L72" s="28" t="str">
        <x:v>The Art &amp; Science of Foodpairing.pdf: 308</x:v>
      </x:c>
    </x:row>
    <x:row r="73" ht="66" customHeight="1">
      <x:c r="A73" s="28" t="str">
        <x:v>VEG-0295</x:v>
      </x:c>
      <x:c r="B73" s="28" t="str">
        <x:v>капуста</x:v>
      </x:c>
      <x:c r="C73" s="28" t="str">
        <x:v>кунжут, халва и тахини</x:v>
      </x:c>
      <x:c r="D73" s="28" t="str">
        <x:v>Орехи и семена</x:v>
      </x:c>
      <x:c r="E73" s="28" t="str">
        <x:v>сернистая или горчичная комплементарность</x:v>
      </x:c>
      <x:c r="F73" s="28" t="str">
        <x:v>Капуста имеет профиль «зелёный, горчичный, сернистый и сладковатый после приготовления».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73" s="28" t="str">
        <x:v>не переваривать; красная капуста меняет цвет с pH; сернистые ноты могут конфликтовать с тонкими цветами</x:v>
      </x:c>
      <x:c r="I73" s="28" t="str">
        <x:v>горячее блюдо, бульон, соус, пюре, ферментация или гарнир с кунжут, халва и тахини</x:v>
      </x:c>
      <x:c r="J73" s="28" t="str">
        <x:v>Средняя</x:v>
      </x:c>
      <x:c r="K73" s="28" t="str">
        <x:v>The Art &amp; Science of Foodpairing.pdf</x:v>
      </x:c>
      <x:c r="L73" s="28" t="str">
        <x:v>The Art &amp; Science of Foodpairing.pdf: 308</x:v>
      </x:c>
    </x:row>
    <x:row r="74" ht="66" customHeight="1">
      <x:c r="A74" s="28" t="str">
        <x:v>VEG-0304</x:v>
      </x:c>
      <x:c r="B74" s="28" t="str">
        <x:v>капуста</x:v>
      </x:c>
      <x:c r="C74" s="28" t="str">
        <x:v>фундук</x:v>
      </x:c>
      <x:c r="D74" s="28" t="str">
        <x:v>Орехи и семена</x:v>
      </x:c>
      <x:c r="E74" s="28" t="str">
        <x:v>сернистая или горчичная комплементарность</x:v>
      </x:c>
      <x:c r="F74" s="28" t="str">
        <x:v>Капуста имеет профиль «зелёный, горчичный, сернистый и сладковатый после приготовления».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74" s="28" t="str">
        <x:v>не переваривать; красная капуста меняет цвет с pH; сернистые ноты могут конфликтовать с тонкими цветами</x:v>
      </x:c>
      <x:c r="I74" s="28" t="str">
        <x:v>горячее блюдо, бульон, соус, пюре, ферментация или гарнир с фундук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332</x:v>
      </x:c>
    </x:row>
    <x:row r="75" ht="66" customHeight="1">
      <x:c r="A75" s="28" t="str">
        <x:v>VEG-0308</x:v>
      </x:c>
      <x:c r="B75" s="28" t="str">
        <x:v>капуста</x:v>
      </x:c>
      <x:c r="C75" s="28" t="str">
        <x:v>яблоко</x:v>
      </x:c>
      <x:c r="D75" s="28" t="str">
        <x:v>Фрукты и ягоды</x:v>
      </x:c>
      <x:c r="E75" s="28" t="str">
        <x:v>пересечение ароматических семейств; кислотно-сладкий баланс; сернистая или горчичная комплементарность</x:v>
      </x:c>
      <x:c r="F75" s="28" t="str">
        <x:v>Капуста имеет профиль «зелёный, горчичный, сернистый и сладковатый после приготовления».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7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75" s="28" t="str">
        <x:v>не переваривать; красная капуста меняет цвет с pH; сернистые ноты могут конфликтовать с тонкими цветами; избыток кислоты или воды может сделать овощной вкус тонким и разрушить сливочную эмульсию</x:v>
      </x:c>
      <x:c r="I75" s="28" t="str">
        <x:v>горячее блюдо, бульон, соус, пюре, ферментация или гарнир с яблоко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317, 713</x:v>
      </x:c>
    </x:row>
    <x:row r="76" ht="66" customHeight="1">
      <x:c r="A76" s="28" t="str">
        <x:v>VEG-0311</x:v>
      </x:c>
      <x:c r="B76" s="28" t="str">
        <x:v>картофель</x:v>
      </x:c>
      <x:c r="C76" s="28" t="str">
        <x:v>абрикос</x:v>
      </x:c>
      <x:c r="D76" s="28" t="str">
        <x:v>Фрукты и ягоды</x:v>
      </x:c>
      <x:c r="E76" s="28" t="str">
        <x:v>общие характерные молекулы; кислотно-сладкий баланс</x:v>
      </x:c>
      <x:c r="F76" s="28" t="str">
        <x:v>Картофель имеет профиль «крахмалистый, землистый, ореховый и жареный после нагрева». Партнёр «абрикос»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7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6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76" s="28" t="str">
        <x:v>пюре, суп, запекание, крем, гарнир, соус или десертная разработка с абрикос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196, 206</x:v>
      </x:c>
    </x:row>
    <x:row r="77" ht="66" customHeight="1">
      <x:c r="A77" s="28" t="str">
        <x:v>VEG-0314</x:v>
      </x:c>
      <x:c r="B77" s="28" t="str">
        <x:v>картофель</x:v>
      </x:c>
      <x:c r="C77" s="28" t="str">
        <x:v>арахис</x:v>
      </x:c>
      <x:c r="D77" s="28" t="str">
        <x:v>Орехи и семена</x:v>
      </x:c>
      <x:c r="E77" s="28" t="str">
        <x:v>общие характерные молекулы; пересечение ароматических семейств</x:v>
      </x:c>
      <x:c r="F77" s="28" t="str">
        <x:v>Картофель имеет профиль «крахмалистый, землистый, ореховый и жареный после нагрева». Партнёр «арахис»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7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7" s="28" t="str">
        <x:v>зелёные или проросшие клубни не использовать; пережаривание даёт горечь и чрезмерно тёмную корку</x:v>
      </x:c>
      <x:c r="I77" s="28" t="str">
        <x:v>пюре, суп, запекание, крем, гарнир, соус или десертная разработка с арахис</x:v>
      </x:c>
      <x:c r="J77" s="28" t="str">
        <x:v>Средняя</x:v>
      </x:c>
      <x:c r="K77" s="28" t="str">
        <x:v>Тезариус вкусов (Ники Сегнит)(1).pdf</x:v>
      </x:c>
      <x:c r="L77" s="28" t="str">
        <x:v>Тезариус вкусов (Ники Сегнит)(1).pdf: 53, 230</x:v>
      </x:c>
    </x:row>
    <x:row r="78" ht="66" customHeight="1">
      <x:c r="A78" s="28" t="str">
        <x:v>VEG-0322</x:v>
      </x:c>
      <x:c r="B78" s="28" t="str">
        <x:v>картофель</x:v>
      </x:c>
      <x:c r="C78" s="28" t="str">
        <x:v>бразильский орех</x:v>
      </x:c>
      <x:c r="D78" s="28" t="str">
        <x:v>Орехи и семена</x:v>
      </x:c>
      <x:c r="E78" s="28" t="str">
        <x:v>общие характерные молекулы; пересечение ароматических семейств</x:v>
      </x:c>
      <x:c r="F78" s="28" t="str">
        <x:v>Картофель имеет профиль «крахмалистый, землистый, ореховый и жареный после нагрева». Партнёр «бразильский орех»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7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8" s="28" t="str">
        <x:v>зелёные или проросшие клубни не использовать; пережаривание даёт горечь и чрезмерно тёмную корку</x:v>
      </x:c>
      <x:c r="I78" s="28" t="str">
        <x:v>пюре, суп, запекание, крем, гарнир, соус или десертная разработка с бразильский орех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196</x:v>
      </x:c>
    </x:row>
    <x:row r="79" ht="66" customHeight="1">
      <x:c r="A79" s="28" t="str">
        <x:v>VEG-0326</x:v>
      </x:c>
      <x:c r="B79" s="28" t="str">
        <x:v>картофель</x:v>
      </x:c>
      <x:c r="C79" s="28" t="str">
        <x:v>вишня</x:v>
      </x:c>
      <x:c r="D79" s="28" t="str">
        <x:v>Фрукты и ягоды</x:v>
      </x:c>
      <x:c r="E79" s="28" t="str">
        <x:v>кислотно-сладкий баланс</x:v>
      </x:c>
      <x:c r="F79" s="28" t="str">
        <x:v>Картофель имеет профиль «крахмалистый, землистый, ореховый и жареный после нагрева». Партнёр «вишня» относится к группе «Фрукты и ягоды» и даёт миндальный,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7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79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79" s="28" t="str">
        <x:v>пюре, суп, запекание, крем, гарнир, соус или десертная разработка с вишня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196</x:v>
      </x:c>
    </x:row>
    <x:row r="80" ht="66" customHeight="1">
      <x:c r="A80" s="28" t="str">
        <x:v>VEG-0333</x:v>
      </x:c>
      <x:c r="B80" s="28" t="str">
        <x:v>картофель</x:v>
      </x:c>
      <x:c r="C80" s="28" t="str">
        <x:v>гуава</x:v>
      </x:c>
      <x:c r="D80" s="28" t="str">
        <x:v>Фрукты и ягоды</x:v>
      </x:c>
      <x:c r="E80" s="28" t="str">
        <x:v>общие характерные молекулы; кислотно-сладкий баланс</x:v>
      </x:c>
      <x:c r="F80" s="28" t="str">
        <x:v>Картофель имеет профиль «крахмалистый, землистый, ореховый и жареный после нагрева». Партнёр «гуава»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80" s="28" t="str">
        <x:v>пюре, суп, запекание, крем, гарнир, соус или десертная разработка с гуава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196</x:v>
      </x:c>
    </x:row>
    <x:row r="81" ht="66" customHeight="1">
      <x:c r="A81" s="28" t="str">
        <x:v>VEG-0335</x:v>
      </x:c>
      <x:c r="B81" s="28" t="str">
        <x:v>картофель</x:v>
      </x:c>
      <x:c r="C81" s="28" t="str">
        <x:v>дыня</x:v>
      </x:c>
      <x:c r="D81" s="28" t="str">
        <x:v>Фрукты и ягоды</x:v>
      </x:c>
      <x:c r="E81" s="28" t="str">
        <x:v>общие характерные молекулы; кислотно-сладкий баланс</x:v>
      </x:c>
      <x:c r="F81" s="28" t="str">
        <x:v>Картофель имеет профиль «крахмалистый, землистый, ореховый и жареный после нагрева». Партнёр «дыня»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1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81" s="28" t="str">
        <x:v>пюре, суп, запекание, крем, гарнир, соус или десертная разработка с дыня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196</x:v>
      </x:c>
    </x:row>
    <x:row r="82" ht="66" customHeight="1">
      <x:c r="A82" s="28" t="str">
        <x:v>VEG-0349</x:v>
      </x:c>
      <x:c r="B82" s="28" t="str">
        <x:v>картофель</x:v>
      </x:c>
      <x:c r="C82" s="28" t="str">
        <x:v>клубника</x:v>
      </x:c>
      <x:c r="D82" s="28" t="str">
        <x:v>Фрукты и ягоды</x:v>
      </x:c>
      <x:c r="E82" s="28" t="str">
        <x:v>кислотно-сладкий баланс</x:v>
      </x:c>
      <x:c r="F82" s="28" t="str">
        <x:v>Картофель имеет профиль «крахмалистый, землистый, ореховый и жареный после нагрева».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2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82" s="28" t="str">
        <x:v>пюре, суп, запекание, крем, гарнир, соус или десертная разработка с клубника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196</x:v>
      </x:c>
    </x:row>
    <x:row r="83" ht="66" customHeight="1">
      <x:c r="A83" s="28" t="str">
        <x:v>VEG-0355</x:v>
      </x:c>
      <x:c r="B83" s="28" t="str">
        <x:v>картофель</x:v>
      </x:c>
      <x:c r="C83" s="28" t="str">
        <x:v>кунжутная халва</x:v>
      </x:c>
      <x:c r="D83" s="28" t="str">
        <x:v>Орехи и семена</x:v>
      </x:c>
      <x:c r="E83" s="28" t="str">
        <x:v>общие характерные молекулы; пересечение ароматических семейств</x:v>
      </x:c>
      <x:c r="F83" s="28" t="str">
        <x:v>Картофель имеет профиль «крахмалистый, землистый, ореховый и жареный после нагрева». Партнёр «кунжутная халва»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8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3" s="28" t="str">
        <x:v>зелёные или проросшие клубни не использовать; пережаривание даёт горечь и чрезмерно тёмную корку</x:v>
      </x:c>
      <x:c r="I83" s="28" t="str">
        <x:v>пюре, суп, запекание, крем, гарнир, соус или десертная разработка с кунжутная халва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196</x:v>
      </x:c>
    </x:row>
    <x:row r="84" ht="66" customHeight="1">
      <x:c r="A84" s="28" t="str">
        <x:v>VEG-0359</x:v>
      </x:c>
      <x:c r="B84" s="28" t="str">
        <x:v>картофель</x:v>
      </x:c>
      <x:c r="C84" s="28" t="str">
        <x:v>лимон</x:v>
      </x:c>
      <x:c r="D84" s="28" t="str">
        <x:v>Фрукты и ягоды</x:v>
      </x:c>
      <x:c r="E84" s="28" t="str">
        <x:v>кислотно-сладкий баланс</x:v>
      </x:c>
      <x:c r="F84" s="28" t="str">
        <x:v>Картофель имеет профиль «крахмалистый, землистый, ореховый и жареный после нагрева».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4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84" s="28" t="str">
        <x:v>пюре, суп, запекание, крем, гарнир, соус или десертная разработка с лимон</x:v>
      </x:c>
      <x:c r="J84" s="28" t="str">
        <x:v>Средняя</x:v>
      </x:c>
      <x:c r="K84" s="28" t="str">
        <x:v>Тезариус вкусов (Ники Сегнит)(1).pdf</x:v>
      </x:c>
      <x:c r="L84" s="28" t="str">
        <x:v>Тезариус вкусов (Ники Сегнит)(1).pdf: 236, 803</x:v>
      </x:c>
    </x:row>
    <x:row r="85" ht="66" customHeight="1">
      <x:c r="A85" s="28" t="str">
        <x:v>VEG-0360</x:v>
      </x:c>
      <x:c r="B85" s="28" t="str">
        <x:v>картофель</x:v>
      </x:c>
      <x:c r="C85" s="28" t="str">
        <x:v>лимон и лайм</x:v>
      </x:c>
      <x:c r="D85" s="28" t="str">
        <x:v>Фрукты и ягоды</x:v>
      </x:c>
      <x:c r="E85" s="28" t="str">
        <x:v>кислотно-сладкий баланс</x:v>
      </x:c>
      <x:c r="F85" s="28" t="str">
        <x:v>Картофель имеет профиль «крахмалистый, землистый, ореховый и жареный после нагрева». Партнёр «лимон и лайм»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85" s="28" t="str">
        <x:v>пюре, суп, запекание, крем, гарнир, соус или десертная разработка с лимон и лайм</x:v>
      </x:c>
      <x:c r="J85" s="28" t="str">
        <x:v>Средняя</x:v>
      </x:c>
      <x:c r="K85" s="28" t="str">
        <x:v>The Art &amp; Science of Foodpairing.pdf</x:v>
      </x:c>
      <x:c r="L85" s="28" t="str">
        <x:v>The Art &amp; Science of Foodpairing.pdf: 88</x:v>
      </x:c>
    </x:row>
    <x:row r="86" ht="66" customHeight="1">
      <x:c r="A86" s="28" t="str">
        <x:v>VEG-0364</x:v>
      </x:c>
      <x:c r="B86" s="28" t="str">
        <x:v>картофель</x:v>
      </x:c>
      <x:c r="C86" s="28" t="str">
        <x:v>личи</x:v>
      </x:c>
      <x:c r="D86" s="28" t="str">
        <x:v>Фрукты и ягоды</x:v>
      </x:c>
      <x:c r="E86" s="28" t="str">
        <x:v>общие характерные молекулы; кислотно-сладкий баланс</x:v>
      </x:c>
      <x:c r="F86" s="28" t="str">
        <x:v>Картофель имеет профиль «крахмалистый, землистый, ореховый и жареный после нагрева». Партнёр «личи»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6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86" s="28" t="str">
        <x:v>пюре, суп, запекание, крем, гарнир, соус или десертная разработка с личи</x:v>
      </x:c>
      <x:c r="J86" s="28" t="str">
        <x:v>Средняя</x:v>
      </x:c>
      <x:c r="K86" s="28" t="str">
        <x:v>The Art &amp; Science of Foodpairing.pdf</x:v>
      </x:c>
      <x:c r="L86" s="28" t="str">
        <x:v>The Art &amp; Science of Foodpairing.pdf: 196</x:v>
      </x:c>
    </x:row>
    <x:row r="87" ht="66" customHeight="1">
      <x:c r="A87" s="28" t="str">
        <x:v>VEG-0366</x:v>
      </x:c>
      <x:c r="B87" s="28" t="str">
        <x:v>картофель</x:v>
      </x:c>
      <x:c r="C87" s="28" t="str">
        <x:v>манго</x:v>
      </x:c>
      <x:c r="D87" s="28" t="str">
        <x:v>Фрукты и ягоды</x:v>
      </x:c>
      <x:c r="E87" s="28" t="str">
        <x:v>общие характерные молекулы; кислотно-сладкий баланс</x:v>
      </x:c>
      <x:c r="F87" s="28" t="str">
        <x:v>Картофель имеет профиль «крахмалистый, землистый, ореховый и жареный после нагрева». Партнёр «манго»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8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7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87" s="28" t="str">
        <x:v>пюре, суп, запекание, крем, гарнир, соус или десертная разработка с манго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312</x:v>
      </x:c>
    </x:row>
    <x:row r="88" ht="66" customHeight="1">
      <x:c r="A88" s="28" t="str">
        <x:v>VEG-0382</x:v>
      </x:c>
      <x:c r="B88" s="28" t="str">
        <x:v>картофель</x:v>
      </x:c>
      <x:c r="C88" s="28" t="str">
        <x:v>рапсовый мёд</x:v>
      </x:c>
      <x:c r="D88" s="28" t="str">
        <x:v>Выпечка, крупы, сахара и десерты</x:v>
      </x:c>
      <x:c r="E88" s="28" t="str">
        <x:v>сенсорная комплементарность</x:v>
      </x:c>
      <x:c r="F88" s="28" t="str">
        <x:v>Картофель имеет профиль «крахмалистый, землистый, ореховый и жареный после нагрева». Партнёр «рапсовый 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8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8" s="28" t="str">
        <x:v>зелёные или проросшие клубни не использовать; пережаривание даёт горечь и чрезмерно тёмную корку</x:v>
      </x:c>
      <x:c r="I88" s="28" t="str">
        <x:v>пюре, суп, запекание, крем, гарнир, соус или десертная разработка с рапсовый мёд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196</x:v>
      </x:c>
    </x:row>
    <x:row r="89" ht="66" customHeight="1">
      <x:c r="A89" s="28" t="str">
        <x:v>VEG-0383</x:v>
      </x:c>
      <x:c r="B89" s="28" t="str">
        <x:v>картофель</x:v>
      </x:c>
      <x:c r="C89" s="28" t="str">
        <x:v>рассольный сыр</x:v>
      </x:c>
      <x:c r="D89" s="28" t="str">
        <x:v>Молочные продукты и сыры</x:v>
      </x:c>
      <x:c r="E89" s="28" t="str">
        <x:v>жировая матрица</x:v>
      </x:c>
      <x:c r="F89" s="28" t="str">
        <x:v>Картофель имеет профиль «крахмалистый, землистый, ореховый и жареный после нагрева». Партнёр «рассольный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8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89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89" s="28" t="str">
        <x:v>пюре, суп, запекание, крем, гарнир, соус или десертная разработка с рассольный сыр</x:v>
      </x:c>
      <x:c r="J89" s="28" t="str">
        <x:v>Средняя</x:v>
      </x:c>
      <x:c r="K89" s="28" t="str">
        <x:v>Тезариус вкусов (Ники Сегнит)(1).pdf</x:v>
      </x:c>
      <x:c r="L89" s="28" t="str">
        <x:v>Тезариус вкусов (Ники Сегнит)(1).pdf: 150, 240</x:v>
      </x:c>
    </x:row>
    <x:row r="90" ht="66" customHeight="1">
      <x:c r="A90" s="28" t="str">
        <x:v>VEG-0391</x:v>
      </x:c>
      <x:c r="B90" s="28" t="str">
        <x:v>картофель</x:v>
      </x:c>
      <x:c r="C90" s="28" t="str">
        <x:v>сыр</x:v>
      </x:c>
      <x:c r="D90" s="28" t="str">
        <x:v>Молочные продукты и сыры</x:v>
      </x:c>
      <x:c r="E90" s="28" t="str">
        <x:v>жировая матрица</x:v>
      </x:c>
      <x:c r="F90" s="28" t="str">
        <x:v>Картофель имеет профиль «крахмалистый, землистый, ореховый и жареный после нагрева».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9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0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90" s="28" t="str">
        <x:v>пюре, суп, запекание, крем, гарнир, соус или десертная разработка с сыр</x:v>
      </x:c>
      <x:c r="J90" s="28" t="str">
        <x:v>Высокая</x:v>
      </x:c>
      <x:c r="K90" s="28" t="str">
        <x:v>The Art &amp; Science of Foodpairing.pdf</x:v>
      </x:c>
      <x:c r="L90" s="28" t="str">
        <x:v>The Art &amp; Science of Foodpairing.pdf: 196, 197</x:v>
      </x:c>
    </x:row>
    <x:row r="91" ht="66" customHeight="1">
      <x:c r="A91" s="28" t="str">
        <x:v>VEG-0392</x:v>
      </x:c>
      <x:c r="B91" s="28" t="str">
        <x:v>картофель</x:v>
      </x:c>
      <x:c r="C91" s="28" t="str">
        <x:v>твердый сыр</x:v>
      </x:c>
      <x:c r="D91" s="28" t="str">
        <x:v>Молочные продукты и сыры</x:v>
      </x:c>
      <x:c r="E91" s="28" t="str">
        <x:v>жировая матрица</x:v>
      </x:c>
      <x:c r="F91" s="28" t="str">
        <x:v>Картофель имеет профиль «крахмалистый, землистый, ореховый и жареный после нагрева».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9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1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91" s="28" t="str">
        <x:v>пюре, суп, запекание, крем, гарнир, соус или десертная разработка с твердый сыр</x:v>
      </x:c>
      <x:c r="J91" s="28" t="str">
        <x:v>Средняя</x:v>
      </x:c>
      <x:c r="K91" s="28" t="str">
        <x:v>Тезариус вкусов (Ники Сегнит)(1).pdf</x:v>
      </x:c>
      <x:c r="L91" s="28" t="str">
        <x:v>Тезариус вкусов (Ники Сегнит)(1).pdf: 171, 242</x:v>
      </x:c>
    </x:row>
    <x:row r="92" ht="66" customHeight="1">
      <x:c r="A92" s="28" t="str">
        <x:v>VEG-0398</x:v>
      </x:c>
      <x:c r="B92" s="28" t="str">
        <x:v>картофель</x:v>
      </x:c>
      <x:c r="C92" s="28" t="str">
        <x:v>фундук</x:v>
      </x:c>
      <x:c r="D92" s="28" t="str">
        <x:v>Орехи и семена</x:v>
      </x:c>
      <x:c r="E92" s="28" t="str">
        <x:v>общие характерные молекулы; пересечение ароматических семейств</x:v>
      </x:c>
      <x:c r="F92" s="28" t="str">
        <x:v>Картофель имеет профиль «крахмалистый, землистый, ореховый и жареный после нагрева».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9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2" s="28" t="str">
        <x:v>зелёные или проросшие клубни не использовать; пережаривание даёт горечь и чрезмерно тёмную корку</x:v>
      </x:c>
      <x:c r="I92" s="28" t="str">
        <x:v>пюре, суп, запекание, крем, гарнир, соус или десертная разработка с фундук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196</x:v>
      </x:c>
    </x:row>
    <x:row r="93" ht="66" customHeight="1">
      <x:c r="A93" s="28" t="str">
        <x:v>VEG-0406</x:v>
      </x:c>
      <x:c r="B93" s="28" t="str">
        <x:v>картофель</x:v>
      </x:c>
      <x:c r="C93" s="28" t="str">
        <x:v>чернослив ажен</x:v>
      </x:c>
      <x:c r="D93" s="28" t="str">
        <x:v>Фрукты и ягоды</x:v>
      </x:c>
      <x:c r="E93" s="28" t="str">
        <x:v>общие характерные молекулы; кислотно-сладкий баланс</x:v>
      </x:c>
      <x:c r="F93" s="28" t="str">
        <x:v>Картофель имеет профиль «крахмалистый, землистый, ореховый и жареный после нагрева». Партнёр «чернослив ажен»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9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3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93" s="28" t="str">
        <x:v>пюре, суп, запекание, крем, гарнир, соус или десертная разработка с чернослив ажен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196</x:v>
      </x:c>
    </x:row>
    <x:row r="94" ht="66" customHeight="1">
      <x:c r="A94" s="28" t="str">
        <x:v>VEG-0415</x:v>
      </x:c>
      <x:c r="B94" s="28" t="str">
        <x:v>картофель</x:v>
      </x:c>
      <x:c r="C94" s="28" t="str">
        <x:v>шоколад</x:v>
      </x:c>
      <x:c r="D94" s="28" t="str">
        <x:v>Какао и шоколад</x:v>
      </x:c>
      <x:c r="E94" s="28" t="str">
        <x:v>общие характерные молекулы; пересечение ароматических семейств</x:v>
      </x:c>
      <x:c r="F94" s="28" t="str">
        <x:v>Картофель имеет профиль «крахмалистый, землистый, ореховый и жареный после нагрева».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9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4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I94" s="28" t="str">
        <x:v>пюре, суп, запекание, крем, гарнир, соус или десертная разработка с шоколад</x:v>
      </x:c>
      <x:c r="J94" s="28" t="str">
        <x:v>Средняя</x:v>
      </x:c>
      <x:c r="K94" s="28" t="str">
        <x:v>The Art &amp; Science of Foodpairing.pdf</x:v>
      </x:c>
      <x:c r="L94" s="28" t="str">
        <x:v>The Art &amp; Science of Foodpairing.pdf: 62</x:v>
      </x:c>
    </x:row>
    <x:row r="95" ht="66" customHeight="1">
      <x:c r="A95" s="28" t="str">
        <x:v>VEG-0416</x:v>
      </x:c>
      <x:c r="B95" s="28" t="str">
        <x:v>картофель</x:v>
      </x:c>
      <x:c r="C95" s="28" t="str">
        <x:v>яблоко</x:v>
      </x:c>
      <x:c r="D95" s="28" t="str">
        <x:v>Фрукты и ягоды</x:v>
      </x:c>
      <x:c r="E95" s="28" t="str">
        <x:v>кислотно-сладкий баланс</x:v>
      </x:c>
      <x:c r="F95" s="28" t="str">
        <x:v>Картофель имеет профиль «крахмалистый, землистый, ореховый и жареный после нагрева».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9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9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95" s="28" t="str">
        <x:v>пюре, суп, запекание, крем, гарнир, соус или десертная разработка с яблоко</x:v>
      </x:c>
      <x:c r="J95" s="28" t="str">
        <x:v>Высокая</x:v>
      </x:c>
      <x:c r="K95" s="28" t="str">
        <x:v>The Art &amp; Science of Foodpairing.pdf</x:v>
      </x:c>
      <x:c r="L95" s="28" t="str">
        <x:v>The Art &amp; Science of Foodpairing.pdf: 48</x:v>
      </x:c>
    </x:row>
    <x:row r="96" ht="66" customHeight="1">
      <x:c r="A96" s="28" t="str">
        <x:v>VEG-0420</x:v>
      </x:c>
      <x:c r="B96" s="28" t="str">
        <x:v>лук</x:v>
      </x:c>
      <x:c r="C96" s="28" t="str">
        <x:v>апельсин</x:v>
      </x:c>
      <x:c r="D96" s="28" t="str">
        <x:v>Фрукты и ягоды</x:v>
      </x:c>
      <x:c r="E96" s="28" t="str">
        <x:v>пересечение ароматических семейств; кислотно-сладкий баланс; сернистая или горчичная комплементарность</x:v>
      </x:c>
      <x:c r="F96" s="28" t="str">
        <x:v>Лук имеет профиль «сернистый, сладкий, зелёный; после жарки — карамельный и мясной».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96" s="28" t="str">
        <x:v>сырой лук легко перекрывает деликатные ароматы; подгорание создаёт устойчивую горечь; избыток кислоты или воды может сделать овощной вкус тонким и разрушить сливочную эмульсию</x:v>
      </x:c>
      <x:c r="I96" s="28" t="str">
        <x:v>горячее блюдо, бульон, соус, пюре, ферментация или гарнир с апельсин</x:v>
      </x:c>
      <x:c r="J96" s="28" t="str">
        <x:v>Средняя</x:v>
      </x:c>
      <x:c r="K96" s="28" t="str">
        <x:v>Тезариус вкусов (Ники Сегнит)(1).pdf</x:v>
      </x:c>
      <x:c r="L96" s="28" t="str">
        <x:v>Тезариус вкусов (Ники Сегнит)(1).pdf: 280, 777</x:v>
      </x:c>
    </x:row>
    <x:row r="97" ht="66" customHeight="1">
      <x:c r="A97" s="28" t="str">
        <x:v>VEG-0439</x:v>
      </x:c>
      <x:c r="B97" s="28" t="str">
        <x:v>лук</x:v>
      </x:c>
      <x:c r="C97" s="28" t="str">
        <x:v>твердый сыр</x:v>
      </x:c>
      <x:c r="D97" s="28" t="str">
        <x:v>Молочные продукты и сыры</x:v>
      </x:c>
      <x:c r="E97" s="28" t="str">
        <x:v>жировая матрица; сернистая или горчичная комплементарность</x:v>
      </x:c>
      <x:c r="F97" s="28" t="str">
        <x:v>Лук имеет профиль «сернистый, сладкий, зелёный; после жарки — карамельный и мясной».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97" s="28" t="str">
        <x:v>сырой лук легко перекрывает деликатные ароматы; подгорание создаёт устойчивую горечь; жир способен приглушить свежую зелёную ароматику</x:v>
      </x:c>
      <x:c r="I97" s="28" t="str">
        <x:v>горячее блюдо, бульон, соус, пюре, ферментация или гарнир с твердый сыр</x:v>
      </x:c>
      <x:c r="J97" s="28" t="str">
        <x:v>Средняя</x:v>
      </x:c>
      <x:c r="K97" s="28" t="str">
        <x:v>Тезариус вкусов (Ники Сегнит)(1).pdf</x:v>
      </x:c>
      <x:c r="L97" s="28" t="str">
        <x:v>Тезариус вкусов (Ники Сегнит)(1).pdf: 173, 288</x:v>
      </x:c>
    </x:row>
    <x:row r="98" ht="66" customHeight="1">
      <x:c r="A98" s="28" t="str">
        <x:v>VEG-0449</x:v>
      </x:c>
      <x:c r="B98" s="28" t="str">
        <x:v>морковь</x:v>
      </x:c>
      <x:c r="C98" s="28" t="str">
        <x:v>ананас</x:v>
      </x:c>
      <x:c r="D98" s="28" t="str">
        <x:v>Фрукты и ягоды</x:v>
      </x:c>
      <x:c r="E98" s="28" t="str">
        <x:v>кислотно-сладкий баланс</x:v>
      </x:c>
      <x:c r="F98" s="28" t="str">
        <x:v>Морковь имеет профиль «сладкий, землистый, древесный и слегка цитрусовый». Партнёр «ананас» относится к группе «Фрукты и ягоды» и даёт карамельный, сернистый,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9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98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98" s="28" t="str">
        <x:v>сок, кордиал, гаспачо, салат, соус, маринад или коктейльный компонент с ананас</x:v>
      </x:c>
      <x:c r="J98" s="28" t="str">
        <x:v>Гипотеза / практическая</x:v>
      </x:c>
      <x:c r="K98" s="28" t="str">
        <x:v>Таблица сочетания(1).pdf</x:v>
      </x:c>
      <x:c r="L98" s="28" t="str">
        <x:v>Таблица сочетания(1).pdf: 4</x:v>
      </x:c>
    </x:row>
    <x:row r="99" ht="66" customHeight="1">
      <x:c r="A99" s="28" t="str">
        <x:v>VEG-0451</x:v>
      </x:c>
      <x:c r="B99" s="28" t="str">
        <x:v>морковь</x:v>
      </x:c>
      <x:c r="C99" s="28" t="str">
        <x:v>апельсин</x:v>
      </x:c>
      <x:c r="D99" s="28" t="str">
        <x:v>Фрукты и ягоды</x:v>
      </x:c>
      <x:c r="E99" s="28" t="str">
        <x:v>пересечение ароматических семейств; кислотно-сладкий баланс</x:v>
      </x:c>
      <x:c r="F99" s="28" t="str">
        <x:v>Морковь имеет профиль «сладкий, землистый, древесный и слегка цитрусовый».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9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99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99" s="28" t="str">
        <x:v>сок, кордиал, гаспачо, салат, соус, маринад или коктейльный компонент с апельсин</x:v>
      </x:c>
      <x:c r="J99" s="28" t="str">
        <x:v>Высокая</x:v>
      </x:c>
      <x:c r="K99" s="28" t="str">
        <x:v>The Art &amp; Science of Foodpairing.pdf | Таблица сочетания(1).pdf | Тезариус вкусов (Ники Сегнит)(1).pdf</x:v>
      </x:c>
      <x:c r="L99" s="28" t="str">
        <x:v>Таблица сочетания(1).pdf: 4; Тезариус вкусов (Ники Сегнит)(1).pdf: 602, 778; The Art &amp; Science of Foodpairing.pdf: 233</x:v>
      </x:c>
    </x:row>
    <x:row r="100" ht="66" customHeight="1">
      <x:c r="A100" s="28" t="str">
        <x:v>VEG-0452</x:v>
      </x:c>
      <x:c r="B100" s="28" t="str">
        <x:v>морковь</x:v>
      </x:c>
      <x:c r="C100" s="28" t="str">
        <x:v>апельсиновый сок</x:v>
      </x:c>
      <x:c r="D100" s="28" t="str">
        <x:v>Фрукты и ягоды</x:v>
      </x:c>
      <x:c r="E100" s="28" t="str">
        <x:v>пересечение ароматических семейств; кислотно-сладкий баланс</x:v>
      </x:c>
      <x:c r="F100" s="28" t="str">
        <x:v>Морковь имеет профиль «сладкий, землистый, древесный и слегка цитрусовый». Партнёр «апельсиновый сок»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0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0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00" s="28" t="str">
        <x:v>сок, кордиал, гаспачо, салат, соус, маринад или коктейльный компонент с апельсиновый сок</x:v>
      </x:c>
      <x:c r="J100" s="28" t="str">
        <x:v>Средняя</x:v>
      </x:c>
      <x:c r="K100" s="28" t="str">
        <x:v>The Art &amp; Science of Foodpairing.pdf</x:v>
      </x:c>
      <x:c r="L100" s="28" t="str">
        <x:v>The Art &amp; Science of Foodpairing.pdf: 232</x:v>
      </x:c>
    </x:row>
    <x:row r="101" ht="66" customHeight="1">
      <x:c r="A101" s="28" t="str">
        <x:v>VEG-0453</x:v>
      </x:c>
      <x:c r="B101" s="28" t="str">
        <x:v>морковь</x:v>
      </x:c>
      <x:c r="C101" s="28" t="str">
        <x:v>арахис</x:v>
      </x:c>
      <x:c r="D101" s="28" t="str">
        <x:v>Орехи и семена</x:v>
      </x:c>
      <x:c r="E101" s="28" t="str">
        <x:v>сенсорная комплементарность</x:v>
      </x:c>
      <x:c r="F101" s="28" t="str">
        <x:v>Морковь имеет профиль «сладкий, землистый, древесный и слегка цитрусовый».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0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1" s="28" t="str">
        <x:v>сырая землистость может доминировать; перегрев делает профиль варёно-сладким</x:v>
      </x:c>
      <x:c r="I101" s="28" t="str">
        <x:v>сок, кордиал, гаспачо, салат, соус, маринад или коктейльный компонент с арахис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55, 602</x:v>
      </x:c>
    </x:row>
    <x:row r="102" ht="66" customHeight="1">
      <x:c r="A102" s="28" t="str">
        <x:v>VEG-0459</x:v>
      </x:c>
      <x:c r="B102" s="28" t="str">
        <x:v>морковь</x:v>
      </x:c>
      <x:c r="C102" s="28" t="str">
        <x:v>вишнёвое варенье</x:v>
      </x:c>
      <x:c r="D102" s="28" t="str">
        <x:v>Фрукты и ягоды</x:v>
      </x:c>
      <x:c r="E102" s="28" t="str">
        <x:v>кислотно-сладкий баланс</x:v>
      </x:c>
      <x:c r="F102" s="28" t="str">
        <x:v>Морковь имеет профиль «сладкий, землистый, древесный и слегка цитрусовый». Партнёр «вишнёвое варенье»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0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2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02" s="28" t="str">
        <x:v>сок, кордиал, гаспачо, салат, соус, маринад или коктейльный компонент с вишнёвое варенье</x:v>
      </x:c>
      <x:c r="J102" s="28" t="str">
        <x:v>Средняя</x:v>
      </x:c>
      <x:c r="K102" s="28" t="str">
        <x:v>The Art &amp; Science of Foodpairing.pdf</x:v>
      </x:c>
      <x:c r="L102" s="28" t="str">
        <x:v>The Art &amp; Science of Foodpairing.pdf: 232</x:v>
      </x:c>
    </x:row>
    <x:row r="103" ht="66" customHeight="1">
      <x:c r="A103" s="28" t="str">
        <x:v>VEG-0464</x:v>
      </x:c>
      <x:c r="B103" s="28" t="str">
        <x:v>морковь</x:v>
      </x:c>
      <x:c r="C103" s="28" t="str">
        <x:v>голубой сыр</x:v>
      </x:c>
      <x:c r="D103" s="28" t="str">
        <x:v>Молочные продукты и сыры</x:v>
      </x:c>
      <x:c r="E103" s="28" t="str">
        <x:v>жировая матрица</x:v>
      </x:c>
      <x:c r="F103" s="28" t="str">
        <x:v>Морковь имеет профиль «сладкий, землистый, древесный и слегка цитрусовый».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10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3" s="28" t="str">
        <x:v>сырая землистость может доминировать; перегрев делает профиль варёно-сладким; жир способен приглушить свежую зелёную ароматику</x:v>
      </x:c>
      <x:c r="I103" s="28" t="str">
        <x:v>сок, кордиал, гаспачо, салат, соус, маринад или коктейльный компонент с голубой сыр</x:v>
      </x:c>
      <x:c r="J103" s="28" t="str">
        <x:v>Средняя</x:v>
      </x:c>
      <x:c r="K103" s="28" t="str">
        <x:v>The Art &amp; Science of Foodpairing.pdf</x:v>
      </x:c>
      <x:c r="L103" s="28" t="str">
        <x:v>The Art &amp; Science of Foodpairing.pdf: 164</x:v>
      </x:c>
    </x:row>
    <x:row r="104" ht="66" customHeight="1">
      <x:c r="A104" s="28" t="str">
        <x:v>VEG-0465</x:v>
      </x:c>
      <x:c r="B104" s="28" t="str">
        <x:v>морковь</x:v>
      </x:c>
      <x:c r="C104" s="28" t="str">
        <x:v>грейпфрутовый сок</x:v>
      </x:c>
      <x:c r="D104" s="28" t="str">
        <x:v>Фрукты и ягоды</x:v>
      </x:c>
      <x:c r="E104" s="28" t="str">
        <x:v>кислотно-сладкий баланс</x:v>
      </x:c>
      <x:c r="F104" s="28" t="str">
        <x:v>Морковь имеет профиль «сладкий, землистый, древесный и слегка цитрусовый». Партнёр «грейпфрутовый сок» относится к группе «Фрукты и ягоды» и даёт горький, сернистый,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0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4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04" s="28" t="str">
        <x:v>сок, кордиал, гаспачо, салат, соус, маринад или коктейльный компонент с грейпфрутовый сок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232</x:v>
      </x:c>
    </x:row>
    <x:row r="105" ht="66" customHeight="1">
      <x:c r="A105" s="28" t="str">
        <x:v>VEG-0466</x:v>
      </x:c>
      <x:c r="B105" s="28" t="str">
        <x:v>морковь</x:v>
      </x:c>
      <x:c r="C105" s="28" t="str">
        <x:v>грецкий орех</x:v>
      </x:c>
      <x:c r="D105" s="28" t="str">
        <x:v>Орехи и семена</x:v>
      </x:c>
      <x:c r="E105" s="28" t="str">
        <x:v>пересечение ароматических семейств</x:v>
      </x:c>
      <x:c r="F105" s="28" t="str">
        <x:v>Морковь имеет профиль «сладкий, землистый, древесный и слегка цитрусовый». Партнёр «грецкий орех» относится к группе «Орехи и семена» и даёт древесный, землистый, ореховый. Профили пересекаются в семействах: древесный, землистый.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0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5" s="28" t="str">
        <x:v>сырая землистость может доминировать; перегрев делает профиль варёно-сладким</x:v>
      </x:c>
      <x:c r="I105" s="28" t="str">
        <x:v>сок, кордиал, гаспачо, салат, соус, маринад или коктейльный компонент с грецкий орех</x:v>
      </x:c>
      <x:c r="J105" s="28" t="str">
        <x:v>Средняя</x:v>
      </x:c>
      <x:c r="K105" s="28" t="str">
        <x:v>Тезариус вкусов (Ники Сегнит)(1).pdf</x:v>
      </x:c>
      <x:c r="L105" s="28" t="str">
        <x:v>Тезариус вкусов (Ники Сегнит)(1).pdf: 602, 627</x:v>
      </x:c>
    </x:row>
    <x:row r="106" ht="66" customHeight="1">
      <x:c r="A106" s="28" t="str">
        <x:v>VEG-0467</x:v>
      </x:c>
      <x:c r="B106" s="28" t="str">
        <x:v>морковь</x:v>
      </x:c>
      <x:c r="C106" s="28" t="str">
        <x:v>груша</x:v>
      </x:c>
      <x:c r="D106" s="28" t="str">
        <x:v>Фрукты и ягоды</x:v>
      </x:c>
      <x:c r="E106" s="28" t="str">
        <x:v>пересечение ароматических семейств; кислотно-сладкий баланс</x:v>
      </x:c>
      <x:c r="F106" s="28" t="str">
        <x:v>Морковь имеет профиль «сладкий, землистый, древесный и слегка цитрусовый».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0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6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06" s="28" t="str">
        <x:v>сок, кордиал, гаспачо, салат, соус, маринад или коктейльный компонент с груша</x:v>
      </x:c>
      <x:c r="J106" s="28" t="str">
        <x:v>Средняя</x:v>
      </x:c>
      <x:c r="K106" s="28" t="str">
        <x:v>The Art &amp; Science of Foodpairing.pdf</x:v>
      </x:c>
      <x:c r="L106" s="28" t="str">
        <x:v>The Art &amp; Science of Foodpairing.pdf: 350</x:v>
      </x:c>
    </x:row>
    <x:row r="107" ht="66" customHeight="1">
      <x:c r="A107" s="28" t="str">
        <x:v>VEG-0469</x:v>
      </x:c>
      <x:c r="B107" s="28" t="str">
        <x:v>морковь</x:v>
      </x:c>
      <x:c r="C107" s="28" t="str">
        <x:v>дикий рис</x:v>
      </x:c>
      <x:c r="D107" s="28" t="str">
        <x:v>Выпечка, крупы, сахара и десерты</x:v>
      </x:c>
      <x:c r="E107" s="28" t="str">
        <x:v>пересечение ароматических семейств</x:v>
      </x:c>
      <x:c r="F107" s="28" t="str">
        <x:v>Морковь имеет профиль «сладкий, землистый, древесный и слегка цитрусовый».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0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7" s="28" t="str">
        <x:v>сырая землистость может доминировать; перегрев делает профиль варёно-сладким</x:v>
      </x:c>
      <x:c r="I107" s="28" t="str">
        <x:v>сок, кордиал, гаспачо, салат, соус, маринад или коктейльный компонент с дикий рис</x:v>
      </x:c>
      <x:c r="J107" s="28" t="str">
        <x:v>Средняя</x:v>
      </x:c>
      <x:c r="K107" s="28" t="str">
        <x:v>The Art &amp; Science of Foodpairing.pdf</x:v>
      </x:c>
      <x:c r="L107" s="28" t="str">
        <x:v>The Art &amp; Science of Foodpairing.pdf: 232</x:v>
      </x:c>
    </x:row>
    <x:row r="108" ht="66" customHeight="1">
      <x:c r="A108" s="28" t="str">
        <x:v>VEG-0477</x:v>
      </x:c>
      <x:c r="B108" s="28" t="str">
        <x:v>морковь</x:v>
      </x:c>
      <x:c r="C108" s="28" t="str">
        <x:v>какао-порошок</x:v>
      </x:c>
      <x:c r="D108" s="28" t="str">
        <x:v>Какао и шоколад</x:v>
      </x:c>
      <x:c r="E108" s="28" t="str">
        <x:v>сенсорная комплементарность</x:v>
      </x:c>
      <x:c r="F108" s="28" t="str">
        <x:v>Морковь имеет профиль «сладкий, землистый, древесный и слегка цитрусовый». Партнёр «какао-порошок» относится к группе «Какао и шоколад» и даёт какаовый, жареный и горько-сладкий.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0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8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I108" s="28" t="str">
        <x:v>сок, кордиал, гаспачо, салат, соус, маринад или коктейльный компонент с какао-порошок</x:v>
      </x:c>
      <x:c r="J108" s="28" t="str">
        <x:v>Средняя</x:v>
      </x:c>
      <x:c r="K108" s="28" t="str">
        <x:v>The Art &amp; Science of Foodpairing.pdf</x:v>
      </x:c>
      <x:c r="L108" s="28" t="str">
        <x:v>The Art &amp; Science of Foodpairing.pdf: 232</x:v>
      </x:c>
    </x:row>
    <x:row r="109" ht="66" customHeight="1">
      <x:c r="A109" s="28" t="str">
        <x:v>VEG-0481</x:v>
      </x:c>
      <x:c r="B109" s="28" t="str">
        <x:v>морковь</x:v>
      </x:c>
      <x:c r="C109" s="28" t="str">
        <x:v>клубника</x:v>
      </x:c>
      <x:c r="D109" s="28" t="str">
        <x:v>Фрукты и ягоды</x:v>
      </x:c>
      <x:c r="E109" s="28" t="str">
        <x:v>кислотно-сладкий баланс</x:v>
      </x:c>
      <x:c r="F109" s="28" t="str">
        <x:v>Морковь имеет профиль «сладкий, землистый, древесный и слегка цитрусовый».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0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09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09" s="28" t="str">
        <x:v>сок, кордиал, гаспачо, салат, соус, маринад или коктейльный компонент с клубника</x:v>
      </x:c>
      <x:c r="J109" s="28" t="str">
        <x:v>Средняя</x:v>
      </x:c>
      <x:c r="K109" s="28" t="str">
        <x:v>The Art &amp; Science of Foodpairing.pdf</x:v>
      </x:c>
      <x:c r="L109" s="28" t="str">
        <x:v>The Art &amp; Science of Foodpairing.pdf: 232</x:v>
      </x:c>
    </x:row>
    <x:row r="110" ht="66" customHeight="1">
      <x:c r="A110" s="28" t="str">
        <x:v>VEG-0488</x:v>
      </x:c>
      <x:c r="B110" s="28" t="str">
        <x:v>морковь</x:v>
      </x:c>
      <x:c r="C110" s="28" t="str">
        <x:v>кунжут</x:v>
      </x:c>
      <x:c r="D110" s="28" t="str">
        <x:v>Орехи и семена</x:v>
      </x:c>
      <x:c r="E110" s="28" t="str">
        <x:v>сенсорная комплементарность</x:v>
      </x:c>
      <x:c r="F110" s="28" t="str">
        <x:v>Морковь имеет профиль «сладкий, землистый, древесный и слегка цитрусовый». Партнёр «кунжут»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1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0" s="28" t="str">
        <x:v>сырая землистость может доминировать; перегрев делает профиль варёно-сладким</x:v>
      </x:c>
      <x:c r="I110" s="28" t="str">
        <x:v>сок, кордиал, гаспачо, салат, соус, маринад или коктейльный компонент с кунжут</x:v>
      </x:c>
      <x:c r="J110" s="28" t="str">
        <x:v>Высокая</x:v>
      </x:c>
      <x:c r="K110" s="28" t="str">
        <x:v>The Art &amp; Science of Foodpairing.pdf</x:v>
      </x:c>
      <x:c r="L110" s="28" t="str">
        <x:v>The Art &amp; Science of Foodpairing.pdf: 233</x:v>
      </x:c>
    </x:row>
    <x:row r="111" ht="66" customHeight="1">
      <x:c r="A111" s="28" t="str">
        <x:v>VEG-0489</x:v>
      </x:c>
      <x:c r="B111" s="28" t="str">
        <x:v>морковь</x:v>
      </x:c>
      <x:c r="C111" s="28" t="str">
        <x:v>лайм</x:v>
      </x:c>
      <x:c r="D111" s="28" t="str">
        <x:v>Фрукты и ягоды</x:v>
      </x:c>
      <x:c r="E111" s="28" t="str">
        <x:v>кислотно-сладкий баланс</x:v>
      </x:c>
      <x:c r="F111" s="28" t="str">
        <x:v>Морковь имеет профиль «сладкий, землистый, древесный и слегка цитрусовый». Партнёр «лайм» относится к группе «Фрукты и ягоды» и даёт зелёный, кислый,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1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1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11" s="28" t="str">
        <x:v>сок, кордиал, гаспачо, салат, соус, маринад или коктейльный компонент с лайм</x:v>
      </x:c>
      <x:c r="J111" s="28" t="str">
        <x:v>Гипотеза / практическая</x:v>
      </x:c>
      <x:c r="K111" s="28" t="str">
        <x:v>Таблица сочетания(1).pdf</x:v>
      </x:c>
      <x:c r="L111" s="28" t="str">
        <x:v>Таблица сочетания(1).pdf: 4</x:v>
      </x:c>
    </x:row>
    <x:row r="112" ht="66" customHeight="1">
      <x:c r="A112" s="28" t="str">
        <x:v>VEG-0496</x:v>
      </x:c>
      <x:c r="B112" s="28" t="str">
        <x:v>морковь</x:v>
      </x:c>
      <x:c r="C112" s="28" t="str">
        <x:v>миндаль</x:v>
      </x:c>
      <x:c r="D112" s="28" t="str">
        <x:v>Орехи и семена</x:v>
      </x:c>
      <x:c r="E112" s="28" t="str">
        <x:v>сенсорная комплементарность</x:v>
      </x:c>
      <x:c r="F112" s="28" t="str">
        <x:v>Морковь имеет профиль «сладкий, землистый, древесный и слегка цитрусовый». Партнёр «миндаль» относится к группе «Орехи и семена» и даёт жареный, миндальный,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1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2" s="28" t="str">
        <x:v>сырая землистость может доминировать; перегрев делает профиль варёно-сладким</x:v>
      </x:c>
      <x:c r="I112" s="28" t="str">
        <x:v>сок, кордиал, гаспачо, салат, соус, маринад или коктейльный компонент с миндаль</x:v>
      </x:c>
      <x:c r="J112" s="28" t="str">
        <x:v>Средняя</x:v>
      </x:c>
      <x:c r="K112" s="28" t="str">
        <x:v>The Art &amp; Science of Foodpairing.pdf</x:v>
      </x:c>
      <x:c r="L112" s="28" t="str">
        <x:v>The Art &amp; Science of Foodpairing.pdf: 232</x:v>
      </x:c>
    </x:row>
    <x:row r="113" ht="66" customHeight="1">
      <x:c r="A113" s="28" t="str">
        <x:v>VEG-0503</x:v>
      </x:c>
      <x:c r="B113" s="28" t="str">
        <x:v>морковь</x:v>
      </x:c>
      <x:c r="C113" s="28" t="str">
        <x:v>персик</x:v>
      </x:c>
      <x:c r="D113" s="28" t="str">
        <x:v>Фрукты и ягоды</x:v>
      </x:c>
      <x:c r="E113" s="28" t="str">
        <x:v>кислотно-сладкий баланс</x:v>
      </x:c>
      <x:c r="F113" s="28" t="str">
        <x:v>Морковь имеет профиль «сладкий, землистый, древесный и слегка цитрусовый». Партнёр «персик»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1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3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13" s="28" t="str">
        <x:v>сок, кордиал, гаспачо, салат, соус, маринад или коктейльный компонент с персик</x:v>
      </x:c>
      <x:c r="J113" s="28" t="str">
        <x:v>Средняя</x:v>
      </x:c>
      <x:c r="K113" s="28" t="str">
        <x:v>The Art &amp; Science of Foodpairing.pdf</x:v>
      </x:c>
      <x:c r="L113" s="28" t="str">
        <x:v>The Art &amp; Science of Foodpairing.pdf: 232</x:v>
      </x:c>
    </x:row>
    <x:row r="114" ht="66" customHeight="1">
      <x:c r="A114" s="28" t="str">
        <x:v>VEG-0505</x:v>
      </x:c>
      <x:c r="B114" s="28" t="str">
        <x:v>морковь</x:v>
      </x:c>
      <x:c r="C114" s="28" t="str">
        <x:v>попкорн</x:v>
      </x:c>
      <x:c r="D114" s="28" t="str">
        <x:v>Выпечка, крупы, сахара и десерты</x:v>
      </x:c>
      <x:c r="E114" s="28" t="str">
        <x:v>пересечение ароматических семейств</x:v>
      </x:c>
      <x:c r="F114" s="28" t="str">
        <x:v>Морковь имеет профиль «сладкий, землистый, древесный и слегка цитрусовый». Партнёр «попкорн»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1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4" s="28" t="str">
        <x:v>сырая землистость может доминировать; перегрев делает профиль варёно-сладким</x:v>
      </x:c>
      <x:c r="I114" s="28" t="str">
        <x:v>сок, кордиал, гаспачо, салат, соус, маринад или коктейльный компонент с попкорн</x:v>
      </x:c>
      <x:c r="J114" s="28" t="str">
        <x:v>Средняя</x:v>
      </x:c>
      <x:c r="K114" s="28" t="str">
        <x:v>The Art &amp; Science of Foodpairing.pdf</x:v>
      </x:c>
      <x:c r="L114" s="28" t="str">
        <x:v>The Art &amp; Science of Foodpairing.pdf: 232</x:v>
      </x:c>
    </x:row>
    <x:row r="115" ht="66" customHeight="1">
      <x:c r="A115" s="28" t="str">
        <x:v>VEG-0507</x:v>
      </x:c>
      <x:c r="B115" s="28" t="str">
        <x:v>морковь</x:v>
      </x:c>
      <x:c r="C115" s="28" t="str">
        <x:v>семена нигеллы</x:v>
      </x:c>
      <x:c r="D115" s="28" t="str">
        <x:v>Орехи и семена</x:v>
      </x:c>
      <x:c r="E115" s="28" t="str">
        <x:v>сенсорная комплементарность</x:v>
      </x:c>
      <x:c r="F115" s="28" t="str">
        <x:v>Морковь имеет профиль «сладкий, землистый, древесный и слегка цитрусовый». Партнёр «семена нигеллы»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1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5" s="28" t="str">
        <x:v>сырая землистость может доминировать; перегрев делает профиль варёно-сладким</x:v>
      </x:c>
      <x:c r="I115" s="28" t="str">
        <x:v>сок, кордиал, гаспачо, салат, соус, маринад или коктейльный компонент с семена нигеллы</x:v>
      </x:c>
      <x:c r="J115" s="28" t="str">
        <x:v>Средняя</x:v>
      </x:c>
      <x:c r="K115" s="28" t="str">
        <x:v>The Art &amp; Science of Foodpairing.pdf</x:v>
      </x:c>
      <x:c r="L115" s="28" t="str">
        <x:v>The Art &amp; Science of Foodpairing.pdf: 232</x:v>
      </x:c>
    </x:row>
    <x:row r="116" ht="66" customHeight="1">
      <x:c r="A116" s="28" t="str">
        <x:v>VEG-0510</x:v>
      </x:c>
      <x:c r="B116" s="28" t="str">
        <x:v>морковь</x:v>
      </x:c>
      <x:c r="C116" s="28" t="str">
        <x:v>сыр</x:v>
      </x:c>
      <x:c r="D116" s="28" t="str">
        <x:v>Молочные продукты и сыры</x:v>
      </x:c>
      <x:c r="E116" s="28" t="str">
        <x:v>жировая матрица</x:v>
      </x:c>
      <x:c r="F116" s="28" t="str">
        <x:v>Морковь имеет профиль «сладкий, землистый, древесный и слегка цитрусовый».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11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6" s="28" t="str">
        <x:v>сырая землистость может доминировать; перегрев делает профиль варёно-сладким; жир способен приглушить свежую зелёную ароматику</x:v>
      </x:c>
      <x:c r="I116" s="28" t="str">
        <x:v>сок, кордиал, гаспачо, салат, соус, маринад или коктейльный компонент с сыр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232</x:v>
      </x:c>
    </x:row>
    <x:row r="117" ht="66" customHeight="1">
      <x:c r="A117" s="28" t="str">
        <x:v>VEG-0516</x:v>
      </x:c>
      <x:c r="B117" s="28" t="str">
        <x:v>морковь</x:v>
      </x:c>
      <x:c r="C117" s="28" t="str">
        <x:v>фундук</x:v>
      </x:c>
      <x:c r="D117" s="28" t="str">
        <x:v>Орехи и семена</x:v>
      </x:c>
      <x:c r="E117" s="28" t="str">
        <x:v>сенсорная комплементарность</x:v>
      </x:c>
      <x:c r="F117" s="28" t="str">
        <x:v>Морковь имеет профиль «сладкий, землистый, древесный и слегка цитрусовый».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1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7" s="28" t="str">
        <x:v>сырая землистость может доминировать; перегрев делает профиль варёно-сладким</x:v>
      </x:c>
      <x:c r="I117" s="28" t="str">
        <x:v>сок, кордиал, гаспачо, салат, соус, маринад или коктейльный компонент с фундук</x:v>
      </x:c>
      <x:c r="J117" s="28" t="str">
        <x:v>Высокая</x:v>
      </x:c>
      <x:c r="K117" s="28" t="str">
        <x:v>The Art &amp; Science of Foodpairing.pdf | Тезариус вкусов (Ники Сегнит)(1).pdf</x:v>
      </x:c>
      <x:c r="L117" s="28" t="str">
        <x:v>Тезариус вкусов (Ники Сегнит)(1).pdf: 607, 636; The Art &amp; Science of Foodpairing.pdf: 232</x:v>
      </x:c>
    </x:row>
    <x:row r="118" ht="66" customHeight="1">
      <x:c r="A118" s="28" t="str">
        <x:v>VEG-0518</x:v>
      </x:c>
      <x:c r="B118" s="28" t="str">
        <x:v>морковь</x:v>
      </x:c>
      <x:c r="C118" s="28" t="str">
        <x:v>хлеб</x:v>
      </x:c>
      <x:c r="D118" s="28" t="str">
        <x:v>Выпечка, крупы, сахара и десерты</x:v>
      </x:c>
      <x:c r="E118" s="28" t="str">
        <x:v>сенсорная комплементарность</x:v>
      </x:c>
      <x:c r="F118" s="28" t="str">
        <x:v>Морковь имеет профиль «сладкий, землистый, древесный и слегка цитрусовый».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1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8" s="28" t="str">
        <x:v>сырая землистость может доминировать; перегрев делает профиль варёно-сладким</x:v>
      </x:c>
      <x:c r="I118" s="28" t="str">
        <x:v>сок, кордиал, гаспачо, салат, соус, маринад или коктейльный компонент с хлеб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232</x:v>
      </x:c>
    </x:row>
    <x:row r="119" ht="66" customHeight="1">
      <x:c r="A119" s="28" t="str">
        <x:v>VEG-0525</x:v>
      </x:c>
      <x:c r="B119" s="28" t="str">
        <x:v>морковь</x:v>
      </x:c>
      <x:c r="C119" s="28" t="str">
        <x:v>чёрная смородина</x:v>
      </x:c>
      <x:c r="D119" s="28" t="str">
        <x:v>Фрукты и ягоды</x:v>
      </x:c>
      <x:c r="E119" s="28" t="str">
        <x:v>кислотно-сладкий баланс</x:v>
      </x:c>
      <x:c r="F119" s="28" t="str">
        <x:v>Морковь имеет профиль «сладкий, землистый, древесный и слегка цитрусовый».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1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19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19" s="28" t="str">
        <x:v>сок, кордиал, гаспачо, салат, соус, маринад или коктейльный компонент с чёрная смородина</x:v>
      </x:c>
      <x:c r="J119" s="28" t="str">
        <x:v>Гипотеза / практическая</x:v>
      </x:c>
      <x:c r="K119" s="28" t="str">
        <x:v>Таблица сочетания(1).pdf</x:v>
      </x:c>
      <x:c r="L119" s="28" t="str">
        <x:v>Таблица сочетания(1).pdf: 2</x:v>
      </x:c>
    </x:row>
    <x:row r="120" ht="66" customHeight="1">
      <x:c r="A120" s="28" t="str">
        <x:v>VEG-0528</x:v>
      </x:c>
      <x:c r="B120" s="28" t="str">
        <x:v>морковь</x:v>
      </x:c>
      <x:c r="C120" s="28" t="str">
        <x:v>шоколадная паста</x:v>
      </x:c>
      <x:c r="D120" s="28" t="str">
        <x:v>Какао и шоколад</x:v>
      </x:c>
      <x:c r="E120" s="28" t="str">
        <x:v>сенсорная комплементарность</x:v>
      </x:c>
      <x:c r="F120" s="28" t="str">
        <x:v>Морковь имеет профиль «сладкий, землистый, древесный и слегка цитрусовый». Партнёр «шоколадная паста»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2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20" s="28" t="str">
        <x:v>сырая землистость может доминировать; перегрев делает профиль варёно-сладким; жареная горечь легко маскирует нежный овощной аромат</x:v>
      </x:c>
      <x:c r="I120" s="28" t="str">
        <x:v>сок, кордиал, гаспачо, салат, соус, маринад или коктейльный компонент с шоколадная паста</x:v>
      </x:c>
      <x:c r="J120" s="28" t="str">
        <x:v>Средняя</x:v>
      </x:c>
      <x:c r="K120" s="28" t="str">
        <x:v>The Art &amp; Science of Foodpairing.pdf</x:v>
      </x:c>
      <x:c r="L120" s="28" t="str">
        <x:v>The Art &amp; Science of Foodpairing.pdf: 232</x:v>
      </x:c>
    </x:row>
    <x:row r="121" ht="66" customHeight="1">
      <x:c r="A121" s="28" t="str">
        <x:v>VEG-0529</x:v>
      </x:c>
      <x:c r="B121" s="28" t="str">
        <x:v>морковь</x:v>
      </x:c>
      <x:c r="C121" s="28" t="str">
        <x:v>яблоко</x:v>
      </x:c>
      <x:c r="D121" s="28" t="str">
        <x:v>Фрукты и ягоды</x:v>
      </x:c>
      <x:c r="E121" s="28" t="str">
        <x:v>кислотно-сладкий баланс</x:v>
      </x:c>
      <x:c r="F121" s="28" t="str">
        <x:v>Морковь имеет профиль «сладкий, землистый, древесный и слегка цитрусовый».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2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121" s="28" t="str">
        <x:v>сырая землистость может доминировать; перегрев делает профиль варёно-сладким; избыток кислоты или воды может сделать овощной вкус тонким и разрушить сливочную эмульсию</x:v>
      </x:c>
      <x:c r="I121" s="28" t="str">
        <x:v>сок, кордиал, гаспачо, салат, соус, маринад или коктейльный компонент с яблоко</x:v>
      </x:c>
      <x:c r="J121" s="28" t="str">
        <x:v>Высокая</x:v>
      </x:c>
      <x:c r="K121" s="28" t="str">
        <x:v>The Art &amp; Science of Foodpairing.pdf | Тезариус вкусов (Ники Сегнит)(1).pdf</x:v>
      </x:c>
      <x:c r="L121" s="28" t="str">
        <x:v>Тезариус вкусов (Ники Сегнит)(1).pdf: 607, 714; The Art &amp; Science of Foodpairing.pdf: 232</x:v>
      </x:c>
    </x:row>
    <x:row r="122" ht="66" customHeight="1">
      <x:c r="A122" s="28" t="str">
        <x:v>VEG-0533</x:v>
      </x:c>
      <x:c r="B122" s="28" t="str">
        <x:v>огурец</x:v>
      </x:c>
      <x:c r="C122" s="28" t="str">
        <x:v>апельсин</x:v>
      </x:c>
      <x:c r="D122" s="28" t="str">
        <x:v>Фрукты и ягоды</x:v>
      </x:c>
      <x:c r="E122" s="28" t="str">
        <x:v>кислотно-сладкий баланс</x:v>
      </x:c>
      <x:c r="F122" s="28" t="str">
        <x:v>Огурец имеет профиль «зелёный, водянистый, свежий и дынный».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2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2" s="28" t="str">
        <x:v>сок, кордиал, гаспачо, салат, соус, маринад или коктейльный компонент с апельсин</x:v>
      </x:c>
      <x:c r="J122" s="28" t="str">
        <x:v>Высокая</x:v>
      </x:c>
      <x:c r="K122" s="28" t="str">
        <x:v>The Art &amp; Science of Foodpairing.pdf | Таблица сочетания(1).pdf</x:v>
      </x:c>
      <x:c r="L122" s="28" t="str">
        <x:v>Таблица сочетания(1).pdf: 6; The Art &amp; Science of Foodpairing.pdf: 268</x:v>
      </x:c>
    </x:row>
    <x:row r="123" ht="66" customHeight="1">
      <x:c r="A123" s="28" t="str">
        <x:v>VEG-0534</x:v>
      </x:c>
      <x:c r="B123" s="28" t="str">
        <x:v>огурец</x:v>
      </x:c>
      <x:c r="C123" s="28" t="str">
        <x:v>арахис</x:v>
      </x:c>
      <x:c r="D123" s="28" t="str">
        <x:v>Орехи и семена</x:v>
      </x:c>
      <x:c r="E123" s="28" t="str">
        <x:v>сенсорная комплементарность</x:v>
      </x:c>
      <x:c r="F123" s="28" t="str">
        <x:v>Огурец имеет профиль «зелёный, водянистый, свежий и дынный».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2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3" s="28" t="str">
        <x:v>легко разбавляет вкус; перезрелая кожица и семена дают горечь; сок быстро окисляется</x:v>
      </x:c>
      <x:c r="I123" s="28" t="str">
        <x:v>сок, кордиал, гаспачо, салат, соус, маринад или коктейльный компонент с арахис</x:v>
      </x:c>
      <x:c r="J123" s="28" t="str">
        <x:v>Средняя</x:v>
      </x:c>
      <x:c r="K123" s="28" t="str">
        <x:v>Тезариус вкусов (Ники Сегнит)(1).pdf</x:v>
      </x:c>
      <x:c r="L123" s="28" t="str">
        <x:v>Тезариус вкусов (Ники Сегнит)(1).pdf: 56, 491</x:v>
      </x:c>
    </x:row>
    <x:row r="124" ht="66" customHeight="1">
      <x:c r="A124" s="28" t="str">
        <x:v>VEG-0538</x:v>
      </x:c>
      <x:c r="B124" s="28" t="str">
        <x:v>огурец</x:v>
      </x:c>
      <x:c r="C124" s="28" t="str">
        <x:v>банан</x:v>
      </x:c>
      <x:c r="D124" s="28" t="str">
        <x:v>Фрукты и ягоды</x:v>
      </x:c>
      <x:c r="E124" s="28" t="str">
        <x:v>кислотно-сладкий баланс</x:v>
      </x:c>
      <x:c r="F124" s="28" t="str">
        <x:v>Огурец имеет профиль «зелёный, водянистый, свежий и дынный».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4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4" s="28" t="str">
        <x:v>сок, кордиал, гаспачо, салат, соус, маринад или коктейльный компонент с банан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342</x:v>
      </x:c>
    </x:row>
    <x:row r="125" ht="66" customHeight="1">
      <x:c r="A125" s="28" t="str">
        <x:v>VEG-0546</x:v>
      </x:c>
      <x:c r="B125" s="28" t="str">
        <x:v>огурец</x:v>
      </x:c>
      <x:c r="C125" s="28" t="str">
        <x:v>дыня</x:v>
      </x:c>
      <x:c r="D125" s="28" t="str">
        <x:v>Фрукты и ягоды</x:v>
      </x:c>
      <x:c r="E125" s="28" t="str">
        <x:v>кислотно-сладкий баланс</x:v>
      </x:c>
      <x:c r="F125" s="28" t="str">
        <x:v>Огурец имеет профиль «зелёный, водянистый, свежий и дынный».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5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5" s="28" t="str">
        <x:v>сок, кордиал, гаспачо, салат, соус, маринад или коктейльный компонент с дыня</x:v>
      </x:c>
      <x:c r="J125" s="28" t="str">
        <x:v>Средняя</x:v>
      </x:c>
      <x:c r="K125" s="28" t="str">
        <x:v>Тезариус вкусов (Ники Сегнит)(1).pdf</x:v>
      </x:c>
      <x:c r="L125" s="28" t="str">
        <x:v>Тезариус вкусов (Ники Сегнит)(1).pdf: 492, 740</x:v>
      </x:c>
    </x:row>
    <x:row r="126" ht="66" customHeight="1">
      <x:c r="A126" s="28" t="str">
        <x:v>VEG-0553</x:v>
      </x:c>
      <x:c r="B126" s="28" t="str">
        <x:v>огурец</x:v>
      </x:c>
      <x:c r="C126" s="28" t="str">
        <x:v>киви</x:v>
      </x:c>
      <x:c r="D126" s="28" t="str">
        <x:v>Фрукты и ягоды</x:v>
      </x:c>
      <x:c r="E126" s="28" t="str">
        <x:v>кислотно-сладкий баланс</x:v>
      </x:c>
      <x:c r="F126" s="28" t="str">
        <x:v>Огурец имеет профиль «зелёный, водянистый, свежий и дынный». Партнёр «киви»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6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6" s="28" t="str">
        <x:v>сок, кордиал, гаспачо, салат, соус, маринад или коктейльный компонент с киви</x:v>
      </x:c>
      <x:c r="J126" s="28" t="str">
        <x:v>Гипотеза / практическая</x:v>
      </x:c>
      <x:c r="K126" s="28" t="str">
        <x:v>Таблица сочетания(1).pdf</x:v>
      </x:c>
      <x:c r="L126" s="28" t="str">
        <x:v>Таблица сочетания(1).pdf: 10</x:v>
      </x:c>
    </x:row>
    <x:row r="127" ht="66" customHeight="1">
      <x:c r="A127" s="28" t="str">
        <x:v>VEG-0554</x:v>
      </x:c>
      <x:c r="B127" s="28" t="str">
        <x:v>огурец</x:v>
      </x:c>
      <x:c r="C127" s="28" t="str">
        <x:v>клубника</x:v>
      </x:c>
      <x:c r="D127" s="28" t="str">
        <x:v>Фрукты и ягоды</x:v>
      </x:c>
      <x:c r="E127" s="28" t="str">
        <x:v>пересечение ароматических семейств; кислотно-сладкий баланс</x:v>
      </x:c>
      <x:c r="F127" s="28" t="str">
        <x:v>Огурец имеет профиль «зелёный, водянистый, свежий и дынный». Партнёр «клубника» относится к группе «Фрукты и ягоды» и даёт зелёный, карамельный,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7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7" s="28" t="str">
        <x:v>сок, кордиал, гаспачо, салат, соус, маринад или коктейльный компонент с клубника</x:v>
      </x:c>
      <x:c r="J127" s="28" t="str">
        <x:v>Высокая</x:v>
      </x:c>
      <x:c r="K127" s="28" t="str">
        <x:v>Таблица сочетания(1).pdf | Тезариус вкусов (Ники Сегнит)(1).pdf</x:v>
      </x:c>
      <x:c r="L127" s="28" t="str">
        <x:v>Таблица сочетания(1).pdf: 6; Тезариус вкусов (Ники Сегнит)(1).pdf: 492, 697</x:v>
      </x:c>
    </x:row>
    <x:row r="128" ht="66" customHeight="1">
      <x:c r="A128" s="28" t="str">
        <x:v>VEG-0556</x:v>
      </x:c>
      <x:c r="B128" s="28" t="str">
        <x:v>огурец</x:v>
      </x:c>
      <x:c r="C128" s="28" t="str">
        <x:v>козий сыр</x:v>
      </x:c>
      <x:c r="D128" s="28" t="str">
        <x:v>Молочные продукты и сыры</x:v>
      </x:c>
      <x:c r="E128" s="28" t="str">
        <x:v>жировая матрица</x:v>
      </x:c>
      <x:c r="F128" s="28" t="str">
        <x:v>Огурец имеет профиль «зелёный, водянистый, свежий и дынный».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2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8" s="28" t="str">
        <x:v>легко разбавляет вкус; перезрелая кожица и семена дают горечь; сок быстро окисляется; жир способен приглушить свежую зелёную ароматику</x:v>
      </x:c>
      <x:c r="I128" s="28" t="str">
        <x:v>сок, кордиал, гаспачо, салат, соус, маринад или коктейльный компонент с козий сыр</x:v>
      </x:c>
      <x:c r="J128" s="28" t="str">
        <x:v>Средняя</x:v>
      </x:c>
      <x:c r="K128" s="28" t="str">
        <x:v>Тезариус вкусов (Ники Сегнит)(1).pdf</x:v>
      </x:c>
      <x:c r="L128" s="28" t="str">
        <x:v>Тезариус вкусов (Ники Сегнит)(1).pdf: 142, 492</x:v>
      </x:c>
    </x:row>
    <x:row r="129" ht="66" customHeight="1">
      <x:c r="A129" s="28" t="str">
        <x:v>VEG-0561</x:v>
      </x:c>
      <x:c r="B129" s="28" t="str">
        <x:v>огурец</x:v>
      </x:c>
      <x:c r="C129" s="28" t="str">
        <x:v>лайм</x:v>
      </x:c>
      <x:c r="D129" s="28" t="str">
        <x:v>Фрукты и ягоды</x:v>
      </x:c>
      <x:c r="E129" s="28" t="str">
        <x:v>пересечение ароматических семейств; кислотно-сладкий баланс</x:v>
      </x:c>
      <x:c r="F129" s="28" t="str">
        <x:v>Огурец имеет профиль «зелёный, водянистый, свежий и дынный». Партнёр «лайм» относится к группе «Фрукты и ягоды» и даёт зелёный, кислый, цитрусовый.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2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29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29" s="28" t="str">
        <x:v>сок, кордиал, гаспачо, салат, соус, маринад или коктейльный компонент с лайм</x:v>
      </x:c>
      <x:c r="J129" s="28" t="str">
        <x:v>Гипотеза / практическая</x:v>
      </x:c>
      <x:c r="K129" s="28" t="str">
        <x:v>Таблица сочетания(1).pdf</x:v>
      </x:c>
      <x:c r="L129" s="28" t="str">
        <x:v>Таблица сочетания(1).pdf: 11</x:v>
      </x:c>
    </x:row>
    <x:row r="130" ht="66" customHeight="1">
      <x:c r="A130" s="28" t="str">
        <x:v>VEG-0563</x:v>
      </x:c>
      <x:c r="B130" s="28" t="str">
        <x:v>огурец</x:v>
      </x:c>
      <x:c r="C130" s="28" t="str">
        <x:v>лимонный тимьян</x:v>
      </x:c>
      <x:c r="D130" s="28" t="str">
        <x:v>Фрукты и ягоды</x:v>
      </x:c>
      <x:c r="E130" s="28" t="str">
        <x:v>пересечение ароматических семейств; кислотно-сладкий баланс</x:v>
      </x:c>
      <x:c r="F130" s="28" t="str">
        <x:v>Огурец имеет профиль «зелёный, водянистый, свежий и дынный». Партнёр «лимонный тимьян» относится к группе «Фрукты и ягоды» и даёт кислый, свежий, цитрусовый. Профили пересекаются в семействах: свежий.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0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30" s="28" t="str">
        <x:v>сок, кордиал, гаспачо, салат, соус, маринад или коктейльный компонент с лимонный тимьян</x:v>
      </x:c>
      <x:c r="J130" s="28" t="str">
        <x:v>Гипотеза / практическая</x:v>
      </x:c>
      <x:c r="K130" s="28" t="str">
        <x:v>Таблица сочетания(1).pdf</x:v>
      </x:c>
      <x:c r="L130" s="28" t="str">
        <x:v>Таблица сочетания(1).pdf: 11</x:v>
      </x:c>
    </x:row>
    <x:row r="131" ht="66" customHeight="1">
      <x:c r="A131" s="28" t="str">
        <x:v>VEG-0565</x:v>
      </x:c>
      <x:c r="B131" s="28" t="str">
        <x:v>огурец</x:v>
      </x:c>
      <x:c r="C131" s="28" t="str">
        <x:v>малина</x:v>
      </x:c>
      <x:c r="D131" s="28" t="str">
        <x:v>Фрукты и ягоды</x:v>
      </x:c>
      <x:c r="E131" s="28" t="str">
        <x:v>кислотно-сладкий баланс</x:v>
      </x:c>
      <x:c r="F131" s="28" t="str">
        <x:v>Огурец имеет профиль «зелёный, водянистый, свежий и дынный». Партнёр «малина» относится к группе «Фрукты и ягоды» и даёт цветочный, ягодный.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1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31" s="28" t="str">
        <x:v>сок, кордиал, гаспачо, салат, соус, маринад или коктейльный компонент с малина</x:v>
      </x:c>
      <x:c r="J131" s="28" t="str">
        <x:v>Гипотеза / практическая</x:v>
      </x:c>
      <x:c r="K131" s="28" t="str">
        <x:v>Таблица сочетания(1).pdf</x:v>
      </x:c>
      <x:c r="L131" s="28" t="str">
        <x:v>Таблица сочетания(1).pdf: 6</x:v>
      </x:c>
    </x:row>
    <x:row r="132" ht="66" customHeight="1">
      <x:c r="A132" s="28" t="str">
        <x:v>VEG-0566</x:v>
      </x:c>
      <x:c r="B132" s="28" t="str">
        <x:v>огурец</x:v>
      </x:c>
      <x:c r="C132" s="28" t="str">
        <x:v>манго</x:v>
      </x:c>
      <x:c r="D132" s="28" t="str">
        <x:v>Фрукты и ягоды</x:v>
      </x:c>
      <x:c r="E132" s="28" t="str">
        <x:v>кислотно-сладкий баланс</x:v>
      </x:c>
      <x:c r="F132" s="28" t="str">
        <x:v>Огурец имеет профиль «зелёный, водянистый, свежий и дынный».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2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32" s="28" t="str">
        <x:v>сок, кордиал, гаспачо, салат, соус, маринад или коктейльный компонент с манго</x:v>
      </x:c>
      <x:c r="J132" s="28" t="str">
        <x:v>Средняя</x:v>
      </x:c>
      <x:c r="K132" s="28" t="str">
        <x:v>The Art &amp; Science of Foodpairing.pdf</x:v>
      </x:c>
      <x:c r="L132" s="28" t="str">
        <x:v>The Art &amp; Science of Foodpairing.pdf: 268</x:v>
      </x:c>
    </x:row>
    <x:row r="133" ht="66" customHeight="1">
      <x:c r="A133" s="28" t="str">
        <x:v>VEG-0571</x:v>
      </x:c>
      <x:c r="B133" s="28" t="str">
        <x:v>огурец</x:v>
      </x:c>
      <x:c r="C133" s="28" t="str">
        <x:v>мёд</x:v>
      </x:c>
      <x:c r="D133" s="28" t="str">
        <x:v>Выпечка, крупы, сахара и десерты</x:v>
      </x:c>
      <x:c r="E133" s="28" t="str">
        <x:v>сенсорная комплементарность</x:v>
      </x:c>
      <x:c r="F133" s="28" t="str">
        <x:v>Огурец имеет профиль «зелёный, водянистый, свежий и дынный». Партнёр «мёд»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3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3" s="28" t="str">
        <x:v>легко разбавляет вкус; перезрелая кожица и семена дают горечь; сок быстро окисляется</x:v>
      </x:c>
      <x:c r="I133" s="28" t="str">
        <x:v>сок, кордиал, гаспачо, салат, соус, маринад или коктейльный компонент с мёд</x:v>
      </x:c>
      <x:c r="J133" s="28" t="str">
        <x:v>Гипотеза / практическая</x:v>
      </x:c>
      <x:c r="K133" s="28" t="str">
        <x:v>Таблица сочетания(1).pdf</x:v>
      </x:c>
      <x:c r="L133" s="28" t="str">
        <x:v>Таблица сочетания(1).pdf: 6, 9</x:v>
      </x:c>
    </x:row>
    <x:row r="134" ht="66" customHeight="1">
      <x:c r="A134" s="28" t="str">
        <x:v>VEG-0573</x:v>
      </x:c>
      <x:c r="B134" s="28" t="str">
        <x:v>огурец</x:v>
      </x:c>
      <x:c r="C134" s="28" t="str">
        <x:v>ревень</x:v>
      </x:c>
      <x:c r="D134" s="28" t="str">
        <x:v>Фрукты и ягоды</x:v>
      </x:c>
      <x:c r="E134" s="28" t="str">
        <x:v>кислотно-сладкий баланс</x:v>
      </x:c>
      <x:c r="F134" s="28" t="str">
        <x:v>Огурец имеет профиль «зелёный, водянистый, свежий и дынный». Партнёр «ревень»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4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34" s="28" t="str">
        <x:v>сок, кордиал, гаспачо, салат, соус, маринад или коктейльный компонент с ревень</x:v>
      </x:c>
      <x:c r="J134" s="28" t="str">
        <x:v>Высокая</x:v>
      </x:c>
      <x:c r="K134" s="28" t="str">
        <x:v>Таблица сочетания(1).pdf | Тезариус вкусов (Ники Сегнит)(1).pdf</x:v>
      </x:c>
      <x:c r="L134" s="28" t="str">
        <x:v>Таблица сочетания(1).pdf: 6, 19; Тезариус вкусов (Ники Сегнит)(1).pdf: 495, 676</x:v>
      </x:c>
    </x:row>
    <x:row r="135" ht="66" customHeight="1">
      <x:c r="A135" s="28" t="str">
        <x:v>VEG-0580</x:v>
      </x:c>
      <x:c r="B135" s="28" t="str">
        <x:v>огурец</x:v>
      </x:c>
      <x:c r="C135" s="28" t="str">
        <x:v>сыр</x:v>
      </x:c>
      <x:c r="D135" s="28" t="str">
        <x:v>Молочные продукты и сыры</x:v>
      </x:c>
      <x:c r="E135" s="28" t="str">
        <x:v>жировая матрица</x:v>
      </x:c>
      <x:c r="F135" s="28" t="str">
        <x:v>Огурец имеет профиль «зелёный, водянистый, свежий и дынный».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3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5" s="28" t="str">
        <x:v>легко разбавляет вкус; перезрелая кожица и семена дают горечь; сок быстро окисляется; жир способен приглушить свежую зелёную ароматику</x:v>
      </x:c>
      <x:c r="I135" s="28" t="str">
        <x:v>сок, кордиал, гаспачо, салат, соус, маринад или коктейльный компонент с сыр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268</x:v>
      </x:c>
    </x:row>
    <x:row r="136" ht="66" customHeight="1">
      <x:c r="A136" s="28" t="str">
        <x:v>VEG-0591</x:v>
      </x:c>
      <x:c r="B136" s="28" t="str">
        <x:v>огурец</x:v>
      </x:c>
      <x:c r="C136" s="28" t="str">
        <x:v>яблоко</x:v>
      </x:c>
      <x:c r="D136" s="28" t="str">
        <x:v>Фрукты и ягоды</x:v>
      </x:c>
      <x:c r="E136" s="28" t="str">
        <x:v>общие характерные молекулы; пересечение ароматических семейств; кислотно-сладкий баланс</x:v>
      </x:c>
      <x:c r="F136" s="28" t="str">
        <x:v>Огурец имеет профиль «зелёный, водянистый, свежий и дынный». Партнёр «яблоко» относится к группе «Фрукты и ягоды» и даёт зелёный, свежий, фруктовый. Вероятный молекулярный мост: гексаналь.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6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36" s="28" t="str">
        <x:v>сок, кордиал, гаспачо, салат, соус, маринад или коктейльный компонент с яблоко</x:v>
      </x:c>
      <x:c r="J136" s="28" t="str">
        <x:v>Гипотеза / практическая</x:v>
      </x:c>
      <x:c r="K136" s="28" t="str">
        <x:v>Таблица сочетания(1).pdf</x:v>
      </x:c>
      <x:c r="L136" s="28" t="str">
        <x:v>Таблица сочетания(1).pdf: 6</x:v>
      </x:c>
    </x:row>
    <x:row r="137" ht="66" customHeight="1">
      <x:c r="A137" s="28" t="str">
        <x:v>VEG-0592</x:v>
      </x:c>
      <x:c r="B137" s="28" t="str">
        <x:v>огурец</x:v>
      </x:c>
      <x:c r="C137" s="28" t="str">
        <x:v>ягоды можжевельника</x:v>
      </x:c>
      <x:c r="D137" s="28" t="str">
        <x:v>Фрукты и ягоды</x:v>
      </x:c>
      <x:c r="E137" s="28" t="str">
        <x:v>кислотно-сладкий баланс</x:v>
      </x:c>
      <x:c r="F137" s="28" t="str">
        <x:v>Огурец имеет профиль «зелёный, водянистый, свежий и дынный». Партнёр «ягоды можжевельника»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3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137" s="28" t="str">
        <x:v>легко разбавляет вкус; перезрелая кожица и семена дают горечь; сок быстро окисляется; избыток кислоты или воды может сделать овощной вкус тонким и разрушить сливочную эмульсию</x:v>
      </x:c>
      <x:c r="I137" s="28" t="str">
        <x:v>сок, кордиал, гаспачо, салат, соус, маринад или коктейльный компонент с ягоды можжевельника</x:v>
      </x:c>
      <x:c r="J137" s="28" t="str">
        <x:v>Гипотеза / практическая</x:v>
      </x:c>
      <x:c r="K137" s="28" t="str">
        <x:v>Таблица сочетания(1).pdf</x:v>
      </x:c>
      <x:c r="L137" s="28" t="str">
        <x:v>Таблица сочетания(1).pdf: 10</x:v>
      </x:c>
    </x:row>
    <x:row r="138" ht="66" customHeight="1">
      <x:c r="A138" s="28" t="str">
        <x:v>VEG-0594</x:v>
      </x:c>
      <x:c r="B138" s="28" t="str">
        <x:v>пастернак</x:v>
      </x:c>
      <x:c r="C138" s="28" t="str">
        <x:v>банан</x:v>
      </x:c>
      <x:c r="D138" s="28" t="str">
        <x:v>Фрукты и ягоды</x:v>
      </x:c>
      <x:c r="E138" s="28" t="str">
        <x:v>кислотно-сладкий баланс</x:v>
      </x:c>
      <x:c r="F138" s="28" t="str">
        <x:v>Пастернак имеет профиль «сладкий, пряный, древесный и слегка анисовый».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38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138" s="28" t="str">
        <x:v>старый пастернак может быть волокнистым; сильная сладость требует баланса; избыток кислоты или воды может сделать овощной вкус тонким и разрушить сливочную эмульсию</x:v>
      </x:c>
      <x:c r="I138" s="28" t="str">
        <x:v>пюре, суп, запекание, крем, гарнир, соус или десертная разработка с банан</x:v>
      </x:c>
      <x:c r="J138" s="28" t="str">
        <x:v>Средняя</x:v>
      </x:c>
      <x:c r="K138" s="28" t="str">
        <x:v>Тезариус вкусов (Ники Сегнит)(1).pdf</x:v>
      </x:c>
      <x:c r="L138" s="28" t="str">
        <x:v>Тезариус вкусов (Ники Сегнит)(1).pdf: 594, 734</x:v>
      </x:c>
    </x:row>
    <x:row r="139" ht="66" customHeight="1">
      <x:c r="A139" s="28" t="str">
        <x:v>VEG-0599</x:v>
      </x:c>
      <x:c r="B139" s="28" t="str">
        <x:v>пастернак</x:v>
      </x:c>
      <x:c r="C139" s="28" t="str">
        <x:v>грецкий орех</x:v>
      </x:c>
      <x:c r="D139" s="28" t="str">
        <x:v>Орехи и семена</x:v>
      </x:c>
      <x:c r="E139" s="28" t="str">
        <x:v>пересечение ароматических семейств</x:v>
      </x:c>
      <x:c r="F139" s="28" t="str">
        <x:v>Пастернак имеет профиль «сладкий, пряный, древесный и слегка анисовый». Партнёр «грецкий орех» относится к группе «Орехи и семена» и даёт древесный, землистый, ореховый. Профили пересекаются в семействах: землистый.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39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139" s="28" t="str">
        <x:v>старый пастернак может быть волокнистым; сильная сладость требует баланса</x:v>
      </x:c>
      <x:c r="I139" s="28" t="str">
        <x:v>пюре, суп, запекание, крем, гарнир, соус или десертная разработка с грецкий орех</x:v>
      </x:c>
      <x:c r="J139" s="28" t="str">
        <x:v>Средняя</x:v>
      </x:c>
      <x:c r="K139" s="28" t="str">
        <x:v>Тезариус вкусов (Ники Сегнит)(1).pdf</x:v>
      </x:c>
      <x:c r="L139" s="28" t="str">
        <x:v>Тезариус вкусов (Ники Сегнит)(1).pdf: 597, 627</x:v>
      </x:c>
    </x:row>
    <x:row r="140" ht="66" customHeight="1">
      <x:c r="A140" s="28" t="str">
        <x:v>VEG-0600</x:v>
      </x:c>
      <x:c r="B140" s="28" t="str">
        <x:v>пастернак</x:v>
      </x:c>
      <x:c r="C140" s="28" t="str">
        <x:v>кунжут, халва и тахини</x:v>
      </x:c>
      <x:c r="D140" s="28" t="str">
        <x:v>Орехи и семена</x:v>
      </x:c>
      <x:c r="E140" s="28" t="str">
        <x:v>общие характерные молекулы</x:v>
      </x:c>
      <x:c r="F140" s="28" t="str">
        <x:v>Пастернак имеет профиль «сладкий, пряный, древесный и слегка анисовый». Партнёр «кунжут, халва и тахини»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40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140" s="28" t="str">
        <x:v>старый пастернак может быть волокнистым; сильная сладость требует баланса</x:v>
      </x:c>
      <x:c r="I140" s="28" t="str">
        <x:v>пюре, суп, запекание, крем, гарнир, соус или десертная разработка с кунжут, халва и тахини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308</x:v>
      </x:c>
    </x:row>
    <x:row r="141" ht="66" customHeight="1">
      <x:c r="A141" s="28" t="str">
        <x:v>VEG-0606</x:v>
      </x:c>
      <x:c r="B141" s="28" t="str">
        <x:v>пастернак</x:v>
      </x:c>
      <x:c r="C141" s="28" t="str">
        <x:v>твердый сыр</x:v>
      </x:c>
      <x:c r="D141" s="28" t="str">
        <x:v>Молочные продукты и сыры</x:v>
      </x:c>
      <x:c r="E141" s="28" t="str">
        <x:v>жировая матрица</x:v>
      </x:c>
      <x:c r="F141" s="28" t="str">
        <x:v>Пастернак имеет профиль «сладкий, пряный, древесный и слегка анисовый».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141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141" s="28" t="str">
        <x:v>старый пастернак может быть волокнистым; сильная сладость требует баланса; жир способен приглушить свежую зелёную ароматику</x:v>
      </x:c>
      <x:c r="I141" s="28" t="str">
        <x:v>пюре, суп, запекание, крем, гарнир, соус или десертная разработка с твердый сыр</x:v>
      </x:c>
      <x:c r="J141" s="28" t="str">
        <x:v>Средняя</x:v>
      </x:c>
      <x:c r="K141" s="28" t="str">
        <x:v>Тезариус вкусов (Ники Сегнит)(1).pdf</x:v>
      </x:c>
      <x:c r="L141" s="28" t="str">
        <x:v>Тезариус вкусов (Ники Сегнит)(1).pdf: 175, 599</x:v>
      </x:c>
    </x:row>
    <x:row r="142" ht="66" customHeight="1">
      <x:c r="A142" s="28" t="str">
        <x:v>VEG-0610</x:v>
      </x:c>
      <x:c r="B142" s="28" t="str">
        <x:v>редис</x:v>
      </x:c>
      <x:c r="C142" s="28" t="str">
        <x:v>апельсин</x:v>
      </x:c>
      <x:c r="D142" s="28" t="str">
        <x:v>Фрукты и ягоды</x:v>
      </x:c>
      <x:c r="E142" s="28" t="str">
        <x:v>кислотно-сладкий баланс; сернистая или горчичная комплементарность</x:v>
      </x:c>
      <x:c r="F142" s="28" t="str">
        <x:v>Редис имеет профиль «горчичный, зелёный, перечный и водянистый».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2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142" s="28" t="str">
        <x:v>вялая текстура и чрезмерная острота; некоторые сорта значительно сильнее других; избыток кислоты или воды может сделать овощной вкус тонким и разрушить сливочную эмульсию</x:v>
      </x:c>
      <x:c r="I142" s="28" t="str">
        <x:v>салат, гарнир, суп, соус, маринад, ферментация или напиток с апельсин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236</x:v>
      </x:c>
    </x:row>
    <x:row r="143" ht="66" customHeight="1">
      <x:c r="A143" s="28" t="str">
        <x:v>VEG-0615</x:v>
      </x:c>
      <x:c r="B143" s="28" t="str">
        <x:v>редис</x:v>
      </x:c>
      <x:c r="C143" s="28" t="str">
        <x:v>кунжут, халва и тахини</x:v>
      </x:c>
      <x:c r="D143" s="28" t="str">
        <x:v>Орехи и семена</x:v>
      </x:c>
      <x:c r="E143" s="28" t="str">
        <x:v>сернистая или горчичная комплементарность</x:v>
      </x:c>
      <x:c r="F143" s="28" t="str">
        <x:v>Редис имеет профиль «горчичный, зелёный, перечный и водянистый».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3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143" s="28" t="str">
        <x:v>вялая текстура и чрезмерная острота; некоторые сорта значительно сильнее других</x:v>
      </x:c>
      <x:c r="I143" s="28" t="str">
        <x:v>салат, гарнир, суп, соус, маринад, ферментация или напиток с кунжут, халва и тахини</x:v>
      </x:c>
      <x:c r="J143" s="28" t="str">
        <x:v>Средняя</x:v>
      </x:c>
      <x:c r="K143" s="28" t="str">
        <x:v>The Art &amp; Science of Foodpairing.pdf</x:v>
      </x:c>
      <x:c r="L143" s="28" t="str">
        <x:v>The Art &amp; Science of Foodpairing.pdf: 308</x:v>
      </x:c>
    </x:row>
    <x:row r="144" ht="66" customHeight="1">
      <x:c r="A144" s="28" t="str">
        <x:v>VEG-0617</x:v>
      </x:c>
      <x:c r="B144" s="28" t="str">
        <x:v>репа</x:v>
      </x:c>
      <x:c r="C144" s="28" t="str">
        <x:v>ананас</x:v>
      </x:c>
      <x:c r="D144" s="28" t="str">
        <x:v>Фрукты и ягоды</x:v>
      </x:c>
      <x:c r="E144" s="28" t="str">
        <x:v>кислотно-сладкий баланс; сернистая или горчичная комплементарность</x:v>
      </x:c>
      <x:c r="F144" s="28" t="str">
        <x:v>Репа имеет профиль «горчичный, зелёный, землистый и мягко сладкий». Партнёр «ананас» относится к группе «Фрукты и ягоды» и даёт карамельный, сернистый,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4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144" s="28" t="str">
        <x:v>старая репа может быть древесной и горькой; передозировка горчичных нот; избыток кислоты или воды может сделать овощной вкус тонким и разрушить сливочную эмульсию</x:v>
      </x:c>
      <x:c r="I144" s="28" t="str">
        <x:v>салат, гарнир, суп, соус, маринад, ферментация или напиток с ананас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242</x:v>
      </x:c>
    </x:row>
    <x:row r="145" ht="66" customHeight="1">
      <x:c r="A145" s="28" t="str">
        <x:v>VEG-0618</x:v>
      </x:c>
      <x:c r="B145" s="28" t="str">
        <x:v>репа</x:v>
      </x:c>
      <x:c r="C145" s="28" t="str">
        <x:v>апельсин</x:v>
      </x:c>
      <x:c r="D145" s="28" t="str">
        <x:v>Фрукты и ягоды</x:v>
      </x:c>
      <x:c r="E145" s="28" t="str">
        <x:v>кислотно-сладкий баланс; сернистая или горчичная комплементарность</x:v>
      </x:c>
      <x:c r="F145" s="28" t="str">
        <x:v>Репа имеет профиль «горчичный, зелёный, землистый и мягко сладкий».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5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145" s="28" t="str">
        <x:v>старая репа может быть древесной и горькой; передозировка горчичных нот; избыток кислоты или воды может сделать овощной вкус тонким и разрушить сливочную эмульсию</x:v>
      </x:c>
      <x:c r="I145" s="28" t="str">
        <x:v>салат, гарнир, суп, соус, маринад, ферментация или напиток с апельсин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236</x:v>
      </x:c>
    </x:row>
    <x:row r="146" ht="66" customHeight="1">
      <x:c r="A146" s="28" t="str">
        <x:v>VEG-0619</x:v>
      </x:c>
      <x:c r="B146" s="28" t="str">
        <x:v>репа</x:v>
      </x:c>
      <x:c r="C146" s="28" t="str">
        <x:v>голубой сыр</x:v>
      </x:c>
      <x:c r="D146" s="28" t="str">
        <x:v>Молочные продукты и сыры</x:v>
      </x:c>
      <x:c r="E146" s="28" t="str">
        <x:v>жировая матрица; сернистая или горчичная комплементарность</x:v>
      </x:c>
      <x:c r="F146" s="28" t="str">
        <x:v>Репа имеет профиль «горчичный, зелёный, землистый и мягко сладкий».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6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146" s="28" t="str">
        <x:v>старая репа может быть древесной и горькой; передозировка горчичных нот; жир способен приглушить свежую зелёную ароматику</x:v>
      </x:c>
      <x:c r="I146" s="28" t="str">
        <x:v>салат, гарнир, суп, соус, маринад, ферментация или напиток с голубой сыр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164</x:v>
      </x:c>
    </x:row>
    <x:row r="147" ht="66" customHeight="1">
      <x:c r="A147" s="28" t="str">
        <x:v>VEG-0622</x:v>
      </x:c>
      <x:c r="B147" s="28" t="str">
        <x:v>репа</x:v>
      </x:c>
      <x:c r="C147" s="28" t="str">
        <x:v>кунжут, халва и тахини</x:v>
      </x:c>
      <x:c r="D147" s="28" t="str">
        <x:v>Орехи и семена</x:v>
      </x:c>
      <x:c r="E147" s="28" t="str">
        <x:v>сернистая или горчичная комплементарность</x:v>
      </x:c>
      <x:c r="F147" s="28" t="str">
        <x:v>Репа имеет профиль «горчичный, зелёный, землистый и мягко сладкий».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47" s="28" t="str">
        <x:v>молодая репа подходит для сырого применения; запекание смягчает остроту и усиливает сладость. Контролировать время: переваривание усиливает сернистость и разрушает текстуру.</x:v>
      </x:c>
      <x:c r="H147" s="28" t="str">
        <x:v>старая репа может быть древесной и горькой; передозировка горчичных нот</x:v>
      </x:c>
      <x:c r="I147" s="28" t="str">
        <x:v>салат, гарнир, суп, соус, маринад, ферментация или напиток с кунжут, халва и тахини</x:v>
      </x:c>
      <x:c r="J147" s="28" t="str">
        <x:v>Средняя</x:v>
      </x:c>
      <x:c r="K147" s="28" t="str">
        <x:v>The Art &amp; Science of Foodpairing.pdf</x:v>
      </x:c>
      <x:c r="L147" s="28" t="str">
        <x:v>The Art &amp; Science of Foodpairing.pdf: 308</x:v>
      </x:c>
    </x:row>
    <x:row r="148" ht="66" customHeight="1">
      <x:c r="A148" s="28" t="str">
        <x:v>VEG-0623</x:v>
      </x:c>
      <x:c r="B148" s="28" t="str">
        <x:v>свёкла</x:v>
      </x:c>
      <x:c r="C148" s="28" t="str">
        <x:v>абрикос</x:v>
      </x:c>
      <x:c r="D148" s="28" t="str">
        <x:v>Фрукты и ягоды</x:v>
      </x:c>
      <x:c r="E148" s="28" t="str">
        <x:v>общие характерные молекулы; кислотно-сладкий баланс</x:v>
      </x:c>
      <x:c r="F148" s="28" t="str">
        <x:v>Свёкла имеет профиль «землистый, сладкий, минеральный и слегка зелёный». Партнёр «абрикос»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4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48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48" s="28" t="str">
        <x:v>сок, кордиал, гаспачо, салат, соус, маринад или коктейльный компонент с абрикос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224</x:v>
      </x:c>
    </x:row>
    <x:row r="149" ht="66" customHeight="1">
      <x:c r="A149" s="28" t="str">
        <x:v>VEG-0625</x:v>
      </x:c>
      <x:c r="B149" s="28" t="str">
        <x:v>свёкла</x:v>
      </x:c>
      <x:c r="C149" s="28" t="str">
        <x:v>апельсин</x:v>
      </x:c>
      <x:c r="D149" s="28" t="str">
        <x:v>Фрукты и ягоды</x:v>
      </x:c>
      <x:c r="E149" s="28" t="str">
        <x:v>пересечение ароматических семейств; кислотно-сладкий баланс</x:v>
      </x:c>
      <x:c r="F149" s="28" t="str">
        <x:v>Свёкла имеет профиль «землистый, сладкий, минеральный и слегка зелёный».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4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49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49" s="28" t="str">
        <x:v>сок, кордиал, гаспачо, салат, соус, маринад или коктейльный компонент с апельсин</x:v>
      </x:c>
      <x:c r="J149" s="28" t="str">
        <x:v>Средняя</x:v>
      </x:c>
      <x:c r="K149" s="28" t="str">
        <x:v>Тезариус вкусов (Ники Сегнит)(1).pdf</x:v>
      </x:c>
      <x:c r="L149" s="28" t="str">
        <x:v>Тезариус вкусов (Ники Сегнит)(1).pdf: 223, 780</x:v>
      </x:c>
    </x:row>
    <x:row r="150" ht="66" customHeight="1">
      <x:c r="A150" s="28" t="str">
        <x:v>VEG-0626</x:v>
      </x:c>
      <x:c r="B150" s="28" t="str">
        <x:v>свёкла</x:v>
      </x:c>
      <x:c r="C150" s="28" t="str">
        <x:v>арахис</x:v>
      </x:c>
      <x:c r="D150" s="28" t="str">
        <x:v>Орехи и семена</x:v>
      </x:c>
      <x:c r="E150" s="28" t="str">
        <x:v>общие характерные молекулы</x:v>
      </x:c>
      <x:c r="F150" s="28" t="str">
        <x:v>Свёкла имеет профиль «землистый, сладкий, минеральный и слегка зелёный». Партнёр «арахис» относится к группе «Орехи и семена» и даёт ореховый, жареный и жирный.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5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0" s="28" t="str">
        <x:v>геосмин легко доминирует; беталаины отвечают за цвет, а не за запах; сильный нагрев снижает яркость цвета</x:v>
      </x:c>
      <x:c r="I150" s="28" t="str">
        <x:v>сок, кордиал, гаспачо, салат, соус, маринад или коктейльный компонент с арахис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224</x:v>
      </x:c>
    </x:row>
    <x:row r="151" ht="66" customHeight="1">
      <x:c r="A151" s="28" t="str">
        <x:v>VEG-0630</x:v>
      </x:c>
      <x:c r="B151" s="28" t="str">
        <x:v>свёкла</x:v>
      </x:c>
      <x:c r="C151" s="28" t="str">
        <x:v>банан</x:v>
      </x:c>
      <x:c r="D151" s="28" t="str">
        <x:v>Фрукты и ягоды</x:v>
      </x:c>
      <x:c r="E151" s="28" t="str">
        <x:v>общие характерные молекулы; кислотно-сладкий баланс</x:v>
      </x:c>
      <x:c r="F151" s="28" t="str">
        <x:v>Свёкла имеет профиль «землистый, сладкий, минеральный и слегка зелёный». Партнёр «банан»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5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1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51" s="28" t="str">
        <x:v>сок, кордиал, гаспачо, салат, соус, маринад или коктейльный компонент с банан</x:v>
      </x:c>
      <x:c r="J151" s="28" t="str">
        <x:v>Средняя</x:v>
      </x:c>
      <x:c r="K151" s="28" t="str">
        <x:v>The Art &amp; Science of Foodpairing.pdf</x:v>
      </x:c>
      <x:c r="L151" s="28" t="str">
        <x:v>The Art &amp; Science of Foodpairing.pdf: 224</x:v>
      </x:c>
    </x:row>
    <x:row r="152" ht="66" customHeight="1">
      <x:c r="A152" s="28" t="str">
        <x:v>VEG-0634</x:v>
      </x:c>
      <x:c r="B152" s="28" t="str">
        <x:v>свёкла</x:v>
      </x:c>
      <x:c r="C152" s="28" t="str">
        <x:v>виноград</x:v>
      </x:c>
      <x:c r="D152" s="28" t="str">
        <x:v>Фрукты и ягоды</x:v>
      </x:c>
      <x:c r="E152" s="28" t="str">
        <x:v>общие характерные молекулы; кислотно-сладкий баланс</x:v>
      </x:c>
      <x:c r="F152" s="28" t="str">
        <x:v>Свёкла имеет профиль «землистый, сладкий, минеральный и слегка зелёный». Партнёр «виноград»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5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2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52" s="28" t="str">
        <x:v>сок, кордиал, гаспачо, салат, соус, маринад или коктейльный компонент с виноград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224</x:v>
      </x:c>
    </x:row>
    <x:row r="153" ht="66" customHeight="1">
      <x:c r="A153" s="28" t="str">
        <x:v>VEG-0641</x:v>
      </x:c>
      <x:c r="B153" s="28" t="str">
        <x:v>свёкла</x:v>
      </x:c>
      <x:c r="C153" s="28" t="str">
        <x:v>грецкий орех</x:v>
      </x:c>
      <x:c r="D153" s="28" t="str">
        <x:v>Орехи и семена</x:v>
      </x:c>
      <x:c r="E153" s="28" t="str">
        <x:v>общие характерные молекулы; пересечение ароматических семейств</x:v>
      </x:c>
      <x:c r="F153" s="28" t="str">
        <x:v>Свёкла имеет профиль «землистый, сладкий, минеральный и слегка зелёный». Партнёр «грецкий орех» относится к группе «Орехи и семена» и даёт древесный, землистый, ореховый.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5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3" s="28" t="str">
        <x:v>геосмин легко доминирует; беталаины отвечают за цвет, а не за запах; сильный нагрев снижает яркость цвета</x:v>
      </x:c>
      <x:c r="I153" s="28" t="str">
        <x:v>сок, кордиал, гаспачо, салат, соус, маринад или коктейльный компонент с грецкий орех</x:v>
      </x:c>
      <x:c r="J153" s="28" t="str">
        <x:v>Средняя</x:v>
      </x:c>
      <x:c r="K153" s="28" t="str">
        <x:v>Тезариус вкусов (Ники Сегнит)(1).pdf</x:v>
      </x:c>
      <x:c r="L153" s="28" t="str">
        <x:v>Тезариус вкусов (Ники Сегнит)(1).pdf: 223, 225, 628</x:v>
      </x:c>
    </x:row>
    <x:row r="154" ht="66" customHeight="1">
      <x:c r="A154" s="28" t="str">
        <x:v>VEG-0642</x:v>
      </x:c>
      <x:c r="B154" s="28" t="str">
        <x:v>свёкла</x:v>
      </x:c>
      <x:c r="C154" s="28" t="str">
        <x:v>дикий рис</x:v>
      </x:c>
      <x:c r="D154" s="28" t="str">
        <x:v>Выпечка, крупы, сахара и десерты</x:v>
      </x:c>
      <x:c r="E154" s="28" t="str">
        <x:v>пересечение ароматических семейств</x:v>
      </x:c>
      <x:c r="F154" s="28" t="str">
        <x:v>Свёкла имеет профиль «землистый, сладкий, минеральный и слегка зелёный».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5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4" s="28" t="str">
        <x:v>геосмин легко доминирует; беталаины отвечают за цвет, а не за запах; сильный нагрев снижает яркость цвета</x:v>
      </x:c>
      <x:c r="I154" s="28" t="str">
        <x:v>сок, кордиал, гаспачо, салат, соус, маринад или коктейльный компонент с дикий рис</x:v>
      </x:c>
      <x:c r="J154" s="28" t="str">
        <x:v>Средняя</x:v>
      </x:c>
      <x:c r="K154" s="28" t="str">
        <x:v>The Art &amp; Science of Foodpairing.pdf</x:v>
      </x:c>
      <x:c r="L154" s="28" t="str">
        <x:v>The Art &amp; Science of Foodpairing.pdf: 224</x:v>
      </x:c>
    </x:row>
    <x:row r="155" ht="66" customHeight="1">
      <x:c r="A155" s="28" t="str">
        <x:v>VEG-0648</x:v>
      </x:c>
      <x:c r="B155" s="28" t="str">
        <x:v>свёкла</x:v>
      </x:c>
      <x:c r="C155" s="28" t="str">
        <x:v>инжир</x:v>
      </x:c>
      <x:c r="D155" s="28" t="str">
        <x:v>Фрукты и ягоды</x:v>
      </x:c>
      <x:c r="E155" s="28" t="str">
        <x:v>общие характерные молекулы; кислотно-сладкий баланс</x:v>
      </x:c>
      <x:c r="F155" s="28" t="str">
        <x:v>Свёкла имеет профиль «землистый, сладкий, минеральный и слегка зелёный». Партнёр «инжир»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5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5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55" s="28" t="str">
        <x:v>сок, кордиал, гаспачо, салат, соус, маринад или коктейльный компонент с инжир</x:v>
      </x:c>
      <x:c r="J155" s="28" t="str">
        <x:v>Средняя</x:v>
      </x:c>
      <x:c r="K155" s="28" t="str">
        <x:v>The Art &amp; Science of Foodpairing.pdf</x:v>
      </x:c>
      <x:c r="L155" s="28" t="str">
        <x:v>The Art &amp; Science of Foodpairing.pdf: 224</x:v>
      </x:c>
    </x:row>
    <x:row r="156" ht="66" customHeight="1">
      <x:c r="A156" s="28" t="str">
        <x:v>VEG-0654</x:v>
      </x:c>
      <x:c r="B156" s="28" t="str">
        <x:v>свёкла</x:v>
      </x:c>
      <x:c r="C156" s="28" t="str">
        <x:v>козий сыр</x:v>
      </x:c>
      <x:c r="D156" s="28" t="str">
        <x:v>Молочные продукты и сыры</x:v>
      </x:c>
      <x:c r="E156" s="28" t="str">
        <x:v>жировая матрица</x:v>
      </x:c>
      <x:c r="F156" s="28" t="str">
        <x:v>Свёкла имеет профиль «землистый, сладкий, минеральный и слегка зелёный».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15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6" s="28" t="str">
        <x:v>геосмин легко доминирует; беталаины отвечают за цвет, а не за запах; сильный нагрев снижает яркость цвета; жир способен приглушить свежую зелёную ароматику</x:v>
      </x:c>
      <x:c r="I156" s="28" t="str">
        <x:v>сок, кордиал, гаспачо, салат, соус, маринад или коктейльный компонент с козий сыр</x:v>
      </x:c>
      <x:c r="J156" s="28" t="str">
        <x:v>Средняя</x:v>
      </x:c>
      <x:c r="K156" s="28" t="str">
        <x:v>Тезариус вкусов (Ники Сегнит)(1).pdf</x:v>
      </x:c>
      <x:c r="L156" s="28" t="str">
        <x:v>Тезариус вкусов (Ники Сегнит)(1).pdf: 143, 224</x:v>
      </x:c>
    </x:row>
    <x:row r="157" ht="66" customHeight="1">
      <x:c r="A157" s="28" t="str">
        <x:v>VEG-0660</x:v>
      </x:c>
      <x:c r="B157" s="28" t="str">
        <x:v>свёкла</x:v>
      </x:c>
      <x:c r="C157" s="28" t="str">
        <x:v>кунжут, халва и тахини</x:v>
      </x:c>
      <x:c r="D157" s="28" t="str">
        <x:v>Орехи и семена</x:v>
      </x:c>
      <x:c r="E157" s="28" t="str">
        <x:v>общие характерные молекулы</x:v>
      </x:c>
      <x:c r="F157" s="28" t="str">
        <x:v>Свёкла имеет профиль «землистый, сладкий, минеральный и слегка зелёный». Партнёр «кунжут, халва и тахини» относится к группе «Орехи и семена» и даёт ореховый, жареный и жирный. Вероятный молекулярный мост: альдегиды.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5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7" s="28" t="str">
        <x:v>геосмин легко доминирует; беталаины отвечают за цвет, а не за запах; сильный нагрев снижает яркость цвета</x:v>
      </x:c>
      <x:c r="I157" s="28" t="str">
        <x:v>сок, кордиал, гаспачо, салат, соус, маринад или коктейльный компонент с кунжут, халва и тахини</x:v>
      </x:c>
      <x:c r="J157" s="28" t="str">
        <x:v>Средняя</x:v>
      </x:c>
      <x:c r="K157" s="28" t="str">
        <x:v>The Art &amp; Science of Foodpairing.pdf</x:v>
      </x:c>
      <x:c r="L157" s="28" t="str">
        <x:v>The Art &amp; Science of Foodpairing.pdf: 308</x:v>
      </x:c>
    </x:row>
    <x:row r="158" ht="66" customHeight="1">
      <x:c r="A158" s="28" t="str">
        <x:v>VEG-0669</x:v>
      </x:c>
      <x:c r="B158" s="28" t="str">
        <x:v>свёкла</x:v>
      </x:c>
      <x:c r="C158" s="28" t="str">
        <x:v>малина</x:v>
      </x:c>
      <x:c r="D158" s="28" t="str">
        <x:v>Фрукты и ягоды</x:v>
      </x:c>
      <x:c r="E158" s="28" t="str">
        <x:v>кислотно-сладкий баланс</x:v>
      </x:c>
      <x:c r="F158" s="28" t="str">
        <x:v>Свёкла имеет профиль «землистый, сладкий, минеральный и слегка зелёный». Партнёр «малина» относится к группе «Фрукты и ягоды» и даёт цветочный, ягодный.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5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8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58" s="28" t="str">
        <x:v>сок, кордиал, гаспачо, салат, соус, маринад или коктейльный компонент с малина</x:v>
      </x:c>
      <x:c r="J158" s="28" t="str">
        <x:v>Средняя</x:v>
      </x:c>
      <x:c r="K158" s="28" t="str">
        <x:v>The Art &amp; Science of Foodpairing.pdf</x:v>
      </x:c>
      <x:c r="L158" s="28" t="str">
        <x:v>The Art &amp; Science of Foodpairing.pdf: 224</x:v>
      </x:c>
    </x:row>
    <x:row r="159" ht="66" customHeight="1">
      <x:c r="A159" s="28" t="str">
        <x:v>VEG-0676</x:v>
      </x:c>
      <x:c r="B159" s="28" t="str">
        <x:v>свёкла</x:v>
      </x:c>
      <x:c r="C159" s="28" t="str">
        <x:v>мёд</x:v>
      </x:c>
      <x:c r="D159" s="28" t="str">
        <x:v>Выпечка, крупы, сахара и десерты</x:v>
      </x:c>
      <x:c r="E159" s="28" t="str">
        <x:v>пересечение ароматических семейств</x:v>
      </x:c>
      <x:c r="F159" s="28" t="str">
        <x:v>Свёкла имеет профиль «землистый, сладкий, минеральный и слегка зелёный».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5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59" s="28" t="str">
        <x:v>геосмин легко доминирует; беталаины отвечают за цвет, а не за запах; сильный нагрев снижает яркость цвета</x:v>
      </x:c>
      <x:c r="I159" s="28" t="str">
        <x:v>сок, кордиал, гаспачо, салат, соус, маринад или коктейльный компонент с мёд</x:v>
      </x:c>
      <x:c r="J159" s="28" t="str">
        <x:v>Средняя</x:v>
      </x:c>
      <x:c r="K159" s="28" t="str">
        <x:v>The Art &amp; Science of Foodpairing.pdf</x:v>
      </x:c>
      <x:c r="L159" s="28" t="str">
        <x:v>The Art &amp; Science of Foodpairing.pdf: 224</x:v>
      </x:c>
    </x:row>
    <x:row r="160" ht="66" customHeight="1">
      <x:c r="A160" s="28" t="str">
        <x:v>VEG-0690</x:v>
      </x:c>
      <x:c r="B160" s="28" t="str">
        <x:v>свёкла</x:v>
      </x:c>
      <x:c r="C160" s="28" t="str">
        <x:v>сметана и лимон</x:v>
      </x:c>
      <x:c r="D160" s="28" t="str">
        <x:v>Фрукты и ягоды</x:v>
      </x:c>
      <x:c r="E160" s="28" t="str">
        <x:v>кислотно-сладкий баланс</x:v>
      </x:c>
      <x:c r="F160" s="28" t="str">
        <x:v>Свёкла имеет профиль «землистый, сладкий, минеральный и слегка зелёный». Партнёр «сметана и 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6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60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60" s="28" t="str">
        <x:v>сок, кордиал, гаспачо, салат, соус, маринад или коктейльный компонент с сметана и лимон</x:v>
      </x:c>
      <x:c r="J160" s="28" t="str">
        <x:v>Средняя</x:v>
      </x:c>
      <x:c r="K160" s="28" t="str">
        <x:v>The Art &amp; Science of Foodpairing.pdf</x:v>
      </x:c>
      <x:c r="L160" s="28" t="str">
        <x:v>The Art &amp; Science of Foodpairing.pdf: 224</x:v>
      </x:c>
    </x:row>
    <x:row r="161" ht="66" customHeight="1">
      <x:c r="A161" s="28" t="str">
        <x:v>VEG-0693</x:v>
      </x:c>
      <x:c r="B161" s="28" t="str">
        <x:v>свёкла</x:v>
      </x:c>
      <x:c r="C161" s="28" t="str">
        <x:v>сыр</x:v>
      </x:c>
      <x:c r="D161" s="28" t="str">
        <x:v>Молочные продукты и сыры</x:v>
      </x:c>
      <x:c r="E161" s="28" t="str">
        <x:v>жировая матрица</x:v>
      </x:c>
      <x:c r="F161" s="28" t="str">
        <x:v>Свёкла имеет профиль «землистый, сладкий, минеральный и слегка зелёный».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16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61" s="28" t="str">
        <x:v>геосмин легко доминирует; беталаины отвечают за цвет, а не за запах; сильный нагрев снижает яркость цвета; жир способен приглушить свежую зелёную ароматику</x:v>
      </x:c>
      <x:c r="I161" s="28" t="str">
        <x:v>сок, кордиал, гаспачо, салат, соус, маринад или коктейльный компонент с сыр</x:v>
      </x:c>
      <x:c r="J161" s="28" t="str">
        <x:v>Средняя</x:v>
      </x:c>
      <x:c r="K161" s="28" t="str">
        <x:v>The Art &amp; Science of Foodpairing.pdf</x:v>
      </x:c>
      <x:c r="L161" s="28" t="str">
        <x:v>The Art &amp; Science of Foodpairing.pdf: 224</x:v>
      </x:c>
    </x:row>
    <x:row r="162" ht="66" customHeight="1">
      <x:c r="A162" s="28" t="str">
        <x:v>VEG-0698</x:v>
      </x:c>
      <x:c r="B162" s="28" t="str">
        <x:v>свёкла</x:v>
      </x:c>
      <x:c r="C162" s="28" t="str">
        <x:v>фундук</x:v>
      </x:c>
      <x:c r="D162" s="28" t="str">
        <x:v>Орехи и семена</x:v>
      </x:c>
      <x:c r="E162" s="28" t="str">
        <x:v>сенсорная комплементарность</x:v>
      </x:c>
      <x:c r="F162" s="28" t="str">
        <x:v>Свёкла имеет профиль «землистый, сладкий, минеральный и слегка зелёный».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6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62" s="28" t="str">
        <x:v>геосмин легко доминирует; беталаины отвечают за цвет, а не за запах; сильный нагрев снижает яркость цвета</x:v>
      </x:c>
      <x:c r="I162" s="28" t="str">
        <x:v>сок, кордиал, гаспачо, салат, соус, маринад или коктейльный компонент с фундук</x:v>
      </x:c>
      <x:c r="J162" s="28" t="str">
        <x:v>Средняя</x:v>
      </x:c>
      <x:c r="K162" s="28" t="str">
        <x:v>The Art &amp; Science of Foodpairing.pdf</x:v>
      </x:c>
      <x:c r="L162" s="28" t="str">
        <x:v>The Art &amp; Science of Foodpairing.pdf: 332</x:v>
      </x:c>
    </x:row>
    <x:row r="163" ht="66" customHeight="1">
      <x:c r="A163" s="28" t="str">
        <x:v>VEG-0705</x:v>
      </x:c>
      <x:c r="B163" s="28" t="str">
        <x:v>свёкла</x:v>
      </x:c>
      <x:c r="C163" s="28" t="str">
        <x:v>чёрная смородина</x:v>
      </x:c>
      <x:c r="D163" s="28" t="str">
        <x:v>Фрукты и ягоды</x:v>
      </x:c>
      <x:c r="E163" s="28" t="str">
        <x:v>общие характерные молекулы; кислотно-сладкий баланс</x:v>
      </x:c>
      <x:c r="F163" s="28" t="str">
        <x:v>Свёкла имеет профиль «землистый, сладкий, минеральный и слегка зелёный». Партнёр «чёрная смородина»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6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63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63" s="28" t="str">
        <x:v>сок, кордиал, гаспачо, салат, соус, маринад или коктейльный компонент с чёрная смородина</x:v>
      </x:c>
      <x:c r="J163" s="28" t="str">
        <x:v>Средняя</x:v>
      </x:c>
      <x:c r="K163" s="28" t="str">
        <x:v>The Art &amp; Science of Foodpairing.pdf</x:v>
      </x:c>
      <x:c r="L163" s="28" t="str">
        <x:v>The Art &amp; Science of Foodpairing.pdf: 224</x:v>
      </x:c>
    </x:row>
    <x:row r="164" ht="66" customHeight="1">
      <x:c r="A164" s="28" t="str">
        <x:v>VEG-0708</x:v>
      </x:c>
      <x:c r="B164" s="28" t="str">
        <x:v>свёкла</x:v>
      </x:c>
      <x:c r="C164" s="28" t="str">
        <x:v>шоколад</x:v>
      </x:c>
      <x:c r="D164" s="28" t="str">
        <x:v>Какао и шоколад</x:v>
      </x:c>
      <x:c r="E164" s="28" t="str">
        <x:v>сенсорная комплементарность</x:v>
      </x:c>
      <x:c r="F164" s="28" t="str">
        <x:v>Свёкла имеет профиль «землистый, сладкий, минеральный и слегка зелёный».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16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64" s="28" t="str">
        <x:v>геосмин легко доминирует; беталаины отвечают за цвет, а не за запах; сильный нагрев снижает яркость цвета; жареная горечь легко маскирует нежный овощной аромат</x:v>
      </x:c>
      <x:c r="I164" s="28" t="str">
        <x:v>сок, кордиал, гаспачо, салат, соус, маринад или коктейльный компонент с шоколад</x:v>
      </x:c>
      <x:c r="J164" s="28" t="str">
        <x:v>Высокая</x:v>
      </x:c>
      <x:c r="K164" s="28" t="str">
        <x:v>The Art &amp; Science of Foodpairing.pdf | Тезариус вкусов (Ники Сегнит)(1).pdf</x:v>
      </x:c>
      <x:c r="L164" s="28" t="str">
        <x:v>Тезариус вкусов (Ники Сегнит)(1).pdf: 35, 227; The Art &amp; Science of Foodpairing.pdf: 62</x:v>
      </x:c>
    </x:row>
    <x:row r="165" ht="66" customHeight="1">
      <x:c r="A165" s="28" t="str">
        <x:v>VEG-0709</x:v>
      </x:c>
      <x:c r="B165" s="28" t="str">
        <x:v>свёкла</x:v>
      </x:c>
      <x:c r="C165" s="28" t="str">
        <x:v>яблоко</x:v>
      </x:c>
      <x:c r="D165" s="28" t="str">
        <x:v>Фрукты и ягоды</x:v>
      </x:c>
      <x:c r="E165" s="28" t="str">
        <x:v>пересечение ароматических семейств; кислотно-сладкий баланс</x:v>
      </x:c>
      <x:c r="F165" s="28" t="str">
        <x:v>Свёкла имеет профиль «землистый, сладкий, минеральный и слегка зелёный».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16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165" s="28" t="str">
        <x:v>геосмин легко доминирует; беталаины отвечают за цвет, а не за запах; сильный нагрев снижает яркость цвета; избыток кислоты или воды может сделать овощной вкус тонким и разрушить сливочную эмульсию</x:v>
      </x:c>
      <x:c r="I165" s="28" t="str">
        <x:v>сок, кордиал, гаспачо, салат, соус, маринад или коктейльный компонент с яблоко</x:v>
      </x:c>
      <x:c r="J165" s="28" t="str">
        <x:v>Высокая</x:v>
      </x:c>
      <x:c r="K165" s="28" t="str">
        <x:v>The Art &amp; Science of Foodpairing.pdf | Тезариус вкусов (Ники Сегнит)(1).pdf</x:v>
      </x:c>
      <x:c r="L165" s="28" t="str">
        <x:v>Тезариус вкусов (Ники Сегнит)(1).pdf: 228, 714; The Art &amp; Science of Foodpairing.pdf: 224</x:v>
      </x:c>
    </x:row>
    <x:row r="166" ht="66" customHeight="1">
      <x:c r="A166" s="28" t="str">
        <x:v>VEG-0713</x:v>
      </x:c>
      <x:c r="B166" s="28" t="str">
        <x:v>сельдерей</x:v>
      </x:c>
      <x:c r="C166" s="28" t="str">
        <x:v>арахис</x:v>
      </x:c>
      <x:c r="D166" s="28" t="str">
        <x:v>Орехи и семена</x:v>
      </x:c>
      <x:c r="E166" s="28" t="str">
        <x:v>сенсорная комплементарность</x:v>
      </x:c>
      <x:c r="F166" s="28" t="str">
        <x:v>Сельдерей имеет профиль «зелёный, травянистый, пряный, слегка анисовый».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6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66" s="28" t="str">
        <x:v>быстро становится доминирующим и горьким; волокна требуют фильтрации в напитках</x:v>
      </x:c>
      <x:c r="I166" s="28" t="str">
        <x:v>сок, кордиал, гаспачо, салат, соус, маринад или коктейльный компонент с арахис</x:v>
      </x:c>
      <x:c r="J166" s="28" t="str">
        <x:v>Средняя</x:v>
      </x:c>
      <x:c r="K166" s="28" t="str">
        <x:v>Тезариус вкусов (Ники Сегнит)(1).pdf</x:v>
      </x:c>
      <x:c r="L166" s="28" t="str">
        <x:v>Тезариус вкусов (Ники Сегнит)(1).pdf: 56, 248</x:v>
      </x:c>
    </x:row>
    <x:row r="167" ht="66" customHeight="1">
      <x:c r="A167" s="28" t="str">
        <x:v>VEG-0718</x:v>
      </x:c>
      <x:c r="B167" s="28" t="str">
        <x:v>сельдерей</x:v>
      </x:c>
      <x:c r="C167" s="28" t="str">
        <x:v>голубой сыр</x:v>
      </x:c>
      <x:c r="D167" s="28" t="str">
        <x:v>Молочные продукты и сыры</x:v>
      </x:c>
      <x:c r="E167" s="28" t="str">
        <x:v>жировая матрица</x:v>
      </x:c>
      <x:c r="F167" s="28" t="str">
        <x:v>Сельдерей имеет профиль «зелёный, травянистый, пряный, слегка анисовый».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67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67" s="28" t="str">
        <x:v>быстро становится доминирующим и горьким; волокна требуют фильтрации в напитках; жир способен приглушить свежую зелёную ароматику</x:v>
      </x:c>
      <x:c r="I167" s="28" t="str">
        <x:v>сок, кордиал, гаспачо, салат, соус, маринад или коктейльный компонент с голубой сыр</x:v>
      </x:c>
      <x:c r="J167" s="28" t="str">
        <x:v>Средняя</x:v>
      </x:c>
      <x:c r="K167" s="28" t="str">
        <x:v>Тезариус вкусов (Ники Сегнит)(1).pdf</x:v>
      </x:c>
      <x:c r="L167" s="28" t="str">
        <x:v>Тезариус вкусов (Ники Сегнит)(1).pdf: 160, 250</x:v>
      </x:c>
    </x:row>
    <x:row r="168" ht="66" customHeight="1">
      <x:c r="A168" s="28" t="str">
        <x:v>VEG-0719</x:v>
      </x:c>
      <x:c r="B168" s="28" t="str">
        <x:v>сельдерей</x:v>
      </x:c>
      <x:c r="C168" s="28" t="str">
        <x:v>грецкий орех</x:v>
      </x:c>
      <x:c r="D168" s="28" t="str">
        <x:v>Орехи и семена</x:v>
      </x:c>
      <x:c r="E168" s="28" t="str">
        <x:v>сенсорная комплементарность</x:v>
      </x:c>
      <x:c r="F168" s="28" t="str">
        <x:v>Сельдерей имеет профиль «зелёный, травянистый, пряный, слегка анисовый». Партнёр «грецкий орех» относится к группе «Орехи и семена» и даёт древесный, землистый,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68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68" s="28" t="str">
        <x:v>быстро становится доминирующим и горьким; волокна требуют фильтрации в напитках</x:v>
      </x:c>
      <x:c r="I168" s="28" t="str">
        <x:v>сок, кордиал, гаспачо, салат, соус, маринад или коктейльный компонент с грецкий орех</x:v>
      </x:c>
      <x:c r="J168" s="28" t="str">
        <x:v>Средняя</x:v>
      </x:c>
      <x:c r="K168" s="28" t="str">
        <x:v>Тезариус вкусов (Ники Сегнит)(1).pdf</x:v>
      </x:c>
      <x:c r="L168" s="28" t="str">
        <x:v>Тезариус вкусов (Ники Сегнит)(1).pdf: 251, 628</x:v>
      </x:c>
    </x:row>
    <x:row r="169" ht="66" customHeight="1">
      <x:c r="A169" s="28" t="str">
        <x:v>VEG-0720</x:v>
      </x:c>
      <x:c r="B169" s="28" t="str">
        <x:v>сельдерей</x:v>
      </x:c>
      <x:c r="C169" s="28" t="str">
        <x:v>груша</x:v>
      </x:c>
      <x:c r="D169" s="28" t="str">
        <x:v>Фрукты и ягоды</x:v>
      </x:c>
      <x:c r="E169" s="28" t="str">
        <x:v>кислотно-сладкий баланс</x:v>
      </x:c>
      <x:c r="F169" s="28" t="str">
        <x:v>Сельдерей имеет профиль «зелёный, травянистый, пряный, слегка анисовый». Партнёр «груша» относится к группе «Фрукты и ягоды» и даёт сладкий, фруктовый, цветочный.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69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69" s="28" t="str">
        <x:v>быстро становится доминирующим и горьким; волокна требуют фильтрации в напитках; избыток кислоты или воды может сделать овощной вкус тонким и разрушить сливочную эмульсию</x:v>
      </x:c>
      <x:c r="I169" s="28" t="str">
        <x:v>сок, кордиал, гаспачо, салат, соус, маринад или коктейльный компонент с груша</x:v>
      </x:c>
      <x:c r="J169" s="28" t="str">
        <x:v>Средняя</x:v>
      </x:c>
      <x:c r="K169" s="28" t="str">
        <x:v>The Art &amp; Science of Foodpairing.pdf</x:v>
      </x:c>
      <x:c r="L169" s="28" t="str">
        <x:v>The Art &amp; Science of Foodpairing.pdf: 350</x:v>
      </x:c>
    </x:row>
    <x:row r="170" ht="66" customHeight="1">
      <x:c r="A170" s="28" t="str">
        <x:v>VEG-0722</x:v>
      </x:c>
      <x:c r="B170" s="28" t="str">
        <x:v>сельдерей</x:v>
      </x:c>
      <x:c r="C170" s="28" t="str">
        <x:v>каштаны</x:v>
      </x:c>
      <x:c r="D170" s="28" t="str">
        <x:v>Орехи и семена</x:v>
      </x:c>
      <x:c r="E170" s="28" t="str">
        <x:v>сенсорная комплементарность</x:v>
      </x:c>
      <x:c r="F170" s="28" t="str">
        <x:v>Сельдерей имеет профиль «зелёный, травянистый, пряный, слегка анисовый». Партнёр «каштаны»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70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70" s="28" t="str">
        <x:v>быстро становится доминирующим и горьким; волокна требуют фильтрации в напитках</x:v>
      </x:c>
      <x:c r="I170" s="28" t="str">
        <x:v>сок, кордиал, гаспачо, салат, соус, маринад или коктейльный компонент с каштаны</x:v>
      </x:c>
      <x:c r="J170" s="28" t="str">
        <x:v>Средняя</x:v>
      </x:c>
      <x:c r="K170" s="28" t="str">
        <x:v>Тезариус вкусов (Ники Сегнит)(1).pdf</x:v>
      </x:c>
      <x:c r="L170" s="28" t="str">
        <x:v>Тезариус вкусов (Ники Сегнит)(1).pdf: 251, 620</x:v>
      </x:c>
    </x:row>
    <x:row r="171" ht="66" customHeight="1">
      <x:c r="A171" s="28" t="str">
        <x:v>VEG-0727</x:v>
      </x:c>
      <x:c r="B171" s="28" t="str">
        <x:v>сельдерей</x:v>
      </x:c>
      <x:c r="C171" s="28" t="str">
        <x:v>мягкий сыр</x:v>
      </x:c>
      <x:c r="D171" s="28" t="str">
        <x:v>Молочные продукты и сыры</x:v>
      </x:c>
      <x:c r="E171" s="28" t="str">
        <x:v>жировая матрица</x:v>
      </x:c>
      <x:c r="F171" s="28" t="str">
        <x:v>Сельдерей имеет профиль «зелёный, травянистый, пряный, слегка анисовый». Партнёр «мягкий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71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71" s="28" t="str">
        <x:v>быстро становится доминирующим и горьким; волокна требуют фильтрации в напитках; жир способен приглушить свежую зелёную ароматику</x:v>
      </x:c>
      <x:c r="I171" s="28" t="str">
        <x:v>сок, кордиал, гаспачо, салат, соус, маринад или коктейльный компонент с мягкий сыр</x:v>
      </x:c>
      <x:c r="J171" s="28" t="str">
        <x:v>Средняя</x:v>
      </x:c>
      <x:c r="K171" s="28" t="str">
        <x:v>Тезариус вкусов (Ники Сегнит)(1).pdf</x:v>
      </x:c>
      <x:c r="L171" s="28" t="str">
        <x:v>Тезариус вкусов (Ники Сегнит)(1).pdf: 186, 253</x:v>
      </x:c>
    </x:row>
    <x:row r="172" ht="66" customHeight="1">
      <x:c r="A172" s="28" t="str">
        <x:v>VEG-0735</x:v>
      </x:c>
      <x:c r="B172" s="28" t="str">
        <x:v>сельдерей</x:v>
      </x:c>
      <x:c r="C172" s="28" t="str">
        <x:v>яблоко</x:v>
      </x:c>
      <x:c r="D172" s="28" t="str">
        <x:v>Фрукты и ягоды</x:v>
      </x:c>
      <x:c r="E172" s="28" t="str">
        <x:v>пересечение ароматических семейств; кислотно-сладкий баланс</x:v>
      </x:c>
      <x:c r="F172" s="28" t="str">
        <x:v>Сельдерей имеет профиль «зелёный, травянистый, пряный, слегка анисовый».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72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172" s="28" t="str">
        <x:v>быстро становится доминирующим и горьким; волокна требуют фильтрации в напитках; избыток кислоты или воды может сделать овощной вкус тонким и разрушить сливочную эмульсию</x:v>
      </x:c>
      <x:c r="I172" s="28" t="str">
        <x:v>сок, кордиал, гаспачо, салат, соус, маринад или коктейльный компонент с яблоко</x:v>
      </x:c>
      <x:c r="J172" s="28" t="str">
        <x:v>Средняя</x:v>
      </x:c>
      <x:c r="K172" s="28" t="str">
        <x:v>Тезариус вкусов (Ники Сегнит)(1).pdf</x:v>
      </x:c>
      <x:c r="L172" s="28" t="str">
        <x:v>Тезариус вкусов (Ники Сегнит)(1).pdf: 254, 716</x:v>
      </x:c>
    </x:row>
    <x:row r="173" ht="66" customHeight="1">
      <x:c r="A173" s="28" t="str">
        <x:v>VEG-0743</x:v>
      </x:c>
      <x:c r="B173" s="28" t="str">
        <x:v>сельдерей корневой</x:v>
      </x:c>
      <x:c r="C173" s="28" t="str">
        <x:v>гуава</x:v>
      </x:c>
      <x:c r="D173" s="28" t="str">
        <x:v>Фрукты и ягоды</x:v>
      </x:c>
      <x:c r="E173" s="28" t="str">
        <x:v>кислотно-сладкий баланс</x:v>
      </x:c>
      <x:c r="F173" s="28" t="str">
        <x:v>Сельдерей корневой имеет профиль «землистый, ореховый, сельдерейно-пряный и слегка грибной». Партнёр «гуава»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7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73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173" s="28" t="str">
        <x:v>пюре, суп, запекание, крем, гарнир, соус или десертная разработка с гуава</x:v>
      </x:c>
      <x:c r="J173" s="28" t="str">
        <x:v>Средняя</x:v>
      </x:c>
      <x:c r="K173" s="28" t="str">
        <x:v>The Art &amp; Science of Foodpairing.pdf</x:v>
      </x:c>
      <x:c r="L173" s="28" t="str">
        <x:v>The Art &amp; Science of Foodpairing.pdf: 52</x:v>
      </x:c>
    </x:row>
    <x:row r="174" ht="66" customHeight="1">
      <x:c r="A174" s="28" t="str">
        <x:v>VEG-0746</x:v>
      </x:c>
      <x:c r="B174" s="28" t="str">
        <x:v>сельдерей корневой</x:v>
      </x:c>
      <x:c r="C174" s="28" t="str">
        <x:v>дикий рис</x:v>
      </x:c>
      <x:c r="D174" s="28" t="str">
        <x:v>Выпечка, крупы, сахара и десерты</x:v>
      </x:c>
      <x:c r="E174" s="28" t="str">
        <x:v>сенсорная комплементарность</x:v>
      </x:c>
      <x:c r="F174" s="28" t="str">
        <x:v>Сельдерей корневой имеет профиль «землистый, ореховый, сельдерейно-пряный и слегка грибной». Партнёр «дикий рис»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7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74" s="28" t="str">
        <x:v>быстро окисляется после нарезки; избыток сельдерейных фталидов даёт аптечную ноту</x:v>
      </x:c>
      <x:c r="I174" s="28" t="str">
        <x:v>пюре, суп, запекание, крем, гарнир, соус или десертная разработка с дикий рис</x:v>
      </x:c>
      <x:c r="J174" s="28" t="str">
        <x:v>Средняя</x:v>
      </x:c>
      <x:c r="K174" s="28" t="str">
        <x:v>The Art &amp; Science of Foodpairing.pdf</x:v>
      </x:c>
      <x:c r="L174" s="28" t="str">
        <x:v>The Art &amp; Science of Foodpairing.pdf: 52</x:v>
      </x:c>
    </x:row>
    <x:row r="175" ht="66" customHeight="1">
      <x:c r="A175" s="28" t="str">
        <x:v>VEG-0747</x:v>
      </x:c>
      <x:c r="B175" s="28" t="str">
        <x:v>сельдерей корневой</x:v>
      </x:c>
      <x:c r="C175" s="28" t="str">
        <x:v>длиннозёрный рис</x:v>
      </x:c>
      <x:c r="D175" s="28" t="str">
        <x:v>Выпечка, крупы, сахара и десерты</x:v>
      </x:c>
      <x:c r="E175" s="28" t="str">
        <x:v>сенсорная комплементарность</x:v>
      </x:c>
      <x:c r="F175" s="28" t="str">
        <x:v>Сельдерей корневой имеет профиль «землистый, ореховый, сельдерейно-пряный и слегка грибной». Партнёр «длиннозёрный рис»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7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75" s="28" t="str">
        <x:v>быстро окисляется после нарезки; избыток сельдерейных фталидов даёт аптечную ноту</x:v>
      </x:c>
      <x:c r="I175" s="28" t="str">
        <x:v>пюре, суп, запекание, крем, гарнир, соус или десертная разработка с длиннозёрный рис</x:v>
      </x:c>
      <x:c r="J175" s="28" t="str">
        <x:v>Средняя</x:v>
      </x:c>
      <x:c r="K175" s="28" t="str">
        <x:v>The Art &amp; Science of Foodpairing.pdf</x:v>
      </x:c>
      <x:c r="L175" s="28" t="str">
        <x:v>The Art &amp; Science of Foodpairing.pdf: 52</x:v>
      </x:c>
    </x:row>
    <x:row r="176" ht="66" customHeight="1">
      <x:c r="A176" s="28" t="str">
        <x:v>VEG-0750</x:v>
      </x:c>
      <x:c r="B176" s="28" t="str">
        <x:v>сельдерей корневой</x:v>
      </x:c>
      <x:c r="C176" s="28" t="str">
        <x:v>инжир</x:v>
      </x:c>
      <x:c r="D176" s="28" t="str">
        <x:v>Фрукты и ягоды</x:v>
      </x:c>
      <x:c r="E176" s="28" t="str">
        <x:v>кислотно-сладкий баланс</x:v>
      </x:c>
      <x:c r="F176" s="28" t="str">
        <x:v>Сельдерей корневой имеет профиль «землистый, ореховый, сельдерейно-пряный и слегка грибной». Партнёр «инжир»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7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76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176" s="28" t="str">
        <x:v>пюре, суп, запекание, крем, гарнир, соус или десертная разработка с инжир</x:v>
      </x:c>
      <x:c r="J176" s="28" t="str">
        <x:v>Средняя</x:v>
      </x:c>
      <x:c r="K176" s="28" t="str">
        <x:v>The Art &amp; Science of Foodpairing.pdf</x:v>
      </x:c>
      <x:c r="L176" s="28" t="str">
        <x:v>The Art &amp; Science of Foodpairing.pdf: 52</x:v>
      </x:c>
    </x:row>
    <x:row r="177" ht="66" customHeight="1">
      <x:c r="A177" s="28" t="str">
        <x:v>VEG-0765</x:v>
      </x:c>
      <x:c r="B177" s="28" t="str">
        <x:v>сельдерей корневой</x:v>
      </x:c>
      <x:c r="C177" s="28" t="str">
        <x:v>мангостин</x:v>
      </x:c>
      <x:c r="D177" s="28" t="str">
        <x:v>Фрукты и ягоды</x:v>
      </x:c>
      <x:c r="E177" s="28" t="str">
        <x:v>кислотно-сладкий баланс</x:v>
      </x:c>
      <x:c r="F177" s="28" t="str">
        <x:v>Сельдерей корневой имеет профиль «землистый, ореховый, сельдерейно-пряный и слегка грибной». Партнёр «мангостин»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7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77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177" s="28" t="str">
        <x:v>пюре, суп, запекание, крем, гарнир, соус или десертная разработка с мангостин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52</x:v>
      </x:c>
    </x:row>
    <x:row r="178" ht="66" customHeight="1">
      <x:c r="A178" s="28" t="str">
        <x:v>VEG-0778</x:v>
      </x:c>
      <x:c r="B178" s="28" t="str">
        <x:v>сельдерей корневой</x:v>
      </x:c>
      <x:c r="C178" s="28" t="str">
        <x:v>рис басмати</x:v>
      </x:c>
      <x:c r="D178" s="28" t="str">
        <x:v>Выпечка, крупы, сахара и десерты</x:v>
      </x:c>
      <x:c r="E178" s="28" t="str">
        <x:v>сенсорная комплементарность</x:v>
      </x:c>
      <x:c r="F178" s="28" t="str">
        <x:v>Сельдерей корневой имеет профиль «землистый, ореховый, сельдерейно-пряный и слегка грибной». Партнёр «рис басмати»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7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78" s="28" t="str">
        <x:v>быстро окисляется после нарезки; избыток сельдерейных фталидов даёт аптечную ноту</x:v>
      </x:c>
      <x:c r="I178" s="28" t="str">
        <x:v>пюре, суп, запекание, крем, гарнир, соус или десертная разработка с рис басмати</x:v>
      </x:c>
      <x:c r="J178" s="28" t="str">
        <x:v>Средняя</x:v>
      </x:c>
      <x:c r="K178" s="28" t="str">
        <x:v>The Art &amp; Science of Foodpairing.pdf</x:v>
      </x:c>
      <x:c r="L178" s="28" t="str">
        <x:v>The Art &amp; Science of Foodpairing.pdf: 52</x:v>
      </x:c>
    </x:row>
    <x:row r="179" ht="66" customHeight="1">
      <x:c r="A179" s="28" t="str">
        <x:v>VEG-0783</x:v>
      </x:c>
      <x:c r="B179" s="28" t="str">
        <x:v>сельдерей корневой</x:v>
      </x:c>
      <x:c r="C179" s="28" t="str">
        <x:v>слива</x:v>
      </x:c>
      <x:c r="D179" s="28" t="str">
        <x:v>Фрукты и ягоды</x:v>
      </x:c>
      <x:c r="E179" s="28" t="str">
        <x:v>кислотно-сладкий баланс</x:v>
      </x:c>
      <x:c r="F179" s="28" t="str">
        <x:v>Сельдерей корневой имеет профиль «землистый, ореховый, сельдерейно-пряный и слегка грибной». Партнёр «слива»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7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79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179" s="28" t="str">
        <x:v>пюре, суп, запекание, крем, гарнир, соус или десертная разработка с слива</x:v>
      </x:c>
      <x:c r="J179" s="28" t="str">
        <x:v>Средняя</x:v>
      </x:c>
      <x:c r="K179" s="28" t="str">
        <x:v>The Art &amp; Science of Foodpairing.pdf</x:v>
      </x:c>
      <x:c r="L179" s="28" t="str">
        <x:v>The Art &amp; Science of Foodpairing.pdf: 52</x:v>
      </x:c>
    </x:row>
    <x:row r="180" ht="66" customHeight="1">
      <x:c r="A180" s="28" t="str">
        <x:v>VEG-0784</x:v>
      </x:c>
      <x:c r="B180" s="28" t="str">
        <x:v>сельдерей корневой</x:v>
      </x:c>
      <x:c r="C180" s="28" t="str">
        <x:v>соевые сливки</x:v>
      </x:c>
      <x:c r="D180" s="28" t="str">
        <x:v>Фрукты и ягоды</x:v>
      </x:c>
      <x:c r="E180" s="28" t="str">
        <x:v>кислотно-сладкий баланс</x:v>
      </x:c>
      <x:c r="F180" s="28" t="str">
        <x:v>Сельдерей корневой имеет профиль «землистый, ореховый, сельдерейно-пряный и слегка грибной». Партнёр «соевые сливки»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8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80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180" s="28" t="str">
        <x:v>пюре, суп, запекание, крем, гарнир, соус или десертная разработка с соевые сливки</x:v>
      </x:c>
      <x:c r="J180" s="28" t="str">
        <x:v>Средняя</x:v>
      </x:c>
      <x:c r="K180" s="28" t="str">
        <x:v>The Art &amp; Science of Foodpairing.pdf</x:v>
      </x:c>
      <x:c r="L180" s="28" t="str">
        <x:v>The Art &amp; Science of Foodpairing.pdf: 52</x:v>
      </x:c>
    </x:row>
    <x:row r="181" ht="66" customHeight="1">
      <x:c r="A181" s="28" t="str">
        <x:v>VEG-0786</x:v>
      </x:c>
      <x:c r="B181" s="28" t="str">
        <x:v>сельдерей корневой</x:v>
      </x:c>
      <x:c r="C181" s="28" t="str">
        <x:v>фундук</x:v>
      </x:c>
      <x:c r="D181" s="28" t="str">
        <x:v>Орехи и семена</x:v>
      </x:c>
      <x:c r="E181" s="28" t="str">
        <x:v>пересечение ароматических семейств</x:v>
      </x:c>
      <x:c r="F181" s="28" t="str">
        <x:v>Сельдерей корневой имеет профиль «землистый, ореховый, сельдерейно-пряный и слегка грибной».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G18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81" s="28" t="str">
        <x:v>быстро окисляется после нарезки; избыток сельдерейных фталидов даёт аптечную ноту</x:v>
      </x:c>
      <x:c r="I181" s="28" t="str">
        <x:v>пюре, суп, запекание, крем, гарнир, соус или десертная разработка с фундук</x:v>
      </x:c>
      <x:c r="J181" s="28" t="str">
        <x:v>Средняя</x:v>
      </x:c>
      <x:c r="K181" s="28" t="str">
        <x:v>The Art &amp; Science of Foodpairing.pdf</x:v>
      </x:c>
      <x:c r="L181" s="28" t="str">
        <x:v>The Art &amp; Science of Foodpairing.pdf: 52</x:v>
      </x:c>
    </x:row>
    <x:row r="182" ht="66" customHeight="1">
      <x:c r="A182" s="28" t="str">
        <x:v>VEG-0788</x:v>
      </x:c>
      <x:c r="B182" s="28" t="str">
        <x:v>сельдерей корневой</x:v>
      </x:c>
      <x:c r="C182" s="28" t="str">
        <x:v>хлеб</x:v>
      </x:c>
      <x:c r="D182" s="28" t="str">
        <x:v>Выпечка, крупы, сахара и десерты</x:v>
      </x:c>
      <x:c r="E182" s="28" t="str">
        <x:v>сенсорная комплементарность</x:v>
      </x:c>
      <x:c r="F182" s="28" t="str">
        <x:v>Сельдерей корневой имеет профиль «землистый, ореховый, сельдерейно-пряный и слегка грибной». Партнёр «хлеб»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8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82" s="28" t="str">
        <x:v>быстро окисляется после нарезки; избыток сельдерейных фталидов даёт аптечную ноту</x:v>
      </x:c>
      <x:c r="I182" s="28" t="str">
        <x:v>пюре, суп, запекание, крем, гарнир, соус или десертная разработка с хлеб</x:v>
      </x:c>
      <x:c r="J182" s="28" t="str">
        <x:v>Средняя</x:v>
      </x:c>
      <x:c r="K182" s="28" t="str">
        <x:v>The Art &amp; Science of Foodpairing.pdf</x:v>
      </x:c>
      <x:c r="L182" s="28" t="str">
        <x:v>The Art &amp; Science of Foodpairing.pdf: 52</x:v>
      </x:c>
    </x:row>
    <x:row r="183" ht="66" customHeight="1">
      <x:c r="A183" s="28" t="str">
        <x:v>VEG-0789</x:v>
      </x:c>
      <x:c r="B183" s="28" t="str">
        <x:v>сельдерей корневой</x:v>
      </x:c>
      <x:c r="C183" s="28" t="str">
        <x:v>цедра лимона</x:v>
      </x:c>
      <x:c r="D183" s="28" t="str">
        <x:v>Фрукты и ягоды</x:v>
      </x:c>
      <x:c r="E183" s="28" t="str">
        <x:v>общие характерные молекулы; кислотно-сладкий баланс</x:v>
      </x:c>
      <x:c r="F183" s="28" t="str">
        <x:v>Сельдерей корневой имеет профиль «землистый, ореховый, сельдерейно-пряный и слегка грибной». Партнёр «цедра лимона» относится к группе «Фрукты и ягоды» и даёт кислый, свежий,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8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83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183" s="28" t="str">
        <x:v>пюре, суп, запекание, крем, гарнир, соус или десертная разработка с цедра лимона</x:v>
      </x:c>
      <x:c r="J183" s="28" t="str">
        <x:v>Средняя</x:v>
      </x:c>
      <x:c r="K183" s="28" t="str">
        <x:v>The Art &amp; Science of Foodpairing.pdf</x:v>
      </x:c>
      <x:c r="L183" s="28" t="str">
        <x:v>The Art &amp; Science of Foodpairing.pdf: 52</x:v>
      </x:c>
    </x:row>
    <x:row r="184" ht="66" customHeight="1">
      <x:c r="A184" s="28" t="str">
        <x:v>VEG-0795</x:v>
      </x:c>
      <x:c r="B184" s="28" t="str">
        <x:v>сельдерей корневой</x:v>
      </x:c>
      <x:c r="C184" s="28" t="str">
        <x:v>яблоко</x:v>
      </x:c>
      <x:c r="D184" s="28" t="str">
        <x:v>Фрукты и ягоды</x:v>
      </x:c>
      <x:c r="E184" s="28" t="str">
        <x:v>кислотно-сладкий баланс</x:v>
      </x:c>
      <x:c r="F184" s="28" t="str">
        <x:v>Сельдерей корневой имеет профиль «землистый, ореховый, сельдерейно-пряный и слегка грибной».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8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184" s="28" t="str">
        <x:v>быстро окисляется после нарезки; избыток сельдерейных фталидов даёт аптечную ноту; избыток кислоты или воды может сделать овощной вкус тонким и разрушить сливочную эмульсию</x:v>
      </x:c>
      <x:c r="I184" s="28" t="str">
        <x:v>пюре, суп, запекание, крем, гарнир, соус или десертная разработка с яблоко</x:v>
      </x:c>
      <x:c r="J184" s="28" t="str">
        <x:v>Средняя</x:v>
      </x:c>
      <x:c r="K184" s="28" t="str">
        <x:v>The Art &amp; Science of Foodpairing.pdf</x:v>
      </x:c>
      <x:c r="L184" s="28" t="str">
        <x:v>The Art &amp; Science of Foodpairing.pdf: 52</x:v>
      </x:c>
    </x:row>
    <x:row r="185" ht="66" customHeight="1">
      <x:c r="A185" s="28" t="str">
        <x:v>VEG-0798</x:v>
      </x:c>
      <x:c r="B185" s="28" t="str">
        <x:v>спаржа</x:v>
      </x:c>
      <x:c r="C185" s="28" t="str">
        <x:v>апельсин</x:v>
      </x:c>
      <x:c r="D185" s="28" t="str">
        <x:v>Фрукты и ягоды</x:v>
      </x:c>
      <x:c r="E185" s="28" t="str">
        <x:v>кислотно-сладкий баланс; сернистая или горчичная комплементарность</x:v>
      </x:c>
      <x:c r="F185" s="28" t="str">
        <x:v>Спаржа имеет профиль «зелёный, сернистый, ореховый и слегка сладкий». Партнёр «апельсин» относится к группе «Фрукты и ягоды» и даёт сладкий, цветочный,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85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85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I185" s="28" t="str">
        <x:v>горячее блюдо, бульон, соус, пюре, ферментация или гарнир с апельсин</x:v>
      </x:c>
      <x:c r="J185" s="28" t="str">
        <x:v>Средняя</x:v>
      </x:c>
      <x:c r="K185" s="28" t="str">
        <x:v>Тезариус вкусов (Ники Сегнит)(1).pdf</x:v>
      </x:c>
      <x:c r="L185" s="28" t="str">
        <x:v>Тезариус вкусов (Ники Сегнит)(1).pdf: 345, 781</x:v>
      </x:c>
    </x:row>
    <x:row r="186" ht="66" customHeight="1">
      <x:c r="A186" s="28" t="str">
        <x:v>VEG-0799</x:v>
      </x:c>
      <x:c r="B186" s="28" t="str">
        <x:v>спаржа</x:v>
      </x:c>
      <x:c r="C186" s="28" t="str">
        <x:v>арахис</x:v>
      </x:c>
      <x:c r="D186" s="28" t="str">
        <x:v>Орехи и семена</x:v>
      </x:c>
      <x:c r="E186" s="28" t="str">
        <x:v>общие характерные молекулы; пересечение ароматических семейств; сернистая или горчичная комплементарность</x:v>
      </x:c>
      <x:c r="F186" s="28" t="str">
        <x:v>Спаржа имеет профиль «зелёный, сернистый, ореховый и слегка сладкий». Партнёр «арахис»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86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86" s="28" t="str">
        <x:v>переваривание усиливает сернистость и разрушает текстуру; толстые основания очищать</x:v>
      </x:c>
      <x:c r="I186" s="28" t="str">
        <x:v>горячее блюдо, бульон, соус, пюре, ферментация или гарнир с арахис</x:v>
      </x:c>
      <x:c r="J186" s="28" t="str">
        <x:v>Средняя</x:v>
      </x:c>
      <x:c r="K186" s="28" t="str">
        <x:v>Тезариус вкусов (Ники Сегнит)(1).pdf</x:v>
      </x:c>
      <x:c r="L186" s="28" t="str">
        <x:v>Тезариус вкусов (Ники Сегнит)(1).pdf: 56, 345</x:v>
      </x:c>
    </x:row>
    <x:row r="187" ht="66" customHeight="1">
      <x:c r="A187" s="28" t="str">
        <x:v>VEG-0810</x:v>
      </x:c>
      <x:c r="B187" s="28" t="str">
        <x:v>спаржа</x:v>
      </x:c>
      <x:c r="C187" s="28" t="str">
        <x:v>лимон</x:v>
      </x:c>
      <x:c r="D187" s="28" t="str">
        <x:v>Фрукты и ягоды</x:v>
      </x:c>
      <x:c r="E187" s="28" t="str">
        <x:v>кислотно-сладкий баланс; сернистая или горчичная комплементарность</x:v>
      </x:c>
      <x:c r="F187" s="28" t="str">
        <x:v>Спаржа имеет профиль «зелёный, сернистый, ореховый и слегка сладкий».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87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87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I187" s="28" t="str">
        <x:v>горячее блюдо, бульон, соус, пюре, ферментация или гарнир с лимон</x:v>
      </x:c>
      <x:c r="J187" s="28" t="str">
        <x:v>Средняя</x:v>
      </x:c>
      <x:c r="K187" s="28" t="str">
        <x:v>Тезариус вкусов (Ники Сегнит)(1).pdf</x:v>
      </x:c>
      <x:c r="L187" s="28" t="str">
        <x:v>Тезариус вкусов (Ники Сегнит)(1).pdf: 346, 807</x:v>
      </x:c>
    </x:row>
    <x:row r="188" ht="66" customHeight="1">
      <x:c r="A188" s="28" t="str">
        <x:v>VEG-0811</x:v>
      </x:c>
      <x:c r="B188" s="28" t="str">
        <x:v>спаржа</x:v>
      </x:c>
      <x:c r="C188" s="28" t="str">
        <x:v>манго</x:v>
      </x:c>
      <x:c r="D188" s="28" t="str">
        <x:v>Фрукты и ягоды</x:v>
      </x:c>
      <x:c r="E188" s="28" t="str">
        <x:v>кислотно-сладкий баланс; сернистая или горчичная комплементарность</x:v>
      </x:c>
      <x:c r="F188" s="28" t="str">
        <x:v>Спаржа имеет профиль «зелёный, сернистый, ореховый и слегка сладкий».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88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88" s="28" t="str">
        <x:v>переваривание усиливает сернистость и разрушает текстуру; толстые основания очищать; избыток кислоты или воды может сделать овощной вкус тонким и разрушить сливочную эмульсию</x:v>
      </x:c>
      <x:c r="I188" s="28" t="str">
        <x:v>горячее блюдо, бульон, соус, пюре, ферментация или гарнир с манго</x:v>
      </x:c>
      <x:c r="J188" s="28" t="str">
        <x:v>Средняя</x:v>
      </x:c>
      <x:c r="K188" s="28" t="str">
        <x:v>The Art &amp; Science of Foodpairing.pdf</x:v>
      </x:c>
      <x:c r="L188" s="28" t="str">
        <x:v>The Art &amp; Science of Foodpairing.pdf: 312</x:v>
      </x:c>
    </x:row>
    <x:row r="189" ht="66" customHeight="1">
      <x:c r="A189" s="28" t="str">
        <x:v>VEG-0812</x:v>
      </x:c>
      <x:c r="B189" s="28" t="str">
        <x:v>спаржа</x:v>
      </x:c>
      <x:c r="C189" s="28" t="str">
        <x:v>миндаль</x:v>
      </x:c>
      <x:c r="D189" s="28" t="str">
        <x:v>Орехи и семена</x:v>
      </x:c>
      <x:c r="E189" s="28" t="str">
        <x:v>общие характерные молекулы; пересечение ароматических семейств; сернистая или горчичная комплементарность</x:v>
      </x:c>
      <x:c r="F189" s="28" t="str">
        <x:v>Спаржа имеет профиль «зелёный, сернистый, ореховый и слегка сладкий». Партнёр «миндаль» относится к группе «Орехи и семена» и даёт жареный, миндальный,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89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89" s="28" t="str">
        <x:v>переваривание усиливает сернистость и разрушает текстуру; толстые основания очищать</x:v>
      </x:c>
      <x:c r="I189" s="28" t="str">
        <x:v>горячее блюдо, бульон, соус, пюре, ферментация или гарнир с миндаль</x:v>
      </x:c>
      <x:c r="J189" s="28" t="str">
        <x:v>Средняя</x:v>
      </x:c>
      <x:c r="K189" s="28" t="str">
        <x:v>Тезариус вкусов (Ники Сегнит)(1).pdf</x:v>
      </x:c>
      <x:c r="L189" s="28" t="str">
        <x:v>Тезариус вкусов (Ники Сегнит)(1).pdf: 347, 648</x:v>
      </x:c>
    </x:row>
    <x:row r="190" ht="66" customHeight="1">
      <x:c r="A190" s="28" t="str">
        <x:v>VEG-0817</x:v>
      </x:c>
      <x:c r="B190" s="28" t="str">
        <x:v>спаржа</x:v>
      </x:c>
      <x:c r="C190" s="28" t="str">
        <x:v>твердый сыр</x:v>
      </x:c>
      <x:c r="D190" s="28" t="str">
        <x:v>Молочные продукты и сыры</x:v>
      </x:c>
      <x:c r="E190" s="28" t="str">
        <x:v>жировая матрица; сернистая или горчичная комплементарность</x:v>
      </x:c>
      <x:c r="F190" s="28" t="str">
        <x:v>Спаржа имеет профиль «зелёный, сернистый, ореховый и слегка сладкий».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90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90" s="28" t="str">
        <x:v>переваривание усиливает сернистость и разрушает текстуру; толстые основания очищать; жир способен приглушить свежую зелёную ароматику</x:v>
      </x:c>
      <x:c r="I190" s="28" t="str">
        <x:v>горячее блюдо, бульон, соус, пюре, ферментация или гарнир с твердый сыр</x:v>
      </x:c>
      <x:c r="J190" s="28" t="str">
        <x:v>Средняя</x:v>
      </x:c>
      <x:c r="K190" s="28" t="str">
        <x:v>Тезариус вкусов (Ники Сегнит)(1).pdf</x:v>
      </x:c>
      <x:c r="L190" s="28" t="str">
        <x:v>Тезариус вкусов (Ники Сегнит)(1).pdf: 175, 347</x:v>
      </x:c>
    </x:row>
    <x:row r="191" ht="66" customHeight="1">
      <x:c r="A191" s="28" t="str">
        <x:v>VEG-0819</x:v>
      </x:c>
      <x:c r="B191" s="28" t="str">
        <x:v>спаржа</x:v>
      </x:c>
      <x:c r="C191" s="28" t="str">
        <x:v>фундук</x:v>
      </x:c>
      <x:c r="D191" s="28" t="str">
        <x:v>Орехи и семена</x:v>
      </x:c>
      <x:c r="E191" s="28" t="str">
        <x:v>общие характерные молекулы; пересечение ароматических семейств; сернистая или горчичная комплементарность</x:v>
      </x:c>
      <x:c r="F191" s="28" t="str">
        <x:v>Спаржа имеет профиль «зелёный, сернистый, ореховый и слегка сладкий».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91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191" s="28" t="str">
        <x:v>переваривание усиливает сернистость и разрушает текстуру; толстые основания очищать</x:v>
      </x:c>
      <x:c r="I191" s="28" t="str">
        <x:v>горячее блюдо, бульон, соус, пюре, ферментация или гарнир с фундук</x:v>
      </x:c>
      <x:c r="J191" s="28" t="str">
        <x:v>Средняя</x:v>
      </x:c>
      <x:c r="K191" s="28" t="str">
        <x:v>The Art &amp; Science of Foodpairing.pdf</x:v>
      </x:c>
      <x:c r="L191" s="28" t="str">
        <x:v>The Art &amp; Science of Foodpairing.pdf: 332</x:v>
      </x:c>
    </x:row>
    <x:row r="192" ht="66" customHeight="1">
      <x:c r="A192" s="28" t="str">
        <x:v>VEG-0822</x:v>
      </x:c>
      <x:c r="B192" s="28" t="str">
        <x:v>томат</x:v>
      </x:c>
      <x:c r="C192" s="28" t="str">
        <x:v>абрикос</x:v>
      </x:c>
      <x:c r="D192" s="28" t="str">
        <x:v>Фрукты и ягоды</x:v>
      </x:c>
      <x:c r="E192" s="28" t="str">
        <x:v>пересечение ароматических семейств; кислотно-сладкий баланс</x:v>
      </x:c>
      <x:c r="F192" s="28" t="str">
        <x:v>Томат имеет профиль «зелёный, фруктовый, листовой, сернистый и умами». Партнёр «абрикос» относится к группе «Фрукты и ягоды» и даёт фруктовый, цветочный и свежий.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2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92" s="28" t="str">
        <x:v>сок, кордиал, гаспачо, салат, соус, маринад или коктейльный компонент с абрикос</x:v>
      </x:c>
      <x:c r="J192" s="28" t="str">
        <x:v>Средняя</x:v>
      </x:c>
      <x:c r="K192" s="28" t="str">
        <x:v>The Art &amp; Science of Foodpairing.pdf</x:v>
      </x:c>
      <x:c r="L192" s="28" t="str">
        <x:v>The Art &amp; Science of Foodpairing.pdf: 161</x:v>
      </x:c>
    </x:row>
    <x:row r="193" ht="66" customHeight="1">
      <x:c r="A193" s="28" t="str">
        <x:v>VEG-0827</x:v>
      </x:c>
      <x:c r="B193" s="28" t="str">
        <x:v>томат</x:v>
      </x:c>
      <x:c r="C193" s="28" t="str">
        <x:v>арахис</x:v>
      </x:c>
      <x:c r="D193" s="28" t="str">
        <x:v>Орехи и семена</x:v>
      </x:c>
      <x:c r="E193" s="28" t="str">
        <x:v>сенсорная комплементарность</x:v>
      </x:c>
      <x:c r="F193" s="28" t="str">
        <x:v>Томат имеет профиль «зелёный, фруктовый, листовой, сернистый и умами». Партнёр «арахис»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9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3" s="28" t="str">
        <x:v>незрелые плоды слишком зелёные; длительное кипячение стирает свежесть; кислота влияет на молочные эмульсии</x:v>
      </x:c>
      <x:c r="I193" s="28" t="str">
        <x:v>сок, кордиал, гаспачо, салат, соус, маринад или коктейльный компонент с арахис</x:v>
      </x:c>
      <x:c r="J193" s="28" t="str">
        <x:v>Средняя</x:v>
      </x:c>
      <x:c r="K193" s="28" t="str">
        <x:v>Тезариус вкусов (Ники Сегнит)(1).pdf</x:v>
      </x:c>
      <x:c r="L193" s="28" t="str">
        <x:v>Тезариус вкусов (Ники Сегнит)(1).pdf: 56, 680</x:v>
      </x:c>
    </x:row>
    <x:row r="194" ht="66" customHeight="1">
      <x:c r="A194" s="28" t="str">
        <x:v>VEG-0836</x:v>
      </x:c>
      <x:c r="B194" s="28" t="str">
        <x:v>томат</x:v>
      </x:c>
      <x:c r="C194" s="28" t="str">
        <x:v>вишня</x:v>
      </x:c>
      <x:c r="D194" s="28" t="str">
        <x:v>Фрукты и ягоды</x:v>
      </x:c>
      <x:c r="E194" s="28" t="str">
        <x:v>пересечение ароматических семейств; кислотно-сладкий баланс</x:v>
      </x:c>
      <x:c r="F194" s="28" t="str">
        <x:v>Томат имеет профиль «зелёный, фруктовый, листовой, сернистый и умами». Партнёр «вишня» относится к группе «Фрукты и ягоды» и даёт миндальный, фруктовый.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4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94" s="28" t="str">
        <x:v>сок, кордиал, гаспачо, салат, соус, маринад или коктейльный компонент с вишня</x:v>
      </x:c>
      <x:c r="J194" s="28" t="str">
        <x:v>Средняя</x:v>
      </x:c>
      <x:c r="K194" s="28" t="str">
        <x:v>The Art &amp; Science of Foodpairing.pdf</x:v>
      </x:c>
      <x:c r="L194" s="28" t="str">
        <x:v>The Art &amp; Science of Foodpairing.pdf: 161</x:v>
      </x:c>
    </x:row>
    <x:row r="195" ht="66" customHeight="1">
      <x:c r="A195" s="28" t="str">
        <x:v>VEG-0842</x:v>
      </x:c>
      <x:c r="B195" s="28" t="str">
        <x:v>томат</x:v>
      </x:c>
      <x:c r="C195" s="28" t="str">
        <x:v>грейпфрут</x:v>
      </x:c>
      <x:c r="D195" s="28" t="str">
        <x:v>Фрукты и ягоды</x:v>
      </x:c>
      <x:c r="E195" s="28" t="str">
        <x:v>пересечение ароматических семейств; кислотно-сладкий баланс</x:v>
      </x:c>
      <x:c r="F195" s="28" t="str">
        <x:v>Томат имеет профиль «зелёный, фруктовый, листовой, сернистый и умами». Партнёр «грейпфрут» относится к группе «Фрукты и ягоды» и даёт горький, сернистый, цитрусовый. Профили пересекаются в семействах: сернистый.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5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95" s="28" t="str">
        <x:v>сок, кордиал, гаспачо, салат, соус, маринад или коктейльный компонент с грейпфрут</x:v>
      </x:c>
      <x:c r="J195" s="28" t="str">
        <x:v>Средняя</x:v>
      </x:c>
      <x:c r="K195" s="28" t="str">
        <x:v>The Art &amp; Science of Foodpairing.pdf</x:v>
      </x:c>
      <x:c r="L195" s="28" t="str">
        <x:v>The Art &amp; Science of Foodpairing.pdf: 161</x:v>
      </x:c>
    </x:row>
    <x:row r="196" ht="66" customHeight="1">
      <x:c r="A196" s="28" t="str">
        <x:v>VEG-0852</x:v>
      </x:c>
      <x:c r="B196" s="28" t="str">
        <x:v>томат</x:v>
      </x:c>
      <x:c r="C196" s="28" t="str">
        <x:v>клубника</x:v>
      </x:c>
      <x:c r="D196" s="28" t="str">
        <x:v>Фрукты и ягоды</x:v>
      </x:c>
      <x:c r="E196" s="28" t="str">
        <x:v>пересечение ароматических семейств; кислотно-сладкий баланс</x:v>
      </x:c>
      <x:c r="F196" s="28" t="str">
        <x:v>Томат имеет профиль «зелёный, фруктовый, листовой, сернистый и умами». Партнёр «клубника» относится к группе «Фрукты и ягоды» и даёт зелёный, карамельный, фруктовый. Профили пересекаются в семействах: зелёный,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6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96" s="28" t="str">
        <x:v>сок, кордиал, гаспачо, салат, соус, маринад или коктейльный компонент с клубника</x:v>
      </x:c>
      <x:c r="J196" s="28" t="str">
        <x:v>Высокая</x:v>
      </x:c>
      <x:c r="K196" s="28" t="str">
        <x:v>Таблица сочетания(1).pdf | Тезариус вкусов (Ники Сегнит)(1).pdf</x:v>
      </x:c>
      <x:c r="L196" s="28" t="str">
        <x:v>Таблица сочетания(1).pdf: 21; Тезариус вкусов (Ники Сегнит)(1).pdf: 686, 698</x:v>
      </x:c>
    </x:row>
    <x:row r="197" ht="66" customHeight="1">
      <x:c r="A197" s="28" t="str">
        <x:v>VEG-0859</x:v>
      </x:c>
      <x:c r="B197" s="28" t="str">
        <x:v>томат</x:v>
      </x:c>
      <x:c r="C197" s="28" t="str">
        <x:v>лайм</x:v>
      </x:c>
      <x:c r="D197" s="28" t="str">
        <x:v>Фрукты и ягоды</x:v>
      </x:c>
      <x:c r="E197" s="28" t="str">
        <x:v>пересечение ароматических семейств; кислотно-сладкий баланс</x:v>
      </x:c>
      <x:c r="F197" s="28" t="str">
        <x:v>Томат имеет профиль «зелёный, фруктовый, листовой, сернистый и умами». Партнёр «лайм» относится к группе «Фрукты и ягоды» и даёт зелёный, кислый, цитрусовый.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7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97" s="28" t="str">
        <x:v>сок, кордиал, гаспачо, салат, соус, маринад или коктейльный компонент с лайм</x:v>
      </x:c>
      <x:c r="J197" s="28" t="str">
        <x:v>Средняя</x:v>
      </x:c>
      <x:c r="K197" s="28" t="str">
        <x:v>Тезариус вкусов (Ники Сегнит)(1).pdf</x:v>
      </x:c>
      <x:c r="L197" s="28" t="str">
        <x:v>Тезариус вкусов (Ники Сегнит)(1).pdf: 686, 796</x:v>
      </x:c>
    </x:row>
    <x:row r="198" ht="66" customHeight="1">
      <x:c r="A198" s="28" t="str">
        <x:v>VEG-0860</x:v>
      </x:c>
      <x:c r="B198" s="28" t="str">
        <x:v>томат</x:v>
      </x:c>
      <x:c r="C198" s="28" t="str">
        <x:v>лимон</x:v>
      </x:c>
      <x:c r="D198" s="28" t="str">
        <x:v>Фрукты и ягоды</x:v>
      </x:c>
      <x:c r="E198" s="28" t="str">
        <x:v>кислотно-сладкий баланс</x:v>
      </x:c>
      <x:c r="F198" s="28" t="str">
        <x:v>Томат имеет профиль «зелёный, фруктовый, листовой, сернистый и умами».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8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98" s="28" t="str">
        <x:v>сок, кордиал, гаспачо, салат, соус, маринад или коктейльный компонент с лимон</x:v>
      </x:c>
      <x:c r="J198" s="28" t="str">
        <x:v>Высокая</x:v>
      </x:c>
      <x:c r="K198" s="28" t="str">
        <x:v>Таблица сочетания(1).pdf | Тезариус вкусов (Ники Сегнит)(1).pdf</x:v>
      </x:c>
      <x:c r="L198" s="28" t="str">
        <x:v>Таблица сочетания(1).pdf: 21; Тезариус вкусов (Ники Сегнит)(1).pdf: 686, 809</x:v>
      </x:c>
    </x:row>
    <x:row r="199" ht="66" customHeight="1">
      <x:c r="A199" s="28" t="str">
        <x:v>VEG-0861</x:v>
      </x:c>
      <x:c r="B199" s="28" t="str">
        <x:v>томат</x:v>
      </x:c>
      <x:c r="C199" s="28" t="str">
        <x:v>лимонный мирт</x:v>
      </x:c>
      <x:c r="D199" s="28" t="str">
        <x:v>Фрукты и ягоды</x:v>
      </x:c>
      <x:c r="E199" s="28" t="str">
        <x:v>кислотно-сладкий баланс</x:v>
      </x:c>
      <x:c r="F199" s="28" t="str">
        <x:v>Томат имеет профиль «зелёный, фруктовый, листовой, сернистый и умами». Партнёр «лимонный мирт»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199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199" s="28" t="str">
        <x:v>сок, кордиал, гаспачо, салат, соус, маринад или коктейльный компонент с лимонный мирт</x:v>
      </x:c>
      <x:c r="J199" s="28" t="str">
        <x:v>Средняя</x:v>
      </x:c>
      <x:c r="K199" s="28" t="str">
        <x:v>The Art &amp; Science of Foodpairing.pdf</x:v>
      </x:c>
      <x:c r="L199" s="28" t="str">
        <x:v>The Art &amp; Science of Foodpairing.pdf: 161</x:v>
      </x:c>
    </x:row>
    <x:row r="200" ht="66" customHeight="1">
      <x:c r="A200" s="28" t="str">
        <x:v>VEG-0864</x:v>
      </x:c>
      <x:c r="B200" s="28" t="str">
        <x:v>томат</x:v>
      </x:c>
      <x:c r="C200" s="28" t="str">
        <x:v>манго</x:v>
      </x:c>
      <x:c r="D200" s="28" t="str">
        <x:v>Фрукты и ягоды</x:v>
      </x:c>
      <x:c r="E200" s="28" t="str">
        <x:v>пересечение ароматических семейств; кислотно-сладкий баланс</x:v>
      </x:c>
      <x:c r="F200" s="28" t="str">
        <x:v>Томат имеет профиль «зелёный, фруктовый, листовой, сернистый и умами». Партнёр «манго» относится к группе «Фрукты и ягоды» и даёт фруктовый, цветочный и свежий. Профили пересекаются в семействах: фруктовый.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0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0" s="28" t="str">
        <x:v>незрелые плоды слишком зелёные; длительное кипячение стирает свежесть; кислота влияет на молочные эмульсии; избыток кислоты или воды может сделать овощной вкус тонким и разрушить сливочную эмульсию</x:v>
      </x:c>
      <x:c r="I200" s="28" t="str">
        <x:v>сок, кордиал, гаспачо, салат, соус, маринад или коктейльный компонент с манго</x:v>
      </x:c>
      <x:c r="J200" s="28" t="str">
        <x:v>Высокая</x:v>
      </x:c>
      <x:c r="K200" s="28" t="str">
        <x:v>The Art &amp; Science of Foodpairing.pdf</x:v>
      </x:c>
      <x:c r="L200" s="28" t="str">
        <x:v>The Art &amp; Science of Foodpairing.pdf: 161, 312</x:v>
      </x:c>
    </x:row>
    <x:row r="201" ht="66" customHeight="1">
      <x:c r="A201" s="28" t="str">
        <x:v>VEG-0868</x:v>
      </x:c>
      <x:c r="B201" s="28" t="str">
        <x:v>томат</x:v>
      </x:c>
      <x:c r="C201" s="28" t="str">
        <x:v>молочный шоколад</x:v>
      </x:c>
      <x:c r="D201" s="28" t="str">
        <x:v>Какао и шоколад</x:v>
      </x:c>
      <x:c r="E201" s="28" t="str">
        <x:v>сенсорная комплементарность</x:v>
      </x:c>
      <x:c r="F201" s="28" t="str">
        <x:v>Томат имеет профиль «зелёный, фруктовый, листовой, сернистый и умами». Партнёр «молочный 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1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I201" s="28" t="str">
        <x:v>сок, кордиал, гаспачо, салат, соус, маринад или коктейльный компонент с молочный шоколад</x:v>
      </x:c>
      <x:c r="J201" s="28" t="str">
        <x:v>Средняя</x:v>
      </x:c>
      <x:c r="K201" s="28" t="str">
        <x:v>The Art &amp; Science of Foodpairing.pdf</x:v>
      </x:c>
      <x:c r="L201" s="28" t="str">
        <x:v>The Art &amp; Science of Foodpairing.pdf: 161</x:v>
      </x:c>
    </x:row>
    <x:row r="202" ht="66" customHeight="1">
      <x:c r="A202" s="28" t="str">
        <x:v>VEG-0873</x:v>
      </x:c>
      <x:c r="B202" s="28" t="str">
        <x:v>томат</x:v>
      </x:c>
      <x:c r="C202" s="28" t="str">
        <x:v>мягкий сыр</x:v>
      </x:c>
      <x:c r="D202" s="28" t="str">
        <x:v>Молочные продукты и сыры</x:v>
      </x:c>
      <x:c r="E202" s="28" t="str">
        <x:v>пересечение ароматических семейств; жировая матрица</x:v>
      </x:c>
      <x:c r="F202" s="28" t="str">
        <x:v>Томат имеет профиль «зелёный, фруктовый, листовой, сернистый и умами».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0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2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I202" s="28" t="str">
        <x:v>сок, кордиал, гаспачо, салат, соус, маринад или коктейльный компонент с мягкий сыр</x:v>
      </x:c>
      <x:c r="J202" s="28" t="str">
        <x:v>Средняя</x:v>
      </x:c>
      <x:c r="K202" s="28" t="str">
        <x:v>Тезариус вкусов (Ники Сегнит)(1).pdf</x:v>
      </x:c>
      <x:c r="L202" s="28" t="str">
        <x:v>Тезариус вкусов (Ники Сегнит)(1).pdf: 187, 689</x:v>
      </x:c>
    </x:row>
    <x:row r="203" ht="66" customHeight="1">
      <x:c r="A203" s="28" t="str">
        <x:v>VEG-0881</x:v>
      </x:c>
      <x:c r="B203" s="28" t="str">
        <x:v>томат</x:v>
      </x:c>
      <x:c r="C203" s="28" t="str">
        <x:v>паста карри мадрас</x:v>
      </x:c>
      <x:c r="D203" s="28" t="str">
        <x:v>Выпечка, крупы, сахара и десерты</x:v>
      </x:c>
      <x:c r="E203" s="28" t="str">
        <x:v>сенсорная комплементарность</x:v>
      </x:c>
      <x:c r="F203" s="28" t="str">
        <x:v>Томат имеет профиль «зелёный, фруктовый, листовой, сернистый и умами». Партнёр «паста карри мадрас»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3" s="28" t="str">
        <x:v>незрелые плоды слишком зелёные; длительное кипячение стирает свежесть; кислота влияет на молочные эмульсии</x:v>
      </x:c>
      <x:c r="I203" s="28" t="str">
        <x:v>сок, кордиал, гаспачо, салат, соус, маринад или коктейльный компонент с паста карри мадрас</x:v>
      </x:c>
      <x:c r="J203" s="28" t="str">
        <x:v>Средняя</x:v>
      </x:c>
      <x:c r="K203" s="28" t="str">
        <x:v>The Art &amp; Science of Foodpairing.pdf</x:v>
      </x:c>
      <x:c r="L203" s="28" t="str">
        <x:v>The Art &amp; Science of Foodpairing.pdf: 161</x:v>
      </x:c>
    </x:row>
    <x:row r="204" ht="66" customHeight="1">
      <x:c r="A204" s="28" t="str">
        <x:v>VEG-0882</x:v>
      </x:c>
      <x:c r="B204" s="28" t="str">
        <x:v>томат</x:v>
      </x:c>
      <x:c r="C204" s="28" t="str">
        <x:v>паста тикка масала</x:v>
      </x:c>
      <x:c r="D204" s="28" t="str">
        <x:v>Выпечка, крупы, сахара и десерты</x:v>
      </x:c>
      <x:c r="E204" s="28" t="str">
        <x:v>сенсорная комплементарность</x:v>
      </x:c>
      <x:c r="F204" s="28" t="str">
        <x:v>Томат имеет профиль «зелёный, фруктовый, листовой, сернистый и умами». Партнёр «паста тикка масала» относится к группе «Выпечка, крупы, сахара и десерты» и даёт сладкий, карамельный и жареный.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4" s="28" t="str">
        <x:v>незрелые плоды слишком зелёные; длительное кипячение стирает свежесть; кислота влияет на молочные эмульсии</x:v>
      </x:c>
      <x:c r="I204" s="28" t="str">
        <x:v>сок, кордиал, гаспачо, салат, соус, маринад или коктейльный компонент с паста тикка масала</x:v>
      </x:c>
      <x:c r="J204" s="28" t="str">
        <x:v>Средняя</x:v>
      </x:c>
      <x:c r="K204" s="28" t="str">
        <x:v>The Art &amp; Science of Foodpairing.pdf</x:v>
      </x:c>
      <x:c r="L204" s="28" t="str">
        <x:v>The Art &amp; Science of Foodpairing.pdf: 161</x:v>
      </x:c>
    </x:row>
    <x:row r="205" ht="66" customHeight="1">
      <x:c r="A205" s="28" t="str">
        <x:v>VEG-0887</x:v>
      </x:c>
      <x:c r="B205" s="28" t="str">
        <x:v>томат</x:v>
      </x:c>
      <x:c r="C205" s="28" t="str">
        <x:v>рапсовый мёд</x:v>
      </x:c>
      <x:c r="D205" s="28" t="str">
        <x:v>Выпечка, крупы, сахара и десерты</x:v>
      </x:c>
      <x:c r="E205" s="28" t="str">
        <x:v>сенсорная комплементарность</x:v>
      </x:c>
      <x:c r="F205" s="28" t="str">
        <x:v>Томат имеет профиль «зелёный, фруктовый, листовой, сернистый и умами». Партнёр «рапсовый 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5" s="28" t="str">
        <x:v>незрелые плоды слишком зелёные; длительное кипячение стирает свежесть; кислота влияет на молочные эмульсии</x:v>
      </x:c>
      <x:c r="I205" s="28" t="str">
        <x:v>сок, кордиал, гаспачо, салат, соус, маринад или коктейльный компонент с рапсовый мёд</x:v>
      </x:c>
      <x:c r="J205" s="28" t="str">
        <x:v>Средняя</x:v>
      </x:c>
      <x:c r="K205" s="28" t="str">
        <x:v>The Art &amp; Science of Foodpairing.pdf</x:v>
      </x:c>
      <x:c r="L205" s="28" t="str">
        <x:v>The Art &amp; Science of Foodpairing.pdf: 161</x:v>
      </x:c>
    </x:row>
    <x:row r="206" ht="66" customHeight="1">
      <x:c r="A206" s="28" t="str">
        <x:v>VEG-0896</x:v>
      </x:c>
      <x:c r="B206" s="28" t="str">
        <x:v>томат</x:v>
      </x:c>
      <x:c r="C206" s="28" t="str">
        <x:v>твердый сыр</x:v>
      </x:c>
      <x:c r="D206" s="28" t="str">
        <x:v>Молочные продукты и сыры</x:v>
      </x:c>
      <x:c r="E206" s="28" t="str">
        <x:v>пересечение ароматических семейств; жировая матрица</x:v>
      </x:c>
      <x:c r="F206" s="28" t="str">
        <x:v>Томат имеет профиль «зелёный, фруктовый, листовой, сернистый и умами». Партнёр «твердый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0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6" s="28" t="str">
        <x:v>незрелые плоды слишком зелёные; длительное кипячение стирает свежесть; кислота влияет на молочные эмульсии; жир способен приглушить свежую зелёную ароматику</x:v>
      </x:c>
      <x:c r="I206" s="28" t="str">
        <x:v>сок, кордиал, гаспачо, салат, соус, маринад или коктейльный компонент с твердый сыр</x:v>
      </x:c>
      <x:c r="J206" s="28" t="str">
        <x:v>Средняя</x:v>
      </x:c>
      <x:c r="K206" s="28" t="str">
        <x:v>Тезариус вкусов (Ники Сегнит)(1).pdf</x:v>
      </x:c>
      <x:c r="L206" s="28" t="str">
        <x:v>Тезариус вкусов (Ники Сегнит)(1).pdf: 176, 690</x:v>
      </x:c>
    </x:row>
    <x:row r="207" ht="66" customHeight="1">
      <x:c r="A207" s="28" t="str">
        <x:v>VEG-0900</x:v>
      </x:c>
      <x:c r="B207" s="28" t="str">
        <x:v>томат</x:v>
      </x:c>
      <x:c r="C207" s="28" t="str">
        <x:v>тёмный шоколад</x:v>
      </x:c>
      <x:c r="D207" s="28" t="str">
        <x:v>Какао и шоколад</x:v>
      </x:c>
      <x:c r="E207" s="28" t="str">
        <x:v>сенсорная комплементарность</x:v>
      </x:c>
      <x:c r="F207" s="28" t="str">
        <x:v>Томат имеет профиль «зелёный, фруктовый, листовой, сернистый и умами». Партнёр «тёмный 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7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I207" s="28" t="str">
        <x:v>сок, кордиал, гаспачо, салат, соус, маринад или коктейльный компонент с тёмный шоколад</x:v>
      </x:c>
      <x:c r="J207" s="28" t="str">
        <x:v>Средняя</x:v>
      </x:c>
      <x:c r="K207" s="28" t="str">
        <x:v>The Art &amp; Science of Foodpairing.pdf</x:v>
      </x:c>
      <x:c r="L207" s="28" t="str">
        <x:v>The Art &amp; Science of Foodpairing.pdf: 161</x:v>
      </x:c>
    </x:row>
    <x:row r="208" ht="66" customHeight="1">
      <x:c r="A208" s="28" t="str">
        <x:v>VEG-0902</x:v>
      </x:c>
      <x:c r="B208" s="28" t="str">
        <x:v>томат</x:v>
      </x:c>
      <x:c r="C208" s="28" t="str">
        <x:v>фундук</x:v>
      </x:c>
      <x:c r="D208" s="28" t="str">
        <x:v>Орехи и семена</x:v>
      </x:c>
      <x:c r="E208" s="28" t="str">
        <x:v>сенсорная комплементарность</x:v>
      </x:c>
      <x:c r="F208" s="28" t="str">
        <x:v>Томат имеет профиль «зелёный, фруктовый, листовой, сернистый и умами».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8" s="28" t="str">
        <x:v>незрелые плоды слишком зелёные; длительное кипячение стирает свежесть; кислота влияет на молочные эмульсии</x:v>
      </x:c>
      <x:c r="I208" s="28" t="str">
        <x:v>сок, кордиал, гаспачо, салат, соус, маринад или коктейльный компонент с фундук</x:v>
      </x:c>
      <x:c r="J208" s="28" t="str">
        <x:v>Средняя</x:v>
      </x:c>
      <x:c r="K208" s="28" t="str">
        <x:v>The Art &amp; Science of Foodpairing.pdf</x:v>
      </x:c>
      <x:c r="L208" s="28" t="str">
        <x:v>The Art &amp; Science of Foodpairing.pdf: 332</x:v>
      </x:c>
    </x:row>
    <x:row r="209" ht="66" customHeight="1">
      <x:c r="A209" s="28" t="str">
        <x:v>VEG-0912</x:v>
      </x:c>
      <x:c r="B209" s="28" t="str">
        <x:v>томат</x:v>
      </x:c>
      <x:c r="C209" s="28" t="str">
        <x:v>шоколад</x:v>
      </x:c>
      <x:c r="D209" s="28" t="str">
        <x:v>Какао и шоколад</x:v>
      </x:c>
      <x:c r="E209" s="28" t="str">
        <x:v>сенсорная комплементарность</x:v>
      </x:c>
      <x:c r="F209" s="28" t="str">
        <x:v>Томат имеет профиль «зелёный, фруктовый, листовой, сернистый и умами».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209" s="28" t="str">
        <x:v>незрелые плоды слишком зелёные; длительное кипячение стирает свежесть; кислота влияет на молочные эмульсии; жареная горечь легко маскирует нежный овощной аромат</x:v>
      </x:c>
      <x:c r="I209" s="28" t="str">
        <x:v>сок, кордиал, гаспачо, салат, соус, маринад или коктейльный компонент с шоколад</x:v>
      </x:c>
      <x:c r="J209" s="28" t="str">
        <x:v>Высокая</x:v>
      </x:c>
      <x:c r="K209" s="28" t="str">
        <x:v>The Art &amp; Science of Foodpairing.pdf | Тезариус вкусов (Ники Сегнит)(1).pdf</x:v>
      </x:c>
      <x:c r="L209" s="28" t="str">
        <x:v>Тезариус вкусов (Ники Сегнит)(1).pdf: 35, 691; The Art &amp; Science of Foodpairing.pdf: 62</x:v>
      </x:c>
    </x:row>
    <x:row r="210" ht="66" customHeight="1">
      <x:c r="A210" s="28" t="str">
        <x:v>VEG-0914</x:v>
      </x:c>
      <x:c r="B210" s="28" t="str">
        <x:v>тыква</x:v>
      </x:c>
      <x:c r="C210" s="28" t="str">
        <x:v>банан</x:v>
      </x:c>
      <x:c r="D210" s="28" t="str">
        <x:v>Фрукты и ягоды</x:v>
      </x:c>
      <x:c r="E210" s="28" t="str">
        <x:v>кислотно-сладкий баланс</x:v>
      </x:c>
      <x:c r="F210" s="28" t="str">
        <x:v>Тыква имеет профиль «сладкий, крахмалистый, ореховый и слегка цветочный».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10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10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10" s="28" t="str">
        <x:v>пюре, суп, запекание, крем, гарнир, соус или десертная разработка с банан</x:v>
      </x:c>
      <x:c r="J210" s="28" t="str">
        <x:v>Средняя</x:v>
      </x:c>
      <x:c r="K210" s="28" t="str">
        <x:v>The Art &amp; Science of Foodpairing.pdf</x:v>
      </x:c>
      <x:c r="L210" s="28" t="str">
        <x:v>The Art &amp; Science of Foodpairing.pdf: 342</x:v>
      </x:c>
    </x:row>
    <x:row r="211" ht="66" customHeight="1">
      <x:c r="A211" s="28" t="str">
        <x:v>VEG-0918</x:v>
      </x:c>
      <x:c r="B211" s="28" t="str">
        <x:v>тыква</x:v>
      </x:c>
      <x:c r="C211" s="28" t="str">
        <x:v>голубой сыр</x:v>
      </x:c>
      <x:c r="D211" s="28" t="str">
        <x:v>Молочные продукты и сыры</x:v>
      </x:c>
      <x:c r="E211" s="28" t="str">
        <x:v>жировая матрица</x:v>
      </x:c>
      <x:c r="F211" s="28" t="str">
        <x:v>Тыква имеет профиль «сладкий, крахмалистый, ореховый и слегка цветочный».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11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11" s="28" t="str">
        <x:v>водянистые сорта размывают вкус; сильная сладость требует кислоты, соли или горечи; жир способен приглушить свежую зелёную ароматику</x:v>
      </x:c>
      <x:c r="I211" s="28" t="str">
        <x:v>пюре, суп, запекание, крем, гарнир, соус или десертная разработка с голубой сыр</x:v>
      </x:c>
      <x:c r="J211" s="28" t="str">
        <x:v>Средняя</x:v>
      </x:c>
      <x:c r="K211" s="28" t="str">
        <x:v>The Art &amp; Science of Foodpairing.pdf</x:v>
      </x:c>
      <x:c r="L211" s="28" t="str">
        <x:v>The Art &amp; Science of Foodpairing.pdf: 164</x:v>
      </x:c>
    </x:row>
    <x:row r="212" ht="66" customHeight="1">
      <x:c r="A212" s="28" t="str">
        <x:v>VEG-0922</x:v>
      </x:c>
      <x:c r="B212" s="28" t="str">
        <x:v>тыква</x:v>
      </x:c>
      <x:c r="C212" s="28" t="str">
        <x:v>карамель</x:v>
      </x:c>
      <x:c r="D212" s="28" t="str">
        <x:v>Выпечка, крупы, сахара и десерты</x:v>
      </x:c>
      <x:c r="E212" s="28" t="str">
        <x:v>общие характерные молекулы; пересечение ароматических семейств</x:v>
      </x:c>
      <x:c r="F212" s="28" t="str">
        <x:v>Тыква имеет профиль «сладкий, крахмалистый, ореховый и слегка цветочный». Партнёр «карамель» относится к группе «Выпечка, крупы, сахара и десерты» и даёт жареный, карамельный, сладкий.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12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12" s="28" t="str">
        <x:v>водянистые сорта размывают вкус; сильная сладость требует кислоты, соли или горечи</x:v>
      </x:c>
      <x:c r="I212" s="28" t="str">
        <x:v>пюре, суп, запекание, крем, гарнир, соус или десертная разработка с карамель</x:v>
      </x:c>
      <x:c r="J212" s="28" t="str">
        <x:v>Гипотеза / практическая</x:v>
      </x:c>
      <x:c r="K212" s="28" t="str">
        <x:v>Таблица сочетания(1).pdf</x:v>
      </x:c>
      <x:c r="L212" s="28" t="str">
        <x:v>Таблица сочетания(1).pdf: 18</x:v>
      </x:c>
    </x:row>
    <x:row r="213" ht="66" customHeight="1">
      <x:c r="A213" s="28" t="str">
        <x:v>VEG-0924</x:v>
      </x:c>
      <x:c r="B213" s="28" t="str">
        <x:v>тыква</x:v>
      </x:c>
      <x:c r="C213" s="28" t="str">
        <x:v>клубника</x:v>
      </x:c>
      <x:c r="D213" s="28" t="str">
        <x:v>Фрукты и ягоды</x:v>
      </x:c>
      <x:c r="E213" s="28" t="str">
        <x:v>кислотно-сладкий баланс</x:v>
      </x:c>
      <x:c r="F213" s="28" t="str">
        <x:v>Тыква имеет профиль «сладкий, крахмалистый, ореховый и слегка цветочный».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13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13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13" s="28" t="str">
        <x:v>пюре, суп, запекание, крем, гарнир, соус или десертная разработка с клубника</x:v>
      </x:c>
      <x:c r="J213" s="28" t="str">
        <x:v>Гипотеза / практическая</x:v>
      </x:c>
      <x:c r="K213" s="28" t="str">
        <x:v>Таблица сочетания(1).pdf</x:v>
      </x:c>
      <x:c r="L213" s="28" t="str">
        <x:v>Таблица сочетания(1).pdf: 18</x:v>
      </x:c>
    </x:row>
    <x:row r="214" ht="66" customHeight="1">
      <x:c r="A214" s="28" t="str">
        <x:v>VEG-0931</x:v>
      </x:c>
      <x:c r="B214" s="28" t="str">
        <x:v>тыква</x:v>
      </x:c>
      <x:c r="C214" s="28" t="str">
        <x:v>мёд</x:v>
      </x:c>
      <x:c r="D214" s="28" t="str">
        <x:v>Выпечка, крупы, сахара и десерты</x:v>
      </x:c>
      <x:c r="E214" s="28" t="str">
        <x:v>общие характерные молекулы; пересечение ароматических семейств</x:v>
      </x:c>
      <x:c r="F214" s="28" t="str">
        <x:v>Тыква имеет профиль «сладкий, крахмалистый, ореховый и слегка цветочный». Партнёр «мёд» относится к группе «Выпечка, крупы, сахара и десерты» и даёт медовый, сладкий, цветочный. Вероятный молекулярный мост: норизопреноиды.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14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14" s="28" t="str">
        <x:v>водянистые сорта размывают вкус; сильная сладость требует кислоты, соли или горечи</x:v>
      </x:c>
      <x:c r="I214" s="28" t="str">
        <x:v>пюре, суп, запекание, крем, гарнир, соус или десертная разработка с мёд</x:v>
      </x:c>
      <x:c r="J214" s="28" t="str">
        <x:v>Гипотеза / практическая</x:v>
      </x:c>
      <x:c r="K214" s="28" t="str">
        <x:v>Таблица сочетания(1).pdf</x:v>
      </x:c>
      <x:c r="L214" s="28" t="str">
        <x:v>Таблица сочетания(1).pdf: 18</x:v>
      </x:c>
    </x:row>
    <x:row r="215" ht="66" customHeight="1">
      <x:c r="A215" s="28" t="str">
        <x:v>VEG-0936</x:v>
      </x:c>
      <x:c r="B215" s="28" t="str">
        <x:v>тыква</x:v>
      </x:c>
      <x:c r="C215" s="28" t="str">
        <x:v>фундук</x:v>
      </x:c>
      <x:c r="D215" s="28" t="str">
        <x:v>Орехи и семена</x:v>
      </x:c>
      <x:c r="E215" s="28" t="str">
        <x:v>общие характерные молекулы; пересечение ароматических семейств</x:v>
      </x:c>
      <x:c r="F215" s="28" t="str">
        <x:v>Тыква имеет профиль «сладкий, крахмалистый, ореховый и слегка цветочный».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15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15" s="28" t="str">
        <x:v>водянистые сорта размывают вкус; сильная сладость требует кислоты, соли или горечи</x:v>
      </x:c>
      <x:c r="I215" s="28" t="str">
        <x:v>пюре, суп, запекание, крем, гарнир, соус или десертная разработка с фундук</x:v>
      </x:c>
      <x:c r="J215" s="28" t="str">
        <x:v>Средняя</x:v>
      </x:c>
      <x:c r="K215" s="28" t="str">
        <x:v>The Art &amp; Science of Foodpairing.pdf</x:v>
      </x:c>
      <x:c r="L215" s="28" t="str">
        <x:v>The Art &amp; Science of Foodpairing.pdf: 332</x:v>
      </x:c>
    </x:row>
    <x:row r="216" ht="66" customHeight="1">
      <x:c r="A216" s="28" t="str">
        <x:v>VEG-0940</x:v>
      </x:c>
      <x:c r="B216" s="28" t="str">
        <x:v>тыква</x:v>
      </x:c>
      <x:c r="C216" s="28" t="str">
        <x:v>шоколад</x:v>
      </x:c>
      <x:c r="D216" s="28" t="str">
        <x:v>Какао и шоколад</x:v>
      </x:c>
      <x:c r="E216" s="28" t="str">
        <x:v>общие характерные молекулы</x:v>
      </x:c>
      <x:c r="F216" s="28" t="str">
        <x:v>Тыква имеет профиль «сладкий, крахмалистый, ореховый и слегка цветочный». Партнёр «шоколад» относится к группе «Какао и шоколад» и даёт жареный, какаовый, карамельный.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16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16" s="28" t="str">
        <x:v>водянистые сорта размывают вкус; сильная сладость требует кислоты, соли или горечи; жареная горечь легко маскирует нежный овощной аромат</x:v>
      </x:c>
      <x:c r="I216" s="28" t="str">
        <x:v>пюре, суп, запекание, крем, гарнир, соус или десертная разработка с шоколад</x:v>
      </x:c>
      <x:c r="J216" s="28" t="str">
        <x:v>Гипотеза / практическая</x:v>
      </x:c>
      <x:c r="K216" s="28" t="str">
        <x:v>Таблица сочетания(1).pdf</x:v>
      </x:c>
      <x:c r="L216" s="28" t="str">
        <x:v>Таблица сочетания(1).pdf: 18</x:v>
      </x:c>
    </x:row>
    <x:row r="217" ht="66" customHeight="1">
      <x:c r="A217" s="28" t="str">
        <x:v>VEG-0941</x:v>
      </x:c>
      <x:c r="B217" s="28" t="str">
        <x:v>тыква</x:v>
      </x:c>
      <x:c r="C217" s="28" t="str">
        <x:v>яблоко</x:v>
      </x:c>
      <x:c r="D217" s="28" t="str">
        <x:v>Фрукты и ягоды</x:v>
      </x:c>
      <x:c r="E217" s="28" t="str">
        <x:v>кислотно-сладкий баланс</x:v>
      </x:c>
      <x:c r="F217" s="28" t="str">
        <x:v>Тыква имеет профиль «сладкий, крахмалистый, ореховый и слегка цветочный».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17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217" s="28" t="str">
        <x:v>водянистые сорта размывают вкус;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17" s="28" t="str">
        <x:v>пюре, суп, запекание, крем, гарнир, соус или десертная разработка с яблоко</x:v>
      </x:c>
      <x:c r="J217" s="28" t="str">
        <x:v>Гипотеза / практическая</x:v>
      </x:c>
      <x:c r="K217" s="28" t="str">
        <x:v>Таблица сочетания(1).pdf</x:v>
      </x:c>
      <x:c r="L217" s="28" t="str">
        <x:v>Таблица сочетания(1).pdf: 1, 18</x:v>
      </x:c>
    </x:row>
    <x:row r="218" ht="66" customHeight="1">
      <x:c r="A218" s="28" t="str">
        <x:v>VEG-0943</x:v>
      </x:c>
      <x:c r="B218" s="28" t="str">
        <x:v>тыква баттернат</x:v>
      </x:c>
      <x:c r="C218" s="28" t="str">
        <x:v>голубой сыр</x:v>
      </x:c>
      <x:c r="D218" s="28" t="str">
        <x:v>Молочные продукты и сыры</x:v>
      </x:c>
      <x:c r="E218" s="28" t="str">
        <x:v>жировая матрица</x:v>
      </x:c>
      <x:c r="F218" s="28" t="str">
        <x:v>Тыква баттернат имеет профиль «сладкий, сливочный, ореховый и карамельный».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18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18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I218" s="28" t="str">
        <x:v>пюре, суп, запекание, крем, гарнир, соус или десертная разработка с голубой сыр</x:v>
      </x:c>
      <x:c r="J218" s="28" t="str">
        <x:v>Высокая</x:v>
      </x:c>
      <x:c r="K218" s="28" t="str">
        <x:v>The Art &amp; Science of Foodpairing.pdf | Тезариус вкусов (Ники Сегнит)(1).pdf</x:v>
      </x:c>
      <x:c r="L218" s="28" t="str">
        <x:v>Тезариус вкусов (Ники Сегнит)(1).pdf: 160, 610; The Art &amp; Science of Foodpairing.pdf: 165</x:v>
      </x:c>
    </x:row>
    <x:row r="219" ht="66" customHeight="1">
      <x:c r="A219" s="28" t="str">
        <x:v>VEG-0944</x:v>
      </x:c>
      <x:c r="B219" s="28" t="str">
        <x:v>тыква баттернат</x:v>
      </x:c>
      <x:c r="C219" s="28" t="str">
        <x:v>груша</x:v>
      </x:c>
      <x:c r="D219" s="28" t="str">
        <x:v>Фрукты и ягоды</x:v>
      </x:c>
      <x:c r="E219" s="28" t="str">
        <x:v>пересечение ароматических семейств; кислотно-сладкий баланс</x:v>
      </x:c>
      <x:c r="F219" s="28" t="str">
        <x:v>Тыква баттернат имеет профиль «сладкий, сливочный, ореховый и карамельный».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19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19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I219" s="28" t="str">
        <x:v>пюре, суп, запекание, крем, гарнир, соус или десертная разработка с груша</x:v>
      </x:c>
      <x:c r="J219" s="28" t="str">
        <x:v>Средняя</x:v>
      </x:c>
      <x:c r="K219" s="28" t="str">
        <x:v>The Art &amp; Science of Foodpairing.pdf</x:v>
      </x:c>
      <x:c r="L219" s="28" t="str">
        <x:v>The Art &amp; Science of Foodpairing.pdf: 350</x:v>
      </x:c>
    </x:row>
    <x:row r="220" ht="66" customHeight="1">
      <x:c r="A220" s="28" t="str">
        <x:v>VEG-0947</x:v>
      </x:c>
      <x:c r="B220" s="28" t="str">
        <x:v>тыква баттернат</x:v>
      </x:c>
      <x:c r="C220" s="28" t="str">
        <x:v>каштаны</x:v>
      </x:c>
      <x:c r="D220" s="28" t="str">
        <x:v>Орехи и семена</x:v>
      </x:c>
      <x:c r="E220" s="28" t="str">
        <x:v>общие характерные молекулы; пересечение ароматических семейств</x:v>
      </x:c>
      <x:c r="F220" s="28" t="str">
        <x:v>Тыква баттернат имеет профиль «сладкий, сливочный, ореховый и карамельный». Партнёр «каштаны»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20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20" s="28" t="str">
        <x:v>может стать приторной и тяжёлой без кислоты или специй; не использовать недозрелый плод</x:v>
      </x:c>
      <x:c r="I220" s="28" t="str">
        <x:v>пюре, суп, запекание, крем, гарнир, соус или десертная разработка с каштаны</x:v>
      </x:c>
      <x:c r="J220" s="28" t="str">
        <x:v>Средняя</x:v>
      </x:c>
      <x:c r="K220" s="28" t="str">
        <x:v>Тезариус вкусов (Ники Сегнит)(1).pdf</x:v>
      </x:c>
      <x:c r="L220" s="28" t="str">
        <x:v>Тезариус вкусов (Ники Сегнит)(1).pdf: 610, 620</x:v>
      </x:c>
    </x:row>
    <x:row r="221" ht="66" customHeight="1">
      <x:c r="A221" s="28" t="str">
        <x:v>VEG-0948</x:v>
      </x:c>
      <x:c r="B221" s="28" t="str">
        <x:v>тыква баттернат</x:v>
      </x:c>
      <x:c r="C221" s="28" t="str">
        <x:v>козий сыр</x:v>
      </x:c>
      <x:c r="D221" s="28" t="str">
        <x:v>Молочные продукты и сыры</x:v>
      </x:c>
      <x:c r="E221" s="28" t="str">
        <x:v>жировая матрица</x:v>
      </x:c>
      <x:c r="F221" s="28" t="str">
        <x:v>Тыква баттернат имеет профиль «сладкий, сливочный, ореховый и карамельный». Партнёр «козий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21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21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I221" s="28" t="str">
        <x:v>пюре, суп, запекание, крем, гарнир, соус или десертная разработка с козий сыр</x:v>
      </x:c>
      <x:c r="J221" s="28" t="str">
        <x:v>Средняя</x:v>
      </x:c>
      <x:c r="K221" s="28" t="str">
        <x:v>Тезариус вкусов (Ники Сегнит)(1).pdf</x:v>
      </x:c>
      <x:c r="L221" s="28" t="str">
        <x:v>Тезариус вкусов (Ники Сегнит)(1).pdf: 143, 610</x:v>
      </x:c>
    </x:row>
    <x:row r="222" ht="66" customHeight="1">
      <x:c r="A222" s="28" t="str">
        <x:v>VEG-0949</x:v>
      </x:c>
      <x:c r="B222" s="28" t="str">
        <x:v>тыква баттернат</x:v>
      </x:c>
      <x:c r="C222" s="28" t="str">
        <x:v>козий сыр и молоко</x:v>
      </x:c>
      <x:c r="D222" s="28" t="str">
        <x:v>Молочные продукты и сыры</x:v>
      </x:c>
      <x:c r="E222" s="28" t="str">
        <x:v>жировая матрица</x:v>
      </x:c>
      <x:c r="F222" s="28" t="str">
        <x:v>Тыква баттернат имеет профиль «сладкий, сливочный, ореховый и карамельный». Партнёр «козий сыр и молоко»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222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22" s="28" t="str">
        <x:v>может стать приторной и тяжёлой без кислоты или специй; не использовать недозрелый плод; жир способен приглушить свежую зелёную ароматику</x:v>
      </x:c>
      <x:c r="I222" s="28" t="str">
        <x:v>пюре, суп, запекание, крем, гарнир, соус или десертная разработка с козий сыр и молоко</x:v>
      </x:c>
      <x:c r="J222" s="28" t="str">
        <x:v>Средняя</x:v>
      </x:c>
      <x:c r="K222" s="28" t="str">
        <x:v>The Art &amp; Science of Foodpairing.pdf</x:v>
      </x:c>
      <x:c r="L222" s="28" t="str">
        <x:v>The Art &amp; Science of Foodpairing.pdf: 200</x:v>
      </x:c>
    </x:row>
    <x:row r="223" ht="66" customHeight="1">
      <x:c r="A223" s="28" t="str">
        <x:v>VEG-0953</x:v>
      </x:c>
      <x:c r="B223" s="28" t="str">
        <x:v>тыква баттернат</x:v>
      </x:c>
      <x:c r="C223" s="28" t="str">
        <x:v>кунжут, халва и тахини</x:v>
      </x:c>
      <x:c r="D223" s="28" t="str">
        <x:v>Орехи и семена</x:v>
      </x:c>
      <x:c r="E223" s="28" t="str">
        <x:v>общие характерные молекулы; пересечение ароматических семейств</x:v>
      </x:c>
      <x:c r="F223" s="28" t="str">
        <x:v>Тыква баттернат имеет профиль «сладкий, сливочный, ореховый и карамельный». Партнёр «кунжут, халва и тахини» относится к группе «Орехи и семена» и даёт ореховый, жареный и жирный. Вероятный молекулярный мост: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23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23" s="28" t="str">
        <x:v>может стать приторной и тяжёлой без кислоты или специй; не использовать недозрелый плод</x:v>
      </x:c>
      <x:c r="I223" s="28" t="str">
        <x:v>пюре, суп, запекание, крем, гарнир, соус или десертная разработка с кунжут, халва и тахини</x:v>
      </x:c>
      <x:c r="J223" s="28" t="str">
        <x:v>Средняя</x:v>
      </x:c>
      <x:c r="K223" s="28" t="str">
        <x:v>The Art &amp; Science of Foodpairing.pdf</x:v>
      </x:c>
      <x:c r="L223" s="28" t="str">
        <x:v>The Art &amp; Science of Foodpairing.pdf: 308</x:v>
      </x:c>
    </x:row>
    <x:row r="224" ht="66" customHeight="1">
      <x:c r="A224" s="28" t="str">
        <x:v>VEG-0954</x:v>
      </x:c>
      <x:c r="B224" s="28" t="str">
        <x:v>тыква баттернат</x:v>
      </x:c>
      <x:c r="C224" s="28" t="str">
        <x:v>лайм</x:v>
      </x:c>
      <x:c r="D224" s="28" t="str">
        <x:v>Фрукты и ягоды</x:v>
      </x:c>
      <x:c r="E224" s="28" t="str">
        <x:v>кислотно-сладкий баланс</x:v>
      </x:c>
      <x:c r="F224" s="28" t="str">
        <x:v>Тыква баттернат имеет профиль «сладкий, сливочный, ореховый и карамельный». Партнёр «лайм» относится к группе «Фрукты и ягоды» и даёт зелёный, кислый,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24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24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I224" s="28" t="str">
        <x:v>пюре, суп, запекание, крем, гарнир, соус или десертная разработка с лайм</x:v>
      </x:c>
      <x:c r="J224" s="28" t="str">
        <x:v>Средняя</x:v>
      </x:c>
      <x:c r="K224" s="28" t="str">
        <x:v>Тезариус вкусов (Ники Сегнит)(1).pdf</x:v>
      </x:c>
      <x:c r="L224" s="28" t="str">
        <x:v>Тезариус вкусов (Ники Сегнит)(1).pdf: 611, 797</x:v>
      </x:c>
    </x:row>
    <x:row r="225" ht="66" customHeight="1">
      <x:c r="A225" s="28" t="str">
        <x:v>VEG-0955</x:v>
      </x:c>
      <x:c r="B225" s="28" t="str">
        <x:v>тыква баттернат</x:v>
      </x:c>
      <x:c r="C225" s="28" t="str">
        <x:v>миндаль</x:v>
      </x:c>
      <x:c r="D225" s="28" t="str">
        <x:v>Орехи и семена</x:v>
      </x:c>
      <x:c r="E225" s="28" t="str">
        <x:v>пересечение ароматических семейств</x:v>
      </x:c>
      <x:c r="F225" s="28" t="str">
        <x:v>Тыква баттернат имеет профиль «сладкий, сливочный, ореховый и карамельный». Партнёр «миндаль» относится к группе «Орехи и семена» и даёт жареный, миндальный,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25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25" s="28" t="str">
        <x:v>может стать приторной и тяжёлой без кислоты или специй; не использовать недозрелый плод</x:v>
      </x:c>
      <x:c r="I225" s="28" t="str">
        <x:v>пюре, суп, запекание, крем, гарнир, соус или десертная разработка с миндаль</x:v>
      </x:c>
      <x:c r="J225" s="28" t="str">
        <x:v>Средняя</x:v>
      </x:c>
      <x:c r="K225" s="28" t="str">
        <x:v>Тезариус вкусов (Ники Сегнит)(1).pdf</x:v>
      </x:c>
      <x:c r="L225" s="28" t="str">
        <x:v>Тезариус вкусов (Ники Сегнит)(1).pdf: 611, 648</x:v>
      </x:c>
    </x:row>
    <x:row r="226" ht="66" customHeight="1">
      <x:c r="A226" s="28" t="str">
        <x:v>VEG-0962</x:v>
      </x:c>
      <x:c r="B226" s="28" t="str">
        <x:v>тыква баттернат</x:v>
      </x:c>
      <x:c r="C226" s="28" t="str">
        <x:v>фундук</x:v>
      </x:c>
      <x:c r="D226" s="28" t="str">
        <x:v>Орехи и семена</x:v>
      </x:c>
      <x:c r="E226" s="28" t="str">
        <x:v>пересечение ароматических семейств</x:v>
      </x:c>
      <x:c r="F226" s="28" t="str">
        <x:v>Тыква баттернат имеет профиль «сладкий, сливочный, ореховый и карамельный».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26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26" s="28" t="str">
        <x:v>может стать приторной и тяжёлой без кислоты или специй; не использовать недозрелый плод</x:v>
      </x:c>
      <x:c r="I226" s="28" t="str">
        <x:v>пюре, суп, запекание, крем, гарнир, соус или десертная разработка с фундук</x:v>
      </x:c>
      <x:c r="J226" s="28" t="str">
        <x:v>Средняя</x:v>
      </x:c>
      <x:c r="K226" s="28" t="str">
        <x:v>The Art &amp; Science of Foodpairing.pdf</x:v>
      </x:c>
      <x:c r="L226" s="28" t="str">
        <x:v>The Art &amp; Science of Foodpairing.pdf: 332</x:v>
      </x:c>
    </x:row>
    <x:row r="227" ht="66" customHeight="1">
      <x:c r="A227" s="28" t="str">
        <x:v>VEG-0966</x:v>
      </x:c>
      <x:c r="B227" s="28" t="str">
        <x:v>тыква баттернат</x:v>
      </x:c>
      <x:c r="C227" s="28" t="str">
        <x:v>яблоко</x:v>
      </x:c>
      <x:c r="D227" s="28" t="str">
        <x:v>Фрукты и ягоды</x:v>
      </x:c>
      <x:c r="E227" s="28" t="str">
        <x:v>кислотно-сладкий баланс</x:v>
      </x:c>
      <x:c r="F227" s="28" t="str">
        <x:v>Тыква баттернат имеет профиль «сладкий, сливочный, ореховый и карамельный».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27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227" s="28" t="str">
        <x:v>может стать приторной и тяжёлой без кислоты или специй; не использовать недозрелый плод; избыток кислоты или воды может сделать овощной вкус тонким и разрушить сливочную эмульсию</x:v>
      </x:c>
      <x:c r="I227" s="28" t="str">
        <x:v>пюре, суп, запекание, крем, гарнир, соус или десертная разработка с яблоко</x:v>
      </x:c>
      <x:c r="J227" s="28" t="str">
        <x:v>Средняя</x:v>
      </x:c>
      <x:c r="K227" s="28" t="str">
        <x:v>Тезариус вкусов (Ники Сегнит)(1).pdf</x:v>
      </x:c>
      <x:c r="L227" s="28" t="str">
        <x:v>Тезариус вкусов (Ники Сегнит)(1).pdf: 614, 717</x:v>
      </x:c>
    </x:row>
    <x:row r="228" ht="66" customHeight="1">
      <x:c r="A228" s="28" t="str">
        <x:v>VEG-0968</x:v>
      </x:c>
      <x:c r="B228" s="28" t="str">
        <x:v>фенхель</x:v>
      </x:c>
      <x:c r="C228" s="28" t="str">
        <x:v>апельсин</x:v>
      </x:c>
      <x:c r="D228" s="28" t="str">
        <x:v>Фрукты и ягоды</x:v>
      </x:c>
      <x:c r="E228" s="28" t="str">
        <x:v>общие характерные молекулы; пересечение ароматических семейств; кислотно-сладкий баланс</x:v>
      </x:c>
      <x:c r="F228" s="28" t="str">
        <x:v>Фенхель имеет профиль «анисовый, зелёный, свежий и сладковатый». Партнёр «апельсин» относится к группе «Фрукты и ягоды» и даёт сладкий, цветочный,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28" s="28" t="str">
        <x:v>сырой сохраняет свежий анис; запекание смягчает аромат и усиливает сладость. </x:v>
      </x:c>
      <x:c r="H228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228" s="28" t="str">
        <x:v>салат, гарнир, суп, соус, маринад, ферментация или напиток с апельсин</x:v>
      </x:c>
      <x:c r="J228" s="28" t="str">
        <x:v>Высокая</x:v>
      </x:c>
      <x:c r="K228" s="28" t="str">
        <x:v>The Art &amp; Science of Foodpairing.pdf | Таблица сочетания(1).pdf</x:v>
      </x:c>
      <x:c r="L228" s="28" t="str">
        <x:v>Таблица сочетания(1).pdf: 8; The Art &amp; Science of Foodpairing.pdf: 236</x:v>
      </x:c>
    </x:row>
    <x:row r="229" ht="66" customHeight="1">
      <x:c r="A229" s="28" t="str">
        <x:v>VEG-0969</x:v>
      </x:c>
      <x:c r="B229" s="28" t="str">
        <x:v>фенхель</x:v>
      </x:c>
      <x:c r="C229" s="28" t="str">
        <x:v>банан</x:v>
      </x:c>
      <x:c r="D229" s="28" t="str">
        <x:v>Фрукты и ягоды</x:v>
      </x:c>
      <x:c r="E229" s="28" t="str">
        <x:v>кислотно-сладкий баланс</x:v>
      </x:c>
      <x:c r="F229" s="28" t="str">
        <x:v>Фенхель имеет профиль «анисовый, зелёный, свежий и сладковатый».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29" s="28" t="str">
        <x:v>сырой сохраняет свежий анис; запекание смягчает аромат и усиливает сладость. </x:v>
      </x:c>
      <x:c r="H229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229" s="28" t="str">
        <x:v>салат, гарнир, суп, соус, маринад, ферментация или напиток с банан</x:v>
      </x:c>
      <x:c r="J229" s="28" t="str">
        <x:v>Средняя</x:v>
      </x:c>
      <x:c r="K229" s="28" t="str">
        <x:v>The Art &amp; Science of Foodpairing.pdf</x:v>
      </x:c>
      <x:c r="L229" s="28" t="str">
        <x:v>The Art &amp; Science of Foodpairing.pdf: 342</x:v>
      </x:c>
    </x:row>
    <x:row r="230" ht="66" customHeight="1">
      <x:c r="A230" s="28" t="str">
        <x:v>VEG-0970</x:v>
      </x:c>
      <x:c r="B230" s="28" t="str">
        <x:v>фенхель</x:v>
      </x:c>
      <x:c r="C230" s="28" t="str">
        <x:v>груша</x:v>
      </x:c>
      <x:c r="D230" s="28" t="str">
        <x:v>Фрукты и ягоды</x:v>
      </x:c>
      <x:c r="E230" s="28" t="str">
        <x:v>пересечение ароматических семейств; кислотно-сладкий баланс</x:v>
      </x:c>
      <x:c r="F230" s="28" t="str">
        <x:v>Фенхель имеет профиль «анисовый, зелёный, свежий и сладковатый». Партнёр «груша» относится к группе «Фрукты и ягоды» и даёт сладкий, фруктовый, цветочный.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30" s="28" t="str">
        <x:v>сырой сохраняет свежий анис; запекание смягчает аромат и усиливает сладость. </x:v>
      </x:c>
      <x:c r="H230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230" s="28" t="str">
        <x:v>салат, гарнир, суп, соус, маринад, ферментация или напиток с груша</x:v>
      </x:c>
      <x:c r="J230" s="28" t="str">
        <x:v>Средняя</x:v>
      </x:c>
      <x:c r="K230" s="28" t="str">
        <x:v>The Art &amp; Science of Foodpairing.pdf</x:v>
      </x:c>
      <x:c r="L230" s="28" t="str">
        <x:v>The Art &amp; Science of Foodpairing.pdf: 350</x:v>
      </x:c>
    </x:row>
    <x:row r="231" ht="66" customHeight="1">
      <x:c r="A231" s="28" t="str">
        <x:v>VEG-0973</x:v>
      </x:c>
      <x:c r="B231" s="28" t="str">
        <x:v>фенхель</x:v>
      </x:c>
      <x:c r="C231" s="28" t="str">
        <x:v>кленовый сироп</x:v>
      </x:c>
      <x:c r="D231" s="28" t="str">
        <x:v>Выпечка, крупы, сахара и десерты</x:v>
      </x:c>
      <x:c r="E231" s="28" t="str">
        <x:v>пересечение ароматических семейств</x:v>
      </x:c>
      <x:c r="F231" s="28" t="str">
        <x:v>Фенхель имеет профиль «анисовый, зелёный, свежий и сладковатый». Партнёр «кленовый сироп» относится к группе «Выпечка, крупы, сахара и десерты» и даёт сладкий, карамельный и жареный.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G231" s="28" t="str">
        <x:v>сырой сохраняет свежий анис; запекание смягчает аромат и усиливает сладость. </x:v>
      </x:c>
      <x:c r="H231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231" s="28" t="str">
        <x:v>салат, гарнир, суп, соус, маринад, ферментация или напиток с кленовый сироп</x:v>
      </x:c>
      <x:c r="J231" s="28" t="str">
        <x:v>Гипотеза / практическая</x:v>
      </x:c>
      <x:c r="K231" s="28" t="str">
        <x:v>Таблица сочетания(1).pdf</x:v>
      </x:c>
      <x:c r="L231" s="28" t="str">
        <x:v>Таблица сочетания(1).pdf: 8</x:v>
      </x:c>
    </x:row>
    <x:row r="232" ht="66" customHeight="1">
      <x:c r="A232" s="28" t="str">
        <x:v>VEG-0974</x:v>
      </x:c>
      <x:c r="B232" s="28" t="str">
        <x:v>фенхель</x:v>
      </x:c>
      <x:c r="C232" s="28" t="str">
        <x:v>клубника</x:v>
      </x:c>
      <x:c r="D232" s="28" t="str">
        <x:v>Фрукты и ягоды</x:v>
      </x:c>
      <x:c r="E232" s="28" t="str">
        <x:v>пересечение ароматических семейств; кислотно-сладкий баланс</x:v>
      </x:c>
      <x:c r="F232" s="28" t="str">
        <x:v>Фенхель имеет профиль «анисовый, зелёный, свежий и сладковатый». Партнёр «клубника» относится к группе «Фрукты и ягоды» и даёт зелёный, карамельный,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32" s="28" t="str">
        <x:v>сырой сохраняет свежий анис; запекание смягчает аромат и усиливает сладость. </x:v>
      </x:c>
      <x:c r="H232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232" s="28" t="str">
        <x:v>салат, гарнир, суп, соус, маринад, ферментация или напиток с клубника</x:v>
      </x:c>
      <x:c r="J232" s="28" t="str">
        <x:v>Гипотеза / практическая</x:v>
      </x:c>
      <x:c r="K232" s="28" t="str">
        <x:v>Таблица сочетания(1).pdf</x:v>
      </x:c>
      <x:c r="L232" s="28" t="str">
        <x:v>Таблица сочетания(1).pdf: 8</x:v>
      </x:c>
    </x:row>
    <x:row r="233" ht="66" customHeight="1">
      <x:c r="A233" s="28" t="str">
        <x:v>VEG-0976</x:v>
      </x:c>
      <x:c r="B233" s="28" t="str">
        <x:v>фенхель</x:v>
      </x:c>
      <x:c r="C233" s="28" t="str">
        <x:v>лимон</x:v>
      </x:c>
      <x:c r="D233" s="28" t="str">
        <x:v>Фрукты и ягоды</x:v>
      </x:c>
      <x:c r="E233" s="28" t="str">
        <x:v>общие характерные молекулы; кислотно-сладкий баланс</x:v>
      </x:c>
      <x:c r="F233" s="28" t="str">
        <x:v>Фенхель имеет профиль «анисовый, зелёный, свежий и сладковатый». Партнёр «лимон» относится к группе «Фрукты и ягоды» и даёт кислый, свежий, цитрусовый. Вероятный молекулярный мост: лимонен.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33" s="28" t="str">
        <x:v>сырой сохраняет свежий анис; запекание смягчает аромат и усиливает сладость. </x:v>
      </x:c>
      <x:c r="H233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233" s="28" t="str">
        <x:v>салат, гарнир, суп, соус, маринад, ферментация или напиток с лимон</x:v>
      </x:c>
      <x:c r="J233" s="28" t="str">
        <x:v>Гипотеза / практическая</x:v>
      </x:c>
      <x:c r="K233" s="28" t="str">
        <x:v>Таблица сочетания(1).pdf</x:v>
      </x:c>
      <x:c r="L233" s="28" t="str">
        <x:v>Таблица сочетания(1).pdf: 8</x:v>
      </x:c>
    </x:row>
    <x:row r="234" ht="66" customHeight="1">
      <x:c r="A234" s="28" t="str">
        <x:v>VEG-0977</x:v>
      </x:c>
      <x:c r="B234" s="28" t="str">
        <x:v>фенхель</x:v>
      </x:c>
      <x:c r="C234" s="28" t="str">
        <x:v>манго</x:v>
      </x:c>
      <x:c r="D234" s="28" t="str">
        <x:v>Фрукты и ягоды</x:v>
      </x:c>
      <x:c r="E234" s="28" t="str">
        <x:v>кислотно-сладкий баланс</x:v>
      </x:c>
      <x:c r="F234" s="28" t="str">
        <x:v>Фенхель имеет профиль «анисовый, зелёный, свежий и сладковатый».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34" s="28" t="str">
        <x:v>сырой сохраняет свежий анис; запекание смягчает аромат и усиливает сладость. </x:v>
      </x:c>
      <x:c r="H234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234" s="28" t="str">
        <x:v>салат, гарнир, суп, соус, маринад, ферментация или напиток с манго</x:v>
      </x:c>
      <x:c r="J234" s="28" t="str">
        <x:v>Средняя</x:v>
      </x:c>
      <x:c r="K234" s="28" t="str">
        <x:v>The Art &amp; Science of Foodpairing.pdf</x:v>
      </x:c>
      <x:c r="L234" s="28" t="str">
        <x:v>The Art &amp; Science of Foodpairing.pdf: 312</x:v>
      </x:c>
    </x:row>
    <x:row r="235" ht="66" customHeight="1">
      <x:c r="A235" s="28" t="str">
        <x:v>VEG-0979</x:v>
      </x:c>
      <x:c r="B235" s="28" t="str">
        <x:v>фенхель</x:v>
      </x:c>
      <x:c r="C235" s="28" t="str">
        <x:v>мёд</x:v>
      </x:c>
      <x:c r="D235" s="28" t="str">
        <x:v>Выпечка, крупы, сахара и десерты</x:v>
      </x:c>
      <x:c r="E235" s="28" t="str">
        <x:v>пересечение ароматических семейств</x:v>
      </x:c>
      <x:c r="F235" s="28" t="str">
        <x:v>Фенхель имеет профиль «анисовый, зелёный, свежий и сладковатый».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партнёры добавляют пиразины и фураны; это особенно эффективно после запекания, гриля или карамелизации овоща.</x:v>
      </x:c>
      <x:c r="G235" s="28" t="str">
        <x:v>сырой сохраняет свежий анис; запекание смягчает аромат и усиливает сладость. </x:v>
      </x:c>
      <x:c r="H235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235" s="28" t="str">
        <x:v>салат, гарнир, суп, соус, маринад, ферментация или напиток с мёд</x:v>
      </x:c>
      <x:c r="J235" s="28" t="str">
        <x:v>Гипотеза / практическая</x:v>
      </x:c>
      <x:c r="K235" s="28" t="str">
        <x:v>Таблица сочетания(1).pdf</x:v>
      </x:c>
      <x:c r="L235" s="28" t="str">
        <x:v>Таблица сочетания(1).pdf: 8</x:v>
      </x:c>
    </x:row>
    <x:row r="236" ht="66" customHeight="1">
      <x:c r="A236" s="28" t="str">
        <x:v>VEG-0980</x:v>
      </x:c>
      <x:c r="B236" s="28" t="str">
        <x:v>фенхель</x:v>
      </x:c>
      <x:c r="C236" s="28" t="str">
        <x:v>ревень</x:v>
      </x:c>
      <x:c r="D236" s="28" t="str">
        <x:v>Фрукты и ягоды</x:v>
      </x:c>
      <x:c r="E236" s="28" t="str">
        <x:v>кислотно-сладкий баланс</x:v>
      </x:c>
      <x:c r="F236" s="28" t="str">
        <x:v>Фенхель имеет профиль «анисовый, зелёный, свежий и сладковатый». Партнёр «ревень»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36" s="28" t="str">
        <x:v>сырой сохраняет свежий анис; запекание смягчает аромат и усиливает сладость. </x:v>
      </x:c>
      <x:c r="H236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236" s="28" t="str">
        <x:v>салат, гарнир, суп, соус, маринад, ферментация или напиток с ревень</x:v>
      </x:c>
      <x:c r="J236" s="28" t="str">
        <x:v>Гипотеза / практическая</x:v>
      </x:c>
      <x:c r="K236" s="28" t="str">
        <x:v>Таблица сочетания(1).pdf</x:v>
      </x:c>
      <x:c r="L236" s="28" t="str">
        <x:v>Таблица сочетания(1).pdf: 8</x:v>
      </x:c>
    </x:row>
    <x:row r="237" ht="66" customHeight="1">
      <x:c r="A237" s="28" t="str">
        <x:v>VEG-0982</x:v>
      </x:c>
      <x:c r="B237" s="28" t="str">
        <x:v>фенхель</x:v>
      </x:c>
      <x:c r="C237" s="28" t="str">
        <x:v>чёрная смородина</x:v>
      </x:c>
      <x:c r="D237" s="28" t="str">
        <x:v>Фрукты и ягоды</x:v>
      </x:c>
      <x:c r="E237" s="28" t="str">
        <x:v>кислотно-сладкий баланс</x:v>
      </x:c>
      <x:c r="F237" s="28" t="str">
        <x:v>Фенхель имеет профиль «анисовый, зелёный, свежий и сладковатый».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37" s="28" t="str">
        <x:v>сырой сохраняет свежий анис; запекание смягчает аромат и усиливает сладость. </x:v>
      </x:c>
      <x:c r="H237" s="28" t="str">
        <x:v>анетол быстро доминирует; длительная варка стирает свежесть; зелень и семена значительно концентрированнее луковицы; избыток кислоты или воды может сделать овощной вкус тонким и разрушить сливочную эмульсию</x:v>
      </x:c>
      <x:c r="I237" s="28" t="str">
        <x:v>салат, гарнир, суп, соус, маринад, ферментация или напиток с чёрная смородина</x:v>
      </x:c>
      <x:c r="J237" s="28" t="str">
        <x:v>Гипотеза / практическая</x:v>
      </x:c>
      <x:c r="K237" s="28" t="str">
        <x:v>Таблица сочетания(1).pdf</x:v>
      </x:c>
      <x:c r="L237" s="28" t="str">
        <x:v>Таблица сочетания(1).pdf: 2</x:v>
      </x:c>
    </x:row>
    <x:row r="238" ht="66" customHeight="1">
      <x:c r="A238" s="28" t="str">
        <x:v>VEG-0984</x:v>
      </x:c>
      <x:c r="B238" s="28" t="str">
        <x:v>фенхель</x:v>
      </x:c>
      <x:c r="C238" s="28" t="str">
        <x:v>шоколад</x:v>
      </x:c>
      <x:c r="D238" s="28" t="str">
        <x:v>Какао и шоколад</x:v>
      </x:c>
      <x:c r="E238" s="28" t="str">
        <x:v>сенсорная комплементарность</x:v>
      </x:c>
      <x:c r="F238" s="28" t="str">
        <x:v>Фенхель имеет профиль «анисовый, зелёный, свежий и сладковатый». Партнёр «шоколад» относится к группе «Какао и шоколад» и даёт жареный, какаовый, карамельный.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38" s="28" t="str">
        <x:v>сырой сохраняет свежий анис; запекание смягчает аромат и усиливает сладость. </x:v>
      </x:c>
      <x:c r="H238" s="28" t="str">
        <x:v>анетол быстро доминирует; длительная варка стирает свежесть; зелень и семена значительно концентрированнее луковицы; жареная горечь легко маскирует нежный овощной аромат</x:v>
      </x:c>
      <x:c r="I238" s="28" t="str">
        <x:v>салат, гарнир, суп, соус, маринад, ферментация или напиток с шоколад</x:v>
      </x:c>
      <x:c r="J238" s="28" t="str">
        <x:v>Средняя</x:v>
      </x:c>
      <x:c r="K238" s="28" t="str">
        <x:v>The Art &amp; Science of Foodpairing.pdf</x:v>
      </x:c>
      <x:c r="L238" s="28" t="str">
        <x:v>The Art &amp; Science of Foodpairing.pdf: 62</x:v>
      </x:c>
    </x:row>
    <x:row r="239" ht="66" customHeight="1">
      <x:c r="A239" s="28" t="str">
        <x:v>VEG-0987</x:v>
      </x:c>
      <x:c r="B239" s="28" t="str">
        <x:v>цветная капуста</x:v>
      </x:c>
      <x:c r="C239" s="28" t="str">
        <x:v>виноград</x:v>
      </x:c>
      <x:c r="D239" s="28" t="str">
        <x:v>Фрукты и ягоды</x:v>
      </x:c>
      <x:c r="E239" s="28" t="str">
        <x:v>кислотно-сладкий баланс; сернистая или горчичная комплементарность</x:v>
      </x:c>
      <x:c r="F239" s="28" t="str">
        <x:v>Цветная капуста имеет профиль «мягко капустный, ореховый, сернистый и сливочный после запекания».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3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239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239" s="28" t="str">
        <x:v>горячее блюдо, бульон, соус, пюре, ферментация или гарнир с виноград</x:v>
      </x:c>
      <x:c r="J239" s="28" t="str">
        <x:v>Высокая</x:v>
      </x:c>
      <x:c r="K239" s="28" t="str">
        <x:v>The Art &amp; Science of Foodpairing.pdf</x:v>
      </x:c>
      <x:c r="L239" s="28" t="str">
        <x:v>The Art &amp; Science of Foodpairing.pdf: 66</x:v>
      </x:c>
    </x:row>
    <x:row r="240" ht="66" customHeight="1">
      <x:c r="A240" s="28" t="str">
        <x:v>VEG-0989</x:v>
      </x:c>
      <x:c r="B240" s="28" t="str">
        <x:v>цветная капуста</x:v>
      </x:c>
      <x:c r="C240" s="28" t="str">
        <x:v>грецкий орех</x:v>
      </x:c>
      <x:c r="D240" s="28" t="str">
        <x:v>Орехи и семена</x:v>
      </x:c>
      <x:c r="E240" s="28" t="str">
        <x:v>общие характерные молекулы; пересечение ароматических семейств; сернистая или горчичная комплементарность</x:v>
      </x:c>
      <x:c r="F240" s="28" t="str">
        <x:v>Цветная капуста имеет профиль «мягко капустный, ореховый, сернистый и сливочный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240" s="28" t="str">
        <x:v>не переваривать; избыток воды делает вкус плоским; сернистость усиливается при хранении</x:v>
      </x:c>
      <x:c r="I240" s="28" t="str">
        <x:v>горячее блюдо, бульон, соус, пюре, ферментация или гарнир с грецкий орех</x:v>
      </x:c>
      <x:c r="J240" s="28" t="str">
        <x:v>Средняя</x:v>
      </x:c>
      <x:c r="K240" s="28" t="str">
        <x:v>Тезариус вкусов (Ники Сегнит)(1).pdf</x:v>
      </x:c>
      <x:c r="L240" s="28" t="str">
        <x:v>Тезариус вкусов (Ники Сегнит)(1).pdf: 321, 629</x:v>
      </x:c>
    </x:row>
    <x:row r="241" ht="66" customHeight="1">
      <x:c r="A241" s="28" t="str">
        <x:v>VEG-0993</x:v>
      </x:c>
      <x:c r="B241" s="28" t="str">
        <x:v>цветная капуста</x:v>
      </x:c>
      <x:c r="C241" s="28" t="str">
        <x:v>клубника</x:v>
      </x:c>
      <x:c r="D241" s="28" t="str">
        <x:v>Фрукты и ягоды</x:v>
      </x:c>
      <x:c r="E241" s="28" t="str">
        <x:v>кислотно-сладкий баланс; сернистая или горчичная комплементарность</x:v>
      </x:c>
      <x:c r="F241" s="28" t="str">
        <x:v>Цветная капуста имеет профиль «мягко капустный, ореховый, сернистый и сливочный после запекания».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241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241" s="28" t="str">
        <x:v>горячее блюдо, бульон, соус, пюре, ферментация или гарнир с клубника</x:v>
      </x:c>
      <x:c r="J241" s="28" t="str">
        <x:v>Высокая</x:v>
      </x:c>
      <x:c r="K241" s="28" t="str">
        <x:v>The Art &amp; Science of Foodpairing.pdf</x:v>
      </x:c>
      <x:c r="L241" s="28" t="str">
        <x:v>The Art &amp; Science of Foodpairing.pdf: 67</x:v>
      </x:c>
    </x:row>
    <x:row r="242" ht="66" customHeight="1">
      <x:c r="A242" s="28" t="str">
        <x:v>VEG-0996</x:v>
      </x:c>
      <x:c r="B242" s="28" t="str">
        <x:v>цветная капуста</x:v>
      </x:c>
      <x:c r="C242" s="28" t="str">
        <x:v>миндаль</x:v>
      </x:c>
      <x:c r="D242" s="28" t="str">
        <x:v>Орехи и семена</x:v>
      </x:c>
      <x:c r="E242" s="28" t="str">
        <x:v>общие характерные молекулы; пересечение ароматических семейств; сернистая или горчичная комплементарность</x:v>
      </x:c>
      <x:c r="F242" s="28" t="str">
        <x:v>Цветная капуста имеет профиль «мягко капустный, ореховый, сернистый и сливочный после запекания». Партнёр «миндаль» относится к группе «Орехи и семена» и даёт жареный, миндальный,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242" s="28" t="str">
        <x:v>не переваривать; избыток воды делает вкус плоским; сернистость усиливается при хранении</x:v>
      </x:c>
      <x:c r="I242" s="28" t="str">
        <x:v>горячее блюдо, бульон, соус, пюре, ферментация или гарнир с миндаль</x:v>
      </x:c>
      <x:c r="J242" s="28" t="str">
        <x:v>Средняя</x:v>
      </x:c>
      <x:c r="K242" s="28" t="str">
        <x:v>Тезариус вкусов (Ники Сегнит)(1).pdf</x:v>
      </x:c>
      <x:c r="L242" s="28" t="str">
        <x:v>Тезариус вкусов (Ники Сегнит)(1).pdf: 324, 648</x:v>
      </x:c>
    </x:row>
    <x:row r="243" ht="66" customHeight="1">
      <x:c r="A243" s="28" t="str">
        <x:v>VEG-0999</x:v>
      </x:c>
      <x:c r="B243" s="28" t="str">
        <x:v>цветная капуста</x:v>
      </x:c>
      <x:c r="C243" s="28" t="str">
        <x:v>сливочное масло</x:v>
      </x:c>
      <x:c r="D243" s="28" t="str">
        <x:v>Фрукты и ягоды</x:v>
      </x:c>
      <x:c r="E243" s="28" t="str">
        <x:v>пересечение ароматических семейств; кислотно-сладкий баланс; сернистая или горчичная комплементарность</x:v>
      </x:c>
      <x:c r="F243" s="28" t="str">
        <x:v>Цветная капуста имеет профиль «мягко капустный, ореховый, сернистый и сливочный после запекания». Партнёр «сливочное масло» относится к группе «Фрукты и ягоды» и даёт жирный, сливочный. Профили пересекаются в семействах: сливочный.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243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243" s="28" t="str">
        <x:v>горячее блюдо, бульон, соус, пюре, ферментация или гарнир с сливочное масло</x:v>
      </x:c>
      <x:c r="J243" s="28" t="str">
        <x:v>Средняя</x:v>
      </x:c>
      <x:c r="K243" s="28" t="str">
        <x:v>The Art &amp; Science of Foodpairing.pdf</x:v>
      </x:c>
      <x:c r="L243" s="28" t="str">
        <x:v>The Art &amp; Science of Foodpairing.pdf: 67</x:v>
      </x:c>
    </x:row>
    <x:row r="244" ht="66" customHeight="1">
      <x:c r="A244" s="28" t="str">
        <x:v>VEG-1000</x:v>
      </x:c>
      <x:c r="B244" s="28" t="str">
        <x:v>цветная капуста</x:v>
      </x:c>
      <x:c r="C244" s="28" t="str">
        <x:v>твердый сыр</x:v>
      </x:c>
      <x:c r="D244" s="28" t="str">
        <x:v>Молочные продукты и сыры</x:v>
      </x:c>
      <x:c r="E244" s="28" t="str">
        <x:v>жировая матрица; сернистая или горчичная комплементарность</x:v>
      </x:c>
      <x:c r="F244" s="28" t="str">
        <x:v>Цветная капуста имеет профиль «мягко капустный, ореховый, сернистый и сливочный после запекания».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244" s="28" t="str">
        <x:v>не переваривать; избыток воды делает вкус плоским; сернистость усиливается при хранении; жир способен приглушить свежую зелёную ароматику</x:v>
      </x:c>
      <x:c r="I244" s="28" t="str">
        <x:v>горячее блюдо, бульон, соус, пюре, ферментация или гарнир с твердый сыр</x:v>
      </x:c>
      <x:c r="J244" s="28" t="str">
        <x:v>Средняя</x:v>
      </x:c>
      <x:c r="K244" s="28" t="str">
        <x:v>Тезариус вкусов (Ники Сегнит)(1).pdf</x:v>
      </x:c>
      <x:c r="L244" s="28" t="str">
        <x:v>Тезариус вкусов (Ники Сегнит)(1).pdf: 177, 325</x:v>
      </x:c>
    </x:row>
    <x:row r="245" ht="66" customHeight="1">
      <x:c r="A245" s="28" t="str">
        <x:v>VEG-1006</x:v>
      </x:c>
      <x:c r="B245" s="28" t="str">
        <x:v>цветная капуста</x:v>
      </x:c>
      <x:c r="C245" s="28" t="str">
        <x:v>шоколад</x:v>
      </x:c>
      <x:c r="D245" s="28" t="str">
        <x:v>Какао и шоколад</x:v>
      </x:c>
      <x:c r="E245" s="28" t="str">
        <x:v>общие характерные молекулы; сернистая или горчичная комплементарность</x:v>
      </x:c>
      <x:c r="F245" s="28" t="str">
        <x:v>Цветная капуста имеет профиль «мягко капустный, ореховый, сернистый и сливочный после запекания».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245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I245" s="28" t="str">
        <x:v>горячее блюдо, бульон, соус, пюре, ферментация или гарнир с шоколад</x:v>
      </x:c>
      <x:c r="J245" s="28" t="str">
        <x:v>Высокая</x:v>
      </x:c>
      <x:c r="K245" s="28" t="str">
        <x:v>The Art &amp; Science of Foodpairing.pdf | Тезариус вкусов (Ники Сегнит)(1).pdf</x:v>
      </x:c>
      <x:c r="L245" s="28" t="str">
        <x:v>Тезариус вкусов (Ники Сегнит)(1).pdf: 37, 327; The Art &amp; Science of Foodpairing.pdf: 61, 63</x:v>
      </x:c>
    </x:row>
    <x:row r="246" ht="66" customHeight="1">
      <x:c r="A246" s="28" t="str">
        <x:v>VEG-1009</x:v>
      </x:c>
      <x:c r="B246" s="28" t="str">
        <x:v>чеснок</x:v>
      </x:c>
      <x:c r="C246" s="28" t="str">
        <x:v>арахис</x:v>
      </x:c>
      <x:c r="D246" s="28" t="str">
        <x:v>Орехи и семена</x:v>
      </x:c>
      <x:c r="E246" s="28" t="str">
        <x:v>пересечение ароматических семейств; сернистая или горчичная комплементарность</x:v>
      </x:c>
      <x:c r="F246" s="28" t="str">
        <x:v>Чеснок имеет профиль «резкий сернистый, зелёный и мясной; после запекания — сладкий и ореховый». Партнёр «арахис»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46" s="28" t="str">
        <x:v>сырой чеснок быстро доминирует; пережжённый чеснок очень горький; хранить и обрабатывать по пищевым нормам</x:v>
      </x:c>
      <x:c r="I246" s="28" t="str">
        <x:v>горячее блюдо, бульон, соус, пюре, ферментация или гарнир с арахис</x:v>
      </x:c>
      <x:c r="J246" s="28" t="str">
        <x:v>Средняя</x:v>
      </x:c>
      <x:c r="K246" s="28" t="str">
        <x:v>The Art &amp; Science of Foodpairing.pdf</x:v>
      </x:c>
      <x:c r="L246" s="28" t="str">
        <x:v>The Art &amp; Science of Foodpairing.pdf: 113, 114</x:v>
      </x:c>
    </x:row>
    <x:row r="247" ht="66" customHeight="1">
      <x:c r="A247" s="28" t="str">
        <x:v>VEG-1010</x:v>
      </x:c>
      <x:c r="B247" s="28" t="str">
        <x:v>чеснок</x:v>
      </x:c>
      <x:c r="C247" s="28" t="str">
        <x:v>арахисовая паста</x:v>
      </x:c>
      <x:c r="D247" s="28" t="str">
        <x:v>Орехи и семена</x:v>
      </x:c>
      <x:c r="E247" s="28" t="str">
        <x:v>пересечение ароматических семейств; сернистая или горчичная комплементарность</x:v>
      </x:c>
      <x:c r="F247" s="28" t="str">
        <x:v>Чеснок имеет профиль «резкий сернистый, зелёный и мясной; после запекания — сладкий и ореховый». Партнёр «арахисовая паста»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47" s="28" t="str">
        <x:v>сырой чеснок быстро доминирует; пережжённый чеснок очень горький; хранить и обрабатывать по пищевым нормам</x:v>
      </x:c>
      <x:c r="I247" s="28" t="str">
        <x:v>горячее блюдо, бульон, соус, пюре, ферментация или гарнир с арахисовая паста</x:v>
      </x:c>
      <x:c r="J247" s="28" t="str">
        <x:v>Средняя</x:v>
      </x:c>
      <x:c r="K247" s="28" t="str">
        <x:v>The Art &amp; Science of Foodpairing.pdf</x:v>
      </x:c>
      <x:c r="L247" s="28" t="str">
        <x:v>The Art &amp; Science of Foodpairing.pdf: 114</x:v>
      </x:c>
    </x:row>
    <x:row r="248" ht="66" customHeight="1">
      <x:c r="A248" s="28" t="str">
        <x:v>VEG-1018</x:v>
      </x:c>
      <x:c r="B248" s="28" t="str">
        <x:v>чеснок</x:v>
      </x:c>
      <x:c r="C248" s="28" t="str">
        <x:v>виноград</x:v>
      </x:c>
      <x:c r="D248" s="28" t="str">
        <x:v>Фрукты и ягоды</x:v>
      </x:c>
      <x:c r="E248" s="28" t="str">
        <x:v>кислотно-сладкий баланс; сернистая или горчичная комплементарность</x:v>
      </x:c>
      <x:c r="F248" s="28" t="str">
        <x:v>Чеснок имеет профиль «резкий сернистый, зелёный и мясной; после запекания — сладкий и ореховый».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48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48" s="28" t="str">
        <x:v>горячее блюдо, бульон, соус, пюре, ферментация или гарнир с виноград</x:v>
      </x:c>
      <x:c r="J248" s="28" t="str">
        <x:v>Средняя</x:v>
      </x:c>
      <x:c r="K248" s="28" t="str">
        <x:v>The Art &amp; Science of Foodpairing.pdf</x:v>
      </x:c>
      <x:c r="L248" s="28" t="str">
        <x:v>The Art &amp; Science of Foodpairing.pdf: 113</x:v>
      </x:c>
    </x:row>
    <x:row r="249" ht="66" customHeight="1">
      <x:c r="A249" s="28" t="str">
        <x:v>VEG-1027</x:v>
      </x:c>
      <x:c r="B249" s="28" t="str">
        <x:v>чеснок</x:v>
      </x:c>
      <x:c r="C249" s="28" t="str">
        <x:v>грецкий орех</x:v>
      </x:c>
      <x:c r="D249" s="28" t="str">
        <x:v>Орехи и семена</x:v>
      </x:c>
      <x:c r="E249" s="28" t="str">
        <x:v>сернистая или горчичная комплементарность</x:v>
      </x:c>
      <x:c r="F249" s="28" t="str">
        <x:v>Чеснок имеет профиль «резкий сернистый, зелёный и мясной; после запекания — сладкий и ореховый». Партнёр «грецкий орех» относится к группе «Орехи и семена» и даёт древесный, землистый,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4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49" s="28" t="str">
        <x:v>сырой чеснок быстро доминирует; пережжённый чеснок очень горький; хранить и обрабатывать по пищевым нормам</x:v>
      </x:c>
      <x:c r="I249" s="28" t="str">
        <x:v>горячее блюдо, бульон, соус, пюре, ферментация или гарнир с грецкий орех</x:v>
      </x:c>
      <x:c r="J249" s="28" t="str">
        <x:v>Средняя</x:v>
      </x:c>
      <x:c r="K249" s="28" t="str">
        <x:v>Тезариус вкусов (Ники Сегнит)(1).pdf</x:v>
      </x:c>
      <x:c r="L249" s="28" t="str">
        <x:v>Тезариус вкусов (Ники Сегнит)(1).pdf: 293, 630</x:v>
      </x:c>
    </x:row>
    <x:row r="250" ht="66" customHeight="1">
      <x:c r="A250" s="28" t="str">
        <x:v>VEG-1028</x:v>
      </x:c>
      <x:c r="B250" s="28" t="str">
        <x:v>чеснок</x:v>
      </x:c>
      <x:c r="C250" s="28" t="str">
        <x:v>груша</x:v>
      </x:c>
      <x:c r="D250" s="28" t="str">
        <x:v>Фрукты и ягоды</x:v>
      </x:c>
      <x:c r="E250" s="28" t="str">
        <x:v>кислотно-сладкий баланс; сернистая или горчичная комплементарность</x:v>
      </x:c>
      <x:c r="F250" s="28" t="str">
        <x:v>Чеснок имеет профиль «резкий сернистый, зелёный и мясной; после запекания — сладкий и ореховый». Партнёр «груша» относится к группе «Фрукты и ягоды» и даёт сладкий, фруктовый, цветочный.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0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50" s="28" t="str">
        <x:v>горячее блюдо, бульон, соус, пюре, ферментация или гарнир с груша</x:v>
      </x:c>
      <x:c r="J250" s="28" t="str">
        <x:v>Средняя</x:v>
      </x:c>
      <x:c r="K250" s="28" t="str">
        <x:v>The Art &amp; Science of Foodpairing.pdf</x:v>
      </x:c>
      <x:c r="L250" s="28" t="str">
        <x:v>The Art &amp; Science of Foodpairing.pdf: 114</x:v>
      </x:c>
    </x:row>
    <x:row r="251" ht="66" customHeight="1">
      <x:c r="A251" s="28" t="str">
        <x:v>VEG-1029</x:v>
      </x:c>
      <x:c r="B251" s="28" t="str">
        <x:v>чеснок</x:v>
      </x:c>
      <x:c r="C251" s="28" t="str">
        <x:v>гуава</x:v>
      </x:c>
      <x:c r="D251" s="28" t="str">
        <x:v>Фрукты и ягоды</x:v>
      </x:c>
      <x:c r="E251" s="28" t="str">
        <x:v>кислотно-сладкий баланс; сернистая или горчичная комплементарность</x:v>
      </x:c>
      <x:c r="F251" s="28" t="str">
        <x:v>Чеснок имеет профиль «резкий сернистый, зелёный и мясной; после запекания — сладкий и ореховый». Партнёр «гуава»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1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51" s="28" t="str">
        <x:v>горячее блюдо, бульон, соус, пюре, ферментация или гарнир с гуава</x:v>
      </x:c>
      <x:c r="J251" s="28" t="str">
        <x:v>Средняя</x:v>
      </x:c>
      <x:c r="K251" s="28" t="str">
        <x:v>The Art &amp; Science of Foodpairing.pdf</x:v>
      </x:c>
      <x:c r="L251" s="28" t="str">
        <x:v>The Art &amp; Science of Foodpairing.pdf: 114</x:v>
      </x:c>
    </x:row>
    <x:row r="252" ht="66" customHeight="1">
      <x:c r="A252" s="28" t="str">
        <x:v>VEG-1030</x:v>
      </x:c>
      <x:c r="B252" s="28" t="str">
        <x:v>чеснок</x:v>
      </x:c>
      <x:c r="C252" s="28" t="str">
        <x:v>дикий рис</x:v>
      </x:c>
      <x:c r="D252" s="28" t="str">
        <x:v>Выпечка, крупы, сахара и десерты</x:v>
      </x:c>
      <x:c r="E252" s="28" t="str">
        <x:v>пересечение ароматических семейств; сернистая или горчичная комплементарность</x:v>
      </x:c>
      <x:c r="F252" s="28" t="str">
        <x:v>Чеснок имеет профиль «резкий сернистый, зелёный и мясной; после запекания — сладкий и ореховый». Партнёр «дикий рис»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2" s="28" t="str">
        <x:v>сырой чеснок быстро доминирует; пережжённый чеснок очень горький; хранить и обрабатывать по пищевым нормам</x:v>
      </x:c>
      <x:c r="I252" s="28" t="str">
        <x:v>горячее блюдо, бульон, соус, пюре, ферментация или гарнир с дикий рис</x:v>
      </x:c>
      <x:c r="J252" s="28" t="str">
        <x:v>Средняя</x:v>
      </x:c>
      <x:c r="K252" s="28" t="str">
        <x:v>The Art &amp; Science of Foodpairing.pdf</x:v>
      </x:c>
      <x:c r="L252" s="28" t="str">
        <x:v>The Art &amp; Science of Foodpairing.pdf: 114</x:v>
      </x:c>
    </x:row>
    <x:row r="253" ht="66" customHeight="1">
      <x:c r="A253" s="28" t="str">
        <x:v>VEG-1032</x:v>
      </x:c>
      <x:c r="B253" s="28" t="str">
        <x:v>чеснок</x:v>
      </x:c>
      <x:c r="C253" s="28" t="str">
        <x:v>дыня</x:v>
      </x:c>
      <x:c r="D253" s="28" t="str">
        <x:v>Фрукты и ягоды</x:v>
      </x:c>
      <x:c r="E253" s="28" t="str">
        <x:v>кислотно-сладкий баланс; сернистая или горчичная комплементарность</x:v>
      </x:c>
      <x:c r="F253" s="28" t="str">
        <x:v>Чеснок имеет профиль «резкий сернистый, зелёный и мясной; после запекания — сладкий и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53" s="28" t="str">
        <x:v>горячее блюдо, бульон, соус, пюре, ферментация или гарнир с дыня</x:v>
      </x:c>
      <x:c r="J253" s="28" t="str">
        <x:v>Средняя</x:v>
      </x:c>
      <x:c r="K253" s="28" t="str">
        <x:v>The Art &amp; Science of Foodpairing.pdf</x:v>
      </x:c>
      <x:c r="L253" s="28" t="str">
        <x:v>The Art &amp; Science of Foodpairing.pdf: 113</x:v>
      </x:c>
    </x:row>
    <x:row r="254" ht="66" customHeight="1">
      <x:c r="A254" s="28" t="str">
        <x:v>VEG-1042</x:v>
      </x:c>
      <x:c r="B254" s="28" t="str">
        <x:v>чеснок</x:v>
      </x:c>
      <x:c r="C254" s="28" t="str">
        <x:v>какао-крупка</x:v>
      </x:c>
      <x:c r="D254" s="28" t="str">
        <x:v>Какао и шоколад</x:v>
      </x:c>
      <x:c r="E254" s="28" t="str">
        <x:v>пересечение ароматических семейств; сернистая или горчичная комплементарность</x:v>
      </x:c>
      <x:c r="F254" s="28" t="str">
        <x:v>Чеснок имеет профиль «резкий сернистый, зелёный и мясной; после запекания — сладкий и ореховый». Партнёр «какао-крупка» относится к группе «Какао и шоколад» и даёт какаовый, жареный и горько-сладкий.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4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254" s="28" t="str">
        <x:v>горячее блюдо, бульон, соус, пюре, ферментация или гарнир с какао-крупка</x:v>
      </x:c>
      <x:c r="J254" s="28" t="str">
        <x:v>Средняя</x:v>
      </x:c>
      <x:c r="K254" s="28" t="str">
        <x:v>The Art &amp; Science of Foodpairing.pdf</x:v>
      </x:c>
      <x:c r="L254" s="28" t="str">
        <x:v>The Art &amp; Science of Foodpairing.pdf: 113</x:v>
      </x:c>
    </x:row>
    <x:row r="255" ht="66" customHeight="1">
      <x:c r="A255" s="28" t="str">
        <x:v>VEG-1047</x:v>
      </x:c>
      <x:c r="B255" s="28" t="str">
        <x:v>чеснок</x:v>
      </x:c>
      <x:c r="C255" s="28" t="str">
        <x:v>клубника</x:v>
      </x:c>
      <x:c r="D255" s="28" t="str">
        <x:v>Фрукты и ягоды</x:v>
      </x:c>
      <x:c r="E255" s="28" t="str">
        <x:v>кислотно-сладкий баланс; сернистая или горчичная комплементарность</x:v>
      </x:c>
      <x:c r="F255" s="28" t="str">
        <x:v>Чеснок имеет профиль «резкий сернистый, зелёный и мясной; после запекания — сладкий и ореховый».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5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55" s="28" t="str">
        <x:v>горячее блюдо, бульон, соус, пюре, ферментация или гарнир с клубника</x:v>
      </x:c>
      <x:c r="J255" s="28" t="str">
        <x:v>Высокая</x:v>
      </x:c>
      <x:c r="K255" s="28" t="str">
        <x:v>The Art &amp; Science of Foodpairing.pdf</x:v>
      </x:c>
      <x:c r="L255" s="28" t="str">
        <x:v>The Art &amp; Science of Foodpairing.pdf: 112, 113</x:v>
      </x:c>
    </x:row>
    <x:row r="256" ht="66" customHeight="1">
      <x:c r="A256" s="28" t="str">
        <x:v>VEG-1048</x:v>
      </x:c>
      <x:c r="B256" s="28" t="str">
        <x:v>чеснок</x:v>
      </x:c>
      <x:c r="C256" s="28" t="str">
        <x:v>козий сыр</x:v>
      </x:c>
      <x:c r="D256" s="28" t="str">
        <x:v>Молочные продукты и сыры</x:v>
      </x:c>
      <x:c r="E256" s="28" t="str">
        <x:v>пересечение ароматических семейств; жировая матрица; сернистая или горчичная комплементарность</x:v>
      </x:c>
      <x:c r="F256" s="28" t="str">
        <x:v>Чеснок имеет профиль «резкий сернистый, зелёный и мясной; после запекания — сладкий и ореховый».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6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256" s="28" t="str">
        <x:v>горячее блюдо, бульон, соус, пюре, ферментация или гарнир с козий сыр</x:v>
      </x:c>
      <x:c r="J256" s="28" t="str">
        <x:v>Средняя</x:v>
      </x:c>
      <x:c r="K256" s="28" t="str">
        <x:v>Тезариус вкусов (Ники Сегнит)(1).pdf</x:v>
      </x:c>
      <x:c r="L256" s="28" t="str">
        <x:v>Тезариус вкусов (Ники Сегнит)(1).pdf: 143, 294</x:v>
      </x:c>
    </x:row>
    <x:row r="257" ht="66" customHeight="1">
      <x:c r="A257" s="28" t="str">
        <x:v>VEG-1060</x:v>
      </x:c>
      <x:c r="B257" s="28" t="str">
        <x:v>чеснок</x:v>
      </x:c>
      <x:c r="C257" s="28" t="str">
        <x:v>лимонная вербена</x:v>
      </x:c>
      <x:c r="D257" s="28" t="str">
        <x:v>Фрукты и ягоды</x:v>
      </x:c>
      <x:c r="E257" s="28" t="str">
        <x:v>кислотно-сладкий баланс; сернистая или горчичная комплементарность</x:v>
      </x:c>
      <x:c r="F257" s="28" t="str">
        <x:v>Чеснок имеет профиль «резкий сернистый, зелёный и мясной; после запекания — сладкий и ореховый». Партнёр «лимонная вербена»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7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57" s="28" t="str">
        <x:v>горячее блюдо, бульон, соус, пюре, ферментация или гарнир с лимонная вербена</x:v>
      </x:c>
      <x:c r="J257" s="28" t="str">
        <x:v>Средняя</x:v>
      </x:c>
      <x:c r="K257" s="28" t="str">
        <x:v>The Art &amp; Science of Foodpairing.pdf</x:v>
      </x:c>
      <x:c r="L257" s="28" t="str">
        <x:v>The Art &amp; Science of Foodpairing.pdf: 113</x:v>
      </x:c>
    </x:row>
    <x:row r="258" ht="66" customHeight="1">
      <x:c r="A258" s="28" t="str">
        <x:v>VEG-1065</x:v>
      </x:c>
      <x:c r="B258" s="28" t="str">
        <x:v>чеснок</x:v>
      </x:c>
      <x:c r="C258" s="28" t="str">
        <x:v>манго</x:v>
      </x:c>
      <x:c r="D258" s="28" t="str">
        <x:v>Фрукты и ягоды</x:v>
      </x:c>
      <x:c r="E258" s="28" t="str">
        <x:v>кислотно-сладкий баланс; сернистая или горчичная комплементарность</x:v>
      </x:c>
      <x:c r="F258" s="28" t="str">
        <x:v>Чеснок имеет профиль «резкий сернистый, зелёный и мясной; после запекания — сладкий и ореховый».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8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58" s="28" t="str">
        <x:v>горячее блюдо, бульон, соус, пюре, ферментация или гарнир с манго</x:v>
      </x:c>
      <x:c r="J258" s="28" t="str">
        <x:v>Средняя</x:v>
      </x:c>
      <x:c r="K258" s="28" t="str">
        <x:v>The Art &amp; Science of Foodpairing.pdf</x:v>
      </x:c>
      <x:c r="L258" s="28" t="str">
        <x:v>The Art &amp; Science of Foodpairing.pdf: 113</x:v>
      </x:c>
    </x:row>
    <x:row r="259" ht="66" customHeight="1">
      <x:c r="A259" s="28" t="str">
        <x:v>VEG-1069</x:v>
      </x:c>
      <x:c r="B259" s="28" t="str">
        <x:v>чеснок</x:v>
      </x:c>
      <x:c r="C259" s="28" t="str">
        <x:v>миндаль</x:v>
      </x:c>
      <x:c r="D259" s="28" t="str">
        <x:v>Орехи и семена</x:v>
      </x:c>
      <x:c r="E259" s="28" t="str">
        <x:v>пересечение ароматических семейств; сернистая или горчичная комплементарность</x:v>
      </x:c>
      <x:c r="F259" s="28" t="str">
        <x:v>Чеснок имеет профиль «резкий сернистый, зелёный и мясной; после запекания — сладкий и ореховый». Партнёр «миндаль» относится к группе «Орехи и семена» и даёт жареный, миндальный,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5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59" s="28" t="str">
        <x:v>сырой чеснок быстро доминирует; пережжённый чеснок очень горький; хранить и обрабатывать по пищевым нормам</x:v>
      </x:c>
      <x:c r="I259" s="28" t="str">
        <x:v>горячее блюдо, бульон, соус, пюре, ферментация или гарнир с миндаль</x:v>
      </x:c>
      <x:c r="J259" s="28" t="str">
        <x:v>Средняя</x:v>
      </x:c>
      <x:c r="K259" s="28" t="str">
        <x:v>Тезариус вкусов (Ники Сегнит)(1).pdf</x:v>
      </x:c>
      <x:c r="L259" s="28" t="str">
        <x:v>Тезариус вкусов (Ники Сегнит)(1).pdf: 295, 650</x:v>
      </x:c>
    </x:row>
    <x:row r="260" ht="66" customHeight="1">
      <x:c r="A260" s="28" t="str">
        <x:v>VEG-1072</x:v>
      </x:c>
      <x:c r="B260" s="28" t="str">
        <x:v>чеснок</x:v>
      </x:c>
      <x:c r="C260" s="28" t="str">
        <x:v>мягкий сыр</x:v>
      </x:c>
      <x:c r="D260" s="28" t="str">
        <x:v>Молочные продукты и сыры</x:v>
      </x:c>
      <x:c r="E260" s="28" t="str">
        <x:v>пересечение ароматических семейств; жировая матрица; сернистая или горчичная комплементарность</x:v>
      </x:c>
      <x:c r="F260" s="28" t="str">
        <x:v>Чеснок имеет профиль «резкий сернистый, зелёный и мясной; после запекания — сладкий и ореховый».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0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260" s="28" t="str">
        <x:v>горячее блюдо, бульон, соус, пюре, ферментация или гарнир с мягкий сыр</x:v>
      </x:c>
      <x:c r="J260" s="28" t="str">
        <x:v>Средняя</x:v>
      </x:c>
      <x:c r="K260" s="28" t="str">
        <x:v>Тезариус вкусов (Ники Сегнит)(1).pdf</x:v>
      </x:c>
      <x:c r="L260" s="28" t="str">
        <x:v>Тезариус вкусов (Ники Сегнит)(1).pdf: 188, 296</x:v>
      </x:c>
    </x:row>
    <x:row r="261" ht="66" customHeight="1">
      <x:c r="A261" s="28" t="str">
        <x:v>VEG-1079</x:v>
      </x:c>
      <x:c r="B261" s="28" t="str">
        <x:v>чеснок</x:v>
      </x:c>
      <x:c r="C261" s="28" t="str">
        <x:v>паста тикка масала</x:v>
      </x:c>
      <x:c r="D261" s="28" t="str">
        <x:v>Выпечка, крупы, сахара и десерты</x:v>
      </x:c>
      <x:c r="E261" s="28" t="str">
        <x:v>пересечение ароматических семейств; сернистая или горчичная комплементарность</x:v>
      </x:c>
      <x:c r="F261" s="28" t="str">
        <x:v>Чеснок имеет профиль «резкий сернистый, зелёный и мясной; после запекания — сладкий и ореховый». Партнёр «паста тикка масала»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1" s="28" t="str">
        <x:v>сырой чеснок быстро доминирует; пережжённый чеснок очень горький; хранить и обрабатывать по пищевым нормам</x:v>
      </x:c>
      <x:c r="I261" s="28" t="str">
        <x:v>горячее блюдо, бульон, соус, пюре, ферментация или гарнир с паста тикка масала</x:v>
      </x:c>
      <x:c r="J261" s="28" t="str">
        <x:v>Средняя</x:v>
      </x:c>
      <x:c r="K261" s="28" t="str">
        <x:v>The Art &amp; Science of Foodpairing.pdf</x:v>
      </x:c>
      <x:c r="L261" s="28" t="str">
        <x:v>The Art &amp; Science of Foodpairing.pdf: 114</x:v>
      </x:c>
    </x:row>
    <x:row r="262" ht="66" customHeight="1">
      <x:c r="A262" s="28" t="str">
        <x:v>VEG-1085</x:v>
      </x:c>
      <x:c r="B262" s="28" t="str">
        <x:v>чеснок</x:v>
      </x:c>
      <x:c r="C262" s="28" t="str">
        <x:v>пралине из миндаля и фундука</x:v>
      </x:c>
      <x:c r="D262" s="28" t="str">
        <x:v>Орехи и семена</x:v>
      </x:c>
      <x:c r="E262" s="28" t="str">
        <x:v>пересечение ароматических семейств; сернистая или горчичная комплементарность</x:v>
      </x:c>
      <x:c r="F262" s="28" t="str">
        <x:v>Чеснок имеет профиль «резкий сернистый, зелёный и мясной; после запекания — сладкий и ореховый». Партнёр «пралине из миндаля и фундука»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2" s="28" t="str">
        <x:v>сырой чеснок быстро доминирует; пережжённый чеснок очень горький; хранить и обрабатывать по пищевым нормам</x:v>
      </x:c>
      <x:c r="I262" s="28" t="str">
        <x:v>горячее блюдо, бульон, соус, пюре, ферментация или гарнир с пралине из миндаля и фундука</x:v>
      </x:c>
      <x:c r="J262" s="28" t="str">
        <x:v>Средняя</x:v>
      </x:c>
      <x:c r="K262" s="28" t="str">
        <x:v>The Art &amp; Science of Foodpairing.pdf</x:v>
      </x:c>
      <x:c r="L262" s="28" t="str">
        <x:v>The Art &amp; Science of Foodpairing.pdf: 113</x:v>
      </x:c>
    </x:row>
    <x:row r="263" ht="66" customHeight="1">
      <x:c r="A263" s="28" t="str">
        <x:v>VEG-1086</x:v>
      </x:c>
      <x:c r="B263" s="28" t="str">
        <x:v>чеснок</x:v>
      </x:c>
      <x:c r="C263" s="28" t="str">
        <x:v>рассольный сыр</x:v>
      </x:c>
      <x:c r="D263" s="28" t="str">
        <x:v>Молочные продукты и сыры</x:v>
      </x:c>
      <x:c r="E263" s="28" t="str">
        <x:v>пересечение ароматических семейств; жировая матрица; сернистая или горчичная комплементарность</x:v>
      </x:c>
      <x:c r="F263" s="28" t="str">
        <x:v>Чеснок имеет профиль «резкий сернистый, зелёный и мясной; после запекания — сладкий и ореховый». Партнёр «рассольный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3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263" s="28" t="str">
        <x:v>горячее блюдо, бульон, соус, пюре, ферментация или гарнир с рассольный сыр</x:v>
      </x:c>
      <x:c r="J263" s="28" t="str">
        <x:v>Средняя</x:v>
      </x:c>
      <x:c r="K263" s="28" t="str">
        <x:v>Тезариус вкусов (Ники Сегнит)(1).pdf</x:v>
      </x:c>
      <x:c r="L263" s="28" t="str">
        <x:v>Тезариус вкусов (Ники Сегнит)(1).pdf: 150, 297</x:v>
      </x:c>
    </x:row>
    <x:row r="264" ht="66" customHeight="1">
      <x:c r="A264" s="28" t="str">
        <x:v>VEG-1092</x:v>
      </x:c>
      <x:c r="B264" s="28" t="str">
        <x:v>чеснок</x:v>
      </x:c>
      <x:c r="C264" s="28" t="str">
        <x:v>сливовый бренди</x:v>
      </x:c>
      <x:c r="D264" s="28" t="str">
        <x:v>Фрукты и ягоды</x:v>
      </x:c>
      <x:c r="E264" s="28" t="str">
        <x:v>кислотно-сладкий баланс; сернистая или горчичная комплементарность</x:v>
      </x:c>
      <x:c r="F264" s="28" t="str">
        <x:v>Чеснок имеет профиль «резкий сернистый, зелёный и мясной; после запекания — сладкий и ореховый». Партнёр «сливовый бренди»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4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64" s="28" t="str">
        <x:v>горячее блюдо, бульон, соус, пюре, ферментация или гарнир с сливовый бренди</x:v>
      </x:c>
      <x:c r="J264" s="28" t="str">
        <x:v>Средняя</x:v>
      </x:c>
      <x:c r="K264" s="28" t="str">
        <x:v>The Art &amp; Science of Foodpairing.pdf</x:v>
      </x:c>
      <x:c r="L264" s="28" t="str">
        <x:v>The Art &amp; Science of Foodpairing.pdf: 113</x:v>
      </x:c>
    </x:row>
    <x:row r="265" ht="66" customHeight="1">
      <x:c r="A265" s="28" t="str">
        <x:v>VEG-1093</x:v>
      </x:c>
      <x:c r="B265" s="28" t="str">
        <x:v>чеснок</x:v>
      </x:c>
      <x:c r="C265" s="28" t="str">
        <x:v>сметана</x:v>
      </x:c>
      <x:c r="D265" s="28" t="str">
        <x:v>Молочные продукты и сыры</x:v>
      </x:c>
      <x:c r="E265" s="28" t="str">
        <x:v>пересечение ароматических семейств; жировая матрица; сернистая или горчичная комплементарность</x:v>
      </x:c>
      <x:c r="F265" s="28" t="str">
        <x:v>Чеснок имеет профиль «резкий сернистый, зелёный и мясной; после запекания — сладкий и ореховый». Партнёр «сметана» относится к группе «Молочные продукты и сыры» и даёт молочный, сливочный и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5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265" s="28" t="str">
        <x:v>горячее блюдо, бульон, соус, пюре, ферментация или гарнир с сметана</x:v>
      </x:c>
      <x:c r="J265" s="28" t="str">
        <x:v>Средняя</x:v>
      </x:c>
      <x:c r="K265" s="28" t="str">
        <x:v>The Art &amp; Science of Foodpairing.pdf</x:v>
      </x:c>
      <x:c r="L265" s="28" t="str">
        <x:v>The Art &amp; Science of Foodpairing.pdf: 114</x:v>
      </x:c>
    </x:row>
    <x:row r="266" ht="66" customHeight="1">
      <x:c r="A266" s="28" t="str">
        <x:v>VEG-1098</x:v>
      </x:c>
      <x:c r="B266" s="28" t="str">
        <x:v>чеснок</x:v>
      </x:c>
      <x:c r="C266" s="28" t="str">
        <x:v>сыр</x:v>
      </x:c>
      <x:c r="D266" s="28" t="str">
        <x:v>Молочные продукты и сыры</x:v>
      </x:c>
      <x:c r="E266" s="28" t="str">
        <x:v>пересечение ароматических семейств; жировая матрица; сернистая или горчичная комплементарность</x:v>
      </x:c>
      <x:c r="F266" s="28" t="str">
        <x:v>Чеснок имеет профиль «резкий сернистый, зелёный и мясной; после запекания — сладкий и ореховый». Партнёр «сыр»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6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266" s="28" t="str">
        <x:v>горячее блюдо, бульон, соус, пюре, ферментация или гарнир с сыр</x:v>
      </x:c>
      <x:c r="J266" s="28" t="str">
        <x:v>Средняя</x:v>
      </x:c>
      <x:c r="K266" s="28" t="str">
        <x:v>The Art &amp; Science of Foodpairing.pdf</x:v>
      </x:c>
      <x:c r="L266" s="28" t="str">
        <x:v>The Art &amp; Science of Foodpairing.pdf: 113, 114</x:v>
      </x:c>
    </x:row>
    <x:row r="267" ht="66" customHeight="1">
      <x:c r="A267" s="28" t="str">
        <x:v>VEG-1109</x:v>
      </x:c>
      <x:c r="B267" s="28" t="str">
        <x:v>чеснок</x:v>
      </x:c>
      <x:c r="C267" s="28" t="str">
        <x:v>фундук</x:v>
      </x:c>
      <x:c r="D267" s="28" t="str">
        <x:v>Орехи и семена</x:v>
      </x:c>
      <x:c r="E267" s="28" t="str">
        <x:v>пересечение ароматических семейств; сернистая или горчичная комплементарность</x:v>
      </x:c>
      <x:c r="F267" s="28" t="str">
        <x:v>Чеснок имеет профиль «резкий сернистый, зелёный и мясной; после запекания — сладкий и ореховый». Партнёр «фундук»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7" s="28" t="str">
        <x:v>сырой чеснок быстро доминирует; пережжённый чеснок очень горький; хранить и обрабатывать по пищевым нормам</x:v>
      </x:c>
      <x:c r="I267" s="28" t="str">
        <x:v>горячее блюдо, бульон, соус, пюре, ферментация или гарнир с фундук</x:v>
      </x:c>
      <x:c r="J267" s="28" t="str">
        <x:v>Средняя</x:v>
      </x:c>
      <x:c r="K267" s="28" t="str">
        <x:v>Тезариус вкусов (Ники Сегнит)(1).pdf</x:v>
      </x:c>
      <x:c r="L267" s="28" t="str">
        <x:v>Тезариус вкусов (Ники Сегнит)(1).pdf: 299, 377, 638</x:v>
      </x:c>
    </x:row>
    <x:row r="268" ht="66" customHeight="1">
      <x:c r="A268" s="28" t="str">
        <x:v>VEG-1111</x:v>
      </x:c>
      <x:c r="B268" s="28" t="str">
        <x:v>чеснок</x:v>
      </x:c>
      <x:c r="C268" s="28" t="str">
        <x:v>хлеб</x:v>
      </x:c>
      <x:c r="D268" s="28" t="str">
        <x:v>Выпечка, крупы, сахара и десерты</x:v>
      </x:c>
      <x:c r="E268" s="28" t="str">
        <x:v>пересечение ароматических семейств; сернистая или горчичная комплементарность</x:v>
      </x:c>
      <x:c r="F268" s="28" t="str">
        <x:v>Чеснок имеет профиль «резкий сернистый, зелёный и мясной; после запекания — сладкий и ореховый». Партнёр «хлеб» относится к группе «Выпечка, крупы, сахара и десерты» и даёт жареный, зерновой.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8" s="28" t="str">
        <x:v>сырой чеснок быстро доминирует; пережжённый чеснок очень горький; хранить и обрабатывать по пищевым нормам</x:v>
      </x:c>
      <x:c r="I268" s="28" t="str">
        <x:v>горячее блюдо, бульон, соус, пюре, ферментация или гарнир с хлеб</x:v>
      </x:c>
      <x:c r="J268" s="28" t="str">
        <x:v>Высокая</x:v>
      </x:c>
      <x:c r="K268" s="28" t="str">
        <x:v>The Art &amp; Science of Foodpairing.pdf</x:v>
      </x:c>
      <x:c r="L268" s="28" t="str">
        <x:v>The Art &amp; Science of Foodpairing.pdf: 112, 114</x:v>
      </x:c>
    </x:row>
    <x:row r="269" ht="66" customHeight="1">
      <x:c r="A269" s="28" t="str">
        <x:v>VEG-1120</x:v>
      </x:c>
      <x:c r="B269" s="28" t="str">
        <x:v>чеснок</x:v>
      </x:c>
      <x:c r="C269" s="28" t="str">
        <x:v>чёрная смородина</x:v>
      </x:c>
      <x:c r="D269" s="28" t="str">
        <x:v>Фрукты и ягоды</x:v>
      </x:c>
      <x:c r="E269" s="28" t="str">
        <x:v>кислотно-сладкий баланс; сернистая или горчичная комплементарность</x:v>
      </x:c>
      <x:c r="F269" s="28" t="str">
        <x:v>Чеснок имеет профиль «резкий сернистый, зелёный и мясной; после запекания — сладкий и ореховый».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6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69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69" s="28" t="str">
        <x:v>горячее блюдо, бульон, соус, пюре, ферментация или гарнир с чёрная смородина</x:v>
      </x:c>
      <x:c r="J269" s="28" t="str">
        <x:v>Средняя</x:v>
      </x:c>
      <x:c r="K269" s="28" t="str">
        <x:v>The Art &amp; Science of Foodpairing.pdf</x:v>
      </x:c>
      <x:c r="L269" s="28" t="str">
        <x:v>The Art &amp; Science of Foodpairing.pdf: 113</x:v>
      </x:c>
    </x:row>
    <x:row r="270" ht="66" customHeight="1">
      <x:c r="A270" s="28" t="str">
        <x:v>VEG-1126</x:v>
      </x:c>
      <x:c r="B270" s="28" t="str">
        <x:v>чеснок</x:v>
      </x:c>
      <x:c r="C270" s="28" t="str">
        <x:v>шоколад</x:v>
      </x:c>
      <x:c r="D270" s="28" t="str">
        <x:v>Какао и шоколад</x:v>
      </x:c>
      <x:c r="E270" s="28" t="str">
        <x:v>пересечение ароматических семейств; сернистая или горчичная комплементарность</x:v>
      </x:c>
      <x:c r="F270" s="28" t="str">
        <x:v>Чеснок имеет профиль «резкий сернистый, зелёный и мясной; после запекания — сладкий и ореховый». Партнёр «шоколад» относится к группе «Какао и шоколад» и даёт жареный, какаовый, карамельный.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7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70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270" s="28" t="str">
        <x:v>горячее блюдо, бульон, соус, пюре, ферментация или гарнир с шоколад</x:v>
      </x:c>
      <x:c r="J270" s="28" t="str">
        <x:v>Высокая</x:v>
      </x:c>
      <x:c r="K270" s="28" t="str">
        <x:v>The Art &amp; Science of Foodpairing.pdf</x:v>
      </x:c>
      <x:c r="L270" s="28" t="str">
        <x:v>The Art &amp; Science of Foodpairing.pdf: 113</x:v>
      </x:c>
    </x:row>
    <x:row r="271" ht="66" customHeight="1">
      <x:c r="A271" s="28" t="str">
        <x:v>VEG-1128</x:v>
      </x:c>
      <x:c r="B271" s="28" t="str">
        <x:v>чеснок</x:v>
      </x:c>
      <x:c r="C271" s="28" t="str">
        <x:v>яблоко</x:v>
      </x:c>
      <x:c r="D271" s="28" t="str">
        <x:v>Фрукты и ягоды</x:v>
      </x:c>
      <x:c r="E271" s="28" t="str">
        <x:v>кислотно-сладкий баланс; сернистая или горчичная комплементарность</x:v>
      </x:c>
      <x:c r="F271" s="28" t="str">
        <x:v>Чеснок имеет профиль «резкий сернистый, зелёный и мясной; после запекания — сладкий и ореховый».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7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271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271" s="28" t="str">
        <x:v>горячее блюдо, бульон, соус, пюре, ферментация или гарнир с яблоко</x:v>
      </x:c>
      <x:c r="J271" s="28" t="str">
        <x:v>Средняя</x:v>
      </x:c>
      <x:c r="K271" s="28" t="str">
        <x:v>The Art &amp; Science of Foodpairing.pdf</x:v>
      </x:c>
      <x:c r="L271" s="28" t="str">
        <x:v>The Art &amp; Science of Foodpairing.pdf: 114</x:v>
      </x:c>
    </x:row>
  </x:sheetData>
  <x:conditionalFormatting sqref="J2:J271">
    <x:cfRule type="expression" dxfId="27" priority="1">
      <x:formula>J2="Высокая"</x:formula>
    </x:cfRule>
    <x:cfRule type="expression" dxfId="28" priority="2">
      <x:formula>J2="Средняя"</x:formula>
    </x:cfRule>
    <x:cfRule type="expression" dxfId="29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49954170e4436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30" hidden="0" customWidth="1"/>
    <x:col min="5" max="5" width="40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VEG-0003</x:v>
      </x:c>
      <x:c r="B2" s="28" t="str">
        <x:v>артишок</x:v>
      </x:c>
      <x:c r="C2" s="28" t="str">
        <x:v>баранина</x:v>
      </x:c>
      <x:c r="D2" s="28" t="str">
        <x:v>Мясо и птица</x:v>
      </x:c>
      <x:c r="E2" s="28" t="str">
        <x:v>умами и солёный контраст</x:v>
      </x:c>
      <x:c r="F2" s="28" t="str">
        <x:v>Артишок имеет профиль «зелёный, ореховый, травянистый и слегка цветочный».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" s="28" t="str">
        <x:v>кислота ограничивает потемнение; варка и гриль смягчают горечь и усиливают ореховые ноты. </x:v>
      </x:c>
      <x:c r="H2" s="28" t="str">
        <x:v>быстро темнеет; цинарин изменяет восприятие последующей сладости и может мешать винным сочетаниям</x:v>
      </x:c>
      <x:c r="I2" s="28" t="str">
        <x:v>горячее блюдо, бульон, соус, пюре, ферментация или гарнир с баранина</x:v>
      </x:c>
      <x:c r="J2" s="28" t="str">
        <x:v>Средняя</x:v>
      </x:c>
      <x:c r="K2" s="28" t="str">
        <x:v>Тезариус вкусов (Ники Сегнит)(1).pdf</x:v>
      </x:c>
      <x:c r="L2" s="28" t="str">
        <x:v>Тезариус вкусов (Ники Сегнит)(1).pdf: 126, 335, 336</x:v>
      </x:c>
    </x:row>
    <x:row r="3" ht="66" customHeight="1">
      <x:c r="A3" s="28" t="str">
        <x:v>VEG-0004</x:v>
      </x:c>
      <x:c r="B3" s="28" t="str">
        <x:v>артишок</x:v>
      </x:c>
      <x:c r="C3" s="28" t="str">
        <x:v>бекон</x:v>
      </x:c>
      <x:c r="D3" s="28" t="str">
        <x:v>Мясо и птица</x:v>
      </x:c>
      <x:c r="E3" s="28" t="str">
        <x:v>умами и солёный контраст</x:v>
      </x:c>
      <x:c r="F3" s="28" t="str">
        <x:v>Артишок имеет профиль «зелёный, ореховый, травянистый и слегка цветочный».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" s="28" t="str">
        <x:v>кислота ограничивает потемнение; варка и гриль смягчают горечь и усиливают ореховые ноты. </x:v>
      </x:c>
      <x:c r="H3" s="28" t="str">
        <x:v>быстро темнеет; цинарин изменяет восприятие последующей сладости и может мешать винным сочетаниям</x:v>
      </x:c>
      <x:c r="I3" s="28" t="str">
        <x:v>горячее блюдо, бульон, соус, пюре, ферментация или гарнир с бекон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337, 442</x:v>
      </x:c>
    </x:row>
    <x:row r="4" ht="66" customHeight="1">
      <x:c r="A4" s="28" t="str">
        <x:v>VEG-0005</x:v>
      </x:c>
      <x:c r="B4" s="28" t="str">
        <x:v>артишок</x:v>
      </x:c>
      <x:c r="C4" s="28" t="str">
        <x:v>говядина</x:v>
      </x:c>
      <x:c r="D4" s="28" t="str">
        <x:v>Мясо и птица</x:v>
      </x:c>
      <x:c r="E4" s="28" t="str">
        <x:v>умами и солёный контраст</x:v>
      </x:c>
      <x:c r="F4" s="28" t="str">
        <x:v>Артишок имеет профиль «зелёный, ореховый, травянистый и слегка цветочный».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" s="28" t="str">
        <x:v>кислота ограничивает потемнение; варка и гриль смягчают горечь и усиливают ореховые ноты. </x:v>
      </x:c>
      <x:c r="H4" s="28" t="str">
        <x:v>быстро темнеет; цинарин изменяет восприятие последующей сладости и может мешать винным сочетаниям</x:v>
      </x:c>
      <x:c r="I4" s="28" t="str">
        <x:v>горячее блюдо, бульон, соус, пюре, ферментация или гарнир с говядина</x:v>
      </x:c>
      <x:c r="J4" s="28" t="str">
        <x:v>Высокая</x:v>
      </x:c>
      <x:c r="K4" s="28" t="str">
        <x:v>The Art &amp; Science of Foodpairing.pdf</x:v>
      </x:c>
      <x:c r="L4" s="28" t="str">
        <x:v>The Art &amp; Science of Foodpairing.pdf: 329</x:v>
      </x:c>
    </x:row>
    <x:row r="5" ht="66" customHeight="1">
      <x:c r="A5" s="28" t="str">
        <x:v>VEG-0006</x:v>
      </x:c>
      <x:c r="B5" s="28" t="str">
        <x:v>артишок</x:v>
      </x:c>
      <x:c r="C5" s="28" t="str">
        <x:v>горох</x:v>
      </x:c>
      <x:c r="D5" s="28" t="str">
        <x:v>Бобовые</x:v>
      </x:c>
      <x:c r="E5" s="28" t="str">
        <x:v>пересечение ароматических семейств</x:v>
      </x:c>
      <x:c r="F5" s="28" t="str">
        <x:v>Артишок имеет профиль «зелёный, ореховый, травянистый и слегка цветочный».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5" s="28" t="str">
        <x:v>кислота ограничивает потемнение; варка и гриль смягчают горечь и усиливают ореховые ноты. </x:v>
      </x:c>
      <x:c r="H5" s="28" t="str">
        <x:v>быстро темнеет; цинарин изменяет восприятие последующей сладости и может мешать винным сочетаниям</x:v>
      </x:c>
      <x:c r="I5" s="28" t="str">
        <x:v>горячее блюдо, бульон, соус, пюре, ферментация или гарнир с горох</x:v>
      </x:c>
      <x:c r="J5" s="28" t="str">
        <x:v>Средняя</x:v>
      </x:c>
      <x:c r="K5" s="28" t="str">
        <x:v>Тезариус вкусов (Ники Сегнит)(1).pdf</x:v>
      </x:c>
      <x:c r="L5" s="28" t="str">
        <x:v>Тезариус вкусов (Ники Сегнит)(1).pdf: 338, 535</x:v>
      </x:c>
    </x:row>
    <x:row r="6" ht="66" customHeight="1">
      <x:c r="A6" s="28" t="str">
        <x:v>VEG-0010</x:v>
      </x:c>
      <x:c r="B6" s="28" t="str">
        <x:v>артишок</x:v>
      </x:c>
      <x:c r="C6" s="28" t="str">
        <x:v>лосось</x:v>
      </x:c>
      <x:c r="D6" s="28" t="str">
        <x:v>Рыба и морепродукты</x:v>
      </x:c>
      <x:c r="E6" s="28" t="str">
        <x:v>умами и солёный контраст</x:v>
      </x:c>
      <x:c r="F6" s="28" t="str">
        <x:v>Артишок имеет профиль «зелёный, ореховый, травянистый и слегка цветочный».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6" s="28" t="str">
        <x:v>кислота ограничивает потемнение; варка и гриль смягчают горечь и усиливают ореховые ноты. </x:v>
      </x:c>
      <x:c r="H6" s="28" t="str">
        <x:v>быстро темнеет; цинарин изменяет восприятие последующей сладости и может мешать винным сочетаниям</x:v>
      </x:c>
      <x:c r="I6" s="28" t="str">
        <x:v>горячее блюдо, бульон, соус, пюре, ферментация или гарнир с лосось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328</x:v>
      </x:c>
    </x:row>
    <x:row r="7" ht="66" customHeight="1">
      <x:c r="A7" s="28" t="str">
        <x:v>VEG-0012</x:v>
      </x:c>
      <x:c r="B7" s="28" t="str">
        <x:v>артишок</x:v>
      </x:c>
      <x:c r="C7" s="28" t="str">
        <x:v>моллюски</x:v>
      </x:c>
      <x:c r="D7" s="28" t="str">
        <x:v>Рыба и морепродукты</x:v>
      </x:c>
      <x:c r="E7" s="28" t="str">
        <x:v>умами и солёный контраст</x:v>
      </x:c>
      <x:c r="F7" s="28" t="str">
        <x:v>Артишок имеет профиль «зелёный, ореховый, травянистый и слегка цветочный».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7" s="28" t="str">
        <x:v>кислота ограничивает потемнение; варка и гриль смягчают горечь и усиливают ореховые ноты. </x:v>
      </x:c>
      <x:c r="H7" s="28" t="str">
        <x:v>быстро темнеет; цинарин изменяет восприятие последующей сладости и может мешать винным сочетаниям</x:v>
      </x:c>
      <x:c r="I7" s="28" t="str">
        <x:v>горячее блюдо, бульон, соус, пюре, ферментация или гарнир с моллюски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340, 365</x:v>
      </x:c>
    </x:row>
    <x:row r="8" ht="66" customHeight="1">
      <x:c r="A8" s="28" t="str">
        <x:v>VEG-0015</x:v>
      </x:c>
      <x:c r="B8" s="28" t="str">
        <x:v>артишок</x:v>
      </x:c>
      <x:c r="C8" s="28" t="str">
        <x:v>прошутто</x:v>
      </x:c>
      <x:c r="D8" s="28" t="str">
        <x:v>Мясо и птица</x:v>
      </x:c>
      <x:c r="E8" s="28" t="str">
        <x:v>умами и солёный контраст</x:v>
      </x:c>
      <x:c r="F8" s="28" t="str">
        <x:v>Артишок имеет профиль «зелёный, ореховый, травянистый и слегка цветочный».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" s="28" t="str">
        <x:v>кислота ограничивает потемнение; варка и гриль смягчают горечь и усиливают ореховые ноты. </x:v>
      </x:c>
      <x:c r="H8" s="28" t="str">
        <x:v>быстро темнеет; цинарин изменяет восприятие последующей сладости и может мешать винным сочетаниям</x:v>
      </x:c>
      <x:c r="I8" s="28" t="str">
        <x:v>горячее блюдо, бульон, соус, пюре, ферментация или гарнир с прошутто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341, 454</x:v>
      </x:c>
    </x:row>
    <x:row r="9" ht="66" customHeight="1">
      <x:c r="A9" s="28" t="str">
        <x:v>VEG-0016</x:v>
      </x:c>
      <x:c r="B9" s="28" t="str">
        <x:v>артишок</x:v>
      </x:c>
      <x:c r="C9" s="28" t="str">
        <x:v>свинина</x:v>
      </x:c>
      <x:c r="D9" s="28" t="str">
        <x:v>Мясо и птица</x:v>
      </x:c>
      <x:c r="E9" s="28" t="str">
        <x:v>умами и солёный контраст</x:v>
      </x:c>
      <x:c r="F9" s="28" t="str">
        <x:v>Артишок имеет профиль «зелёный, ореховый, травянистый и слегка цветочный».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" s="28" t="str">
        <x:v>кислота ограничивает потемнение; варка и гриль смягчают горечь и усиливают ореховые ноты. </x:v>
      </x:c>
      <x:c r="H9" s="28" t="str">
        <x:v>быстро темнеет; цинарин изменяет восприятие последующей сладости и может мешать винным сочетаниям</x:v>
      </x:c>
      <x:c r="I9" s="28" t="str">
        <x:v>горячее блюдо, бульон, соус, пюре, ферментация или гарнир с свинина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79, 341</x:v>
      </x:c>
    </x:row>
    <x:row r="10" ht="66" customHeight="1">
      <x:c r="A10" s="28" t="str">
        <x:v>VEG-0019</x:v>
      </x:c>
      <x:c r="B10" s="28" t="str">
        <x:v>артишок</x:v>
      </x:c>
      <x:c r="C10" s="28" t="str">
        <x:v>трюфель</x:v>
      </x:c>
      <x:c r="D10" s="28" t="str">
        <x:v>Грибы</x:v>
      </x:c>
      <x:c r="E10" s="28" t="str">
        <x:v>умами и солёный контраст</x:v>
      </x:c>
      <x:c r="F10" s="28" t="str">
        <x:v>Артишок имеет профиль «зелёный, ореховый, травянистый и слегка цветочный».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0" s="28" t="str">
        <x:v>кислота ограничивает потемнение; варка и гриль смягчают горечь и усиливают ореховые ноты. </x:v>
      </x:c>
      <x:c r="H10" s="28" t="str">
        <x:v>быстро темнеет; цинарин изменяет восприятие последующей сладости и может мешать винным сочетаниям</x:v>
      </x:c>
      <x:c r="I10" s="28" t="str">
        <x:v>горячее блюдо, бульон, соус, пюре, ферментация или гарнир с трюфель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301, 342</x:v>
      </x:c>
    </x:row>
    <x:row r="11" ht="66" customHeight="1">
      <x:c r="A11" s="28" t="str">
        <x:v>VEG-0020</x:v>
      </x:c>
      <x:c r="B11" s="28" t="str">
        <x:v>артишок</x:v>
      </x:c>
      <x:c r="C11" s="28" t="str">
        <x:v>устрицы</x:v>
      </x:c>
      <x:c r="D11" s="28" t="str">
        <x:v>Рыба и морепродукты</x:v>
      </x:c>
      <x:c r="E11" s="28" t="str">
        <x:v>умами и солёный контраст</x:v>
      </x:c>
      <x:c r="F11" s="28" t="str">
        <x:v>Артишок имеет профиль «зелёный, ореховый, травянистый и слегка цветочный».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1" s="28" t="str">
        <x:v>кислота ограничивает потемнение; варка и гриль смягчают горечь и усиливают ореховые ноты. </x:v>
      </x:c>
      <x:c r="H11" s="28" t="str">
        <x:v>быстро темнеет; цинарин изменяет восприятие последующей сладости и может мешать винным сочетаниям</x:v>
      </x:c>
      <x:c r="I11" s="28" t="str">
        <x:v>горячее блюдо, бульон, соус, пюре, ферментация или гарнир с устрицы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342, 396</x:v>
      </x:c>
    </x:row>
    <x:row r="12" ht="66" customHeight="1">
      <x:c r="A12" s="28" t="str">
        <x:v>VEG-0022</x:v>
      </x:c>
      <x:c r="B12" s="28" t="str">
        <x:v>артишок</x:v>
      </x:c>
      <x:c r="C12" s="28" t="str">
        <x:v>хамон иберико</x:v>
      </x:c>
      <x:c r="D12" s="28" t="str">
        <x:v>Мясо и птица</x:v>
      </x:c>
      <x:c r="E12" s="28" t="str">
        <x:v>умами и солёный контраст</x:v>
      </x:c>
      <x:c r="F12" s="28" t="str">
        <x:v>Артишок имеет профиль «зелёный, ореховый, травянистый и слегка цветочный».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" s="28" t="str">
        <x:v>кислота ограничивает потемнение; варка и гриль смягчают горечь и усиливают ореховые ноты. </x:v>
      </x:c>
      <x:c r="H12" s="28" t="str">
        <x:v>быстро темнеет; цинарин изменяет восприятие последующей сладости и может мешать винным сочетаниям</x:v>
      </x:c>
      <x:c r="I12" s="28" t="str">
        <x:v>горячее блюдо, бульон, соус, пюре, ферментация или гарнир с хамон иберико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278</x:v>
      </x:c>
    </x:row>
    <x:row r="13" ht="66" customHeight="1">
      <x:c r="A13" s="28" t="str">
        <x:v>VEG-0029</x:v>
      </x:c>
      <x:c r="B13" s="28" t="str">
        <x:v>баклажан</x:v>
      </x:c>
      <x:c r="C13" s="28" t="str">
        <x:v>баранина</x:v>
      </x:c>
      <x:c r="D13" s="28" t="str">
        <x:v>Мясо и птица</x:v>
      </x:c>
      <x:c r="E13" s="28" t="str">
        <x:v>общие характерные молекулы; пересечение ароматических семейств; умами и солёный контраст</x:v>
      </x:c>
      <x:c r="F13" s="28" t="str">
        <x:v>Баклажан имеет профиль «зелёный, землистый, слегка грибной и дымный после жарки». Партнёр «баранина»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3" s="28" t="str">
        <x:v>гриль и жарка формируют дымные и жареные ноты; соль и нагрев смягчают горечь. </x:v>
      </x:c>
      <x:c r="H13" s="28" t="str">
        <x:v>избыток масла делает продукт тяжёлым; недоготовленная мякоть остаётся губчатой</x:v>
      </x:c>
      <x:c r="I13" s="28" t="str">
        <x:v>салат, гарнир, суп, соус, маринад, ферментация или напиток с баранина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126, 209</x:v>
      </x:c>
    </x:row>
    <x:row r="14" ht="66" customHeight="1">
      <x:c r="A14" s="28" t="str">
        <x:v>VEG-0030</x:v>
      </x:c>
      <x:c r="B14" s="28" t="str">
        <x:v>баклажан</x:v>
      </x:c>
      <x:c r="C14" s="28" t="str">
        <x:v>батат</x:v>
      </x:c>
      <x:c r="D14" s="28" t="str">
        <x:v>Корнеплоды и клубни</x:v>
      </x:c>
      <x:c r="E14" s="28" t="str">
        <x:v>общие характерные молекулы; пересечение ароматических семейств</x:v>
      </x:c>
      <x:c r="F14" s="28" t="str">
        <x:v>Баклажан имеет профиль «зелёный, землистый, слегка грибной и дымный после жарки».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14" s="28" t="str">
        <x:v>гриль и жарка формируют дымные и жареные ноты; соль и нагрев смягчают горечь. </x:v>
      </x:c>
      <x:c r="H14" s="28" t="str">
        <x:v>избыток масла делает продукт тяжёлым; недоготовленная мякоть остаётся губчатой</x:v>
      </x:c>
      <x:c r="I14" s="28" t="str">
        <x:v>салат, гарнир, суп, соус, маринад, ферментация или напиток с батат</x:v>
      </x:c>
      <x:c r="J14" s="28" t="str">
        <x:v>Средняя</x:v>
      </x:c>
      <x:c r="K14" s="28" t="str">
        <x:v>The Art &amp; Science of Foodpairing.pdf</x:v>
      </x:c>
      <x:c r="L14" s="28" t="str">
        <x:v>The Art &amp; Science of Foodpairing.pdf: 119</x:v>
      </x:c>
    </x:row>
    <x:row r="15" ht="66" customHeight="1">
      <x:c r="A15" s="28" t="str">
        <x:v>VEG-0040</x:v>
      </x:c>
      <x:c r="B15" s="28" t="str">
        <x:v>баклажан</x:v>
      </x:c>
      <x:c r="C15" s="28" t="str">
        <x:v>мускатный орех</x:v>
      </x:c>
      <x:c r="D15" s="28" t="str">
        <x:v>Рыба и морепродукты</x:v>
      </x:c>
      <x:c r="E15" s="28" t="str">
        <x:v>умами и солёный контраст</x:v>
      </x:c>
      <x:c r="F15" s="28" t="str">
        <x:v>Баклажан имеет профиль «зелёный, землистый, слегка грибной и дымный после жарки».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5" s="28" t="str">
        <x:v>гриль и жарка формируют дымные и жареные ноты; соль и нагрев смягчают горечь. </x:v>
      </x:c>
      <x:c r="H15" s="28" t="str">
        <x:v>избыток масла делает продукт тяжёлым; недоготовленная мякоть остаётся губчатой</x:v>
      </x:c>
      <x:c r="I15" s="28" t="str">
        <x:v>салат, гарнир, суп, соус, маринад, ферментация или напиток с мускатный орех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211, 587</x:v>
      </x:c>
    </x:row>
    <x:row r="16" ht="66" customHeight="1">
      <x:c r="A16" s="28" t="str">
        <x:v>VEG-0042</x:v>
      </x:c>
      <x:c r="B16" s="28" t="str">
        <x:v>баклажан</x:v>
      </x:c>
      <x:c r="C16" s="28" t="str">
        <x:v>мясо</x:v>
      </x:c>
      <x:c r="D16" s="28" t="str">
        <x:v>Мясо и птица</x:v>
      </x:c>
      <x:c r="E16" s="28" t="str">
        <x:v>общие характерные молекулы; пересечение ароматических семейств; умами и солёный контраст</x:v>
      </x:c>
      <x:c r="F16" s="28" t="str">
        <x:v>Баклажан имеет профиль «зелёный, землистый, слегка грибной и дымный после жарки».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6" s="28" t="str">
        <x:v>гриль и жарка формируют дымные и жареные ноты; соль и нагрев смягчают горечь. </x:v>
      </x:c>
      <x:c r="H16" s="28" t="str">
        <x:v>избыток масла делает продукт тяжёлым; недоготовленная мякоть остаётся губчатой</x:v>
      </x:c>
      <x:c r="I16" s="28" t="str">
        <x:v>салат, гарнир, суп, соус, маринад, ферментация или напиток с мясо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186</x:v>
      </x:c>
    </x:row>
    <x:row r="17" ht="66" customHeight="1">
      <x:c r="A17" s="28" t="str">
        <x:v>VEG-0044</x:v>
      </x:c>
      <x:c r="B17" s="28" t="str">
        <x:v>баклажан</x:v>
      </x:c>
      <x:c r="C17" s="28" t="str">
        <x:v>прошутто</x:v>
      </x:c>
      <x:c r="D17" s="28" t="str">
        <x:v>Мясо и птица</x:v>
      </x:c>
      <x:c r="E17" s="28" t="str">
        <x:v>общие характерные молекулы; пересечение ароматических семейств; умами и солёный контраст</x:v>
      </x:c>
      <x:c r="F17" s="28" t="str">
        <x:v>Баклажан имеет профиль «зелёный, землистый, слегка грибной и дымный после жарки». Партнёр «прошутто»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7" s="28" t="str">
        <x:v>гриль и жарка формируют дымные и жареные ноты; соль и нагрев смягчают горечь. </x:v>
      </x:c>
      <x:c r="H17" s="28" t="str">
        <x:v>избыток масла делает продукт тяжёлым; недоготовленная мякоть остаётся губчатой</x:v>
      </x:c>
      <x:c r="I17" s="28" t="str">
        <x:v>салат, гарнир, суп, соус, маринад, ферментация или напиток с прошутто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211, 454</x:v>
      </x:c>
    </x:row>
    <x:row r="18" ht="66" customHeight="1">
      <x:c r="A18" s="28" t="str">
        <x:v>VEG-0045</x:v>
      </x:c>
      <x:c r="B18" s="28" t="str">
        <x:v>баклажан</x:v>
      </x:c>
      <x:c r="C18" s="28" t="str">
        <x:v>рыба</x:v>
      </x:c>
      <x:c r="D18" s="28" t="str">
        <x:v>Рыба и морепродукты</x:v>
      </x:c>
      <x:c r="E18" s="28" t="str">
        <x:v>умами и солёный контраст</x:v>
      </x:c>
      <x:c r="F18" s="28" t="str">
        <x:v>Баклажан имеет профиль «зелёный, землистый, слегка грибной и дымный после жарки».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8" s="28" t="str">
        <x:v>гриль и жарка формируют дымные и жареные ноты; соль и нагрев смягчают горечь. </x:v>
      </x:c>
      <x:c r="H18" s="28" t="str">
        <x:v>избыток масла делает продукт тяжёлым; недоготовленная мякоть остаётся губчатой</x:v>
      </x:c>
      <x:c r="I18" s="28" t="str">
        <x:v>салат, гарнир, суп, соус, маринад, ферментация или напиток с рыба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104</x:v>
      </x:c>
    </x:row>
    <x:row r="19" ht="66" customHeight="1">
      <x:c r="A19" s="28" t="str">
        <x:v>VEG-0047</x:v>
      </x:c>
      <x:c r="B19" s="28" t="str">
        <x:v>баклажан</x:v>
      </x:c>
      <x:c r="C19" s="28" t="str">
        <x:v>чеснок</x:v>
      </x:c>
      <x:c r="D19" s="28" t="str">
        <x:v>Луковые овощи</x:v>
      </x:c>
      <x:c r="E19" s="28" t="str">
        <x:v>пересечение ароматических семейств</x:v>
      </x:c>
      <x:c r="F19" s="28" t="str">
        <x:v>Баклажан имеет профиль «зелёный, землистый, слегка грибной и дымный после жарки».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формируется за счёт баланса сладости, кислотности, горечи, умами и текстуры.</x:v>
      </x:c>
      <x:c r="G19" s="28" t="str">
        <x:v>гриль и жарка формируют дымные и жареные ноты; соль и нагрев смягчают горечь. </x:v>
      </x:c>
      <x:c r="H19" s="28" t="str">
        <x:v>избыток масла делает продукт тяжёлым; недоготовленная мякоть остаётся губчатой</x:v>
      </x:c>
      <x:c r="I19" s="28" t="str">
        <x:v>салат, гарнир, суп, соус, маринад, ферментация или напиток с чеснок</x:v>
      </x:c>
      <x:c r="J19" s="28" t="str">
        <x:v>Высокая</x:v>
      </x:c>
      <x:c r="K19" s="28" t="str">
        <x:v>The Art &amp; Science of Foodpairing.pdf | Тезариус вкусов (Ники Сегнит)(1).pdf</x:v>
      </x:c>
      <x:c r="L19" s="28" t="str">
        <x:v>Тезариус вкусов (Ники Сегнит)(1).pdf: 212, 292; The Art &amp; Science of Foodpairing.pdf: 113</x:v>
      </x:c>
    </x:row>
    <x:row r="20" ht="66" customHeight="1">
      <x:c r="A20" s="28" t="str">
        <x:v>VEG-0050</x:v>
      </x:c>
      <x:c r="B20" s="28" t="str">
        <x:v>батат</x:v>
      </x:c>
      <x:c r="C20" s="28" t="str">
        <x:v>арахис</x:v>
      </x:c>
      <x:c r="D20" s="28" t="str">
        <x:v>Орехи и семена</x:v>
      </x:c>
      <x:c r="E20" s="28" t="str">
        <x:v>общие характерные молекулы; пересечение ароматических семейств</x:v>
      </x:c>
      <x:c r="F20" s="28" t="str">
        <x:v>Батат имеет профиль «сладкий, крахмалистый, цветочный, карамельный и ореховый после запекания». Партнёр «арахис»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0" s="28" t="str">
        <x:v>водянистое пюре размывает аромат; сильная сладость требует кислоты, соли или горечи</x:v>
      </x:c>
      <x:c r="I20" s="28" t="str">
        <x:v>пюре, суп, запекание, крем, гарнир, соус или десертная разработка с арахис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119</x:v>
      </x:c>
    </x:row>
    <x:row r="21" ht="66" customHeight="1">
      <x:c r="A21" s="28" t="str">
        <x:v>VEG-0051</x:v>
      </x:c>
      <x:c r="B21" s="28" t="str">
        <x:v>батат</x:v>
      </x:c>
      <x:c r="C21" s="28" t="str">
        <x:v>базилик</x:v>
      </x:c>
      <x:c r="D21" s="28" t="str">
        <x:v>Травы, цветы и листья</x:v>
      </x:c>
      <x:c r="E21" s="28" t="str">
        <x:v>сенсорная комплементарность</x:v>
      </x:c>
      <x:c r="F21" s="28" t="str">
        <x:v>Батат имеет профиль «сладкий, крахмалистый, цветочный, карамельный и ореховый после запекания».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2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1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21" s="28" t="str">
        <x:v>пюре, суп, запекание, крем, гарнир, соус или десертная разработка с базилик</x:v>
      </x:c>
      <x:c r="J21" s="28" t="str">
        <x:v>Средняя</x:v>
      </x:c>
      <x:c r="K21" s="28" t="str">
        <x:v>The Art &amp; Science of Foodpairing.pdf</x:v>
      </x:c>
      <x:c r="L21" s="28" t="str">
        <x:v>The Art &amp; Science of Foodpairing.pdf: 119</x:v>
      </x:c>
    </x:row>
    <x:row r="22" ht="66" customHeight="1">
      <x:c r="A22" s="28" t="str">
        <x:v>VEG-0052</x:v>
      </x:c>
      <x:c r="B22" s="28" t="str">
        <x:v>батат</x:v>
      </x:c>
      <x:c r="C22" s="28" t="str">
        <x:v>бальзамический уксус</x:v>
      </x:c>
      <x:c r="D22" s="28" t="str">
        <x:v>Ферментированные продукты и соусы</x:v>
      </x:c>
      <x:c r="E22" s="28" t="str">
        <x:v>общие характерные молекулы; пересечение ароматических семейств; умами и солёный контраст</x:v>
      </x:c>
      <x:c r="F22" s="28" t="str">
        <x:v>Батат имеет профиль «сладкий, крахмалистый, цветочный, карамельный и ореховый после запекания». Партнёр «бальзамический уксус» относится к группе «Ферментированные продукты и соусы» и даёт ферментированный, умами и сложный. Вероятный молекулярный мост: пиразины, фураны.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2" s="28" t="str">
        <x:v>водянистое пюре размывает аромат; сильная сладость требует кислоты, соли или горечи</x:v>
      </x:c>
      <x:c r="I22" s="28" t="str">
        <x:v>пюре, суп, запекание, крем, гарнир, соус или десертная разработка с бальзамический уксус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316</x:v>
      </x:c>
    </x:row>
    <x:row r="23" ht="66" customHeight="1">
      <x:c r="A23" s="28" t="str">
        <x:v>VEG-0053</x:v>
      </x:c>
      <x:c r="B23" s="28" t="str">
        <x:v>батат</x:v>
      </x:c>
      <x:c r="C23" s="28" t="str">
        <x:v>барбарис</x:v>
      </x:c>
      <x:c r="D23" s="28" t="str">
        <x:v>Выпечка, крупы, сахара и десерты</x:v>
      </x:c>
      <x:c r="E23" s="28" t="str">
        <x:v>общие характерные молекулы; пересечение ароматических семейств</x:v>
      </x:c>
      <x:c r="F23" s="28" t="str">
        <x:v>Батат имеет профиль «сладкий, крахмалистый, цветочный, карамельный и ореховый после запекания». Партнёр «барбарис»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3" s="28" t="str">
        <x:v>водянистое пюре размывает аромат; сильная сладость требует кислоты, соли или горечи</x:v>
      </x:c>
      <x:c r="I23" s="28" t="str">
        <x:v>пюре, суп, запекание, крем, гарнир, соус или десертная разработка с барбарис</x:v>
      </x:c>
      <x:c r="J23" s="28" t="str">
        <x:v>Высокая</x:v>
      </x:c>
      <x:c r="K23" s="28" t="str">
        <x:v>The Art &amp; Science of Foodpairing.pdf</x:v>
      </x:c>
      <x:c r="L23" s="28" t="str">
        <x:v>The Art &amp; Science of Foodpairing.pdf: 118</x:v>
      </x:c>
    </x:row>
    <x:row r="24" ht="66" customHeight="1">
      <x:c r="A24" s="28" t="str">
        <x:v>VEG-0054</x:v>
      </x:c>
      <x:c r="B24" s="28" t="str">
        <x:v>батат</x:v>
      </x:c>
      <x:c r="C24" s="28" t="str">
        <x:v>бекон</x:v>
      </x:c>
      <x:c r="D24" s="28" t="str">
        <x:v>Мясо и птица</x:v>
      </x:c>
      <x:c r="E24" s="28" t="str">
        <x:v>общие характерные молекулы; пересечение ароматических семейств; умами и солёный контраст</x:v>
      </x:c>
      <x:c r="F24" s="28" t="str">
        <x:v>Батат имеет профиль «сладкий, крахмалистый, цветочный, карамельный и ореховый после запекания».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2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4" s="28" t="str">
        <x:v>водянистое пюре размывает аромат; сильная сладость требует кислоты, соли или горечи</x:v>
      </x:c>
      <x:c r="I24" s="28" t="str">
        <x:v>пюре, суп, запекание, крем, гарнир, соус или десертная разработка с бекон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119</x:v>
      </x:c>
    </x:row>
    <x:row r="25" ht="66" customHeight="1">
      <x:c r="A25" s="28" t="str">
        <x:v>VEG-0055</x:v>
      </x:c>
      <x:c r="B25" s="28" t="str">
        <x:v>батат</x:v>
      </x:c>
      <x:c r="C25" s="28" t="str">
        <x:v>бергамот</x:v>
      </x:c>
      <x:c r="D25" s="28" t="str">
        <x:v>Прочее</x:v>
      </x:c>
      <x:c r="E25" s="28" t="str">
        <x:v>сенсорная комплементарность</x:v>
      </x:c>
      <x:c r="F25" s="28" t="str">
        <x:v>Батат имеет профиль «сладкий, крахмалистый, цветочный, карамельный и ореховый после запекания». Партнёр «бергамот»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5" s="28" t="str">
        <x:v>водянистое пюре размывает аромат; сильная сладость требует кислоты, соли или горечи</x:v>
      </x:c>
      <x:c r="I25" s="28" t="str">
        <x:v>пюре, суп, запекание, крем, гарнир, соус или десертная разработка с бергамот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119</x:v>
      </x:c>
    </x:row>
    <x:row r="26" ht="66" customHeight="1">
      <x:c r="A26" s="28" t="str">
        <x:v>VEG-0056</x:v>
      </x:c>
      <x:c r="B26" s="28" t="str">
        <x:v>батат</x:v>
      </x:c>
      <x:c r="C26" s="28" t="str">
        <x:v>гамбургер</x:v>
      </x:c>
      <x:c r="D26" s="28" t="str">
        <x:v>Прочее</x:v>
      </x:c>
      <x:c r="E26" s="28" t="str">
        <x:v>сенсорная комплементарность</x:v>
      </x:c>
      <x:c r="F26" s="28" t="str">
        <x:v>Батат имеет профиль «сладкий, крахмалистый, цветочный, карамельный и ореховый после запекания». Партнёр «гамбургер»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6" s="28" t="str">
        <x:v>водянистое пюре размывает аромат; сильная сладость требует кислоты, соли или горечи</x:v>
      </x:c>
      <x:c r="I26" s="28" t="str">
        <x:v>пюре, суп, запекание, крем, гарнир, соус или десертная разработка с гамбургер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119</x:v>
      </x:c>
    </x:row>
    <x:row r="27" ht="66" customHeight="1">
      <x:c r="A27" s="28" t="str">
        <x:v>VEG-0057</x:v>
      </x:c>
      <x:c r="B27" s="28" t="str">
        <x:v>батат</x:v>
      </x:c>
      <x:c r="C27" s="28" t="str">
        <x:v>грецкий орех</x:v>
      </x:c>
      <x:c r="D27" s="28" t="str">
        <x:v>Орехи и семена</x:v>
      </x:c>
      <x:c r="E27" s="28" t="str">
        <x:v>общие характерные молекулы</x:v>
      </x:c>
      <x:c r="F27" s="28" t="str">
        <x:v>Батат имеет профиль «сладкий, крахмалистый, цветочный, карамельный и ореховый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2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7" s="28" t="str">
        <x:v>водянистое пюре размывает аромат; сильная сладость требует кислоты, соли или горечи</x:v>
      </x:c>
      <x:c r="I27" s="28" t="str">
        <x:v>пюре, суп, запекание, крем, гарнир, соус или десертная разработка с грецкий орех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119</x:v>
      </x:c>
    </x:row>
    <x:row r="28" ht="66" customHeight="1">
      <x:c r="A28" s="28" t="str">
        <x:v>VEG-0058</x:v>
      </x:c>
      <x:c r="B28" s="28" t="str">
        <x:v>батат</x:v>
      </x:c>
      <x:c r="C28" s="28" t="str">
        <x:v>грюйер</x:v>
      </x:c>
      <x:c r="D28" s="28" t="str">
        <x:v>Прочее</x:v>
      </x:c>
      <x:c r="E28" s="28" t="str">
        <x:v>сенсорная комплементарность</x:v>
      </x:c>
      <x:c r="F28" s="28" t="str">
        <x:v>Батат имеет профиль «сладкий, крахмалистый, цветочный, карамельный и ореховый после запекания».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2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8" s="28" t="str">
        <x:v>водянистое пюре размывает аромат; сильная сладость требует кислоты, соли или горечи</x:v>
      </x:c>
      <x:c r="I28" s="28" t="str">
        <x:v>пюре, суп, запекание, крем, гарнир, соус или десертная разработка с грюйер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119</x:v>
      </x:c>
    </x:row>
    <x:row r="29" ht="66" customHeight="1">
      <x:c r="A29" s="28" t="str">
        <x:v>VEG-0059</x:v>
      </x:c>
      <x:c r="B29" s="28" t="str">
        <x:v>батат</x:v>
      </x:c>
      <x:c r="C29" s="28" t="str">
        <x:v>дыня</x:v>
      </x:c>
      <x:c r="D29" s="28" t="str">
        <x:v>Фрукты и ягоды</x:v>
      </x:c>
      <x:c r="E29" s="28" t="str">
        <x:v>кислотно-сладкий баланс</x:v>
      </x:c>
      <x:c r="F29" s="28" t="str">
        <x:v>Батат имеет профиль «сладкий, крахмалистый, цветочный, карамельный и ореховый после запекания».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2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29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29" s="28" t="str">
        <x:v>пюре, суп, запекание, крем, гарнир, соус или десертная разработка с дыня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119</x:v>
      </x:c>
    </x:row>
    <x:row r="30" ht="66" customHeight="1">
      <x:c r="A30" s="28" t="str">
        <x:v>VEG-0060</x:v>
      </x:c>
      <x:c r="B30" s="28" t="str">
        <x:v>батат</x:v>
      </x:c>
      <x:c r="C30" s="28" t="str">
        <x:v>жареная индейка</x:v>
      </x:c>
      <x:c r="D30" s="28" t="str">
        <x:v>Мясо и птица</x:v>
      </x:c>
      <x:c r="E30" s="28" t="str">
        <x:v>общие характерные молекулы; пересечение ароматических семейств; умами и солёный контраст</x:v>
      </x:c>
      <x:c r="F30" s="28" t="str">
        <x:v>Батат имеет профиль «сладкий, крахмалистый, цветочный, карамельный и ореховый после запекания». Партнёр «жареная индейка»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0" s="28" t="str">
        <x:v>водянистое пюре размывает аромат; сильная сладость требует кислоты, соли или горечи</x:v>
      </x:c>
      <x:c r="I30" s="28" t="str">
        <x:v>пюре, суп, запекание, крем, гарнир, соус или десертная разработка с жареная индейка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119</x:v>
      </x:c>
    </x:row>
    <x:row r="31" ht="66" customHeight="1">
      <x:c r="A31" s="28" t="str">
        <x:v>VEG-0061</x:v>
      </x:c>
      <x:c r="B31" s="28" t="str">
        <x:v>батат</x:v>
      </x:c>
      <x:c r="C31" s="28" t="str">
        <x:v>жареная курица</x:v>
      </x:c>
      <x:c r="D31" s="28" t="str">
        <x:v>Мясо и птица</x:v>
      </x:c>
      <x:c r="E31" s="28" t="str">
        <x:v>общие характерные молекулы; пересечение ароматических семейств; умами и солёный контраст</x:v>
      </x:c>
      <x:c r="F31" s="28" t="str">
        <x:v>Батат имеет профиль «сладкий, крахмалистый, цветочный, карамельный и ореховый после запекания». Партнёр «жареная курица»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1" s="28" t="str">
        <x:v>водянистое пюре размывает аромат; сильная сладость требует кислоты, соли или горечи</x:v>
      </x:c>
      <x:c r="I31" s="28" t="str">
        <x:v>пюре, суп, запекание, крем, гарнир, соус или десертная разработка с жареная курица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119</x:v>
      </x:c>
    </x:row>
    <x:row r="32" ht="66" customHeight="1">
      <x:c r="A32" s="28" t="str">
        <x:v>VEG-0062</x:v>
      </x:c>
      <x:c r="B32" s="28" t="str">
        <x:v>батат</x:v>
      </x:c>
      <x:c r="C32" s="28" t="str">
        <x:v>индейка</x:v>
      </x:c>
      <x:c r="D32" s="28" t="str">
        <x:v>Мясо и птица</x:v>
      </x:c>
      <x:c r="E32" s="28" t="str">
        <x:v>общие характерные молекулы; пересечение ароматических семейств; умами и солёный контраст</x:v>
      </x:c>
      <x:c r="F32" s="28" t="str">
        <x:v>Батат имеет профиль «сладкий, крахмалистый, цветочный, карамельный и ореховый после запекания». Партнёр «индейка»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2" s="28" t="str">
        <x:v>водянистое пюре размывает аромат; сильная сладость требует кислоты, соли или горечи</x:v>
      </x:c>
      <x:c r="I32" s="28" t="str">
        <x:v>пюре, суп, запекание, крем, гарнир, соус или десертная разработка с индейка</x:v>
      </x:c>
      <x:c r="J32" s="28" t="str">
        <x:v>Высокая</x:v>
      </x:c>
      <x:c r="K32" s="28" t="str">
        <x:v>The Art &amp; Science of Foodpairing.pdf</x:v>
      </x:c>
      <x:c r="L32" s="28" t="str">
        <x:v>The Art &amp; Science of Foodpairing.pdf: 119</x:v>
      </x:c>
    </x:row>
    <x:row r="33" ht="66" customHeight="1">
      <x:c r="A33" s="28" t="str">
        <x:v>VEG-0063</x:v>
      </x:c>
      <x:c r="B33" s="28" t="str">
        <x:v>батат</x:v>
      </x:c>
      <x:c r="C33" s="28" t="str">
        <x:v>инжир</x:v>
      </x:c>
      <x:c r="D33" s="28" t="str">
        <x:v>Фрукты и ягоды</x:v>
      </x:c>
      <x:c r="E33" s="28" t="str">
        <x:v>кислотно-сладкий баланс</x:v>
      </x:c>
      <x:c r="F33" s="28" t="str">
        <x:v>Батат имеет профиль «сладкий, крахмалистый, цветочный, карамельный и ореховый после запекания». Партнёр «инжир»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3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3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33" s="28" t="str">
        <x:v>пюре, суп, запекание, крем, гарнир, соус или десертная разработка с инжир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119</x:v>
      </x:c>
    </x:row>
    <x:row r="34" ht="66" customHeight="1">
      <x:c r="A34" s="28" t="str">
        <x:v>VEG-0064</x:v>
      </x:c>
      <x:c r="B34" s="28" t="str">
        <x:v>батат</x:v>
      </x:c>
      <x:c r="C34" s="28" t="str">
        <x:v>какао-порошок</x:v>
      </x:c>
      <x:c r="D34" s="28" t="str">
        <x:v>Какао и шоколад</x:v>
      </x:c>
      <x:c r="E34" s="28" t="str">
        <x:v>общие характерные молекулы; пересечение ароматических семейств</x:v>
      </x:c>
      <x:c r="F34" s="28" t="str">
        <x:v>Батат имеет профиль «сладкий, крахмалистый, цветочный, карамельный и ореховый после запекания». Партнёр «какао-порошок» относится к группе «Какао и шоколад» и даёт какаовый, жареный и горько-сладкий.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4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34" s="28" t="str">
        <x:v>пюре, суп, запекание, крем, гарнир, соус или десертная разработка с какао-порошок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119</x:v>
      </x:c>
    </x:row>
    <x:row r="35" ht="66" customHeight="1">
      <x:c r="A35" s="28" t="str">
        <x:v>VEG-0065</x:v>
      </x:c>
      <x:c r="B35" s="28" t="str">
        <x:v>батат</x:v>
      </x:c>
      <x:c r="C35" s="28" t="str">
        <x:v>кефаль</x:v>
      </x:c>
      <x:c r="D35" s="28" t="str">
        <x:v>Рыба и морепродукты</x:v>
      </x:c>
      <x:c r="E35" s="28" t="str">
        <x:v>умами и солёный контраст</x:v>
      </x:c>
      <x:c r="F35" s="28" t="str">
        <x:v>Батат имеет профиль «сладкий, крахмалистый, цветочный, карамельный и ореховый после запекания». Партнёр «кефаль»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5" s="28" t="str">
        <x:v>водянистое пюре размывает аромат; сильная сладость требует кислоты, соли или горечи</x:v>
      </x:c>
      <x:c r="I35" s="28" t="str">
        <x:v>пюре, суп, запекание, крем, гарнир, соус или десертная разработка с кефаль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119</x:v>
      </x:c>
    </x:row>
    <x:row r="36" ht="66" customHeight="1">
      <x:c r="A36" s="28" t="str">
        <x:v>VEG-0066</x:v>
      </x:c>
      <x:c r="B36" s="28" t="str">
        <x:v>батат</x:v>
      </x:c>
      <x:c r="C36" s="28" t="str">
        <x:v>клюквенный сок</x:v>
      </x:c>
      <x:c r="D36" s="28" t="str">
        <x:v>Прочее</x:v>
      </x:c>
      <x:c r="E36" s="28" t="str">
        <x:v>сенсорная комплементарность</x:v>
      </x:c>
      <x:c r="F36" s="28" t="str">
        <x:v>Батат имеет профиль «сладкий, крахмалистый, цветочный, карамельный и ореховый после запекания». Партнёр «клюквенный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6" s="28" t="str">
        <x:v>водянистое пюре размывает аромат; сильная сладость требует кислоты, соли или горечи</x:v>
      </x:c>
      <x:c r="I36" s="28" t="str">
        <x:v>пюре, суп, запекание, крем, гарнир, соус или десертная разработка с клюквенный сок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119</x:v>
      </x:c>
    </x:row>
    <x:row r="37" ht="66" customHeight="1">
      <x:c r="A37" s="28" t="str">
        <x:v>VEG-0067</x:v>
      </x:c>
      <x:c r="B37" s="28" t="str">
        <x:v>батат</x:v>
      </x:c>
      <x:c r="C37" s="28" t="str">
        <x:v>коньяк</x:v>
      </x:c>
      <x:c r="D37" s="28" t="str">
        <x:v>Алкогольные напитки</x:v>
      </x:c>
      <x:c r="E37" s="28" t="str">
        <x:v>сенсорная комплементарность</x:v>
      </x:c>
      <x:c r="F37" s="28" t="str">
        <x:v>Батат имеет профиль «сладкий, крахмалистый, цветочный, карамельный и ореховый после запекания».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7" s="28" t="str">
        <x:v>водянистое пюре размывает аромат; сильная сладость требует кислоты, соли или горечи</x:v>
      </x:c>
      <x:c r="I37" s="28" t="str">
        <x:v>пюре, суп, запекание, крем, гарнир, соус или десертная разработка с коньяк</x:v>
      </x:c>
      <x:c r="J37" s="28" t="str">
        <x:v>Высокая</x:v>
      </x:c>
      <x:c r="K37" s="28" t="str">
        <x:v>The Art &amp; Science of Foodpairing.pdf</x:v>
      </x:c>
      <x:c r="L37" s="28" t="str">
        <x:v>The Art &amp; Science of Foodpairing.pdf: 119</x:v>
      </x:c>
    </x:row>
    <x:row r="38" ht="66" customHeight="1">
      <x:c r="A38" s="28" t="str">
        <x:v>VEG-0068</x:v>
      </x:c>
      <x:c r="B38" s="28" t="str">
        <x:v>батат</x:v>
      </x:c>
      <x:c r="C38" s="28" t="str">
        <x:v>корица</x:v>
      </x:c>
      <x:c r="D38" s="28" t="str">
        <x:v>Специи</x:v>
      </x:c>
      <x:c r="E38" s="28" t="str">
        <x:v>пересечение ароматических семейств</x:v>
      </x:c>
      <x:c r="F38" s="28" t="str">
        <x:v>Батат имеет профиль «сладкий, крахмалистый, цветочный, карамельный и ореховый после запекания».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3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8" s="28" t="str">
        <x:v>водянистое пюре размывает аромат; сильная сладость требует кислоты, соли или горечи</x:v>
      </x:c>
      <x:c r="I38" s="28" t="str">
        <x:v>пюре, суп, запекание, крем, гарнир, соус или десертная разработка с корица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119</x:v>
      </x:c>
    </x:row>
    <x:row r="39" ht="66" customHeight="1">
      <x:c r="A39" s="28" t="str">
        <x:v>VEG-0069</x:v>
      </x:c>
      <x:c r="B39" s="28" t="str">
        <x:v>батат</x:v>
      </x:c>
      <x:c r="C39" s="28" t="str">
        <x:v>кофе</x:v>
      </x:c>
      <x:c r="D39" s="28" t="str">
        <x:v>Кофе</x:v>
      </x:c>
      <x:c r="E39" s="28" t="str">
        <x:v>общие характерные молекулы; пересечение ароматических семейств</x:v>
      </x:c>
      <x:c r="F39" s="28" t="str">
        <x:v>Батат имеет профиль «сладкий, крахмалистый, цветочный, карамельный и ореховый после запекания». Партнёр «кофе» относится к группе «Кофе» и даёт жареный, карамельный, ореховый.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3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39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39" s="28" t="str">
        <x:v>пюре, суп, запекание, крем, гарнир, соус или десертная разработка с кофе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119</x:v>
      </x:c>
    </x:row>
    <x:row r="40" ht="66" customHeight="1">
      <x:c r="A40" s="28" t="str">
        <x:v>VEG-0070</x:v>
      </x:c>
      <x:c r="B40" s="28" t="str">
        <x:v>батат</x:v>
      </x:c>
      <x:c r="C40" s="28" t="str">
        <x:v>красный виноград</x:v>
      </x:c>
      <x:c r="D40" s="28" t="str">
        <x:v>Фрукты и ягоды</x:v>
      </x:c>
      <x:c r="E40" s="28" t="str">
        <x:v>кислотно-сладкий баланс</x:v>
      </x:c>
      <x:c r="F40" s="28" t="str">
        <x:v>Батат имеет профиль «сладкий, крахмалистый, цветочный, карамельный и ореховый после запекания». Партнёр «красный 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4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0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40" s="28" t="str">
        <x:v>пюре, суп, запекание, крем, гарнир, соус или десертная разработка с красный виноград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119</x:v>
      </x:c>
    </x:row>
    <x:row r="41" ht="66" customHeight="1">
      <x:c r="A41" s="28" t="str">
        <x:v>VEG-0071</x:v>
      </x:c>
      <x:c r="B41" s="28" t="str">
        <x:v>батат</x:v>
      </x:c>
      <x:c r="C41" s="28" t="str">
        <x:v>куркума</x:v>
      </x:c>
      <x:c r="D41" s="28" t="str">
        <x:v>Прочее</x:v>
      </x:c>
      <x:c r="E41" s="28" t="str">
        <x:v>сенсорная комплементарность</x:v>
      </x:c>
      <x:c r="F41" s="28" t="str">
        <x:v>Батат имеет профиль «сладкий, крахмалистый, цветочный, карамельный и ореховый после запекания».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1" s="28" t="str">
        <x:v>водянистое пюре размывает аромат; сильная сладость требует кислоты, соли или горечи</x:v>
      </x:c>
      <x:c r="I41" s="28" t="str">
        <x:v>пюре, суп, запекание, крем, гарнир, соус или десертная разработка с куркума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119</x:v>
      </x:c>
    </x:row>
    <x:row r="42" ht="66" customHeight="1">
      <x:c r="A42" s="28" t="str">
        <x:v>VEG-0072</x:v>
      </x:c>
      <x:c r="B42" s="28" t="str">
        <x:v>батат</x:v>
      </x:c>
      <x:c r="C42" s="28" t="str">
        <x:v>лапша соба</x:v>
      </x:c>
      <x:c r="D42" s="28" t="str">
        <x:v>Прочее</x:v>
      </x:c>
      <x:c r="E42" s="28" t="str">
        <x:v>сенсорная комплементарность</x:v>
      </x:c>
      <x:c r="F42" s="28" t="str">
        <x:v>Батат имеет профиль «сладкий, крахмалистый, цветочный, карамельный и ореховый после запекания». Партнёр «лапша соба»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2" s="28" t="str">
        <x:v>водянистое пюре размывает аромат; сильная сладость требует кислоты, соли или горечи</x:v>
      </x:c>
      <x:c r="I42" s="28" t="str">
        <x:v>пюре, суп, запекание, крем, гарнир, соус или десертная разработка с лапша соба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119</x:v>
      </x:c>
    </x:row>
    <x:row r="43" ht="66" customHeight="1">
      <x:c r="A43" s="28" t="str">
        <x:v>VEG-0073</x:v>
      </x:c>
      <x:c r="B43" s="28" t="str">
        <x:v>батат</x:v>
      </x:c>
      <x:c r="C43" s="28" t="str">
        <x:v>логанова ягода</x:v>
      </x:c>
      <x:c r="D43" s="28" t="str">
        <x:v>Фрукты и ягоды</x:v>
      </x:c>
      <x:c r="E43" s="28" t="str">
        <x:v>кислотно-сладкий баланс</x:v>
      </x:c>
      <x:c r="F43" s="28" t="str">
        <x:v>Батат имеет профиль «сладкий, крахмалистый, цветочный, карамельный и ореховый после запекания». Партнёр «логанова ягода»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4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3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43" s="28" t="str">
        <x:v>пюре, суп, запекание, крем, гарнир, соус или десертная разработка с логанова ягода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119</x:v>
      </x:c>
    </x:row>
    <x:row r="44" ht="66" customHeight="1">
      <x:c r="A44" s="28" t="str">
        <x:v>VEG-0074</x:v>
      </x:c>
      <x:c r="B44" s="28" t="str">
        <x:v>батат</x:v>
      </x:c>
      <x:c r="C44" s="28" t="str">
        <x:v>лосось</x:v>
      </x:c>
      <x:c r="D44" s="28" t="str">
        <x:v>Рыба и морепродукты</x:v>
      </x:c>
      <x:c r="E44" s="28" t="str">
        <x:v>умами и солёный контраст</x:v>
      </x:c>
      <x:c r="F44" s="28" t="str">
        <x:v>Батат имеет профиль «сладкий, крахмалистый, цветочный, карамельный и ореховый после запекания».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4" s="28" t="str">
        <x:v>водянистое пюре размывает аромат; сильная сладость требует кислоты, соли или горечи</x:v>
      </x:c>
      <x:c r="I44" s="28" t="str">
        <x:v>пюре, суп, запекание, крем, гарнир, соус или десертная разработка с лосось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119</x:v>
      </x:c>
    </x:row>
    <x:row r="45" ht="66" customHeight="1">
      <x:c r="A45" s="28" t="str">
        <x:v>VEG-0075</x:v>
      </x:c>
      <x:c r="B45" s="28" t="str">
        <x:v>батат</x:v>
      </x:c>
      <x:c r="C45" s="28" t="str">
        <x:v>мадера мальвазия</x:v>
      </x:c>
      <x:c r="D45" s="28" t="str">
        <x:v>Прочее</x:v>
      </x:c>
      <x:c r="E45" s="28" t="str">
        <x:v>сенсорная комплементарность</x:v>
      </x:c>
      <x:c r="F45" s="28" t="str">
        <x:v>Батат имеет профиль «сладкий, крахмалистый, цветочный, карамельный и ореховый после запекания». Партнёр «мадера мальвазия»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5" s="28" t="str">
        <x:v>водянистое пюре размывает аромат; сильная сладость требует кислоты, соли или горечи</x:v>
      </x:c>
      <x:c r="I45" s="28" t="str">
        <x:v>пюре, суп, запекание, крем, гарнир, соус или десертная разработка с мадера мальвазия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119</x:v>
      </x:c>
    </x:row>
    <x:row r="46" ht="66" customHeight="1">
      <x:c r="A46" s="28" t="str">
        <x:v>VEG-0076</x:v>
      </x:c>
      <x:c r="B46" s="28" t="str">
        <x:v>батат</x:v>
      </x:c>
      <x:c r="C46" s="28" t="str">
        <x:v>манго</x:v>
      </x:c>
      <x:c r="D46" s="28" t="str">
        <x:v>Фрукты и ягоды</x:v>
      </x:c>
      <x:c r="E46" s="28" t="str">
        <x:v>кислотно-сладкий баланс</x:v>
      </x:c>
      <x:c r="F46" s="28" t="str">
        <x:v>Батат имеет профиль «сладкий, крахмалистый, цветочный, карамельный и ореховый после запекания».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4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6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46" s="28" t="str">
        <x:v>пюре, суп, запекание, крем, гарнир, соус или десертная разработка с манго</x:v>
      </x:c>
      <x:c r="J46" s="28" t="str">
        <x:v>Высокая</x:v>
      </x:c>
      <x:c r="K46" s="28" t="str">
        <x:v>The Art &amp; Science of Foodpairing.pdf</x:v>
      </x:c>
      <x:c r="L46" s="28" t="str">
        <x:v>The Art &amp; Science of Foodpairing.pdf: 118, 119</x:v>
      </x:c>
    </x:row>
    <x:row r="47" ht="66" customHeight="1">
      <x:c r="A47" s="28" t="str">
        <x:v>VEG-0077</x:v>
      </x:c>
      <x:c r="B47" s="28" t="str">
        <x:v>батат</x:v>
      </x:c>
      <x:c r="C47" s="28" t="str">
        <x:v>мангольд</x:v>
      </x:c>
      <x:c r="D47" s="28" t="str">
        <x:v>Фрукты и ягоды</x:v>
      </x:c>
      <x:c r="E47" s="28" t="str">
        <x:v>кислотно-сладкий баланс</x:v>
      </x:c>
      <x:c r="F47" s="28" t="str">
        <x:v>Батат имеет профиль «сладкий, крахмалистый, цветочный, карамельный и ореховый после запекания». Партнёр «мангольд»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4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7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47" s="28" t="str">
        <x:v>пюре, суп, запекание, крем, гарнир, соус или десертная разработка с мангольд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119</x:v>
      </x:c>
    </x:row>
    <x:row r="48" ht="66" customHeight="1">
      <x:c r="A48" s="28" t="str">
        <x:v>VEG-0078</x:v>
      </x:c>
      <x:c r="B48" s="28" t="str">
        <x:v>батат</x:v>
      </x:c>
      <x:c r="C48" s="28" t="str">
        <x:v>маниок</x:v>
      </x:c>
      <x:c r="D48" s="28" t="str">
        <x:v>Прочее</x:v>
      </x:c>
      <x:c r="E48" s="28" t="str">
        <x:v>сенсорная комплементарность</x:v>
      </x:c>
      <x:c r="F48" s="28" t="str">
        <x:v>Батат имеет профиль «сладкий, крахмалистый, цветочный, карамельный и ореховый после запекания».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8" s="28" t="str">
        <x:v>водянистое пюре размывает аромат; сильная сладость требует кислоты, соли или горечи</x:v>
      </x:c>
      <x:c r="I48" s="28" t="str">
        <x:v>пюре, суп, запекание, крем, гарнир, соус или десертная разработка с маниок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251</x:v>
      </x:c>
    </x:row>
    <x:row r="49" ht="66" customHeight="1">
      <x:c r="A49" s="28" t="str">
        <x:v>VEG-0079</x:v>
      </x:c>
      <x:c r="B49" s="28" t="str">
        <x:v>батат</x:v>
      </x:c>
      <x:c r="C49" s="28" t="str">
        <x:v>маракуйя</x:v>
      </x:c>
      <x:c r="D49" s="28" t="str">
        <x:v>Прочее</x:v>
      </x:c>
      <x:c r="E49" s="28" t="str">
        <x:v>сенсорная комплементарность</x:v>
      </x:c>
      <x:c r="F49" s="28" t="str">
        <x:v>Батат имеет профиль «сладкий, крахмалистый, цветочный, карамельный и ореховый после запекания».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49" s="28" t="str">
        <x:v>водянистое пюре размывает аромат; сильная сладость требует кислоты, соли или горечи</x:v>
      </x:c>
      <x:c r="I49" s="28" t="str">
        <x:v>пюре, суп, запекание, крем, гарнир, соус или десертная разработка с маракуйя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119</x:v>
      </x:c>
    </x:row>
    <x:row r="50" ht="66" customHeight="1">
      <x:c r="A50" s="28" t="str">
        <x:v>VEG-0080</x:v>
      </x:c>
      <x:c r="B50" s="28" t="str">
        <x:v>батат</x:v>
      </x:c>
      <x:c r="C50" s="28" t="str">
        <x:v>морской ёж</x:v>
      </x:c>
      <x:c r="D50" s="28" t="str">
        <x:v>Прочее</x:v>
      </x:c>
      <x:c r="E50" s="28" t="str">
        <x:v>сенсорная комплементарность</x:v>
      </x:c>
      <x:c r="F50" s="28" t="str">
        <x:v>Батат имеет профиль «сладкий, крахмалистый, цветочный, карамельный и ореховый после запекания». Партнёр «морской ёж»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0" s="28" t="str">
        <x:v>водянистое пюре размывает аромат; сильная сладость требует кислоты, соли или горечи</x:v>
      </x:c>
      <x:c r="I50" s="28" t="str">
        <x:v>пюре, суп, запекание, крем, гарнир, соус или десертная разработка с морской ёж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119</x:v>
      </x:c>
    </x:row>
    <x:row r="51" ht="66" customHeight="1">
      <x:c r="A51" s="28" t="str">
        <x:v>VEG-0081</x:v>
      </x:c>
      <x:c r="B51" s="28" t="str">
        <x:v>батат</x:v>
      </x:c>
      <x:c r="C51" s="28" t="str">
        <x:v>мята колосистая</x:v>
      </x:c>
      <x:c r="D51" s="28" t="str">
        <x:v>Травы, цветы и листья</x:v>
      </x:c>
      <x:c r="E51" s="28" t="str">
        <x:v>сенсорная комплементарность</x:v>
      </x:c>
      <x:c r="F51" s="28" t="str">
        <x:v>Батат имеет профиль «сладкий, крахмалистый, цветочный, карамельный и ореховый после запекания». Партнёр «мята колосистая»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5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1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51" s="28" t="str">
        <x:v>пюре, суп, запекание, крем, гарнир, соус или десертная разработка с мята колосистая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119</x:v>
      </x:c>
    </x:row>
    <x:row r="52" ht="66" customHeight="1">
      <x:c r="A52" s="28" t="str">
        <x:v>VEG-0082</x:v>
      </x:c>
      <x:c r="B52" s="28" t="str">
        <x:v>батат</x:v>
      </x:c>
      <x:c r="C52" s="28" t="str">
        <x:v>нут</x:v>
      </x:c>
      <x:c r="D52" s="28" t="str">
        <x:v>Бобовые</x:v>
      </x:c>
      <x:c r="E52" s="28" t="str">
        <x:v>пересечение ароматических семейств</x:v>
      </x:c>
      <x:c r="F52" s="28" t="str">
        <x:v>Батат имеет профиль «сладкий, крахмалистый, цветочный, карамельный и ореховый после запекания». Партнёр «нут» относится к группе «Бобовые» и даёт зелёный, бобовый и крахмалистый. Профили пересекаются в семействах: крахмалистый.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2" s="28" t="str">
        <x:v>водянистое пюре размывает аромат; сильная сладость требует кислоты, соли или горечи</x:v>
      </x:c>
      <x:c r="I52" s="28" t="str">
        <x:v>пюре, суп, запекание, крем, гарнир, соус или десертная разработка с нут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119</x:v>
      </x:c>
    </x:row>
    <x:row r="53" ht="66" customHeight="1">
      <x:c r="A53" s="28" t="str">
        <x:v>VEG-0083</x:v>
      </x:c>
      <x:c r="B53" s="28" t="str">
        <x:v>батат</x:v>
      </x:c>
      <x:c r="C53" s="28" t="str">
        <x:v>огурец</x:v>
      </x:c>
      <x:c r="D53" s="28" t="str">
        <x:v>Тыквенные</x:v>
      </x:c>
      <x:c r="E53" s="28" t="str">
        <x:v>сенсорная комплементарность</x:v>
      </x:c>
      <x:c r="F53" s="28" t="str">
        <x:v>Батат имеет профиль «сладкий, крахмалистый, цветочный, карамельный и ореховый после запекания».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3" s="28" t="str">
        <x:v>водянистое пюре размывает аромат; сильная сладость требует кислоты, соли или горечи</x:v>
      </x:c>
      <x:c r="I53" s="28" t="str">
        <x:v>пюре, суп, запекание, крем, гарнир, соус или десертная разработка с огурец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119</x:v>
      </x:c>
    </x:row>
    <x:row r="54" ht="66" customHeight="1">
      <x:c r="A54" s="28" t="str">
        <x:v>VEG-0084</x:v>
      </x:c>
      <x:c r="B54" s="28" t="str">
        <x:v>батат</x:v>
      </x:c>
      <x:c r="C54" s="28" t="str">
        <x:v>пак-чой</x:v>
      </x:c>
      <x:c r="D54" s="28" t="str">
        <x:v>Прочее</x:v>
      </x:c>
      <x:c r="E54" s="28" t="str">
        <x:v>сенсорная комплементарность</x:v>
      </x:c>
      <x:c r="F54" s="28" t="str">
        <x:v>Батат имеет профиль «сладкий, крахмалистый, цветочный, карамельный и ореховый после запекания». Партнёр «пак-чой»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4" s="28" t="str">
        <x:v>водянистое пюре размывает аромат; сильная сладость требует кислоты, соли или горечи</x:v>
      </x:c>
      <x:c r="I54" s="28" t="str">
        <x:v>пюре, суп, запекание, крем, гарнир, соус или десертная разработка с пак-чой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119</x:v>
      </x:c>
    </x:row>
    <x:row r="55" ht="66" customHeight="1">
      <x:c r="A55" s="28" t="str">
        <x:v>VEG-0085</x:v>
      </x:c>
      <x:c r="B55" s="28" t="str">
        <x:v>батат</x:v>
      </x:c>
      <x:c r="C55" s="28" t="str">
        <x:v>паста карри мадрас</x:v>
      </x:c>
      <x:c r="D55" s="28" t="str">
        <x:v>Выпечка, крупы, сахара и десерты</x:v>
      </x:c>
      <x:c r="E55" s="28" t="str">
        <x:v>общие характерные молекулы; пересечение ароматических семейств</x:v>
      </x:c>
      <x:c r="F55" s="28" t="str">
        <x:v>Батат имеет профиль «сладкий, крахмалистый, цветочный, карамельный и ореховый после запекания». Партнёр «паста карри мадрас»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5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5" s="28" t="str">
        <x:v>водянистое пюре размывает аромат; сильная сладость требует кислоты, соли или горечи</x:v>
      </x:c>
      <x:c r="I55" s="28" t="str">
        <x:v>пюре, суп, запекание, крем, гарнир, соус или десертная разработка с паста карри мадрас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119</x:v>
      </x:c>
    </x:row>
    <x:row r="56" ht="66" customHeight="1">
      <x:c r="A56" s="28" t="str">
        <x:v>VEG-0086</x:v>
      </x:c>
      <x:c r="B56" s="28" t="str">
        <x:v>батат</x:v>
      </x:c>
      <x:c r="C56" s="28" t="str">
        <x:v>паста тикка масала</x:v>
      </x:c>
      <x:c r="D56" s="28" t="str">
        <x:v>Выпечка, крупы, сахара и десерты</x:v>
      </x:c>
      <x:c r="E56" s="28" t="str">
        <x:v>общие характерные молекулы; пересечение ароматических семейств</x:v>
      </x:c>
      <x:c r="F56" s="28" t="str">
        <x:v>Батат имеет профиль «сладкий, крахмалистый, цветочный, карамельный и ореховый после запекания». Партнёр «паста тикка масала»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5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6" s="28" t="str">
        <x:v>водянистое пюре размывает аромат; сильная сладость требует кислоты, соли или горечи</x:v>
      </x:c>
      <x:c r="I56" s="28" t="str">
        <x:v>пюре, суп, запекание, крем, гарнир, соус или десертная разработка с паста тикка масала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119</x:v>
      </x:c>
    </x:row>
    <x:row r="57" ht="66" customHeight="1">
      <x:c r="A57" s="28" t="str">
        <x:v>VEG-0087</x:v>
      </x:c>
      <x:c r="B57" s="28" t="str">
        <x:v>батат</x:v>
      </x:c>
      <x:c r="C57" s="28" t="str">
        <x:v>петрушка</x:v>
      </x:c>
      <x:c r="D57" s="28" t="str">
        <x:v>Травы, цветы и листья</x:v>
      </x:c>
      <x:c r="E57" s="28" t="str">
        <x:v>сенсорная комплементарность</x:v>
      </x:c>
      <x:c r="F57" s="28" t="str">
        <x:v>Батат имеет профиль «сладкий, крахмалистый, цветочный, карамельный и ореховый после запекания».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5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7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57" s="28" t="str">
        <x:v>пюре, суп, запекание, крем, гарнир, соус или десертная разработка с петрушка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119</x:v>
      </x:c>
    </x:row>
    <x:row r="58" ht="66" customHeight="1">
      <x:c r="A58" s="28" t="str">
        <x:v>VEG-0088</x:v>
      </x:c>
      <x:c r="B58" s="28" t="str">
        <x:v>батат</x:v>
      </x:c>
      <x:c r="C58" s="28" t="str">
        <x:v>пурпурный шалфей</x:v>
      </x:c>
      <x:c r="D58" s="28" t="str">
        <x:v>Травы, цветы и листья</x:v>
      </x:c>
      <x:c r="E58" s="28" t="str">
        <x:v>сенсорная комплементарность</x:v>
      </x:c>
      <x:c r="F58" s="28" t="str">
        <x:v>Батат имеет профиль «сладкий, крахмалистый, цветочный, карамельный и ореховый после запекания». Партнёр «пурпурный 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5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8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58" s="28" t="str">
        <x:v>пюре, суп, запекание, крем, гарнир, соус или десертная разработка с пурпурный шалфей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119</x:v>
      </x:c>
    </x:row>
    <x:row r="59" ht="66" customHeight="1">
      <x:c r="A59" s="28" t="str">
        <x:v>VEG-0089</x:v>
      </x:c>
      <x:c r="B59" s="28" t="str">
        <x:v>батат</x:v>
      </x:c>
      <x:c r="C59" s="28" t="str">
        <x:v>пюре маракуйи</x:v>
      </x:c>
      <x:c r="D59" s="28" t="str">
        <x:v>Прочее</x:v>
      </x:c>
      <x:c r="E59" s="28" t="str">
        <x:v>сенсорная комплементарность</x:v>
      </x:c>
      <x:c r="F59" s="28" t="str">
        <x:v>Батат имеет профиль «сладкий, крахмалистый, цветочный, карамельный и ореховый после запекания». Партнёр «пюре маракуйи»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5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59" s="28" t="str">
        <x:v>водянистое пюре размывает аромат; сильная сладость требует кислоты, соли или горечи</x:v>
      </x:c>
      <x:c r="I59" s="28" t="str">
        <x:v>пюре, суп, запекание, крем, гарнир, соус или десертная разработка с пюре маракуйи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119</x:v>
      </x:c>
    </x:row>
    <x:row r="60" ht="66" customHeight="1">
      <x:c r="A60" s="28" t="str">
        <x:v>VEG-0090</x:v>
      </x:c>
      <x:c r="B60" s="28" t="str">
        <x:v>батат</x:v>
      </x:c>
      <x:c r="C60" s="28" t="str">
        <x:v>рис басмати</x:v>
      </x:c>
      <x:c r="D60" s="28" t="str">
        <x:v>Выпечка, крупы, сахара и десерты</x:v>
      </x:c>
      <x:c r="E60" s="28" t="str">
        <x:v>общие характерные молекулы; пересечение ароматических семейств</x:v>
      </x:c>
      <x:c r="F60" s="28" t="str">
        <x:v>Батат имеет профиль «сладкий, крахмалистый, цветочный, карамельный и ореховый после запекания». Партнёр «рис басмати»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0" s="28" t="str">
        <x:v>водянистое пюре размывает аромат; сильная сладость требует кислоты, соли или горечи</x:v>
      </x:c>
      <x:c r="I60" s="28" t="str">
        <x:v>пюре, суп, запекание, крем, гарнир, соус или десертная разработка с рис басмати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119</x:v>
      </x:c>
    </x:row>
    <x:row r="61" ht="66" customHeight="1">
      <x:c r="A61" s="28" t="str">
        <x:v>VEG-0091</x:v>
      </x:c>
      <x:c r="B61" s="28" t="str">
        <x:v>батат</x:v>
      </x:c>
      <x:c r="C61" s="28" t="str">
        <x:v>салями милано</x:v>
      </x:c>
      <x:c r="D61" s="28" t="str">
        <x:v>Прочее</x:v>
      </x:c>
      <x:c r="E61" s="28" t="str">
        <x:v>сенсорная комплементарность</x:v>
      </x:c>
      <x:c r="F61" s="28" t="str">
        <x:v>Батат имеет профиль «сладкий, крахмалистый, цветочный, карамельный и ореховый после запекания». Партнёр «салями милано»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1" s="28" t="str">
        <x:v>водянистое пюре размывает аромат; сильная сладость требует кислоты, соли или горечи</x:v>
      </x:c>
      <x:c r="I61" s="28" t="str">
        <x:v>пюре, суп, запекание, крем, гарнир, соус или десертная разработка с салями милано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119</x:v>
      </x:c>
    </x:row>
    <x:row r="62" ht="66" customHeight="1">
      <x:c r="A62" s="28" t="str">
        <x:v>VEG-0092</x:v>
      </x:c>
      <x:c r="B62" s="28" t="str">
        <x:v>батат</x:v>
      </x:c>
      <x:c r="C62" s="28" t="str">
        <x:v>сельдерей корневой</x:v>
      </x:c>
      <x:c r="D62" s="28" t="str">
        <x:v>Корнеплоды</x:v>
      </x:c>
      <x:c r="E62" s="28" t="str">
        <x:v>сенсорная комплементарность</x:v>
      </x:c>
      <x:c r="F62" s="28" t="str">
        <x:v>Батат имеет профиль «сладкий, крахмалистый, цветочный, карамельный и ореховый после запекания». Партнёр «сельдерей корневой» относится к группе «Корнеплоды» и даёт землистый, ореховый, сельдерейно-пряный и слегка грибной.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2" s="28" t="str">
        <x:v>водянистое пюре размывает аромат; сильная сладость требует кислоты, соли или горечи</x:v>
      </x:c>
      <x:c r="I62" s="28" t="str">
        <x:v>пюре, суп, запекание, крем, гарнир, соус или десертная разработка с сельдерей корневой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52, 119</x:v>
      </x:c>
    </x:row>
    <x:row r="63" ht="66" customHeight="1">
      <x:c r="A63" s="28" t="str">
        <x:v>VEG-0093</x:v>
      </x:c>
      <x:c r="B63" s="28" t="str">
        <x:v>батат</x:v>
      </x:c>
      <x:c r="C63" s="28" t="str">
        <x:v>семена нигеллы</x:v>
      </x:c>
      <x:c r="D63" s="28" t="str">
        <x:v>Орехи и семена</x:v>
      </x:c>
      <x:c r="E63" s="28" t="str">
        <x:v>общие характерные молекулы; пересечение ароматических семейств</x:v>
      </x:c>
      <x:c r="F63" s="28" t="str">
        <x:v>Батат имеет профиль «сладкий, крахмалистый, цветочный, карамельный и ореховый после запекания». Партнёр «семена нигеллы» относится к группе «Орехи и семена» и даёт ореховый, жареный и жирный.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3" s="28" t="str">
        <x:v>водянистое пюре размывает аромат; сильная сладость требует кислоты, соли или горечи</x:v>
      </x:c>
      <x:c r="I63" s="28" t="str">
        <x:v>пюре, суп, запекание, крем, гарнир, соус или десертная разработка с семена нигеллы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119</x:v>
      </x:c>
    </x:row>
    <x:row r="64" ht="66" customHeight="1">
      <x:c r="A64" s="28" t="str">
        <x:v>VEG-0094</x:v>
      </x:c>
      <x:c r="B64" s="28" t="str">
        <x:v>батат</x:v>
      </x:c>
      <x:c r="C64" s="28" t="str">
        <x:v>соевая паста</x:v>
      </x:c>
      <x:c r="D64" s="28" t="str">
        <x:v>Выпечка, крупы, сахара и десерты</x:v>
      </x:c>
      <x:c r="E64" s="28" t="str">
        <x:v>общие характерные молекулы; пересечение ароматических семейств</x:v>
      </x:c>
      <x:c r="F64" s="28" t="str">
        <x:v>Батат имеет профиль «сладкий, крахмалистый, цветочный, карамельный и ореховый после запекания». Партнёр «соевая паста»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4" s="28" t="str">
        <x:v>водянистое пюре размывает аромат; сильная сладость требует кислоты, соли или горечи</x:v>
      </x:c>
      <x:c r="I64" s="28" t="str">
        <x:v>пюре, суп, запекание, крем, гарнир, соус или десертная разработка с соевая паста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119</x:v>
      </x:c>
    </x:row>
    <x:row r="65" ht="66" customHeight="1">
      <x:c r="A65" s="28" t="str">
        <x:v>VEG-0095</x:v>
      </x:c>
      <x:c r="B65" s="28" t="str">
        <x:v>батат</x:v>
      </x:c>
      <x:c r="C65" s="28" t="str">
        <x:v>сушёный барбарис</x:v>
      </x:c>
      <x:c r="D65" s="28" t="str">
        <x:v>Выпечка, крупы, сахара и десерты</x:v>
      </x:c>
      <x:c r="E65" s="28" t="str">
        <x:v>общие характерные молекулы; пересечение ароматических семейств</x:v>
      </x:c>
      <x:c r="F65" s="28" t="str">
        <x:v>Батат имеет профиль «сладкий, крахмалистый, цветочный, карамельный и ореховый после запекания». Партнёр «сушёный барбарис» относится к группе «Выпечка, крупы, сахара и десерты» и даёт сладкий, карамельный и жареный. Вероятный молекулярный мост: мальтол,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6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5" s="28" t="str">
        <x:v>водянистое пюре размывает аромат; сильная сладость требует кислоты, соли или горечи</x:v>
      </x:c>
      <x:c r="I65" s="28" t="str">
        <x:v>пюре, суп, запекание, крем, гарнир, соус или десертная разработка с сушёный барбарис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119</x:v>
      </x:c>
    </x:row>
    <x:row r="66" ht="66" customHeight="1">
      <x:c r="A66" s="28" t="str">
        <x:v>VEG-0096</x:v>
      </x:c>
      <x:c r="B66" s="28" t="str">
        <x:v>батат</x:v>
      </x:c>
      <x:c r="C66" s="28" t="str">
        <x:v>сушёный корень дягиля</x:v>
      </x:c>
      <x:c r="D66" s="28" t="str">
        <x:v>Прочее</x:v>
      </x:c>
      <x:c r="E66" s="28" t="str">
        <x:v>сенсорная комплементарность</x:v>
      </x:c>
      <x:c r="F66" s="28" t="str">
        <x:v>Батат имеет профиль «сладкий, крахмалистый, цветочный, карамельный и ореховый после запекания». Партнёр «сушёный корень дягиля»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6" s="28" t="str">
        <x:v>водянистое пюре размывает аромат; сильная сладость требует кислоты, соли или горечи</x:v>
      </x:c>
      <x:c r="I66" s="28" t="str">
        <x:v>пюре, суп, запекание, крем, гарнир, соус или десертная разработка с сушёный корень дягиля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119</x:v>
      </x:c>
    </x:row>
    <x:row r="67" ht="66" customHeight="1">
      <x:c r="A67" s="28" t="str">
        <x:v>VEG-0097</x:v>
      </x:c>
      <x:c r="B67" s="28" t="str">
        <x:v>батат</x:v>
      </x:c>
      <x:c r="C67" s="28" t="str">
        <x:v>сыр ронкаль</x:v>
      </x:c>
      <x:c r="D67" s="28" t="str">
        <x:v>Молочные продукты и сыры</x:v>
      </x:c>
      <x:c r="E67" s="28" t="str">
        <x:v>жировая матрица</x:v>
      </x:c>
      <x:c r="F67" s="28" t="str">
        <x:v>Батат имеет профиль «сладкий, крахмалистый, цветочный, карамельный и ореховый после запекания». Партнёр «сыр ронкаль»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Нагрев концентрирует природные сахара и смещает профиль от сырого землисто-зелёного к сладко-жареному.</x:v>
      </x:c>
      <x:c r="G6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7" s="28" t="str">
        <x:v>водянистое пюре размывает аромат; сильная сладость требует кислоты, соли или горечи; жир способен приглушить свежую зелёную ароматику</x:v>
      </x:c>
      <x:c r="I67" s="28" t="str">
        <x:v>пюре, суп, запекание, крем, гарнир, соус или десертная разработка с сыр ронкаль</x:v>
      </x:c>
      <x:c r="J67" s="28" t="str">
        <x:v>Средняя</x:v>
      </x:c>
      <x:c r="K67" s="28" t="str">
        <x:v>The Art &amp; Science of Foodpairing.pdf</x:v>
      </x:c>
      <x:c r="L67" s="28" t="str">
        <x:v>The Art &amp; Science of Foodpairing.pdf: 119</x:v>
      </x:c>
    </x:row>
    <x:row r="68" ht="66" customHeight="1">
      <x:c r="A68" s="28" t="str">
        <x:v>VEG-0098</x:v>
      </x:c>
      <x:c r="B68" s="28" t="str">
        <x:v>батат</x:v>
      </x:c>
      <x:c r="C68" s="28" t="str">
        <x:v>тимьян</x:v>
      </x:c>
      <x:c r="D68" s="28" t="str">
        <x:v>Травы, цветы и листья</x:v>
      </x:c>
      <x:c r="E68" s="28" t="str">
        <x:v>сенсорная комплементарность</x:v>
      </x:c>
      <x:c r="F68" s="28" t="str">
        <x:v>Батат имеет профиль «сладкий, крахмалистый, цветочный, карамельный и ореховый после запекания».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Нагрев концентрирует природные сахара и смещает профиль от сырого землисто-зелёного к сладко-жареному.</x:v>
      </x:c>
      <x:c r="G6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8" s="28" t="str">
        <x:v>водянистое пюре размывает аромат; сильная сладость требует кислоты, соли или горечи; длительный нагрев уносит свежие терпены и зелёные альдегиды</x:v>
      </x:c>
      <x:c r="I68" s="28" t="str">
        <x:v>пюре, суп, запекание, крем, гарнир, соус или десертная разработка с тимьян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119</x:v>
      </x:c>
    </x:row>
    <x:row r="69" ht="66" customHeight="1">
      <x:c r="A69" s="28" t="str">
        <x:v>VEG-0099</x:v>
      </x:c>
      <x:c r="B69" s="28" t="str">
        <x:v>батат</x:v>
      </x:c>
      <x:c r="C69" s="28" t="str">
        <x:v>томат</x:v>
      </x:c>
      <x:c r="D69" s="28" t="str">
        <x:v>Плодовые овощи</x:v>
      </x:c>
      <x:c r="E69" s="28" t="str">
        <x:v>сенсорная комплементарность</x:v>
      </x:c>
      <x:c r="F69" s="28" t="str">
        <x:v>Батат имеет профиль «сладкий, крахмалистый, цветочный, карамельный и ореховый после запекания». Партнёр «томат» относится к группе «Плодовые овощи» и даёт зелёный, фруктовый, листовой,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6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69" s="28" t="str">
        <x:v>водянистое пюре размывает аромат; сильная сладость требует кислоты, соли или горечи</x:v>
      </x:c>
      <x:c r="I69" s="28" t="str">
        <x:v>пюре, суп, запекание, крем, гарнир, соус или десертная разработка с томат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161</x:v>
      </x:c>
    </x:row>
    <x:row r="70" ht="66" customHeight="1">
      <x:c r="A70" s="28" t="str">
        <x:v>VEG-0100</x:v>
      </x:c>
      <x:c r="B70" s="28" t="str">
        <x:v>батат</x:v>
      </x:c>
      <x:c r="C70" s="28" t="str">
        <x:v>треска</x:v>
      </x:c>
      <x:c r="D70" s="28" t="str">
        <x:v>Рыба и морепродукты</x:v>
      </x:c>
      <x:c r="E70" s="28" t="str">
        <x:v>умами и солёный контраст</x:v>
      </x:c>
      <x:c r="F70" s="28" t="str">
        <x:v>Батат имеет профиль «сладкий, крахмалистый, цветочный, карамельный и ореховый после запекания».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7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0" s="28" t="str">
        <x:v>водянистое пюре размывает аромат; сильная сладость требует кислоты, соли или горечи</x:v>
      </x:c>
      <x:c r="I70" s="28" t="str">
        <x:v>пюре, суп, запекание, крем, гарнир, соус или десертная разработка с треска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119</x:v>
      </x:c>
    </x:row>
    <x:row r="71" ht="66" customHeight="1">
      <x:c r="A71" s="28" t="str">
        <x:v>VEG-0101</x:v>
      </x:c>
      <x:c r="B71" s="28" t="str">
        <x:v>батат</x:v>
      </x:c>
      <x:c r="C71" s="28" t="str">
        <x:v>фундук</x:v>
      </x:c>
      <x:c r="D71" s="28" t="str">
        <x:v>Орехи и семена</x:v>
      </x:c>
      <x:c r="E71" s="28" t="str">
        <x:v>общие характерные молекулы; пересечение ароматических семейств</x:v>
      </x:c>
      <x:c r="F71" s="28" t="str">
        <x:v>Батат имеет профиль «сладкий, крахмалистый, цветочный, карамельный и ореховый после запекания».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7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1" s="28" t="str">
        <x:v>водянистое пюре размывает аромат; сильная сладость требует кислоты, соли или горечи</x:v>
      </x:c>
      <x:c r="I71" s="28" t="str">
        <x:v>пюре, суп, запекание, крем, гарнир, соус или десертная разработка с фундук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119, 332</x:v>
      </x:c>
    </x:row>
    <x:row r="72" ht="66" customHeight="1">
      <x:c r="A72" s="28" t="str">
        <x:v>VEG-0102</x:v>
      </x:c>
      <x:c r="B72" s="28" t="str">
        <x:v>батат</x:v>
      </x:c>
      <x:c r="C72" s="28" t="str">
        <x:v>цукаты из апельсиновой корки</x:v>
      </x:c>
      <x:c r="D72" s="28" t="str">
        <x:v>Фрукты и ягоды</x:v>
      </x:c>
      <x:c r="E72" s="28" t="str">
        <x:v>пересечение ароматических семейств; кислотно-сладкий баланс</x:v>
      </x:c>
      <x:c r="F72" s="28" t="str">
        <x:v>Батат имеет профиль «сладкий, крахмалистый, цветочный, карамельный и ореховый после запекания». Партнёр «цукаты из апельсиновой корки»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7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2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72" s="28" t="str">
        <x:v>пюре, суп, запекание, крем, гарнир, соус или десертная разработка с цукаты из апельсиновой корки</x:v>
      </x:c>
      <x:c r="J72" s="28" t="str">
        <x:v>Средняя</x:v>
      </x:c>
      <x:c r="K72" s="28" t="str">
        <x:v>The Art &amp; Science of Foodpairing.pdf</x:v>
      </x:c>
      <x:c r="L72" s="28" t="str">
        <x:v>The Art &amp; Science of Foodpairing.pdf: 119</x:v>
      </x:c>
    </x:row>
    <x:row r="73" ht="66" customHeight="1">
      <x:c r="A73" s="28" t="str">
        <x:v>VEG-0103</x:v>
      </x:c>
      <x:c r="B73" s="28" t="str">
        <x:v>батат</x:v>
      </x:c>
      <x:c r="C73" s="28" t="str">
        <x:v>чабер</x:v>
      </x:c>
      <x:c r="D73" s="28" t="str">
        <x:v>Прочее</x:v>
      </x:c>
      <x:c r="E73" s="28" t="str">
        <x:v>сенсорная комплементарность</x:v>
      </x:c>
      <x:c r="F73" s="28" t="str">
        <x:v>Батат имеет профиль «сладкий, крахмалистый, цветочный, карамельный и ореховый после запекания». Партнёр «чабер»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3" s="28" t="str">
        <x:v>водянистое пюре размывает аромат; сильная сладость требует кислоты, соли или горечи</x:v>
      </x:c>
      <x:c r="I73" s="28" t="str">
        <x:v>пюре, суп, запекание, крем, гарнир, соус или десертная разработка с чабер</x:v>
      </x:c>
      <x:c r="J73" s="28" t="str">
        <x:v>Средняя</x:v>
      </x:c>
      <x:c r="K73" s="28" t="str">
        <x:v>The Art &amp; Science of Foodpairing.pdf</x:v>
      </x:c>
      <x:c r="L73" s="28" t="str">
        <x:v>The Art &amp; Science of Foodpairing.pdf: 119</x:v>
      </x:c>
    </x:row>
    <x:row r="74" ht="66" customHeight="1">
      <x:c r="A74" s="28" t="str">
        <x:v>VEG-0104</x:v>
      </x:c>
      <x:c r="B74" s="28" t="str">
        <x:v>батат</x:v>
      </x:c>
      <x:c r="C74" s="28" t="str">
        <x:v>черешня</x:v>
      </x:c>
      <x:c r="D74" s="28" t="str">
        <x:v>Прочее</x:v>
      </x:c>
      <x:c r="E74" s="28" t="str">
        <x:v>сенсорная комплементарность</x:v>
      </x:c>
      <x:c r="F74" s="28" t="str">
        <x:v>Батат имеет профиль «сладкий, крахмалистый, цветочный, карамельный и ореховый после запекания». Партнёр «черешня»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4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4" s="28" t="str">
        <x:v>водянистое пюре размывает аромат; сильная сладость требует кислоты, соли или горечи</x:v>
      </x:c>
      <x:c r="I74" s="28" t="str">
        <x:v>пюре, суп, запекание, крем, гарнир, соус или десертная разработка с черешня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119</x:v>
      </x:c>
    </x:row>
    <x:row r="75" ht="66" customHeight="1">
      <x:c r="A75" s="28" t="str">
        <x:v>VEG-0105</x:v>
      </x:c>
      <x:c r="B75" s="28" t="str">
        <x:v>батат</x:v>
      </x:c>
      <x:c r="C75" s="28" t="str">
        <x:v>чеснок</x:v>
      </x:c>
      <x:c r="D75" s="28" t="str">
        <x:v>Луковые овощи</x:v>
      </x:c>
      <x:c r="E75" s="28" t="str">
        <x:v>пересечение ароматических семейств</x:v>
      </x:c>
      <x:c r="F75" s="28" t="str">
        <x:v>Батат имеет профиль «сладкий, крахмалистый, цветочный, карамельный и ореховый после запекания».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5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5" s="28" t="str">
        <x:v>водянистое пюре размывает аромат; сильная сладость требует кислоты, соли или горечи</x:v>
      </x:c>
      <x:c r="I75" s="28" t="str">
        <x:v>пюре, суп, запекание, крем, гарнир, соус или десертная разработка с чеснок</x:v>
      </x:c>
      <x:c r="J75" s="28" t="str">
        <x:v>Высокая</x:v>
      </x:c>
      <x:c r="K75" s="28" t="str">
        <x:v>The Art &amp; Science of Foodpairing.pdf</x:v>
      </x:c>
      <x:c r="L75" s="28" t="str">
        <x:v>The Art &amp; Science of Foodpairing.pdf: 115</x:v>
      </x:c>
    </x:row>
    <x:row r="76" ht="66" customHeight="1">
      <x:c r="A76" s="28" t="str">
        <x:v>VEG-0106</x:v>
      </x:c>
      <x:c r="B76" s="28" t="str">
        <x:v>батат</x:v>
      </x:c>
      <x:c r="C76" s="28" t="str">
        <x:v>чили ахи панка</x:v>
      </x:c>
      <x:c r="D76" s="28" t="str">
        <x:v>Специи</x:v>
      </x:c>
      <x:c r="E76" s="28" t="str">
        <x:v>сенсорная комплементарность</x:v>
      </x:c>
      <x:c r="F76" s="28" t="str">
        <x:v>Батат имеет профиль «сладкий, крахмалистый, цветочный, карамельный и ореховый после запекания». Партнёр «чили ахи панка»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76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6" s="28" t="str">
        <x:v>водянистое пюре размывает аромат; сильная сладость требует кислоты, соли или горечи</x:v>
      </x:c>
      <x:c r="I76" s="28" t="str">
        <x:v>пюре, суп, запекание, крем, гарнир, соус или десертная разработка с чили ахи панка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119</x:v>
      </x:c>
    </x:row>
    <x:row r="77" ht="66" customHeight="1">
      <x:c r="A77" s="28" t="str">
        <x:v>VEG-0107</x:v>
      </x:c>
      <x:c r="B77" s="28" t="str">
        <x:v>батат</x:v>
      </x:c>
      <x:c r="C77" s="28" t="str">
        <x:v>чёрный кардамон</x:v>
      </x:c>
      <x:c r="D77" s="28" t="str">
        <x:v>Специи</x:v>
      </x:c>
      <x:c r="E77" s="28" t="str">
        <x:v>сенсорная комплементарность</x:v>
      </x:c>
      <x:c r="F77" s="28" t="str">
        <x:v>Батат имеет профиль «сладкий, крахмалистый, цветочный, карамельный и ореховый после запекания». Партнёр «чёрный 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77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7" s="28" t="str">
        <x:v>водянистое пюре размывает аромат; сильная сладость требует кислоты, соли или горечи</x:v>
      </x:c>
      <x:c r="I77" s="28" t="str">
        <x:v>пюре, суп, запекание, крем, гарнир, соус или десертная разработка с чёрный кардамон</x:v>
      </x:c>
      <x:c r="J77" s="28" t="str">
        <x:v>Средняя</x:v>
      </x:c>
      <x:c r="K77" s="28" t="str">
        <x:v>The Art &amp; Science of Foodpairing.pdf</x:v>
      </x:c>
      <x:c r="L77" s="28" t="str">
        <x:v>The Art &amp; Science of Foodpairing.pdf: 119</x:v>
      </x:c>
    </x:row>
    <x:row r="78" ht="66" customHeight="1">
      <x:c r="A78" s="28" t="str">
        <x:v>VEG-0108</x:v>
      </x:c>
      <x:c r="B78" s="28" t="str">
        <x:v>батат</x:v>
      </x:c>
      <x:c r="C78" s="28" t="str">
        <x:v>чёрный перец</x:v>
      </x:c>
      <x:c r="D78" s="28" t="str">
        <x:v>Специи</x:v>
      </x:c>
      <x:c r="E78" s="28" t="str">
        <x:v>сенсорная комплементарность</x:v>
      </x:c>
      <x:c r="F78" s="28" t="str">
        <x:v>Батат имеет профиль «сладкий, крахмалистый, цветочный, карамельный и ореховый после запекания».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Нагрев концентрирует природные сахара и смещает профиль от сырого землисто-зелёного к сладко-жареному.</x:v>
      </x:c>
      <x:c r="G78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8" s="28" t="str">
        <x:v>водянистое пюре размывает аромат; сильная сладость требует кислоты, соли или горечи</x:v>
      </x:c>
      <x:c r="I78" s="28" t="str">
        <x:v>пюре, суп, запекание, крем, гарнир, соус или десертная разработка с чёрный перец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274</x:v>
      </x:c>
    </x:row>
    <x:row r="79" ht="66" customHeight="1">
      <x:c r="A79" s="28" t="str">
        <x:v>VEG-0109</x:v>
      </x:c>
      <x:c r="B79" s="28" t="str">
        <x:v>батат</x:v>
      </x:c>
      <x:c r="C79" s="28" t="str">
        <x:v>шисо</x:v>
      </x:c>
      <x:c r="D79" s="28" t="str">
        <x:v>Прочее</x:v>
      </x:c>
      <x:c r="E79" s="28" t="str">
        <x:v>сенсорная комплементарность</x:v>
      </x:c>
      <x:c r="F79" s="28" t="str">
        <x:v>Батат имеет профиль «сладкий, крахмалистый, цветочный, карамельный и ореховый после запекания». Партнёр «шисо»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79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79" s="28" t="str">
        <x:v>водянистое пюре размывает аромат; сильная сладость требует кислоты, соли или горечи</x:v>
      </x:c>
      <x:c r="I79" s="28" t="str">
        <x:v>пюре, суп, запекание, крем, гарнир, соус или десертная разработка с шисо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119</x:v>
      </x:c>
    </x:row>
    <x:row r="80" ht="66" customHeight="1">
      <x:c r="A80" s="28" t="str">
        <x:v>VEG-0110</x:v>
      </x:c>
      <x:c r="B80" s="28" t="str">
        <x:v>батат</x:v>
      </x:c>
      <x:c r="C80" s="28" t="str">
        <x:v>шоколадная паста</x:v>
      </x:c>
      <x:c r="D80" s="28" t="str">
        <x:v>Какао и шоколад</x:v>
      </x:c>
      <x:c r="E80" s="28" t="str">
        <x:v>общие характерные молекулы; пересечение ароматических семейств</x:v>
      </x:c>
      <x:c r="F80" s="28" t="str">
        <x:v>Батат имеет профиль «сладкий, крахмалистый, цветочный, карамельный и ореховый после запекания». Партнёр «шоколадная паста» относится к группе «Какао и шоколад» и даёт жареный, какаовый, карамельный. Вероятный молекулярный мост: пиразины, фураны.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80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0" s="28" t="str">
        <x:v>водянистое пюре размывает аромат; сильная сладость требует кислоты, соли или горечи; жареная горечь легко маскирует нежный овощной аромат</x:v>
      </x:c>
      <x:c r="I80" s="28" t="str">
        <x:v>пюре, суп, запекание, крем, гарнир, соус или десертная разработка с шоколадная паста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119</x:v>
      </x:c>
    </x:row>
    <x:row r="81" ht="66" customHeight="1">
      <x:c r="A81" s="28" t="str">
        <x:v>VEG-0111</x:v>
      </x:c>
      <x:c r="B81" s="28" t="str">
        <x:v>батат</x:v>
      </x:c>
      <x:c r="C81" s="28" t="str">
        <x:v>эвкалиптовый мёд</x:v>
      </x:c>
      <x:c r="D81" s="28" t="str">
        <x:v>Выпечка, крупы, сахара и десерты</x:v>
      </x:c>
      <x:c r="E81" s="28" t="str">
        <x:v>общие характерные молекулы; пересечение ароматических семейств</x:v>
      </x:c>
      <x:c r="F81" s="28" t="str">
        <x:v>Батат имеет профиль «сладкий, крахмалистый, цветочный, карамельный и ореховый после запекания». Партнёр «эвкалиптовый мёд» относится к группе «Выпечка, крупы, сахара и десерты» и даёт медовый, сладкий, цветочный. Вероятный молекулярный мост: норизопреноиды. Обжаренные партнёры добавляют пиразины и фураны; это особенно эффективно после запекания, гриля или карамелизации овоща. Нагрев концентрирует природные сахара и смещает профиль от сырого землисто-зелёного к сладко-жареному.</x:v>
      </x:c>
      <x:c r="G81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1" s="28" t="str">
        <x:v>водянистое пюре размывает аромат; сильная сладость требует кислоты, соли или горечи</x:v>
      </x:c>
      <x:c r="I81" s="28" t="str">
        <x:v>пюре, суп, запекание, крем, гарнир, соус или десертная разработка с эвкалиптовый мёд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119</x:v>
      </x:c>
    </x:row>
    <x:row r="82" ht="66" customHeight="1">
      <x:c r="A82" s="28" t="str">
        <x:v>VEG-0112</x:v>
      </x:c>
      <x:c r="B82" s="28" t="str">
        <x:v>батат</x:v>
      </x:c>
      <x:c r="C82" s="28" t="str">
        <x:v>эпазот</x:v>
      </x:c>
      <x:c r="D82" s="28" t="str">
        <x:v>Прочее</x:v>
      </x:c>
      <x:c r="E82" s="28" t="str">
        <x:v>сенсорная комплементарность</x:v>
      </x:c>
      <x:c r="F82" s="28" t="str">
        <x:v>Батат имеет профиль «сладкий, крахмалистый, цветочный, карамельный и ореховый после запекания». Партнёр «эпазот»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82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2" s="28" t="str">
        <x:v>водянистое пюре размывает аромат; сильная сладость требует кислоты, соли или горечи</x:v>
      </x:c>
      <x:c r="I82" s="28" t="str">
        <x:v>пюре, суп, запекание, крем, гарнир, соус или десертная разработка с эпазот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119</x:v>
      </x:c>
    </x:row>
    <x:row r="83" ht="66" customHeight="1">
      <x:c r="A83" s="28" t="str">
        <x:v>VEG-0113</x:v>
      </x:c>
      <x:c r="B83" s="28" t="str">
        <x:v>батат</x:v>
      </x:c>
      <x:c r="C83" s="28" t="str">
        <x:v>яблоко</x:v>
      </x:c>
      <x:c r="D83" s="28" t="str">
        <x:v>Фрукты и ягоды</x:v>
      </x:c>
      <x:c r="E83" s="28" t="str">
        <x:v>кислотно-сладкий баланс</x:v>
      </x:c>
      <x:c r="F83" s="28" t="str">
        <x:v>Батат имеет профиль «сладкий, крахмалистый, цветочный, карамельный и ореховый после запекания».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Нагрев концентрирует природные сахара и смещает профиль от сырого землисто-зелёного к сладко-жареному.</x:v>
      </x:c>
      <x:c r="G83" s="28" t="str">
        <x:v>запекание усиливает мальтол, карамельность и жареные ноты; пюре удерживает жир и специи. Для сладко-жареного профиля удалить поверхностную влагу и использовать запекание или обжаривание.</x:v>
      </x:c>
      <x:c r="H83" s="28" t="str">
        <x:v>водянистое пюре размывает аромат; сильная сладость требует кислоты, соли или горечи; избыток кислоты или воды может сделать овощной вкус тонким и разрушить сливочную эмульсию</x:v>
      </x:c>
      <x:c r="I83" s="28" t="str">
        <x:v>пюре, суп, запекание, крем, гарнир, соус или десертная разработка с яблоко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119</x:v>
      </x:c>
    </x:row>
    <x:row r="84" ht="66" customHeight="1">
      <x:c r="A84" s="28" t="str">
        <x:v>VEG-0119</x:v>
      </x:c>
      <x:c r="B84" s="28" t="str">
        <x:v>болгарский перец</x:v>
      </x:c>
      <x:c r="C84" s="28" t="str">
        <x:v>баранина</x:v>
      </x:c>
      <x:c r="D84" s="28" t="str">
        <x:v>Мясо и птица</x:v>
      </x:c>
      <x:c r="E84" s="28" t="str">
        <x:v>умами и солёный контраст</x:v>
      </x:c>
      <x:c r="F84" s="28" t="str">
        <x:v>Болгарский перец имеет профиль «зелёный, травянистый, фруктовый; у красного — сладкий и жареный».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4" s="28" t="str">
        <x:v>зелёный перец может доминировать метоксипиразином; обугленную кожицу удалять</x:v>
      </x:c>
      <x:c r="I84" s="28" t="str">
        <x:v>сок, кордиал, гаспачо, салат, соус, маринад или коктейльный компонент с баранина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108</x:v>
      </x:c>
    </x:row>
    <x:row r="85" ht="66" customHeight="1">
      <x:c r="A85" s="28" t="str">
        <x:v>VEG-0120</x:v>
      </x:c>
      <x:c r="B85" s="28" t="str">
        <x:v>болгарский перец</x:v>
      </x:c>
      <x:c r="C85" s="28" t="str">
        <x:v>бекон</x:v>
      </x:c>
      <x:c r="D85" s="28" t="str">
        <x:v>Мясо и птица</x:v>
      </x:c>
      <x:c r="E85" s="28" t="str">
        <x:v>умами и солёный контраст</x:v>
      </x:c>
      <x:c r="F85" s="28" t="str">
        <x:v>Болгарский перец имеет профиль «зелёный, травянистый, фруктовый; у красного — сладкий и жареный».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5" s="28" t="str">
        <x:v>зелёный перец может доминировать метоксипиразином; обугленную кожицу удалять</x:v>
      </x:c>
      <x:c r="I85" s="28" t="str">
        <x:v>сок, кордиал, гаспачо, салат, соус, маринад или коктейльный компонент с бекон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442, 545</x:v>
      </x:c>
    </x:row>
    <x:row r="86" ht="66" customHeight="1">
      <x:c r="A86" s="28" t="str">
        <x:v>VEG-0126</x:v>
      </x:c>
      <x:c r="B86" s="28" t="str">
        <x:v>болгарский перец</x:v>
      </x:c>
      <x:c r="C86" s="28" t="str">
        <x:v>говядина</x:v>
      </x:c>
      <x:c r="D86" s="28" t="str">
        <x:v>Мясо и птица</x:v>
      </x:c>
      <x:c r="E86" s="28" t="str">
        <x:v>умами и солёный контраст</x:v>
      </x:c>
      <x:c r="F86" s="28" t="str">
        <x:v>Болгарский перец имеет профиль «зелёный, травянистый, фруктовый; у красного — сладкий и жареный».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6" s="28" t="str">
        <x:v>зелёный перец может доминировать метоксипиразином; обугленную кожицу удалять</x:v>
      </x:c>
      <x:c r="I86" s="28" t="str">
        <x:v>сок, кордиал, гаспачо, салат, соус, маринад или коктейльный компонент с говядина</x:v>
      </x:c>
      <x:c r="J86" s="28" t="str">
        <x:v>Высокая</x:v>
      </x:c>
      <x:c r="K86" s="28" t="str">
        <x:v>The Art &amp; Science of Foodpairing.pdf | Тезариус вкусов (Ники Сегнит)(1).pdf</x:v>
      </x:c>
      <x:c r="L86" s="28" t="str">
        <x:v>Тезариус вкусов (Ники Сегнит)(1).pdf: 106, 546; The Art &amp; Science of Foodpairing.pdf: 108</x:v>
      </x:c>
    </x:row>
    <x:row r="87" ht="66" customHeight="1">
      <x:c r="A87" s="28" t="str">
        <x:v>VEG-0129</x:v>
      </x:c>
      <x:c r="B87" s="28" t="str">
        <x:v>болгарский перец</x:v>
      </x:c>
      <x:c r="C87" s="28" t="str">
        <x:v>гребешок</x:v>
      </x:c>
      <x:c r="D87" s="28" t="str">
        <x:v>Рыба и морепродукты</x:v>
      </x:c>
      <x:c r="E87" s="28" t="str">
        <x:v>умами и солёный контраст</x:v>
      </x:c>
      <x:c r="F87" s="28" t="str">
        <x:v>Болгарский перец имеет профиль «зелёный, травянистый, фруктовый; у красного — сладкий и жареный». Партнёр «гребешок»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7" s="28" t="str">
        <x:v>зелёный перец может доминировать метоксипиразином; обугленную кожицу удалять</x:v>
      </x:c>
      <x:c r="I87" s="28" t="str">
        <x:v>сок, кордиал, гаспачо, салат, соус, маринад или коктейльный компонент с гребешок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108</x:v>
      </x:c>
    </x:row>
    <x:row r="88" ht="66" customHeight="1">
      <x:c r="A88" s="28" t="str">
        <x:v>VEG-0130</x:v>
      </x:c>
      <x:c r="B88" s="28" t="str">
        <x:v>болгарский перец</x:v>
      </x:c>
      <x:c r="C88" s="28" t="str">
        <x:v>жареная индейка</x:v>
      </x:c>
      <x:c r="D88" s="28" t="str">
        <x:v>Мясо и птица</x:v>
      </x:c>
      <x:c r="E88" s="28" t="str">
        <x:v>умами и солёный контраст</x:v>
      </x:c>
      <x:c r="F88" s="28" t="str">
        <x:v>Болгарский перец имеет профиль «зелёный, травянистый, фруктовый; у красного — сладкий и жареный». Партнёр «жареная индейка»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88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8" s="28" t="str">
        <x:v>зелёный перец может доминировать метоксипиразином; обугленную кожицу удалять</x:v>
      </x:c>
      <x:c r="I88" s="28" t="str">
        <x:v>сок, кордиал, гаспачо, салат, соус, маринад или коктейльный компонент с жареная индейка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108</x:v>
      </x:c>
    </x:row>
    <x:row r="89" ht="66" customHeight="1">
      <x:c r="A89" s="28" t="str">
        <x:v>VEG-0136</x:v>
      </x:c>
      <x:c r="B89" s="28" t="str">
        <x:v>болгарский перец</x:v>
      </x:c>
      <x:c r="C89" s="28" t="str">
        <x:v>красный болгарский перец</x:v>
      </x:c>
      <x:c r="D89" s="28" t="str">
        <x:v>Плодовые и тыквенные овощи</x:v>
      </x:c>
      <x:c r="E89" s="28" t="str">
        <x:v>общие характерные молекулы; пересечение ароматических семейств</x:v>
      </x:c>
      <x:c r="F89" s="28" t="str">
        <x:v>Болгарский перец имеет профиль «зелёный, травянистый, фруктовый; у красного — сладкий и жареный». Партнёр «красный болгарский перец» относится к группе «Плодовые и тыквенные овощи» и даёт зелёный, фруктовый или водянистый. Вероятный молекулярный мост: эфиры. Совместимость формируется за счёт баланса сладости, кислотности, горечи, умами и текстуры.</x:v>
      </x:c>
      <x:c r="G89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89" s="28" t="str">
        <x:v>зелёный перец может доминировать метоксипиразином; обугленную кожицу удалять</x:v>
      </x:c>
      <x:c r="I89" s="28" t="str">
        <x:v>сок, кордиал, гаспачо, салат, соус, маринад или коктейльный компонент с красный болгарский перец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108</x:v>
      </x:c>
    </x:row>
    <x:row r="90" ht="66" customHeight="1">
      <x:c r="A90" s="28" t="str">
        <x:v>VEG-0138</x:v>
      </x:c>
      <x:c r="B90" s="28" t="str">
        <x:v>болгарский перец</x:v>
      </x:c>
      <x:c r="C90" s="28" t="str">
        <x:v>лук-порей</x:v>
      </x:c>
      <x:c r="D90" s="28" t="str">
        <x:v>Луковые овощи</x:v>
      </x:c>
      <x:c r="E90" s="28" t="str">
        <x:v>пересечение ароматических семейств</x:v>
      </x:c>
      <x:c r="F90" s="28" t="str">
        <x:v>Болгарский перец имеет профиль «зелёный, травянистый, фруктовый; у красного — сладкий и жареный». Партнёр «лук-порей» относится к группе «Луковые овощи» и даёт сернистый,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90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0" s="28" t="str">
        <x:v>зелёный перец может доминировать метоксипиразином; обугленную кожицу удалять</x:v>
      </x:c>
      <x:c r="I90" s="28" t="str">
        <x:v>сок, кордиал, гаспачо, салат, соус, маринад или коктейльный компонент с лук-порей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108</x:v>
      </x:c>
    </x:row>
    <x:row r="91" ht="66" customHeight="1">
      <x:c r="A91" s="28" t="str">
        <x:v>VEG-0140</x:v>
      </x:c>
      <x:c r="B91" s="28" t="str">
        <x:v>болгарский перец</x:v>
      </x:c>
      <x:c r="C91" s="28" t="str">
        <x:v>моллюски</x:v>
      </x:c>
      <x:c r="D91" s="28" t="str">
        <x:v>Рыба и морепродукты</x:v>
      </x:c>
      <x:c r="E91" s="28" t="str">
        <x:v>умами и солёный контраст</x:v>
      </x:c>
      <x:c r="F91" s="28" t="str">
        <x:v>Болгарский перец имеет профиль «зелёный, травянистый, фруктовый; у красного — сладкий и жареный».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1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1" s="28" t="str">
        <x:v>зелёный перец может доминировать метоксипиразином; обугленную кожицу удалять</x:v>
      </x:c>
      <x:c r="I91" s="28" t="str">
        <x:v>сок, кордиал, гаспачо, салат, соус, маринад или коктейльный компонент с моллюски</x:v>
      </x:c>
      <x:c r="J91" s="28" t="str">
        <x:v>Высокая</x:v>
      </x:c>
      <x:c r="K91" s="28" t="str">
        <x:v>The Art &amp; Science of Foodpairing.pdf | Тезариус вкусов (Ники Сегнит)(1).pdf</x:v>
      </x:c>
      <x:c r="L91" s="28" t="str">
        <x:v>Тезариус вкусов (Ники Сегнит)(1).pdf: 367, 547; The Art &amp; Science of Foodpairing.pdf: 108</x:v>
      </x:c>
    </x:row>
    <x:row r="92" ht="66" customHeight="1">
      <x:c r="A92" s="28" t="str">
        <x:v>VEG-0141</x:v>
      </x:c>
      <x:c r="B92" s="28" t="str">
        <x:v>болгарский перец</x:v>
      </x:c>
      <x:c r="C92" s="28" t="str">
        <x:v>морской гребешок</x:v>
      </x:c>
      <x:c r="D92" s="28" t="str">
        <x:v>Рыба и морепродукты</x:v>
      </x:c>
      <x:c r="E92" s="28" t="str">
        <x:v>умами и солёный контраст</x:v>
      </x:c>
      <x:c r="F92" s="28" t="str">
        <x:v>Болгарский перец имеет профиль «зелёный, травянистый, фруктовый; у красного — сладкий и жареный». Партнёр «морской гребешок»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2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2" s="28" t="str">
        <x:v>зелёный перец может доминировать метоксипиразином; обугленную кожицу удалять</x:v>
      </x:c>
      <x:c r="I92" s="28" t="str">
        <x:v>сок, кордиал, гаспачо, салат, соус, маринад или коктейльный компонент с морской гребешок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108</x:v>
      </x:c>
    </x:row>
    <x:row r="93" ht="66" customHeight="1">
      <x:c r="A93" s="28" t="str">
        <x:v>VEG-0148</x:v>
      </x:c>
      <x:c r="B93" s="28" t="str">
        <x:v>болгарский перец</x:v>
      </x:c>
      <x:c r="C93" s="28" t="str">
        <x:v>сардина</x:v>
      </x:c>
      <x:c r="D93" s="28" t="str">
        <x:v>Рыба и морепродукты</x:v>
      </x:c>
      <x:c r="E93" s="28" t="str">
        <x:v>умами и солёный контраст</x:v>
      </x:c>
      <x:c r="F93" s="28" t="str">
        <x:v>Болгарский перец имеет профиль «зелёный, травянистый, фруктовый; у красного — сладкий и жареный». Партнёр «сардина»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93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3" s="28" t="str">
        <x:v>зелёный перец может доминировать метоксипиразином; обугленную кожицу удалять</x:v>
      </x:c>
      <x:c r="I93" s="28" t="str">
        <x:v>сок, кордиал, гаспачо, салат, соус, маринад или коктейльный компонент с сардина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108</x:v>
      </x:c>
    </x:row>
    <x:row r="94" ht="66" customHeight="1">
      <x:c r="A94" s="28" t="str">
        <x:v>VEG-0150</x:v>
      </x:c>
      <x:c r="B94" s="28" t="str">
        <x:v>болгарский перец</x:v>
      </x:c>
      <x:c r="C94" s="28" t="str">
        <x:v>соевый соус</x:v>
      </x:c>
      <x:c r="D94" s="28" t="str">
        <x:v>Ферментированные продукты и соусы</x:v>
      </x:c>
      <x:c r="E94" s="28" t="str">
        <x:v>общие характерные молекулы; умами и солёный контраст</x:v>
      </x:c>
      <x:c r="F94" s="28" t="str">
        <x:v>Болгарский перец имеет профиль «зелёный, травянистый, фруктовый; у красного — сладкий и жареный». Партнёр «соевый соус» относится к группе «Ферментированные продукты и соусы» и даёт жареный, умами, ферментированный. Вероятный молекулярный мост: эфиры. Умами, соль и нуклеотиды усиливают savoury-профиль, а жарка формирует общую систему пиразинов, фуранов и сернистых молекул.</x:v>
      </x:c>
      <x:c r="G94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4" s="28" t="str">
        <x:v>зелёный перец может доминировать метоксипиразином; обугленную кожицу удалять</x:v>
      </x:c>
      <x:c r="I94" s="28" t="str">
        <x:v>сок, кордиал, гаспачо, салат, соус, маринад или коктейльный компонент с соевый соус</x:v>
      </x:c>
      <x:c r="J94" s="28" t="str">
        <x:v>Средняя</x:v>
      </x:c>
      <x:c r="K94" s="28" t="str">
        <x:v>The Art &amp; Science of Foodpairing.pdf</x:v>
      </x:c>
      <x:c r="L94" s="28" t="str">
        <x:v>The Art &amp; Science of Foodpairing.pdf: 108</x:v>
      </x:c>
    </x:row>
    <x:row r="95" ht="66" customHeight="1">
      <x:c r="A95" s="28" t="str">
        <x:v>VEG-0151</x:v>
      </x:c>
      <x:c r="B95" s="28" t="str">
        <x:v>болгарский перец</x:v>
      </x:c>
      <x:c r="C95" s="28" t="str">
        <x:v>соевый соус сайсикоми</x:v>
      </x:c>
      <x:c r="D95" s="28" t="str">
        <x:v>Ферментированные продукты и соусы</x:v>
      </x:c>
      <x:c r="E95" s="28" t="str">
        <x:v>общие характерные молекулы; умами и солёный контраст</x:v>
      </x:c>
      <x:c r="F95" s="28" t="str">
        <x:v>Болгарский перец имеет профиль «зелёный, травянистый, фруктовый; у красного — сладкий и жареный». Партнёр «соевый соус сайсикоми» относится к группе «Ферментированные продукты и соусы» и даёт жареный, умами, ферментированный. Вероятный молекулярный мост: эфиры. Умами, соль и нуклеотиды усиливают savoury-профиль, а жарка формирует общую систему пиразинов, фуранов и сернистых молекул.</x:v>
      </x:c>
      <x:c r="G95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5" s="28" t="str">
        <x:v>зелёный перец может доминировать метоксипиразином; обугленную кожицу удалять</x:v>
      </x:c>
      <x:c r="I95" s="28" t="str">
        <x:v>сок, кордиал, гаспачо, салат, соус, маринад или коктейльный компонент с соевый соус сайсикоми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108</x:v>
      </x:c>
    </x:row>
    <x:row r="96" ht="66" customHeight="1">
      <x:c r="A96" s="28" t="str">
        <x:v>VEG-0152</x:v>
      </x:c>
      <x:c r="B96" s="28" t="str">
        <x:v>болгарский перец</x:v>
      </x:c>
      <x:c r="C96" s="28" t="str">
        <x:v>соус тукупи</x:v>
      </x:c>
      <x:c r="D96" s="28" t="str">
        <x:v>Прочее</x:v>
      </x:c>
      <x:c r="E96" s="28" t="str">
        <x:v>сенсорная комплементарность</x:v>
      </x:c>
      <x:c r="F96" s="28" t="str">
        <x:v>Болгарский перец имеет профиль «зелёный, травянистый, фруктовый; у красного — сладкий и жареный». Партнёр «соус тукупи»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96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6" s="28" t="str">
        <x:v>зелёный перец может доминировать метоксипиразином; обугленную кожицу удалять</x:v>
      </x:c>
      <x:c r="I96" s="28" t="str">
        <x:v>сок, кордиал, гаспачо, салат, соус, маринад или коктейльный компонент с соус тукупи</x:v>
      </x:c>
      <x:c r="J96" s="28" t="str">
        <x:v>Высокая</x:v>
      </x:c>
      <x:c r="K96" s="28" t="str">
        <x:v>The Art &amp; Science of Foodpairing.pdf</x:v>
      </x:c>
      <x:c r="L96" s="28" t="str">
        <x:v>The Art &amp; Science of Foodpairing.pdf: 250</x:v>
      </x:c>
    </x:row>
    <x:row r="97" ht="66" customHeight="1">
      <x:c r="A97" s="28" t="str">
        <x:v>VEG-0157</x:v>
      </x:c>
      <x:c r="B97" s="28" t="str">
        <x:v>болгарский перец</x:v>
      </x:c>
      <x:c r="C97" s="28" t="str">
        <x:v>томат черри</x:v>
      </x:c>
      <x:c r="D97" s="28" t="str">
        <x:v>Плодовые и тыквенные овощи</x:v>
      </x:c>
      <x:c r="E97" s="28" t="str">
        <x:v>общие характерные молекулы; пересечение ароматических семейств</x:v>
      </x:c>
      <x:c r="F97" s="28" t="str">
        <x:v>Болгарский перец имеет профиль «зелёный, травянистый, фруктовый; у красного — сладкий и жареный». Партнёр «томат черри» относится к группе «Плодовые и тыквенные овощи» и даёт зелёный, фруктовый или водянистый. Вероятный молекулярный мост: эфиры. Совместимость формируется за счёт баланса сладости, кислотности, горечи, умами и текстуры.</x:v>
      </x:c>
      <x:c r="G97" s="28" t="str">
        <x:v>запекание снижает зелёные пиразины и усиливает сладость; снятие кожицы улучшает текстуру. Для свежего профиля работать холодно или применять короткую тепловую обработку.</x:v>
      </x:c>
      <x:c r="H97" s="28" t="str">
        <x:v>зелёный перец может доминировать метоксипиразином; обугленную кожицу удалять</x:v>
      </x:c>
      <x:c r="I97" s="28" t="str">
        <x:v>сок, кордиал, гаспачо, салат, соус, маринад или коктейльный компонент с томат черри</x:v>
      </x:c>
      <x:c r="J97" s="28" t="str">
        <x:v>Средняя</x:v>
      </x:c>
      <x:c r="K97" s="28" t="str">
        <x:v>The Art &amp; Science of Foodpairing.pdf</x:v>
      </x:c>
      <x:c r="L97" s="28" t="str">
        <x:v>The Art &amp; Science of Foodpairing.pdf: 108</x:v>
      </x:c>
    </x:row>
    <x:row r="98" ht="66" customHeight="1">
      <x:c r="A98" s="28" t="str">
        <x:v>VEG-0171</x:v>
      </x:c>
      <x:c r="B98" s="28" t="str">
        <x:v>брокколи</x:v>
      </x:c>
      <x:c r="C98" s="28" t="str">
        <x:v>анчоусы</x:v>
      </x:c>
      <x:c r="D98" s="28" t="str">
        <x:v>Рыба и морепродукты</x:v>
      </x:c>
      <x:c r="E98" s="28" t="str">
        <x:v>умами и солёный контраст; сернистая или горчичная комплементарность</x:v>
      </x:c>
      <x:c r="F98" s="28" t="str">
        <x:v>Брокколи имеет профиль «зелёный, капустный, сернистый и ореховый после жарки».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8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98" s="28" t="str">
        <x:v>переваривание даёт сернистый запах и тусклый цвет; толстые стебли требуют отдельной обработки</x:v>
      </x:c>
      <x:c r="I98" s="28" t="str">
        <x:v>горячее блюдо, бульон, соус, пюре, ферментация или гарнир с анчоусы</x:v>
      </x:c>
      <x:c r="J98" s="28" t="str">
        <x:v>Средняя</x:v>
      </x:c>
      <x:c r="K98" s="28" t="str">
        <x:v>Тезариус вкусов (Ники Сегнит)(1).pdf</x:v>
      </x:c>
      <x:c r="L98" s="28" t="str">
        <x:v>Тезариус вкусов (Ники Сегнит)(1).pdf: 329, 424</x:v>
      </x:c>
    </x:row>
    <x:row r="99" ht="66" customHeight="1">
      <x:c r="A99" s="28" t="str">
        <x:v>VEG-0172</x:v>
      </x:c>
      <x:c r="B99" s="28" t="str">
        <x:v>брокколи</x:v>
      </x:c>
      <x:c r="C99" s="28" t="str">
        <x:v>арахис</x:v>
      </x:c>
      <x:c r="D99" s="28" t="str">
        <x:v>Орехи и семена</x:v>
      </x:c>
      <x:c r="E99" s="28" t="str">
        <x:v>общие характерные молекулы; пересечение ароматических семейств; сернистая или горчичная комплементарность</x:v>
      </x:c>
      <x:c r="F99" s="28" t="str">
        <x:v>Брокколи имеет профиль «зелёный, капустный, сернистый и ореховый после жарки». Партнёр «арахис»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99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99" s="28" t="str">
        <x:v>переваривание даёт сернистый запах и тусклый цвет; толстые стебли требуют отдельной обработки</x:v>
      </x:c>
      <x:c r="I99" s="28" t="str">
        <x:v>горячее блюдо, бульон, соус, пюре, ферментация или гарнир с арахис</x:v>
      </x:c>
      <x:c r="J99" s="28" t="str">
        <x:v>Средняя</x:v>
      </x:c>
      <x:c r="K99" s="28" t="str">
        <x:v>Тезариус вкусов (Ники Сегнит)(1).pdf</x:v>
      </x:c>
      <x:c r="L99" s="28" t="str">
        <x:v>Тезариус вкусов (Ники Сегнит)(1).pdf: 51, 329</x:v>
      </x:c>
    </x:row>
    <x:row r="100" ht="66" customHeight="1">
      <x:c r="A100" s="28" t="str">
        <x:v>VEG-0173</x:v>
      </x:c>
      <x:c r="B100" s="28" t="str">
        <x:v>брокколи</x:v>
      </x:c>
      <x:c r="C100" s="28" t="str">
        <x:v>бекон</x:v>
      </x:c>
      <x:c r="D100" s="28" t="str">
        <x:v>Мясо и птица</x:v>
      </x:c>
      <x:c r="E100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100" s="28" t="str">
        <x:v>Брокколи имеет профиль «зелёный, капустный, сернистый и ореховый после жарки».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0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0" s="28" t="str">
        <x:v>переваривание даёт сернистый запах и тусклый цвет; толстые стебли требуют отдельной обработки</x:v>
      </x:c>
      <x:c r="I100" s="28" t="str">
        <x:v>горячее блюдо, бульон, соус, пюре, ферментация или гарнир с бекон</x:v>
      </x:c>
      <x:c r="J100" s="28" t="str">
        <x:v>Средняя</x:v>
      </x:c>
      <x:c r="K100" s="28" t="str">
        <x:v>Тезариус вкусов (Ники Сегнит)(1).pdf</x:v>
      </x:c>
      <x:c r="L100" s="28" t="str">
        <x:v>Тезариус вкусов (Ники Сегнит)(1).pdf: 329, 442</x:v>
      </x:c>
    </x:row>
    <x:row r="101" ht="66" customHeight="1">
      <x:c r="A101" s="28" t="str">
        <x:v>VEG-0174</x:v>
      </x:c>
      <x:c r="B101" s="28" t="str">
        <x:v>брокколи</x:v>
      </x:c>
      <x:c r="C101" s="28" t="str">
        <x:v>говядина</x:v>
      </x:c>
      <x:c r="D101" s="28" t="str">
        <x:v>Мясо и птица</x:v>
      </x:c>
      <x:c r="E101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101" s="28" t="str">
        <x:v>Брокколи имеет профиль «зелёный, капустный, сернистый и ореховый после жарки».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1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1" s="28" t="str">
        <x:v>переваривание даёт сернистый запах и тусклый цвет; толстые стебли требуют отдельной обработки</x:v>
      </x:c>
      <x:c r="I101" s="28" t="str">
        <x:v>горячее блюдо, бульон, соус, пюре, ферментация или гарнир с говядина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106, 330</x:v>
      </x:c>
    </x:row>
    <x:row r="102" ht="66" customHeight="1">
      <x:c r="A102" s="28" t="str">
        <x:v>VEG-0175</x:v>
      </x:c>
      <x:c r="B102" s="28" t="str">
        <x:v>брокколи</x:v>
      </x:c>
      <x:c r="C102" s="28" t="str">
        <x:v>голубой сыр</x:v>
      </x:c>
      <x:c r="D102" s="28" t="str">
        <x:v>Молочные продукты и сыры</x:v>
      </x:c>
      <x:c r="E102" s="28" t="str">
        <x:v>жировая матрица; сернистая или горчичная комплементарность</x:v>
      </x:c>
      <x:c r="F102" s="28" t="str">
        <x:v>Брокколи имеет профиль «зелёный, капустный, сернистый и ореховый после жарки».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2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2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I102" s="28" t="str">
        <x:v>горячее блюдо, бульон, соус, пюре, ферментация или гарнир с голубой сыр</x:v>
      </x:c>
      <x:c r="J102" s="28" t="str">
        <x:v>Средняя</x:v>
      </x:c>
      <x:c r="K102" s="28" t="str">
        <x:v>Тезариус вкусов (Ники Сегнит)(1).pdf</x:v>
      </x:c>
      <x:c r="L102" s="28" t="str">
        <x:v>Тезариус вкусов (Ники Сегнит)(1).pdf: 155, 331</x:v>
      </x:c>
    </x:row>
    <x:row r="103" ht="66" customHeight="1">
      <x:c r="A103" s="28" t="str">
        <x:v>VEG-0176</x:v>
      </x:c>
      <x:c r="B103" s="28" t="str">
        <x:v>брокколи</x:v>
      </x:c>
      <x:c r="C103" s="28" t="str">
        <x:v>грецкий орех</x:v>
      </x:c>
      <x:c r="D103" s="28" t="str">
        <x:v>Орехи и семена</x:v>
      </x:c>
      <x:c r="E103" s="28" t="str">
        <x:v>общие характерные молекулы; сернистая или горчичная комплементарность</x:v>
      </x:c>
      <x:c r="F103" s="28" t="str">
        <x:v>Брокколи имеет профиль «зелёный, капустный, сернистый и ореховый после жарки».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3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3" s="28" t="str">
        <x:v>переваривание даёт сернистый запах и тусклый цвет; толстые стебли требуют отдельной обработки</x:v>
      </x:c>
      <x:c r="I103" s="28" t="str">
        <x:v>горячее блюдо, бульон, соус, пюре, ферментация или гарнир с грецкий орех</x:v>
      </x:c>
      <x:c r="J103" s="28" t="str">
        <x:v>Средняя</x:v>
      </x:c>
      <x:c r="K103" s="28" t="str">
        <x:v>Тезариус вкусов (Ники Сегнит)(1).pdf</x:v>
      </x:c>
      <x:c r="L103" s="28" t="str">
        <x:v>Тезариус вкусов (Ники Сегнит)(1).pdf: 331, 624</x:v>
      </x:c>
    </x:row>
    <x:row r="104" ht="66" customHeight="1">
      <x:c r="A104" s="28" t="str">
        <x:v>VEG-0177</x:v>
      </x:c>
      <x:c r="B104" s="28" t="str">
        <x:v>брокколи</x:v>
      </x:c>
      <x:c r="C104" s="28" t="str">
        <x:v>джин</x:v>
      </x:c>
      <x:c r="D104" s="28" t="str">
        <x:v>Алкогольные напитки</x:v>
      </x:c>
      <x:c r="E104" s="28" t="str">
        <x:v>сернистая или горчичная комплементарность</x:v>
      </x:c>
      <x:c r="F104" s="28" t="str">
        <x:v>Брокколи имеет профиль «зелёный, капустный, сернистый и ореховый после жарки».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4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4" s="28" t="str">
        <x:v>переваривание даёт сернистый запах и тусклый цвет; толстые стебли требуют отдельной обработки</x:v>
      </x:c>
      <x:c r="I104" s="28" t="str">
        <x:v>горячее блюдо, бульон, соус, пюре, ферментация или гарнир с джин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215</x:v>
      </x:c>
    </x:row>
    <x:row r="105" ht="66" customHeight="1">
      <x:c r="A105" s="28" t="str">
        <x:v>VEG-0178</x:v>
      </x:c>
      <x:c r="B105" s="28" t="str">
        <x:v>брокколи</x:v>
      </x:c>
      <x:c r="C105" s="28" t="str">
        <x:v>имбирь</x:v>
      </x:c>
      <x:c r="D105" s="28" t="str">
        <x:v>Специи</x:v>
      </x:c>
      <x:c r="E105" s="28" t="str">
        <x:v>сернистая или горчичная комплементарность</x:v>
      </x:c>
      <x:c r="F105" s="28" t="str">
        <x:v>Брокколи имеет профиль «зелёный, капустный, сернистый и ореховый после жарки».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5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5" s="28" t="str">
        <x:v>переваривание даёт сернистый запах и тусклый цвет; толстые стебли требуют отдельной обработки</x:v>
      </x:c>
      <x:c r="I105" s="28" t="str">
        <x:v>горячее блюдо, бульон, соус, пюре, ферментация или гарнир с имбирь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142</x:v>
      </x:c>
    </x:row>
    <x:row r="106" ht="66" customHeight="1">
      <x:c r="A106" s="28" t="str">
        <x:v>VEG-0179</x:v>
      </x:c>
      <x:c r="B106" s="28" t="str">
        <x:v>брокколи</x:v>
      </x:c>
      <x:c r="C106" s="28" t="str">
        <x:v>кунжут, халва и тахини</x:v>
      </x:c>
      <x:c r="D106" s="28" t="str">
        <x:v>Орехи и семена</x:v>
      </x:c>
      <x:c r="E106" s="28" t="str">
        <x:v>общие характерные молекулы; пересечение ароматических семейств; сернистая или горчичная комплементарность</x:v>
      </x:c>
      <x:c r="F106" s="28" t="str">
        <x:v>Брокколи имеет профиль «зелёный, капустный, сернистый и ореховый после жарки». Партнёр «кунжут, халва и тахини»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6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6" s="28" t="str">
        <x:v>переваривание даёт сернистый запах и тусклый цвет; толстые стебли требуют отдельной обработки</x:v>
      </x:c>
      <x:c r="I106" s="28" t="str">
        <x:v>горячее блюдо, бульон, соус, пюре, ферментация или гарнир с кунжут, халва и тахини</x:v>
      </x:c>
      <x:c r="J106" s="28" t="str">
        <x:v>Средняя</x:v>
      </x:c>
      <x:c r="K106" s="28" t="str">
        <x:v>The Art &amp; Science of Foodpairing.pdf</x:v>
      </x:c>
      <x:c r="L106" s="28" t="str">
        <x:v>The Art &amp; Science of Foodpairing.pdf: 308</x:v>
      </x:c>
    </x:row>
    <x:row r="107" ht="66" customHeight="1">
      <x:c r="A107" s="28" t="str">
        <x:v>VEG-0180</x:v>
      </x:c>
      <x:c r="B107" s="28" t="str">
        <x:v>брокколи</x:v>
      </x:c>
      <x:c r="C107" s="28" t="str">
        <x:v>лимон</x:v>
      </x:c>
      <x:c r="D107" s="28" t="str">
        <x:v>Фрукты и ягоды</x:v>
      </x:c>
      <x:c r="E107" s="28" t="str">
        <x:v>кислотно-сладкий баланс; сернистая или горчичная комплементарность</x:v>
      </x:c>
      <x:c r="F107" s="28" t="str">
        <x:v>Брокколи имеет профиль «зелёный, капустный, сернистый и ореховый после жарки».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7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7" s="28" t="str">
        <x:v>переваривание даёт сернистый запах и тусклый цвет; толстые стебли требуют отдельной обработки; избыток кислоты или воды может сделать овощной вкус тонким и разрушить сливочную эмульсию</x:v>
      </x:c>
      <x:c r="I107" s="28" t="str">
        <x:v>горячее блюдо, бульон, соус, пюре, ферментация или гарнир с лимон</x:v>
      </x:c>
      <x:c r="J107" s="28" t="str">
        <x:v>Средняя</x:v>
      </x:c>
      <x:c r="K107" s="28" t="str">
        <x:v>Тезариус вкусов (Ники Сегнит)(1).pdf</x:v>
      </x:c>
      <x:c r="L107" s="28" t="str">
        <x:v>Тезариус вкусов (Ники Сегнит)(1).pdf: 331, 801</x:v>
      </x:c>
    </x:row>
    <x:row r="108" ht="66" customHeight="1">
      <x:c r="A108" s="28" t="str">
        <x:v>VEG-0181</x:v>
      </x:c>
      <x:c r="B108" s="28" t="str">
        <x:v>брокколи</x:v>
      </x:c>
      <x:c r="C108" s="28" t="str">
        <x:v>пармезан</x:v>
      </x:c>
      <x:c r="D108" s="28" t="str">
        <x:v>Прочее</x:v>
      </x:c>
      <x:c r="E108" s="28" t="str">
        <x:v>сернистая или горчичная комплементарность</x:v>
      </x:c>
      <x:c r="F108" s="28" t="str">
        <x:v>Брокколи имеет профиль «зелёный, капустный, сернистый и ореховый после жарки».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8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8" s="28" t="str">
        <x:v>переваривание даёт сернистый запах и тусклый цвет; толстые стебли требуют отдельной обработки</x:v>
      </x:c>
      <x:c r="I108" s="28" t="str">
        <x:v>горячее блюдо, бульон, соус, пюре, ферментация или гарнир с пармезан</x:v>
      </x:c>
      <x:c r="J108" s="28" t="str">
        <x:v>Средняя</x:v>
      </x:c>
      <x:c r="K108" s="28" t="str">
        <x:v>The Art &amp; Science of Foodpairing.pdf</x:v>
      </x:c>
      <x:c r="L108" s="28" t="str">
        <x:v>The Art &amp; Science of Foodpairing.pdf: 282</x:v>
      </x:c>
    </x:row>
    <x:row r="109" ht="66" customHeight="1">
      <x:c r="A109" s="28" t="str">
        <x:v>VEG-0182</x:v>
      </x:c>
      <x:c r="B109" s="28" t="str">
        <x:v>брокколи</x:v>
      </x:c>
      <x:c r="C109" s="28" t="str">
        <x:v>свинина</x:v>
      </x:c>
      <x:c r="D109" s="28" t="str">
        <x:v>Мясо и птица</x:v>
      </x:c>
      <x:c r="E109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F109" s="28" t="str">
        <x:v>Брокколи имеет профиль «зелёный, капустный, сернистый и ореховый после жарки».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09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09" s="28" t="str">
        <x:v>переваривание даёт сернистый запах и тусклый цвет; толстые стебли требуют отдельной обработки</x:v>
      </x:c>
      <x:c r="I109" s="28" t="str">
        <x:v>горячее блюдо, бульон, соус, пюре, ферментация или гарнир с свинина</x:v>
      </x:c>
      <x:c r="J109" s="28" t="str">
        <x:v>Средняя</x:v>
      </x:c>
      <x:c r="K109" s="28" t="str">
        <x:v>Тезариус вкусов (Ники Сегнит)(1).pdf</x:v>
      </x:c>
      <x:c r="L109" s="28" t="str">
        <x:v>Тезариус вкусов (Ники Сегнит)(1).pdf: 80, 332</x:v>
      </x:c>
    </x:row>
    <x:row r="110" ht="66" customHeight="1">
      <x:c r="A110" s="28" t="str">
        <x:v>VEG-0183</x:v>
      </x:c>
      <x:c r="B110" s="28" t="str">
        <x:v>брокколи</x:v>
      </x:c>
      <x:c r="C110" s="28" t="str">
        <x:v>твердый сыр</x:v>
      </x:c>
      <x:c r="D110" s="28" t="str">
        <x:v>Молочные продукты и сыры</x:v>
      </x:c>
      <x:c r="E110" s="28" t="str">
        <x:v>жировая матрица; сернистая или горчичная комплементарность</x:v>
      </x:c>
      <x:c r="F110" s="28" t="str">
        <x:v>Брокколи имеет профиль «зелёный, капустный, сернистый и ореховый после жарки».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0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10" s="28" t="str">
        <x:v>переваривание даёт сернистый запах и тусклый цвет; толстые стебли требуют отдельной обработки; жир способен приглушить свежую зелёную ароматику</x:v>
      </x:c>
      <x:c r="I110" s="28" t="str">
        <x:v>горячее блюдо, бульон, соус, пюре, ферментация или гарнир с твердый сыр</x:v>
      </x:c>
      <x:c r="J110" s="28" t="str">
        <x:v>Средняя</x:v>
      </x:c>
      <x:c r="K110" s="28" t="str">
        <x:v>Тезариус вкусов (Ники Сегнит)(1).pdf</x:v>
      </x:c>
      <x:c r="L110" s="28" t="str">
        <x:v>Тезариус вкусов (Ники Сегнит)(1).pdf: 168, 332</x:v>
      </x:c>
    </x:row>
    <x:row r="111" ht="66" customHeight="1">
      <x:c r="A111" s="28" t="str">
        <x:v>VEG-0184</x:v>
      </x:c>
      <x:c r="B111" s="28" t="str">
        <x:v>брокколи</x:v>
      </x:c>
      <x:c r="C111" s="28" t="str">
        <x:v>тёмный шоколад</x:v>
      </x:c>
      <x:c r="D111" s="28" t="str">
        <x:v>Какао и шоколад</x:v>
      </x:c>
      <x:c r="E111" s="28" t="str">
        <x:v>общие характерные молекулы; пересечение ароматических семейств; сернистая или горчичная комплементарность</x:v>
      </x:c>
      <x:c r="F111" s="28" t="str">
        <x:v>Брокколи имеет профиль «зелёный, капустный, сернистый и ореховый после жарки». Партнёр «тёмный 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1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11" s="28" t="str">
        <x:v>переваривание даёт сернистый запах и тусклый цвет; толстые стебли требуют отдельной обработки; жареная горечь легко маскирует нежный овощной аромат</x:v>
      </x:c>
      <x:c r="I111" s="28" t="str">
        <x:v>горячее блюдо, бульон, соус, пюре, ферментация или гарнир с тёмный шоколад</x:v>
      </x:c>
      <x:c r="J111" s="28" t="str">
        <x:v>Высокая</x:v>
      </x:c>
      <x:c r="K111" s="28" t="str">
        <x:v>The Art &amp; Science of Foodpairing.pdf</x:v>
      </x:c>
      <x:c r="L111" s="28" t="str">
        <x:v>The Art &amp; Science of Foodpairing.pdf: 60</x:v>
      </x:c>
    </x:row>
    <x:row r="112" ht="66" customHeight="1">
      <x:c r="A112" s="28" t="str">
        <x:v>VEG-0185</x:v>
      </x:c>
      <x:c r="B112" s="28" t="str">
        <x:v>брокколи</x:v>
      </x:c>
      <x:c r="C112" s="28" t="str">
        <x:v>чили</x:v>
      </x:c>
      <x:c r="D112" s="28" t="str">
        <x:v>Специи</x:v>
      </x:c>
      <x:c r="E112" s="28" t="str">
        <x:v>сернистая или горчичная комплементарность</x:v>
      </x:c>
      <x:c r="F112" s="28" t="str">
        <x:v>Брокколи имеет профиль «зелёный, капустный, сернистый и ореховый после жарки».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2" s="28" t="str">
        <x:v>бланширование сохраняет цвет; запекание усиливает сладость и жареные ноты. Контролировать время: переваривание усиливает сернистость и разрушает текстуру.</x:v>
      </x:c>
      <x:c r="H112" s="28" t="str">
        <x:v>переваривание даёт сернистый запах и тусклый цвет; толстые стебли требуют отдельной обработки</x:v>
      </x:c>
      <x:c r="I112" s="28" t="str">
        <x:v>горячее блюдо, бульон, соус, пюре, ферментация или гарнир с чили</x:v>
      </x:c>
      <x:c r="J112" s="28" t="str">
        <x:v>Средняя</x:v>
      </x:c>
      <x:c r="K112" s="28" t="str">
        <x:v>Тезариус вкусов (Ники Сегнит)(1).pdf</x:v>
      </x:c>
      <x:c r="L112" s="28" t="str">
        <x:v>Тезариус вкусов (Ники Сегнит)(1).pdf: 333, 554</x:v>
      </x:c>
    </x:row>
    <x:row r="113" ht="66" customHeight="1">
      <x:c r="A113" s="28" t="str">
        <x:v>VEG-0187</x:v>
      </x:c>
      <x:c r="B113" s="28" t="str">
        <x:v>брюква</x:v>
      </x:c>
      <x:c r="C113" s="28" t="str">
        <x:v>баранина</x:v>
      </x:c>
      <x:c r="D113" s="28" t="str">
        <x:v>Мясо и птица</x:v>
      </x:c>
      <x:c r="E113" s="28" t="str">
        <x:v>умами и солёный контраст; сернистая или горчичная комплементарность</x:v>
      </x:c>
      <x:c r="F113" s="28" t="str">
        <x:v>Брюква имеет профиль «землистый, капустный, сладкий и слегка горчичный».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3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3" s="28" t="str">
        <x:v>переваривание усиливает сернистость; крупные старые корнеплоды могут быть волокнистыми</x:v>
      </x:c>
      <x:c r="I113" s="28" t="str">
        <x:v>салат, гарнир, суп, соус, маринад, ферментация или напиток с баранина</x:v>
      </x:c>
      <x:c r="J113" s="28" t="str">
        <x:v>Средняя</x:v>
      </x:c>
      <x:c r="K113" s="28" t="str">
        <x:v>Тезариус вкусов (Ники Сегнит)(1).pdf</x:v>
      </x:c>
      <x:c r="L113" s="28" t="str">
        <x:v>Тезариус вкусов (Ники Сегнит)(1).pdf: 126, 318</x:v>
      </x:c>
    </x:row>
    <x:row r="114" ht="66" customHeight="1">
      <x:c r="A114" s="28" t="str">
        <x:v>VEG-0189</x:v>
      </x:c>
      <x:c r="B114" s="28" t="str">
        <x:v>брюква</x:v>
      </x:c>
      <x:c r="C114" s="28" t="str">
        <x:v>говядина</x:v>
      </x:c>
      <x:c r="D114" s="28" t="str">
        <x:v>Мясо и птица</x:v>
      </x:c>
      <x:c r="E114" s="28" t="str">
        <x:v>умами и солёный контраст; сернистая или горчичная комплементарность</x:v>
      </x:c>
      <x:c r="F114" s="28" t="str">
        <x:v>Брюква имеет профиль «землистый, капустный, сладкий и слегка горчичный».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4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4" s="28" t="str">
        <x:v>переваривание усиливает сернистость; крупные старые корнеплоды могут быть волокнистыми</x:v>
      </x:c>
      <x:c r="I114" s="28" t="str">
        <x:v>салат, гарнир, суп, соус, маринад, ферментация или напиток с говядина</x:v>
      </x:c>
      <x:c r="J114" s="28" t="str">
        <x:v>Средняя</x:v>
      </x:c>
      <x:c r="K114" s="28" t="str">
        <x:v>Тезариус вкусов (Ники Сегнит)(1).pdf</x:v>
      </x:c>
      <x:c r="L114" s="28" t="str">
        <x:v>Тезариус вкусов (Ники Сегнит)(1).pdf: 106, 318</x:v>
      </x:c>
    </x:row>
    <x:row r="115" ht="66" customHeight="1">
      <x:c r="A115" s="28" t="str">
        <x:v>VEG-0191</x:v>
      </x:c>
      <x:c r="B115" s="28" t="str">
        <x:v>брюква</x:v>
      </x:c>
      <x:c r="C115" s="28" t="str">
        <x:v>мускатный орех</x:v>
      </x:c>
      <x:c r="D115" s="28" t="str">
        <x:v>Рыба и морепродукты</x:v>
      </x:c>
      <x:c r="E115" s="28" t="str">
        <x:v>умами и солёный контраст; сернистая или горчичная комплементарность</x:v>
      </x:c>
      <x:c r="F115" s="28" t="str">
        <x:v>Брюква имеет профиль «землистый, капустный, сладкий и слегка горчичный».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5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5" s="28" t="str">
        <x:v>переваривание усиливает сернистость; крупные старые корнеплоды могут быть волокнистыми</x:v>
      </x:c>
      <x:c r="I115" s="28" t="str">
        <x:v>салат, гарнир, суп, соус, маринад, ферментация или напиток с мускатный орех</x:v>
      </x:c>
      <x:c r="J115" s="28" t="str">
        <x:v>Средняя</x:v>
      </x:c>
      <x:c r="K115" s="28" t="str">
        <x:v>Тезариус вкусов (Ники Сегнит)(1).pdf</x:v>
      </x:c>
      <x:c r="L115" s="28" t="str">
        <x:v>Тезариус вкусов (Ники Сегнит)(1).pdf: 319, 588</x:v>
      </x:c>
    </x:row>
    <x:row r="116" ht="66" customHeight="1">
      <x:c r="A116" s="28" t="str">
        <x:v>VEG-0192</x:v>
      </x:c>
      <x:c r="B116" s="28" t="str">
        <x:v>брюква</x:v>
      </x:c>
      <x:c r="C116" s="28" t="str">
        <x:v>мясо</x:v>
      </x:c>
      <x:c r="D116" s="28" t="str">
        <x:v>Мясо и птица</x:v>
      </x:c>
      <x:c r="E116" s="28" t="str">
        <x:v>умами и солёный контраст; сернистая или горчичная комплементарность</x:v>
      </x:c>
      <x:c r="F116" s="28" t="str">
        <x:v>Брюква имеет профиль «землистый, капустный, сладкий и слегка горчичный». Партнёр «мясо» относится к группе «Мясо и птица» и даёт жареный, жирный,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6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6" s="28" t="str">
        <x:v>переваривание усиливает сернистость; крупные старые корнеплоды могут быть волокнистыми</x:v>
      </x:c>
      <x:c r="I116" s="28" t="str">
        <x:v>салат, гарнир, суп, соус, маринад, ферментация или напиток с мясо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186</x:v>
      </x:c>
    </x:row>
    <x:row r="117" ht="66" customHeight="1">
      <x:c r="A117" s="28" t="str">
        <x:v>VEG-0193</x:v>
      </x:c>
      <x:c r="B117" s="28" t="str">
        <x:v>брюква</x:v>
      </x:c>
      <x:c r="C117" s="28" t="str">
        <x:v>свинина</x:v>
      </x:c>
      <x:c r="D117" s="28" t="str">
        <x:v>Мясо и птица</x:v>
      </x:c>
      <x:c r="E117" s="28" t="str">
        <x:v>умами и солёный контраст; сернистая или горчичная комплементарность</x:v>
      </x:c>
      <x:c r="F117" s="28" t="str">
        <x:v>Брюква имеет профиль «землистый, капустный, сладкий и слегка горчичный».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117" s="28" t="str">
        <x:v>запекание усиливает сладость и ореховые ноты; варка смягчает горчичность. Контролировать время: переваривание усиливает сернистость и разрушает текстуру.</x:v>
      </x:c>
      <x:c r="H117" s="28" t="str">
        <x:v>переваривание усиливает сернистость; крупные старые корнеплоды могут быть волокнистыми</x:v>
      </x:c>
      <x:c r="I117" s="28" t="str">
        <x:v>салат, гарнир, суп, соус, маринад, ферментация или напиток с свинина</x:v>
      </x:c>
      <x:c r="J117" s="28" t="str">
        <x:v>Средняя</x:v>
      </x:c>
      <x:c r="K117" s="28" t="str">
        <x:v>Тезариус вкусов (Ники Сегнит)(1).pdf</x:v>
      </x:c>
      <x:c r="L117" s="28" t="str">
        <x:v>Тезариус вкусов (Ники Сегнит)(1).pdf: 81, 320</x:v>
      </x:c>
    </x:row>
    <x:row r="118" ht="66" customHeight="1">
      <x:c r="A118" s="28" t="str">
        <x:v>VEG-0194</x:v>
      </x:c>
      <x:c r="B118" s="28" t="str">
        <x:v>горох</x:v>
      </x:c>
      <x:c r="C118" s="28" t="str">
        <x:v>анис</x:v>
      </x:c>
      <x:c r="D118" s="28" t="str">
        <x:v>Прочее</x:v>
      </x:c>
      <x:c r="E118" s="28" t="str">
        <x:v>сенсорная комплементарность</x:v>
      </x:c>
      <x:c r="F118" s="28" t="str">
        <x:v>Горох имеет профиль «зелёный, сладкий, бобовый и слегка цветочный».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1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18" s="28" t="str">
        <x:v>старый горох мучнистый; длительное хранение и нагрев снижают цвет и свежий аромат</x:v>
      </x:c>
      <x:c r="I118" s="28" t="str">
        <x:v>салат, гарнир, суп, соус, маринад, ферментация или напиток с анис</x:v>
      </x:c>
      <x:c r="J118" s="28" t="str">
        <x:v>Средняя</x:v>
      </x:c>
      <x:c r="K118" s="28" t="str">
        <x:v>Тезариус вкусов (Ники Сегнит)(1).pdf</x:v>
      </x:c>
      <x:c r="L118" s="28" t="str">
        <x:v>Тезариус вкусов (Ники Сегнит)(1).pdf: 483, 534</x:v>
      </x:c>
    </x:row>
    <x:row r="119" ht="66" customHeight="1">
      <x:c r="A119" s="28" t="str">
        <x:v>VEG-0195</x:v>
      </x:c>
      <x:c r="B119" s="28" t="str">
        <x:v>горох</x:v>
      </x:c>
      <x:c r="C119" s="28" t="str">
        <x:v>апельсин</x:v>
      </x:c>
      <x:c r="D119" s="28" t="str">
        <x:v>Фрукты и ягоды</x:v>
      </x:c>
      <x:c r="E119" s="28" t="str">
        <x:v>пересечение ароматических семейств; кислотно-сладкий баланс</x:v>
      </x:c>
      <x:c r="F119" s="28" t="str">
        <x:v>Горох имеет профиль «зелёный, сладкий, бобовый и слегка цветочный».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1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19" s="28" t="str">
        <x:v>старый горох мучнистый; длительное хранение и нагрев снижают цвет и свежий аромат; избыток кислоты или воды может сделать овощной вкус тонким и разрушить сливочную эмульсию</x:v>
      </x:c>
      <x:c r="I119" s="28" t="str">
        <x:v>салат, гарнир, суп, соус, маринад, ферментация или напиток с апельсин</x:v>
      </x:c>
      <x:c r="J119" s="28" t="str">
        <x:v>Средняя</x:v>
      </x:c>
      <x:c r="K119" s="28" t="str">
        <x:v>The Art &amp; Science of Foodpairing.pdf</x:v>
      </x:c>
      <x:c r="L119" s="28" t="str">
        <x:v>The Art &amp; Science of Foodpairing.pdf: 236</x:v>
      </x:c>
    </x:row>
    <x:row r="120" ht="66" customHeight="1">
      <x:c r="A120" s="28" t="str">
        <x:v>VEG-0196</x:v>
      </x:c>
      <x:c r="B120" s="28" t="str">
        <x:v>горох</x:v>
      </x:c>
      <x:c r="C120" s="28" t="str">
        <x:v>баранина</x:v>
      </x:c>
      <x:c r="D120" s="28" t="str">
        <x:v>Мясо и птица</x:v>
      </x:c>
      <x:c r="E120" s="28" t="str">
        <x:v>умами и солёный контраст</x:v>
      </x:c>
      <x:c r="F120" s="28" t="str">
        <x:v>Горох имеет профиль «зелёный, сладкий, бобовый и слегка цветочный».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0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0" s="28" t="str">
        <x:v>старый горох мучнистый; длительное хранение и нагрев снижают цвет и свежий аромат</x:v>
      </x:c>
      <x:c r="I120" s="28" t="str">
        <x:v>салат, гарнир, суп, соус, маринад, ферментация или напиток с баранина</x:v>
      </x:c>
      <x:c r="J120" s="28" t="str">
        <x:v>Средняя</x:v>
      </x:c>
      <x:c r="K120" s="28" t="str">
        <x:v>Тезариус вкусов (Ники Сегнит)(1).pdf</x:v>
      </x:c>
      <x:c r="L120" s="28" t="str">
        <x:v>Тезариус вкусов (Ники Сегнит)(1).pdf: 128, 536</x:v>
      </x:c>
    </x:row>
    <x:row r="121" ht="66" customHeight="1">
      <x:c r="A121" s="28" t="str">
        <x:v>VEG-0197</x:v>
      </x:c>
      <x:c r="B121" s="28" t="str">
        <x:v>горох</x:v>
      </x:c>
      <x:c r="C121" s="28" t="str">
        <x:v>бекон</x:v>
      </x:c>
      <x:c r="D121" s="28" t="str">
        <x:v>Мясо и птица</x:v>
      </x:c>
      <x:c r="E121" s="28" t="str">
        <x:v>умами и солёный контраст</x:v>
      </x:c>
      <x:c r="F121" s="28" t="str">
        <x:v>Горох имеет профиль «зелёный, сладкий, бобовый и слегка цветочный».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1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1" s="28" t="str">
        <x:v>старый горох мучнистый; длительное хранение и нагрев снижают цвет и свежий аромат</x:v>
      </x:c>
      <x:c r="I121" s="28" t="str">
        <x:v>салат, гарнир, суп, соус, маринад, ферментация или напиток с бекон</x:v>
      </x:c>
      <x:c r="J121" s="28" t="str">
        <x:v>Средняя</x:v>
      </x:c>
      <x:c r="K121" s="28" t="str">
        <x:v>Тезариус вкусов (Ники Сегнит)(1).pdf</x:v>
      </x:c>
      <x:c r="L121" s="28" t="str">
        <x:v>Тезариус вкусов (Ники Сегнит)(1).pdf: 444, 536</x:v>
      </x:c>
    </x:row>
    <x:row r="122" ht="66" customHeight="1">
      <x:c r="A122" s="28" t="str">
        <x:v>VEG-0198</x:v>
      </x:c>
      <x:c r="B122" s="28" t="str">
        <x:v>горох</x:v>
      </x:c>
      <x:c r="C122" s="28" t="str">
        <x:v>белая рыба</x:v>
      </x:c>
      <x:c r="D122" s="28" t="str">
        <x:v>Рыба и морепродукты</x:v>
      </x:c>
      <x:c r="E122" s="28" t="str">
        <x:v>умами и солёный контраст</x:v>
      </x:c>
      <x:c r="F122" s="28" t="str">
        <x:v>Горох имеет профиль «зелёный, сладкий, бобовый и слегка цветочный».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2" s="28" t="str">
        <x:v>старый горох мучнистый; длительное хранение и нагрев снижают цвет и свежий аромат</x:v>
      </x:c>
      <x:c r="I122" s="28" t="str">
        <x:v>салат, гарнир, суп, соус, маринад, ферментация или напиток с белая рыба</x:v>
      </x:c>
      <x:c r="J122" s="28" t="str">
        <x:v>Средняя</x:v>
      </x:c>
      <x:c r="K122" s="28" t="str">
        <x:v>Тезариус вкусов (Ники Сегнит)(1).pdf</x:v>
      </x:c>
      <x:c r="L122" s="28" t="str">
        <x:v>Тезариус вкусов (Ники Сегнит)(1).pdf: 384, 536</x:v>
      </x:c>
    </x:row>
    <x:row r="123" ht="66" customHeight="1">
      <x:c r="A123" s="28" t="str">
        <x:v>VEG-0199</x:v>
      </x:c>
      <x:c r="B123" s="28" t="str">
        <x:v>горох</x:v>
      </x:c>
      <x:c r="C123" s="28" t="str">
        <x:v>говядина</x:v>
      </x:c>
      <x:c r="D123" s="28" t="str">
        <x:v>Мясо и птица</x:v>
      </x:c>
      <x:c r="E123" s="28" t="str">
        <x:v>умами и солёный контраст</x:v>
      </x:c>
      <x:c r="F123" s="28" t="str">
        <x:v>Горох имеет профиль «зелёный, сладкий, бобовый и слегка цветочный».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3" s="28" t="str">
        <x:v>старый горох мучнистый; длительное хранение и нагрев снижают цвет и свежий аромат</x:v>
      </x:c>
      <x:c r="I123" s="28" t="str">
        <x:v>салат, гарнир, суп, соус, маринад, ферментация или напиток с говядина</x:v>
      </x:c>
      <x:c r="J123" s="28" t="str">
        <x:v>Средняя</x:v>
      </x:c>
      <x:c r="K123" s="28" t="str">
        <x:v>Тезариус вкусов (Ники Сегнит)(1).pdf</x:v>
      </x:c>
      <x:c r="L123" s="28" t="str">
        <x:v>Тезариус вкусов (Ники Сегнит)(1).pdf: 108, 537</x:v>
      </x:c>
    </x:row>
    <x:row r="124" ht="66" customHeight="1">
      <x:c r="A124" s="28" t="str">
        <x:v>VEG-0200</x:v>
      </x:c>
      <x:c r="B124" s="28" t="str">
        <x:v>горох</x:v>
      </x:c>
      <x:c r="C124" s="28" t="str">
        <x:v>жирная рыба</x:v>
      </x:c>
      <x:c r="D124" s="28" t="str">
        <x:v>Рыба и морепродукты</x:v>
      </x:c>
      <x:c r="E124" s="28" t="str">
        <x:v>умами и солёный контраст</x:v>
      </x:c>
      <x:c r="F124" s="28" t="str">
        <x:v>Горох имеет профиль «зелёный, сладкий, бобовый и слегка цветочный».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4" s="28" t="str">
        <x:v>старый горох мучнистый; длительное хранение и нагрев снижают цвет и свежий аромат</x:v>
      </x:c>
      <x:c r="I124" s="28" t="str">
        <x:v>салат, гарнир, суп, соус, маринад, ферментация или напиток с жирная рыба</x:v>
      </x:c>
      <x:c r="J124" s="28" t="str">
        <x:v>Средняя</x:v>
      </x:c>
      <x:c r="K124" s="28" t="str">
        <x:v>Тезариус вкусов (Ники Сегнит)(1).pdf</x:v>
      </x:c>
      <x:c r="L124" s="28" t="str">
        <x:v>Тезариус вкусов (Ники Сегнит)(1).pdf: 412, 538</x:v>
      </x:c>
    </x:row>
    <x:row r="125" ht="66" customHeight="1">
      <x:c r="A125" s="28" t="str">
        <x:v>VEG-0201</x:v>
      </x:c>
      <x:c r="B125" s="28" t="str">
        <x:v>горох</x:v>
      </x:c>
      <x:c r="C125" s="28" t="str">
        <x:v>копченая рыба</x:v>
      </x:c>
      <x:c r="D125" s="28" t="str">
        <x:v>Рыба и морепродукты</x:v>
      </x:c>
      <x:c r="E125" s="28" t="str">
        <x:v>умами и солёный контраст</x:v>
      </x:c>
      <x:c r="F125" s="28" t="str">
        <x:v>Горох имеет профиль «зелёный, сладкий, бобовый и слегка цветочный».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5" s="28" t="str">
        <x:v>старый горох мучнистый; длительное хранение и нагрев снижают цвет и свежий аромат</x:v>
      </x:c>
      <x:c r="I125" s="28" t="str">
        <x:v>салат, гарнир, суп, соус, маринад, ферментация или напиток с копченая рыба</x:v>
      </x:c>
      <x:c r="J125" s="28" t="str">
        <x:v>Средняя</x:v>
      </x:c>
      <x:c r="K125" s="28" t="str">
        <x:v>Тезариус вкусов (Ники Сегнит)(1).pdf</x:v>
      </x:c>
      <x:c r="L125" s="28" t="str">
        <x:v>Тезариус вкусов (Ники Сегнит)(1).pdf: 435, 538</x:v>
      </x:c>
    </x:row>
    <x:row r="126" ht="66" customHeight="1">
      <x:c r="A126" s="28" t="str">
        <x:v>VEG-0202</x:v>
      </x:c>
      <x:c r="B126" s="28" t="str">
        <x:v>горох</x:v>
      </x:c>
      <x:c r="C126" s="28" t="str">
        <x:v>кунжут, халва и тахини</x:v>
      </x:c>
      <x:c r="D126" s="28" t="str">
        <x:v>Орехи и семена</x:v>
      </x:c>
      <x:c r="E126" s="28" t="str">
        <x:v>сенсорная комплементарность</x:v>
      </x:c>
      <x:c r="F126" s="28" t="str">
        <x:v>Горох имеет профиль «зелёный, сладкий, бобовый и слегка цветочный».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12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6" s="28" t="str">
        <x:v>старый горох мучнистый; длительное хранение и нагрев снижают цвет и свежий аромат</x:v>
      </x:c>
      <x:c r="I126" s="28" t="str">
        <x:v>салат, гарнир, суп, соус, маринад, ферментация или напиток с кунжут, халва и тахини</x:v>
      </x:c>
      <x:c r="J126" s="28" t="str">
        <x:v>Средняя</x:v>
      </x:c>
      <x:c r="K126" s="28" t="str">
        <x:v>The Art &amp; Science of Foodpairing.pdf</x:v>
      </x:c>
      <x:c r="L126" s="28" t="str">
        <x:v>The Art &amp; Science of Foodpairing.pdf: 308</x:v>
      </x:c>
    </x:row>
    <x:row r="127" ht="66" customHeight="1">
      <x:c r="A127" s="28" t="str">
        <x:v>VEG-0203</x:v>
      </x:c>
      <x:c r="B127" s="28" t="str">
        <x:v>горох</x:v>
      </x:c>
      <x:c r="C127" s="28" t="str">
        <x:v>моллюски</x:v>
      </x:c>
      <x:c r="D127" s="28" t="str">
        <x:v>Рыба и морепродукты</x:v>
      </x:c>
      <x:c r="E127" s="28" t="str">
        <x:v>умами и солёный контраст</x:v>
      </x:c>
      <x:c r="F127" s="28" t="str">
        <x:v>Горох имеет профиль «зелёный, сладкий, бобовый и слегка цветочный».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2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7" s="28" t="str">
        <x:v>старый горох мучнистый; длительное хранение и нагрев снижают цвет и свежий аромат</x:v>
      </x:c>
      <x:c r="I127" s="28" t="str">
        <x:v>салат, гарнир, суп, соус, маринад, ферментация или напиток с моллюски</x:v>
      </x:c>
      <x:c r="J127" s="28" t="str">
        <x:v>Средняя</x:v>
      </x:c>
      <x:c r="K127" s="28" t="str">
        <x:v>Тезариус вкусов (Ники Сегнит)(1).pdf</x:v>
      </x:c>
      <x:c r="L127" s="28" t="str">
        <x:v>Тезариус вкусов (Ники Сегнит)(1).pdf: 369, 539</x:v>
      </x:c>
    </x:row>
    <x:row r="128" ht="66" customHeight="1">
      <x:c r="A128" s="28" t="str">
        <x:v>VEG-0204</x:v>
      </x:c>
      <x:c r="B128" s="28" t="str">
        <x:v>горох</x:v>
      </x:c>
      <x:c r="C128" s="28" t="str">
        <x:v>морковь</x:v>
      </x:c>
      <x:c r="D128" s="28" t="str">
        <x:v>Корнеплоды</x:v>
      </x:c>
      <x:c r="E128" s="28" t="str">
        <x:v>пересечение ароматических семейств</x:v>
      </x:c>
      <x:c r="F128" s="28" t="str">
        <x:v>Горох имеет профиль «зелёный, сладкий, бобовый и слегка цветочный».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12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8" s="28" t="str">
        <x:v>старый горох мучнистый; длительное хранение и нагрев снижают цвет и свежий аромат</x:v>
      </x:c>
      <x:c r="I128" s="28" t="str">
        <x:v>салат, гарнир, суп, соус, маринад, ферментация или напиток с морковь</x:v>
      </x:c>
      <x:c r="J128" s="28" t="str">
        <x:v>Средняя</x:v>
      </x:c>
      <x:c r="K128" s="28" t="str">
        <x:v>The Art &amp; Science of Foodpairing.pdf</x:v>
      </x:c>
      <x:c r="L128" s="28" t="str">
        <x:v>The Art &amp; Science of Foodpairing.pdf: 232</x:v>
      </x:c>
    </x:row>
    <x:row r="129" ht="66" customHeight="1">
      <x:c r="A129" s="28" t="str">
        <x:v>VEG-0205</x:v>
      </x:c>
      <x:c r="B129" s="28" t="str">
        <x:v>горох</x:v>
      </x:c>
      <x:c r="C129" s="28" t="str">
        <x:v>мята</x:v>
      </x:c>
      <x:c r="D129" s="28" t="str">
        <x:v>Травы, цветы и листья</x:v>
      </x:c>
      <x:c r="E129" s="28" t="str">
        <x:v>пересечение ароматических семейств</x:v>
      </x:c>
      <x:c r="F129" s="28" t="str">
        <x:v>Горох имеет профиль «зелёный, сладкий, бобовый и слегка цветочный». Партнёр «мята» относится к группе «Травы, цветы и листья» и даёт зелёный, холодящий.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2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29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129" s="28" t="str">
        <x:v>салат, гарнир, суп, соус, маринад, ферментация или напиток с мята</x:v>
      </x:c>
      <x:c r="J129" s="28" t="str">
        <x:v>Средняя</x:v>
      </x:c>
      <x:c r="K129" s="28" t="str">
        <x:v>Тезариус вкусов (Ники Сегнит)(1).pdf</x:v>
      </x:c>
      <x:c r="L129" s="28" t="str">
        <x:v>Тезариус вкусов (Ники Сегнит)(1).pdf: 866</x:v>
      </x:c>
    </x:row>
    <x:row r="130" ht="66" customHeight="1">
      <x:c r="A130" s="28" t="str">
        <x:v>VEG-0206</x:v>
      </x:c>
      <x:c r="B130" s="28" t="str">
        <x:v>горох</x:v>
      </x:c>
      <x:c r="C130" s="28" t="str">
        <x:v>оливковое масло</x:v>
      </x:c>
      <x:c r="D130" s="28" t="str">
        <x:v>Масла и жиры</x:v>
      </x:c>
      <x:c r="E130" s="28" t="str">
        <x:v>жировая матрица</x:v>
      </x:c>
      <x:c r="F130" s="28" t="str">
        <x:v>Горох имеет профиль «зелёный, сладкий, бобовый и слегка цветочный».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30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0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I130" s="28" t="str">
        <x:v>салат, гарнир, суп, соус, маринад, ферментация или напиток с оливковое масло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172</x:v>
      </x:c>
    </x:row>
    <x:row r="131" ht="66" customHeight="1">
      <x:c r="A131" s="28" t="str">
        <x:v>VEG-0207</x:v>
      </x:c>
      <x:c r="B131" s="28" t="str">
        <x:v>горох</x:v>
      </x:c>
      <x:c r="C131" s="28" t="str">
        <x:v>пастернак</x:v>
      </x:c>
      <x:c r="D131" s="28" t="str">
        <x:v>Корнеплоды</x:v>
      </x:c>
      <x:c r="E131" s="28" t="str">
        <x:v>пересечение ароматических семейств</x:v>
      </x:c>
      <x:c r="F131" s="28" t="str">
        <x:v>Горох имеет профиль «зелёный, сладкий, бобовый и слегка цветочный».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формируется за счёт баланса сладости, кислотности, горечи, умами и текстуры.</x:v>
      </x:c>
      <x:c r="G131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1" s="28" t="str">
        <x:v>старый горох мучнистый; длительное хранение и нагрев снижают цвет и свежий аромат</x:v>
      </x:c>
      <x:c r="I131" s="28" t="str">
        <x:v>салат, гарнир, суп, соус, маринад, ферментация или напиток с пастернак</x:v>
      </x:c>
      <x:c r="J131" s="28" t="str">
        <x:v>Средняя</x:v>
      </x:c>
      <x:c r="K131" s="28" t="str">
        <x:v>Тезариус вкусов (Ники Сегнит)(1).pdf</x:v>
      </x:c>
      <x:c r="L131" s="28" t="str">
        <x:v>Тезариус вкусов (Ники Сегнит)(1).pdf: 539, 596</x:v>
      </x:c>
    </x:row>
    <x:row r="132" ht="66" customHeight="1">
      <x:c r="A132" s="28" t="str">
        <x:v>VEG-0208</x:v>
      </x:c>
      <x:c r="B132" s="28" t="str">
        <x:v>горох</x:v>
      </x:c>
      <x:c r="C132" s="28" t="str">
        <x:v>прошутто</x:v>
      </x:c>
      <x:c r="D132" s="28" t="str">
        <x:v>Мясо и птица</x:v>
      </x:c>
      <x:c r="E132" s="28" t="str">
        <x:v>умами и солёный контраст</x:v>
      </x:c>
      <x:c r="F132" s="28" t="str">
        <x:v>Горох имеет профиль «зелёный, сладкий, бобовый и слегка цветочный».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2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2" s="28" t="str">
        <x:v>старый горох мучнистый; длительное хранение и нагрев снижают цвет и свежий аромат</x:v>
      </x:c>
      <x:c r="I132" s="28" t="str">
        <x:v>салат, гарнир, суп, соус, маринад, ферментация или напиток с прошутто</x:v>
      </x:c>
      <x:c r="J132" s="28" t="str">
        <x:v>Средняя</x:v>
      </x:c>
      <x:c r="K132" s="28" t="str">
        <x:v>Тезариус вкусов (Ники Сегнит)(1).pdf</x:v>
      </x:c>
      <x:c r="L132" s="28" t="str">
        <x:v>Тезариус вкусов (Ники Сегнит)(1).pdf: 455, 539</x:v>
      </x:c>
    </x:row>
    <x:row r="133" ht="66" customHeight="1">
      <x:c r="A133" s="28" t="str">
        <x:v>VEG-0209</x:v>
      </x:c>
      <x:c r="B133" s="28" t="str">
        <x:v>горох</x:v>
      </x:c>
      <x:c r="C133" s="28" t="str">
        <x:v>розмарин</x:v>
      </x:c>
      <x:c r="D133" s="28" t="str">
        <x:v>Травы, цветы и листья</x:v>
      </x:c>
      <x:c r="E133" s="28" t="str">
        <x:v>сенсорная комплементарность</x:v>
      </x:c>
      <x:c r="F133" s="28" t="str">
        <x:v>Горох имеет профиль «зелёный, сладкий, бобовый и слегка цветочный».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33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3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133" s="28" t="str">
        <x:v>салат, гарнир, суп, соус, маринад, ферментация или напиток с розмарин</x:v>
      </x:c>
      <x:c r="J133" s="28" t="str">
        <x:v>Средняя</x:v>
      </x:c>
      <x:c r="K133" s="28" t="str">
        <x:v>Тезариус вкусов (Ники Сегнит)(1).pdf</x:v>
      </x:c>
      <x:c r="L133" s="28" t="str">
        <x:v>Тезариус вкусов (Ники Сегнит)(1).pdf: 539, 836</x:v>
      </x:c>
    </x:row>
    <x:row r="134" ht="66" customHeight="1">
      <x:c r="A134" s="28" t="str">
        <x:v>VEG-0210</x:v>
      </x:c>
      <x:c r="B134" s="28" t="str">
        <x:v>горох</x:v>
      </x:c>
      <x:c r="C134" s="28" t="str">
        <x:v>свинина</x:v>
      </x:c>
      <x:c r="D134" s="28" t="str">
        <x:v>Мясо и птица</x:v>
      </x:c>
      <x:c r="E134" s="28" t="str">
        <x:v>умами и солёный контраст</x:v>
      </x:c>
      <x:c r="F134" s="28" t="str">
        <x:v>Горох имеет профиль «зелёный, сладкий, бобовый и слегка цветочный».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34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4" s="28" t="str">
        <x:v>старый горох мучнистый; длительное хранение и нагрев снижают цвет и свежий аромат</x:v>
      </x:c>
      <x:c r="I134" s="28" t="str">
        <x:v>салат, гарнир, суп, соус, маринад, ферментация или напиток с свинина</x:v>
      </x:c>
      <x:c r="J134" s="28" t="str">
        <x:v>Средняя</x:v>
      </x:c>
      <x:c r="K134" s="28" t="str">
        <x:v>Тезариус вкусов (Ники Сегнит)(1).pdf</x:v>
      </x:c>
      <x:c r="L134" s="28" t="str">
        <x:v>Тезариус вкусов (Ники Сегнит)(1).pdf: 82, 540</x:v>
      </x:c>
    </x:row>
    <x:row r="135" ht="66" customHeight="1">
      <x:c r="A135" s="28" t="str">
        <x:v>VEG-0211</x:v>
      </x:c>
      <x:c r="B135" s="28" t="str">
        <x:v>горох</x:v>
      </x:c>
      <x:c r="C135" s="28" t="str">
        <x:v>твердый сыр</x:v>
      </x:c>
      <x:c r="D135" s="28" t="str">
        <x:v>Молочные продукты и сыры</x:v>
      </x:c>
      <x:c r="E135" s="28" t="str">
        <x:v>жировая матрица</x:v>
      </x:c>
      <x:c r="F135" s="28" t="str">
        <x:v>Горох имеет профиль «зелёный, сладкий, бобовый и слегка цветочный».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35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5" s="28" t="str">
        <x:v>старый горох мучнистый; длительное хранение и нагрев снижают цвет и свежий аромат; жир способен приглушить свежую зелёную ароматику</x:v>
      </x:c>
      <x:c r="I135" s="28" t="str">
        <x:v>салат, гарнир, суп, соус, маринад, ферментация или напиток с твердый сыр</x:v>
      </x:c>
      <x:c r="J135" s="28" t="str">
        <x:v>Средняя</x:v>
      </x:c>
      <x:c r="K135" s="28" t="str">
        <x:v>Тезариус вкусов (Ники Сегнит)(1).pdf</x:v>
      </x:c>
      <x:c r="L135" s="28" t="str">
        <x:v>Тезариус вкусов (Ники Сегнит)(1).pdf: 170, 541</x:v>
      </x:c>
    </x:row>
    <x:row r="136" ht="66" customHeight="1">
      <x:c r="A136" s="28" t="str">
        <x:v>VEG-0212</x:v>
      </x:c>
      <x:c r="B136" s="28" t="str">
        <x:v>горох</x:v>
      </x:c>
      <x:c r="C136" s="28" t="str">
        <x:v>укроп</x:v>
      </x:c>
      <x:c r="D136" s="28" t="str">
        <x:v>Травы, цветы и листья</x:v>
      </x:c>
      <x:c r="E136" s="28" t="str">
        <x:v>пересечение ароматических семейств</x:v>
      </x:c>
      <x:c r="F136" s="28" t="str">
        <x:v>Горох имеет профиль «зелёный, сладкий, бобовый и слегка цветочный». Партнёр «укроп» относится к группе «Травы, цветы и листья» и даёт анисовый, зелёный.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36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6" s="28" t="str">
        <x:v>старый горох мучнистый; длительное хранение и нагрев снижают цвет и свежий аромат; длительный нагрев уносит свежие терпены и зелёные альдегиды</x:v>
      </x:c>
      <x:c r="I136" s="28" t="str">
        <x:v>салат, гарнир, суп, соус, маринад, ферментация или напиток с укроп</x:v>
      </x:c>
      <x:c r="J136" s="28" t="str">
        <x:v>Средняя</x:v>
      </x:c>
      <x:c r="K136" s="28" t="str">
        <x:v>Тезариус вкусов (Ники Сегнит)(1).pdf</x:v>
      </x:c>
      <x:c r="L136" s="28" t="str">
        <x:v>Тезариус вкусов (Ники Сегнит)(1).pdf: 502, 542</x:v>
      </x:c>
    </x:row>
    <x:row r="137" ht="66" customHeight="1">
      <x:c r="A137" s="28" t="str">
        <x:v>VEG-0213</x:v>
      </x:c>
      <x:c r="B137" s="28" t="str">
        <x:v>горох</x:v>
      </x:c>
      <x:c r="C137" s="28" t="str">
        <x:v>хрен</x:v>
      </x:c>
      <x:c r="D137" s="28" t="str">
        <x:v>Прочее</x:v>
      </x:c>
      <x:c r="E137" s="28" t="str">
        <x:v>сенсорная комплементарность</x:v>
      </x:c>
      <x:c r="F137" s="28" t="str">
        <x:v>Горох имеет профиль «зелёный, сладкий, бобовый и слегка цветочный».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7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7" s="28" t="str">
        <x:v>старый горох мучнистый; длительное хранение и нагрев снижают цвет и свежий аромат</x:v>
      </x:c>
      <x:c r="I137" s="28" t="str">
        <x:v>салат, гарнир, суп, соус, маринад, ферментация или напиток с хрен</x:v>
      </x:c>
      <x:c r="J137" s="28" t="str">
        <x:v>Средняя</x:v>
      </x:c>
      <x:c r="K137" s="28" t="str">
        <x:v>Тезариус вкусов (Ники Сегнит)(1).pdf</x:v>
      </x:c>
      <x:c r="L137" s="28" t="str">
        <x:v>Тезариус вкусов (Ники Сегнит)(1).pdf: 274, 542</x:v>
      </x:c>
    </x:row>
    <x:row r="138" ht="66" customHeight="1">
      <x:c r="A138" s="28" t="str">
        <x:v>VEG-0214</x:v>
      </x:c>
      <x:c r="B138" s="28" t="str">
        <x:v>горох</x:v>
      </x:c>
      <x:c r="C138" s="28" t="str">
        <x:v>цыпленок</x:v>
      </x:c>
      <x:c r="D138" s="28" t="str">
        <x:v>Прочее</x:v>
      </x:c>
      <x:c r="E138" s="28" t="str">
        <x:v>сенсорная комплементарность</x:v>
      </x:c>
      <x:c r="F138" s="28" t="str">
        <x:v>Горох имеет профиль «зелёный, сладкий, бобовый и слегка цветочный».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8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8" s="28" t="str">
        <x:v>старый горох мучнистый; длительное хранение и нагрев снижают цвет и свежий аромат</x:v>
      </x:c>
      <x:c r="I138" s="28" t="str">
        <x:v>салат, гарнир, суп, соус, маринад, ферментация или напиток с цыпленок</x:v>
      </x:c>
      <x:c r="J138" s="28" t="str">
        <x:v>Средняя</x:v>
      </x:c>
      <x:c r="K138" s="28" t="str">
        <x:v>Тезариус вкусов (Ники Сегнит)(1).pdf</x:v>
      </x:c>
      <x:c r="L138" s="28" t="str">
        <x:v>Тезариус вкусов (Ники Сегнит)(1).pdf: 64, 543</x:v>
      </x:c>
    </x:row>
    <x:row r="139" ht="66" customHeight="1">
      <x:c r="A139" s="28" t="str">
        <x:v>VEG-0215</x:v>
      </x:c>
      <x:c r="B139" s="28" t="str">
        <x:v>горох</x:v>
      </x:c>
      <x:c r="C139" s="28" t="str">
        <x:v>яйца</x:v>
      </x:c>
      <x:c r="D139" s="28" t="str">
        <x:v>Прочее</x:v>
      </x:c>
      <x:c r="E139" s="28" t="str">
        <x:v>сенсорная комплементарность</x:v>
      </x:c>
      <x:c r="F139" s="28" t="str">
        <x:v>Горох имеет профиль «зелёный, сладкий, бобовый и слегка цветочный».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39" s="28" t="str">
        <x:v>быстрое бланширование сохраняет свежесть; длительный нагрев даёт крахмалисто-бобовый профиль. Для свежего профиля работать холодно или применять короткую тепловую обработку.</x:v>
      </x:c>
      <x:c r="H139" s="28" t="str">
        <x:v>старый горох мучнистый; длительное хранение и нагрев снижают цвет и свежий аромат</x:v>
      </x:c>
      <x:c r="I139" s="28" t="str">
        <x:v>салат, гарнир, суп, соус, маринад, ферментация или напиток с яйца</x:v>
      </x:c>
      <x:c r="J139" s="28" t="str">
        <x:v>Средняя</x:v>
      </x:c>
      <x:c r="K139" s="28" t="str">
        <x:v>Тезариус вкусов (Ники Сегнит)(1).pdf</x:v>
      </x:c>
      <x:c r="L139" s="28" t="str">
        <x:v>Тезариус вкусов (Ники Сегнит)(1).pdf: 351, 544</x:v>
      </x:c>
    </x:row>
    <x:row r="140" ht="66" customHeight="1">
      <x:c r="A140" s="28" t="str">
        <x:v>VEG-0216</x:v>
      </x:c>
      <x:c r="B140" s="28" t="str">
        <x:v>грибы</x:v>
      </x:c>
      <x:c r="C140" s="28" t="str">
        <x:v>абрикос</x:v>
      </x:c>
      <x:c r="D140" s="28" t="str">
        <x:v>Фрукты и ягоды</x:v>
      </x:c>
      <x:c r="E140" s="28" t="str">
        <x:v>кислотно-сладкий баланс</x:v>
      </x:c>
      <x:c r="F140" s="28" t="str">
        <x:v>Грибы имеет профиль «землистый, лесной, жареный, мясной и слегка сернистый». Партнёр «абрикос»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I140" s="28" t="str">
        <x:v>горячее блюдо, бульон, соус, пюре, ферментация или гарнир с абрикос</x:v>
      </x:c>
      <x:c r="J140" s="28" t="str">
        <x:v>Высокая</x:v>
      </x:c>
      <x:c r="K140" s="28" t="str">
        <x:v>The Art &amp; Science of Foodpairing.pdf | Тезариус вкусов (Ники Сегнит)(1).pdf</x:v>
      </x:c>
      <x:c r="L140" s="28" t="str">
        <x:v>Тезариус вкусов (Ники Сегнит)(1).pdf: 192, 742; The Art &amp; Science of Foodpairing.pdf: 206</x:v>
      </x:c>
    </x:row>
    <x:row r="141" ht="66" customHeight="1">
      <x:c r="A141" s="28" t="str">
        <x:v>VEG-0217</x:v>
      </x:c>
      <x:c r="B141" s="28" t="str">
        <x:v>грибы</x:v>
      </x:c>
      <x:c r="C141" s="28" t="str">
        <x:v>анис</x:v>
      </x:c>
      <x:c r="D141" s="28" t="str">
        <x:v>Прочее</x:v>
      </x:c>
      <x:c r="E141" s="28" t="str">
        <x:v>сенсорная комплементарность</x:v>
      </x:c>
      <x:c r="F141" s="28" t="str">
        <x:v>Грибы имеет профиль «землистый, лесной, жареный, мясной и слегка сернистый». Партнёр «анис»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1" s="28" t="str">
        <x:v>горячее блюдо, бульон, соус, пюре, ферментация или гарнир с анис</x:v>
      </x:c>
      <x:c r="J141" s="28" t="str">
        <x:v>Средняя</x:v>
      </x:c>
      <x:c r="K141" s="28" t="str">
        <x:v>Тезариус вкусов (Ники Сегнит)(1).pdf</x:v>
      </x:c>
      <x:c r="L141" s="28" t="str">
        <x:v>Тезариус вкусов (Ники Сегнит)(1).pdf: 193, 483</x:v>
      </x:c>
    </x:row>
    <x:row r="142" ht="66" customHeight="1">
      <x:c r="A142" s="28" t="str">
        <x:v>VEG-0218</x:v>
      </x:c>
      <x:c r="B142" s="28" t="str">
        <x:v>грибы</x:v>
      </x:c>
      <x:c r="C142" s="28" t="str">
        <x:v>арбуз</x:v>
      </x:c>
      <x:c r="D142" s="28" t="str">
        <x:v>Прочее</x:v>
      </x:c>
      <x:c r="E142" s="28" t="str">
        <x:v>сенсорная комплементарность</x:v>
      </x:c>
      <x:c r="F142" s="28" t="str">
        <x:v>Грибы имеет профиль «землистый, лесной, жареный, мясной и слегка сернистый».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2" s="28" t="str">
        <x:v>горячее блюдо, бульон, соус, пюре, ферментация или гарнир с арбуз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78</x:v>
      </x:c>
    </x:row>
    <x:row r="143" ht="66" customHeight="1">
      <x:c r="A143" s="28" t="str">
        <x:v>VEG-0219</x:v>
      </x:c>
      <x:c r="B143" s="28" t="str">
        <x:v>грибы</x:v>
      </x:c>
      <x:c r="C143" s="28" t="str">
        <x:v>бальзамический уксус</x:v>
      </x:c>
      <x:c r="D143" s="28" t="str">
        <x:v>Ферментированные продукты и соусы</x:v>
      </x:c>
      <x:c r="E143" s="28" t="str">
        <x:v>общие характерные молекулы; пересечение ароматических семейств; умами и солёный контраст</x:v>
      </x:c>
      <x:c r="F143" s="28" t="str">
        <x:v>Грибы имеет профиль «землистый, лесной, жареный, мясной и слегка сернистый». Партнёр «бальзамический уксус»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4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3" s="28" t="str">
        <x:v>горячее блюдо, бульон, соус, пюре, ферментация или гарнир с бальзамический уксус</x:v>
      </x:c>
      <x:c r="J143" s="28" t="str">
        <x:v>Средняя</x:v>
      </x:c>
      <x:c r="K143" s="28" t="str">
        <x:v>The Art &amp; Science of Foodpairing.pdf</x:v>
      </x:c>
      <x:c r="L143" s="28" t="str">
        <x:v>The Art &amp; Science of Foodpairing.pdf: 316</x:v>
      </x:c>
    </x:row>
    <x:row r="144" ht="66" customHeight="1">
      <x:c r="A144" s="28" t="str">
        <x:v>VEG-0220</x:v>
      </x:c>
      <x:c r="B144" s="28" t="str">
        <x:v>грибы</x:v>
      </x:c>
      <x:c r="C144" s="28" t="str">
        <x:v>банан</x:v>
      </x:c>
      <x:c r="D144" s="28" t="str">
        <x:v>Фрукты и ягоды</x:v>
      </x:c>
      <x:c r="E144" s="28" t="str">
        <x:v>кислотно-сладкий баланс</x:v>
      </x:c>
      <x:c r="F144" s="28" t="str">
        <x:v>Грибы имеет профиль «землистый, лесной, жареный, мясной и слегка сернистый». Партнёр «банан»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4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избыток кислоты или воды может сделать овощной вкус тонким и разрушить сливочную эмульсию</x:v>
      </x:c>
      <x:c r="I144" s="28" t="str">
        <x:v>горячее блюдо, бульон, соус, пюре, ферментация или гарнир с банан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342</x:v>
      </x:c>
    </x:row>
    <x:row r="145" ht="66" customHeight="1">
      <x:c r="A145" s="28" t="str">
        <x:v>VEG-0221</x:v>
      </x:c>
      <x:c r="B145" s="28" t="str">
        <x:v>грибы</x:v>
      </x:c>
      <x:c r="C145" s="28" t="str">
        <x:v>батат</x:v>
      </x:c>
      <x:c r="D145" s="28" t="str">
        <x:v>Корнеплоды и клубни</x:v>
      </x:c>
      <x:c r="E145" s="28" t="str">
        <x:v>общие характерные молекулы; пересечение ароматических семейств</x:v>
      </x:c>
      <x:c r="F145" s="28" t="str">
        <x:v>Грибы имеет профиль «землистый, лесной, жареный, мясной и слегка сернистый».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14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5" s="28" t="str">
        <x:v>горячее блюдо, бульон, соус, пюре, ферментация или гарнир с батат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119</x:v>
      </x:c>
    </x:row>
    <x:row r="146" ht="66" customHeight="1">
      <x:c r="A146" s="28" t="str">
        <x:v>VEG-0222</x:v>
      </x:c>
      <x:c r="B146" s="28" t="str">
        <x:v>грибы</x:v>
      </x:c>
      <x:c r="C146" s="28" t="str">
        <x:v>бекон</x:v>
      </x:c>
      <x:c r="D146" s="28" t="str">
        <x:v>Мясо и птица</x:v>
      </x:c>
      <x:c r="E146" s="28" t="str">
        <x:v>общие характерные молекулы; пересечение ароматических семейств; умами и солёный контраст</x:v>
      </x:c>
      <x:c r="F146" s="28" t="str">
        <x:v>Грибы имеет профиль «землистый, лесной, жареный, мясной и слегка сернистый».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4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6" s="28" t="str">
        <x:v>горячее блюдо, бульон, соус, пюре, ферментация или гарнир с бекон</x:v>
      </x:c>
      <x:c r="J146" s="28" t="str">
        <x:v>Средняя</x:v>
      </x:c>
      <x:c r="K146" s="28" t="str">
        <x:v>Тезариус вкусов (Ники Сегнит)(1).pdf</x:v>
      </x:c>
      <x:c r="L146" s="28" t="str">
        <x:v>Тезариус вкусов (Ники Сегнит)(1).pdf: 194, 445</x:v>
      </x:c>
    </x:row>
    <x:row r="147" ht="66" customHeight="1">
      <x:c r="A147" s="28" t="str">
        <x:v>VEG-0223</x:v>
      </x:c>
      <x:c r="B147" s="28" t="str">
        <x:v>грибы</x:v>
      </x:c>
      <x:c r="C147" s="28" t="str">
        <x:v>белая рыба</x:v>
      </x:c>
      <x:c r="D147" s="28" t="str">
        <x:v>Рыба и морепродукты</x:v>
      </x:c>
      <x:c r="E147" s="28" t="str">
        <x:v>пересечение ароматических семейств; умами и солёный контраст</x:v>
      </x:c>
      <x:c r="F147" s="28" t="str">
        <x:v>Грибы имеет профиль «землистый, лесной, жареный, мясной и слегка сернистый».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4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7" s="28" t="str">
        <x:v>горячее блюдо, бульон, соус, пюре, ферментация или гарнир с белая рыба</x:v>
      </x:c>
      <x:c r="J147" s="28" t="str">
        <x:v>Средняя</x:v>
      </x:c>
      <x:c r="K147" s="28" t="str">
        <x:v>Тезариус вкусов (Ники Сегнит)(1).pdf</x:v>
      </x:c>
      <x:c r="L147" s="28" t="str">
        <x:v>Тезариус вкусов (Ники Сегнит)(1).pdf: 194, 384</x:v>
      </x:c>
    </x:row>
    <x:row r="148" ht="66" customHeight="1">
      <x:c r="A148" s="28" t="str">
        <x:v>VEG-0224</x:v>
      </x:c>
      <x:c r="B148" s="28" t="str">
        <x:v>грибы</x:v>
      </x:c>
      <x:c r="C148" s="28" t="str">
        <x:v>гибискус</x:v>
      </x:c>
      <x:c r="D148" s="28" t="str">
        <x:v>Прочее</x:v>
      </x:c>
      <x:c r="E148" s="28" t="str">
        <x:v>сенсорная комплементарность</x:v>
      </x:c>
      <x:c r="F148" s="28" t="str">
        <x:v>Грибы имеет профиль «землистый, лесной, жареный, мясной и слегка сернистый».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4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8" s="28" t="str">
        <x:v>горячее блюдо, бульон, соус, пюре, ферментация или гарнир с гибискус</x:v>
      </x:c>
      <x:c r="J148" s="28" t="str">
        <x:v>Высокая</x:v>
      </x:c>
      <x:c r="K148" s="28" t="str">
        <x:v>The Art &amp; Science of Foodpairing.pdf</x:v>
      </x:c>
      <x:c r="L148" s="28" t="str">
        <x:v>The Art &amp; Science of Foodpairing.pdf: 127</x:v>
      </x:c>
    </x:row>
    <x:row r="149" ht="66" customHeight="1">
      <x:c r="A149" s="28" t="str">
        <x:v>VEG-0225</x:v>
      </x:c>
      <x:c r="B149" s="28" t="str">
        <x:v>грибы</x:v>
      </x:c>
      <x:c r="C149" s="28" t="str">
        <x:v>говядина</x:v>
      </x:c>
      <x:c r="D149" s="28" t="str">
        <x:v>Мясо и птица</x:v>
      </x:c>
      <x:c r="E149" s="28" t="str">
        <x:v>общие характерные молекулы; пересечение ароматических семейств; умами и солёный контраст</x:v>
      </x:c>
      <x:c r="F149" s="28" t="str">
        <x:v>Грибы имеет профиль «землистый, лесной, жареный, мясной и слегка сернистый».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4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4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49" s="28" t="str">
        <x:v>горячее блюдо, бульон, соус, пюре, ферментация или гарнир с говядина</x:v>
      </x:c>
      <x:c r="J149" s="28" t="str">
        <x:v>Средняя</x:v>
      </x:c>
      <x:c r="K149" s="28" t="str">
        <x:v>Тезариус вкусов (Ники Сегнит)(1).pdf</x:v>
      </x:c>
      <x:c r="L149" s="28" t="str">
        <x:v>Тезариус вкусов (Ники Сегнит)(1).pdf: 108, 195</x:v>
      </x:c>
    </x:row>
    <x:row r="150" ht="66" customHeight="1">
      <x:c r="A150" s="28" t="str">
        <x:v>VEG-0226</x:v>
      </x:c>
      <x:c r="B150" s="28" t="str">
        <x:v>грибы</x:v>
      </x:c>
      <x:c r="C150" s="28" t="str">
        <x:v>голубой сыр</x:v>
      </x:c>
      <x:c r="D150" s="28" t="str">
        <x:v>Молочные продукты и сыры</x:v>
      </x:c>
      <x:c r="E150" s="28" t="str">
        <x:v>пересечение ароматических семейств; жировая матрица</x:v>
      </x:c>
      <x:c r="F150" s="28" t="str">
        <x:v>Грибы имеет профиль «землистый, лесной, жареный, мясной и слегка сернистый». Партнёр «голубой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5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50" s="28" t="str">
        <x:v>горячее блюдо, бульон, соус, пюре, ферментация или гарнир с голубой сыр</x:v>
      </x:c>
      <x:c r="J150" s="28" t="str">
        <x:v>Средняя</x:v>
      </x:c>
      <x:c r="K150" s="28" t="str">
        <x:v>Тезариус вкусов (Ники Сегнит)(1).pdf</x:v>
      </x:c>
      <x:c r="L150" s="28" t="str">
        <x:v>Тезариус вкусов (Ники Сегнит)(1).pdf: 157, 195</x:v>
      </x:c>
    </x:row>
    <x:row r="151" ht="66" customHeight="1">
      <x:c r="A151" s="28" t="str">
        <x:v>VEG-0227</x:v>
      </x:c>
      <x:c r="B151" s="28" t="str">
        <x:v>грибы</x:v>
      </x:c>
      <x:c r="C151" s="28" t="str">
        <x:v>грецкий орех</x:v>
      </x:c>
      <x:c r="D151" s="28" t="str">
        <x:v>Орехи и семена</x:v>
      </x:c>
      <x:c r="E151" s="28" t="str">
        <x:v>общие характерные молекулы; пересечение ароматических семейств</x:v>
      </x:c>
      <x:c r="F151" s="28" t="str">
        <x:v>Грибы имеет профиль «землистый, лесной, жареный, мясной и слегка сернистый».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5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1" s="28" t="str">
        <x:v>горячее блюдо, бульон, соус, пюре, ферментация или гарнир с грецкий орех</x:v>
      </x:c>
      <x:c r="J151" s="28" t="str">
        <x:v>Средняя</x:v>
      </x:c>
      <x:c r="K151" s="28" t="str">
        <x:v>Тезариус вкусов (Ники Сегнит)(1).pdf</x:v>
      </x:c>
      <x:c r="L151" s="28" t="str">
        <x:v>Тезариус вкусов (Ники Сегнит)(1).pdf: 195, 625</x:v>
      </x:c>
    </x:row>
    <x:row r="152" ht="66" customHeight="1">
      <x:c r="A152" s="28" t="str">
        <x:v>VEG-0228</x:v>
      </x:c>
      <x:c r="B152" s="28" t="str">
        <x:v>грибы</x:v>
      </x:c>
      <x:c r="C152" s="28" t="str">
        <x:v>джин</x:v>
      </x:c>
      <x:c r="D152" s="28" t="str">
        <x:v>Алкогольные напитки</x:v>
      </x:c>
      <x:c r="E152" s="28" t="str">
        <x:v>сенсорная комплементарность</x:v>
      </x:c>
      <x:c r="F152" s="28" t="str">
        <x:v>Грибы имеет профиль «землистый, лесной, жареный, мясной и слегка сернистый». Партнёр «джин»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5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2" s="28" t="str">
        <x:v>горячее блюдо, бульон, соус, пюре, ферментация или гарнир с джин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215</x:v>
      </x:c>
    </x:row>
    <x:row r="153" ht="66" customHeight="1">
      <x:c r="A153" s="28" t="str">
        <x:v>VEG-0229</x:v>
      </x:c>
      <x:c r="B153" s="28" t="str">
        <x:v>грибы</x:v>
      </x:c>
      <x:c r="C153" s="28" t="str">
        <x:v>жасмин</x:v>
      </x:c>
      <x:c r="D153" s="28" t="str">
        <x:v>Травы, цветы и листья</x:v>
      </x:c>
      <x:c r="E153" s="28" t="str">
        <x:v>сенсорная комплементарность</x:v>
      </x:c>
      <x:c r="F153" s="28" t="str">
        <x:v>Грибы имеет профиль «землистый, лесной, жареный, мясной и слегка сернистый».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5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53" s="28" t="str">
        <x:v>горячее блюдо, бульон, соус, пюре, ферментация или гарнир с жасмин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210</x:v>
      </x:c>
    </x:row>
    <x:row r="154" ht="66" customHeight="1">
      <x:c r="A154" s="28" t="str">
        <x:v>VEG-0230</x:v>
      </x:c>
      <x:c r="B154" s="28" t="str">
        <x:v>грибы</x:v>
      </x:c>
      <x:c r="C154" s="28" t="str">
        <x:v>жирная рыба</x:v>
      </x:c>
      <x:c r="D154" s="28" t="str">
        <x:v>Рыба и морепродукты</x:v>
      </x:c>
      <x:c r="E154" s="28" t="str">
        <x:v>пересечение ароматических семейств; умами и солёный контраст</x:v>
      </x:c>
      <x:c r="F154" s="28" t="str">
        <x:v>Грибы имеет профиль «землистый, лесной, жареный, мясной и слегка сернистый». Партнёр «жирная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5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4" s="28" t="str">
        <x:v>горячее блюдо, бульон, соус, пюре, ферментация или гарнир с жирная рыба</x:v>
      </x:c>
      <x:c r="J154" s="28" t="str">
        <x:v>Средняя</x:v>
      </x:c>
      <x:c r="K154" s="28" t="str">
        <x:v>Тезариус вкусов (Ники Сегнит)(1).pdf</x:v>
      </x:c>
      <x:c r="L154" s="28" t="str">
        <x:v>Тезариус вкусов (Ники Сегнит)(1).pdf: 196, 412</x:v>
      </x:c>
    </x:row>
    <x:row r="155" ht="66" customHeight="1">
      <x:c r="A155" s="28" t="str">
        <x:v>VEG-0231</x:v>
      </x:c>
      <x:c r="B155" s="28" t="str">
        <x:v>грибы</x:v>
      </x:c>
      <x:c r="C155" s="28" t="str">
        <x:v>картофель</x:v>
      </x:c>
      <x:c r="D155" s="28" t="str">
        <x:v>Корнеплоды и клубни</x:v>
      </x:c>
      <x:c r="E155" s="28" t="str">
        <x:v>общие характерные молекулы; пересечение ароматических семейств</x:v>
      </x:c>
      <x:c r="F155" s="28" t="str">
        <x:v>Грибы имеет профиль «землистый, лесной, жареный, мясной и слегка сернистый». Партнёр «картофель» относится к группе «Корнеплоды и клубни» и даёт крахмалистый, землистый, ореховый и жареный после нагрева. Вероятный молекулярный мост: метиональ, пиразины. Совместимость формируется за счёт баланса сладости, кислотности, горечи, умами и текстуры.</x:v>
      </x:c>
      <x:c r="G15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5" s="28" t="str">
        <x:v>горячее блюдо, бульон, соус, пюре, ферментация или гарнир с картофель</x:v>
      </x:c>
      <x:c r="J155" s="28" t="str">
        <x:v>Высокая</x:v>
      </x:c>
      <x:c r="K155" s="28" t="str">
        <x:v>The Art &amp; Science of Foodpairing.pdf | Тезариус вкусов (Ники Сегнит)(1).pdf</x:v>
      </x:c>
      <x:c r="L155" s="28" t="str">
        <x:v>Тезариус вкусов (Ники Сегнит)(1).pdf: 197, 234; The Art &amp; Science of Foodpairing.pdf: 196</x:v>
      </x:c>
    </x:row>
    <x:row r="156" ht="66" customHeight="1">
      <x:c r="A156" s="28" t="str">
        <x:v>VEG-0232</x:v>
      </x:c>
      <x:c r="B156" s="28" t="str">
        <x:v>грибы</x:v>
      </x:c>
      <x:c r="C156" s="28" t="str">
        <x:v>каштаны</x:v>
      </x:c>
      <x:c r="D156" s="28" t="str">
        <x:v>Орехи и семена</x:v>
      </x:c>
      <x:c r="E156" s="28" t="str">
        <x:v>общие характерные молекулы; пересечение ароматических семейств</x:v>
      </x:c>
      <x:c r="F156" s="28" t="str">
        <x:v>Грибы имеет профиль «землистый, лесной, жареный, мясной и слегка сернистый». Партнёр «каштаны» относится к группе «Орехи и семена» и даёт ореховый, жареный и жирный.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15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6" s="28" t="str">
        <x:v>горячее блюдо, бульон, соус, пюре, ферментация или гарнир с каштаны</x:v>
      </x:c>
      <x:c r="J156" s="28" t="str">
        <x:v>Средняя</x:v>
      </x:c>
      <x:c r="K156" s="28" t="str">
        <x:v>Тезариус вкусов (Ники Сегнит)(1).pdf</x:v>
      </x:c>
      <x:c r="L156" s="28" t="str">
        <x:v>Тезариус вкусов (Ники Сегнит)(1).pdf: 197, 617</x:v>
      </x:c>
    </x:row>
    <x:row r="157" ht="66" customHeight="1">
      <x:c r="A157" s="28" t="str">
        <x:v>VEG-0233</x:v>
      </x:c>
      <x:c r="B157" s="28" t="str">
        <x:v>грибы</x:v>
      </x:c>
      <x:c r="C157" s="28" t="str">
        <x:v>кимчи</x:v>
      </x:c>
      <x:c r="D157" s="28" t="str">
        <x:v>Ферментированные продукты и соусы</x:v>
      </x:c>
      <x:c r="E157" s="28" t="str">
        <x:v>общие характерные молекулы; пересечение ароматических семейств; умами и солёный контраст</x:v>
      </x:c>
      <x:c r="F157" s="28" t="str">
        <x:v>Грибы имеет профиль «землистый, лесной, жареный, мясной и слегка сернистый». Партнёр «кимчи»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5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57" s="28" t="str">
        <x:v>горячее блюдо, бульон, соус, пюре, ферментация или гарнир с кимчи</x:v>
      </x:c>
      <x:c r="J157" s="28" t="str">
        <x:v>Средняя</x:v>
      </x:c>
      <x:c r="K157" s="28" t="str">
        <x:v>The Art &amp; Science of Foodpairing.pdf</x:v>
      </x:c>
      <x:c r="L157" s="28" t="str">
        <x:v>The Art &amp; Science of Foodpairing.pdf: 305</x:v>
      </x:c>
    </x:row>
    <x:row r="158" ht="66" customHeight="1">
      <x:c r="A158" s="28" t="str">
        <x:v>VEG-0234</x:v>
      </x:c>
      <x:c r="B158" s="28" t="str">
        <x:v>грибы</x:v>
      </x:c>
      <x:c r="C158" s="28" t="str">
        <x:v>козий сыр</x:v>
      </x:c>
      <x:c r="D158" s="28" t="str">
        <x:v>Молочные продукты и сыры</x:v>
      </x:c>
      <x:c r="E158" s="28" t="str">
        <x:v>пересечение ароматических семейств; жировая матрица</x:v>
      </x:c>
      <x:c r="F158" s="28" t="str">
        <x:v>Грибы имеет профиль «землистый, лесной, жареный, мясной и слегка сернистый».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5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58" s="28" t="str">
        <x:v>горячее блюдо, бульон, соус, пюре, ферментация или гарнир с козий сыр</x:v>
      </x:c>
      <x:c r="J158" s="28" t="str">
        <x:v>Средняя</x:v>
      </x:c>
      <x:c r="K158" s="28" t="str">
        <x:v>Тезариус вкусов (Ники Сегнит)(1).pdf</x:v>
      </x:c>
      <x:c r="L158" s="28" t="str">
        <x:v>Тезариус вкусов (Ники Сегнит)(1).pdf: 138, 198</x:v>
      </x:c>
    </x:row>
    <x:row r="159" ht="66" customHeight="1">
      <x:c r="A159" s="28" t="str">
        <x:v>VEG-0235</x:v>
      </x:c>
      <x:c r="B159" s="28" t="str">
        <x:v>грибы</x:v>
      </x:c>
      <x:c r="C159" s="28" t="str">
        <x:v>козий сыр и молоко</x:v>
      </x:c>
      <x:c r="D159" s="28" t="str">
        <x:v>Молочные продукты и сыры</x:v>
      </x:c>
      <x:c r="E159" s="28" t="str">
        <x:v>пересечение ароматических семейств; жировая матрица</x:v>
      </x:c>
      <x:c r="F159" s="28" t="str">
        <x:v>Грибы имеет профиль «землистый, лесной, жареный, мясной и слегка сернистый».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5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5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59" s="28" t="str">
        <x:v>горячее блюдо, бульон, соус, пюре, ферментация или гарнир с козий сыр и молоко</x:v>
      </x:c>
      <x:c r="J159" s="28" t="str">
        <x:v>Средняя</x:v>
      </x:c>
      <x:c r="K159" s="28" t="str">
        <x:v>The Art &amp; Science of Foodpairing.pdf</x:v>
      </x:c>
      <x:c r="L159" s="28" t="str">
        <x:v>The Art &amp; Science of Foodpairing.pdf: 200</x:v>
      </x:c>
    </x:row>
    <x:row r="160" ht="66" customHeight="1">
      <x:c r="A160" s="28" t="str">
        <x:v>VEG-0236</x:v>
      </x:c>
      <x:c r="B160" s="28" t="str">
        <x:v>грибы</x:v>
      </x:c>
      <x:c r="C160" s="28" t="str">
        <x:v>кокос</x:v>
      </x:c>
      <x:c r="D160" s="28" t="str">
        <x:v>Прочее</x:v>
      </x:c>
      <x:c r="E160" s="28" t="str">
        <x:v>сенсорная комплементарность</x:v>
      </x:c>
      <x:c r="F160" s="28" t="str">
        <x:v>Грибы имеет профиль «землистый, лесной, жареный, мясной и слегка сернистый».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0" s="28" t="str">
        <x:v>горячее блюдо, бульон, соус, пюре, ферментация или гарнир с кокос</x:v>
      </x:c>
      <x:c r="J160" s="28" t="str">
        <x:v>Средняя</x:v>
      </x:c>
      <x:c r="K160" s="28" t="str">
        <x:v>The Art &amp; Science of Foodpairing.pdf</x:v>
      </x:c>
      <x:c r="L160" s="28" t="str">
        <x:v>The Art &amp; Science of Foodpairing.pdf: 135</x:v>
      </x:c>
    </x:row>
    <x:row r="161" ht="66" customHeight="1">
      <x:c r="A161" s="28" t="str">
        <x:v>VEG-0237</x:v>
      </x:c>
      <x:c r="B161" s="28" t="str">
        <x:v>грибы</x:v>
      </x:c>
      <x:c r="C161" s="28" t="str">
        <x:v>коньяк</x:v>
      </x:c>
      <x:c r="D161" s="28" t="str">
        <x:v>Алкогольные напитки</x:v>
      </x:c>
      <x:c r="E161" s="28" t="str">
        <x:v>сенсорная комплементарность</x:v>
      </x:c>
      <x:c r="F161" s="28" t="str">
        <x:v>Грибы имеет профиль «землистый, лесной, жареный, мясной и слегка сернистый».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6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1" s="28" t="str">
        <x:v>горячее блюдо, бульон, соус, пюре, ферментация или гарнир с коньяк</x:v>
      </x:c>
      <x:c r="J161" s="28" t="str">
        <x:v>Высокая</x:v>
      </x:c>
      <x:c r="K161" s="28" t="str">
        <x:v>The Art &amp; Science of Foodpairing.pdf</x:v>
      </x:c>
      <x:c r="L161" s="28" t="str">
        <x:v>The Art &amp; Science of Foodpairing.pdf: 123</x:v>
      </x:c>
    </x:row>
    <x:row r="162" ht="66" customHeight="1">
      <x:c r="A162" s="28" t="str">
        <x:v>VEG-0238</x:v>
      </x:c>
      <x:c r="B162" s="28" t="str">
        <x:v>грибы</x:v>
      </x:c>
      <x:c r="C162" s="28" t="str">
        <x:v>корица</x:v>
      </x:c>
      <x:c r="D162" s="28" t="str">
        <x:v>Специи</x:v>
      </x:c>
      <x:c r="E162" s="28" t="str">
        <x:v>сенсорная комплементарность</x:v>
      </x:c>
      <x:c r="F162" s="28" t="str">
        <x:v>Грибы имеет профиль «землистый, лесной, жареный, мясной и слегка сернистый».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6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2" s="28" t="str">
        <x:v>горячее блюдо, бульон, соус, пюре, ферментация или гарнир с корица</x:v>
      </x:c>
      <x:c r="J162" s="28" t="str">
        <x:v>Высокая</x:v>
      </x:c>
      <x:c r="K162" s="28" t="str">
        <x:v>The Art &amp; Science of Foodpairing.pdf</x:v>
      </x:c>
      <x:c r="L162" s="28" t="str">
        <x:v>The Art &amp; Science of Foodpairing.pdf: 127</x:v>
      </x:c>
    </x:row>
    <x:row r="163" ht="66" customHeight="1">
      <x:c r="A163" s="28" t="str">
        <x:v>VEG-0239</x:v>
      </x:c>
      <x:c r="B163" s="28" t="str">
        <x:v>грибы</x:v>
      </x:c>
      <x:c r="C163" s="28" t="str">
        <x:v>корица и кассия</x:v>
      </x:c>
      <x:c r="D163" s="28" t="str">
        <x:v>Специи</x:v>
      </x:c>
      <x:c r="E163" s="28" t="str">
        <x:v>сенсорная комплементарность</x:v>
      </x:c>
      <x:c r="F163" s="28" t="str">
        <x:v>Грибы имеет профиль «землистый, лесной, жареный, мясной и слегка сернистый». Партнёр «корица и кассия»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16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3" s="28" t="str">
        <x:v>горячее блюдо, бульон, соус, пюре, ферментация или гарнир с корица и кассия</x:v>
      </x:c>
      <x:c r="J163" s="28" t="str">
        <x:v>Средняя</x:v>
      </x:c>
      <x:c r="K163" s="28" t="str">
        <x:v>The Art &amp; Science of Foodpairing.pdf</x:v>
      </x:c>
      <x:c r="L163" s="28" t="str">
        <x:v>The Art &amp; Science of Foodpairing.pdf: 130</x:v>
      </x:c>
    </x:row>
    <x:row r="164" ht="66" customHeight="1">
      <x:c r="A164" s="28" t="str">
        <x:v>VEG-0240</x:v>
      </x:c>
      <x:c r="B164" s="28" t="str">
        <x:v>грибы</x:v>
      </x:c>
      <x:c r="C164" s="28" t="str">
        <x:v>лук</x:v>
      </x:c>
      <x:c r="D164" s="28" t="str">
        <x:v>Луковые овощи</x:v>
      </x:c>
      <x:c r="E164" s="28" t="str">
        <x:v>пересечение ароматических семейств</x:v>
      </x:c>
      <x:c r="F164" s="28" t="str">
        <x:v>Грибы имеет профиль «землистый, лесной, жареный, мясной и слегка сернистый».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16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4" s="28" t="str">
        <x:v>горячее блюдо, бульон, соус, пюре, ферментация или гарнир с лук</x:v>
      </x:c>
      <x:c r="J164" s="28" t="str">
        <x:v>Средняя</x:v>
      </x:c>
      <x:c r="K164" s="28" t="str">
        <x:v>Тезариус вкусов (Ники Сегнит)(1).pdf</x:v>
      </x:c>
      <x:c r="L164" s="28" t="str">
        <x:v>Тезариус вкусов (Ники Сегнит)(1).pdf: 200, 283</x:v>
      </x:c>
    </x:row>
    <x:row r="165" ht="66" customHeight="1">
      <x:c r="A165" s="28" t="str">
        <x:v>VEG-0241</x:v>
      </x:c>
      <x:c r="B165" s="28" t="str">
        <x:v>грибы</x:v>
      </x:c>
      <x:c r="C165" s="28" t="str">
        <x:v>моллюски</x:v>
      </x:c>
      <x:c r="D165" s="28" t="str">
        <x:v>Рыба и морепродукты</x:v>
      </x:c>
      <x:c r="E165" s="28" t="str">
        <x:v>пересечение ароматических семейств; умами и солёный контраст</x:v>
      </x:c>
      <x:c r="F165" s="28" t="str">
        <x:v>Грибы имеет профиль «землистый, лесной, жареный, мясной и слегка сернистый».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6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5" s="28" t="str">
        <x:v>горячее блюдо, бульон, соус, пюре, ферментация или гарнир с моллюски</x:v>
      </x:c>
      <x:c r="J165" s="28" t="str">
        <x:v>Средняя</x:v>
      </x:c>
      <x:c r="K165" s="28" t="str">
        <x:v>Тезариус вкусов (Ники Сегнит)(1).pdf</x:v>
      </x:c>
      <x:c r="L165" s="28" t="str">
        <x:v>Тезариус вкусов (Ники Сегнит)(1).pdf: 201, 369</x:v>
      </x:c>
    </x:row>
    <x:row r="166" ht="66" customHeight="1">
      <x:c r="A166" s="28" t="str">
        <x:v>VEG-0242</x:v>
      </x:c>
      <x:c r="B166" s="28" t="str">
        <x:v>грибы</x:v>
      </x:c>
      <x:c r="C166" s="28" t="str">
        <x:v>морковь</x:v>
      </x:c>
      <x:c r="D166" s="28" t="str">
        <x:v>Корнеплоды</x:v>
      </x:c>
      <x:c r="E166" s="28" t="str">
        <x:v>пересечение ароматических семейств</x:v>
      </x:c>
      <x:c r="F166" s="28" t="str">
        <x:v>Грибы имеет профиль «землистый, лесной, жареный, мясной и слегка сернистый». Партнёр «морковь» относится к группе «Корнеплоды» и даёт сладкий, землистый, древесный и слегка цитрусовый.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16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6" s="28" t="str">
        <x:v>горячее блюдо, бульон, соус, пюре, ферментация или гарнир с морковь</x:v>
      </x:c>
      <x:c r="J166" s="28" t="str">
        <x:v>Средняя</x:v>
      </x:c>
      <x:c r="K166" s="28" t="str">
        <x:v>The Art &amp; Science of Foodpairing.pdf</x:v>
      </x:c>
      <x:c r="L166" s="28" t="str">
        <x:v>The Art &amp; Science of Foodpairing.pdf: 232</x:v>
      </x:c>
    </x:row>
    <x:row r="167" ht="66" customHeight="1">
      <x:c r="A167" s="28" t="str">
        <x:v>VEG-0243</x:v>
      </x:c>
      <x:c r="B167" s="28" t="str">
        <x:v>грибы</x:v>
      </x:c>
      <x:c r="C167" s="28" t="str">
        <x:v>мягкий сыр</x:v>
      </x:c>
      <x:c r="D167" s="28" t="str">
        <x:v>Молочные продукты и сыры</x:v>
      </x:c>
      <x:c r="E167" s="28" t="str">
        <x:v>пересечение ароматических семейств; жировая матрица</x:v>
      </x:c>
      <x:c r="F167" s="28" t="str">
        <x:v>Грибы имеет профиль «землистый, лесной, жареный, мясной и слегка сернистый».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6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67" s="28" t="str">
        <x:v>горячее блюдо, бульон, соус, пюре, ферментация или гарнир с мягкий сыр</x:v>
      </x:c>
      <x:c r="J167" s="28" t="str">
        <x:v>Средняя</x:v>
      </x:c>
      <x:c r="K167" s="28" t="str">
        <x:v>Тезариус вкусов (Ники Сегнит)(1).pdf</x:v>
      </x:c>
      <x:c r="L167" s="28" t="str">
        <x:v>Тезариус вкусов (Ники Сегнит)(1).pdf: 184, 202</x:v>
      </x:c>
    </x:row>
    <x:row r="168" ht="66" customHeight="1">
      <x:c r="A168" s="28" t="str">
        <x:v>VEG-0244</x:v>
      </x:c>
      <x:c r="B168" s="28" t="str">
        <x:v>грибы</x:v>
      </x:c>
      <x:c r="C168" s="28" t="str">
        <x:v>мясо</x:v>
      </x:c>
      <x:c r="D168" s="28" t="str">
        <x:v>Мясо и птица</x:v>
      </x:c>
      <x:c r="E168" s="28" t="str">
        <x:v>общие характерные молекулы; пересечение ароматических семейств; умами и солёный контраст</x:v>
      </x:c>
      <x:c r="F168" s="28" t="str">
        <x:v>Грибы имеет профиль «землистый, лесной, жареный, мясной и слегка сернистый».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6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68" s="28" t="str">
        <x:v>горячее блюдо, бульон, соус, пюре, ферментация или гарнир с мясо</x:v>
      </x:c>
      <x:c r="J168" s="28" t="str">
        <x:v>Средняя</x:v>
      </x:c>
      <x:c r="K168" s="28" t="str">
        <x:v>The Art &amp; Science of Foodpairing.pdf</x:v>
      </x:c>
      <x:c r="L168" s="28" t="str">
        <x:v>The Art &amp; Science of Foodpairing.pdf: 186</x:v>
      </x:c>
    </x:row>
    <x:row r="169" ht="66" customHeight="1">
      <x:c r="A169" s="28" t="str">
        <x:v>VEG-0245</x:v>
      </x:c>
      <x:c r="B169" s="28" t="str">
        <x:v>грибы</x:v>
      </x:c>
      <x:c r="C169" s="28" t="str">
        <x:v>мята</x:v>
      </x:c>
      <x:c r="D169" s="28" t="str">
        <x:v>Травы, цветы и листья</x:v>
      </x:c>
      <x:c r="E169" s="28" t="str">
        <x:v>сенсорная комплементарность</x:v>
      </x:c>
      <x:c r="F169" s="28" t="str">
        <x:v>Грибы имеет профиль «землистый, лесной, жареный, мясной и слегка сернистый».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6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6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69" s="28" t="str">
        <x:v>горячее блюдо, бульон, соус, пюре, ферментация или гарнир с мята</x:v>
      </x:c>
      <x:c r="J169" s="28" t="str">
        <x:v>Средняя</x:v>
      </x:c>
      <x:c r="K169" s="28" t="str">
        <x:v>Тезариус вкусов (Ники Сегнит)(1).pdf</x:v>
      </x:c>
      <x:c r="L169" s="28" t="str">
        <x:v>Тезариус вкусов (Ники Сегнит)(1).pdf: 202, 867</x:v>
      </x:c>
    </x:row>
    <x:row r="170" ht="66" customHeight="1">
      <x:c r="A170" s="28" t="str">
        <x:v>VEG-0246</x:v>
      </x:c>
      <x:c r="B170" s="28" t="str">
        <x:v>грибы</x:v>
      </x:c>
      <x:c r="C170" s="28" t="str">
        <x:v>оленина</x:v>
      </x:c>
      <x:c r="D170" s="28" t="str">
        <x:v>Прочее</x:v>
      </x:c>
      <x:c r="E170" s="28" t="str">
        <x:v>сенсорная комплементарность</x:v>
      </x:c>
      <x:c r="F170" s="28" t="str">
        <x:v>Грибы имеет профиль «землистый, лесной, жареный, мясной и слегка сернистый». Партнёр «оленина»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7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0" s="28" t="str">
        <x:v>горячее блюдо, бульон, соус, пюре, ферментация или гарнир с оленина</x:v>
      </x:c>
      <x:c r="J170" s="28" t="str">
        <x:v>Высокая</x:v>
      </x:c>
      <x:c r="K170" s="28" t="str">
        <x:v>The Art &amp; Science of Foodpairing.pdf</x:v>
      </x:c>
      <x:c r="L170" s="28" t="str">
        <x:v>The Art &amp; Science of Foodpairing.pdf: 189</x:v>
      </x:c>
    </x:row>
    <x:row r="171" ht="66" customHeight="1">
      <x:c r="A171" s="28" t="str">
        <x:v>VEG-0247</x:v>
      </x:c>
      <x:c r="B171" s="28" t="str">
        <x:v>грибы</x:v>
      </x:c>
      <x:c r="C171" s="28" t="str">
        <x:v>оливковое масло</x:v>
      </x:c>
      <x:c r="D171" s="28" t="str">
        <x:v>Масла и жиры</x:v>
      </x:c>
      <x:c r="E171" s="28" t="str">
        <x:v>жировая матрица</x:v>
      </x:c>
      <x:c r="F171" s="28" t="str">
        <x:v>Грибы имеет профиль «землистый, лесной, жареный, мясной и слегка сернистый».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7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71" s="28" t="str">
        <x:v>горячее блюдо, бульон, соус, пюре, ферментация или гарнир с оливковое масло</x:v>
      </x:c>
      <x:c r="J171" s="28" t="str">
        <x:v>Высокая</x:v>
      </x:c>
      <x:c r="K171" s="28" t="str">
        <x:v>The Art &amp; Science of Foodpairing.pdf</x:v>
      </x:c>
      <x:c r="L171" s="28" t="str">
        <x:v>The Art &amp; Science of Foodpairing.pdf: 172</x:v>
      </x:c>
    </x:row>
    <x:row r="172" ht="66" customHeight="1">
      <x:c r="A172" s="28" t="str">
        <x:v>VEG-0248</x:v>
      </x:c>
      <x:c r="B172" s="28" t="str">
        <x:v>грибы</x:v>
      </x:c>
      <x:c r="C172" s="28" t="str">
        <x:v>пармезан</x:v>
      </x:c>
      <x:c r="D172" s="28" t="str">
        <x:v>Прочее</x:v>
      </x:c>
      <x:c r="E172" s="28" t="str">
        <x:v>сенсорная комплементарность</x:v>
      </x:c>
      <x:c r="F172" s="28" t="str">
        <x:v>Грибы имеет профиль «землистый, лесной, жареный, мясной и слегка сернистый».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7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2" s="28" t="str">
        <x:v>горячее блюдо, бульон, соус, пюре, ферментация или гарнир с пармезан</x:v>
      </x:c>
      <x:c r="J172" s="28" t="str">
        <x:v>Средняя</x:v>
      </x:c>
      <x:c r="K172" s="28" t="str">
        <x:v>The Art &amp; Science of Foodpairing.pdf</x:v>
      </x:c>
      <x:c r="L172" s="28" t="str">
        <x:v>The Art &amp; Science of Foodpairing.pdf: 282</x:v>
      </x:c>
    </x:row>
    <x:row r="173" ht="66" customHeight="1">
      <x:c r="A173" s="28" t="str">
        <x:v>VEG-0249</x:v>
      </x:c>
      <x:c r="B173" s="28" t="str">
        <x:v>грибы</x:v>
      </x:c>
      <x:c r="C173" s="28" t="str">
        <x:v>петрушка</x:v>
      </x:c>
      <x:c r="D173" s="28" t="str">
        <x:v>Травы, цветы и листья</x:v>
      </x:c>
      <x:c r="E173" s="28" t="str">
        <x:v>сенсорная комплементарность</x:v>
      </x:c>
      <x:c r="F173" s="28" t="str">
        <x:v>Грибы имеет профиль «землистый, лесной, жареный, мясной и слегка сернистый».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7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73" s="28" t="str">
        <x:v>горячее блюдо, бульон, соус, пюре, ферментация или гарнир с петрушка</x:v>
      </x:c>
      <x:c r="J173" s="28" t="str">
        <x:v>Средняя</x:v>
      </x:c>
      <x:c r="K173" s="28" t="str">
        <x:v>Тезариус вкусов (Ники Сегнит)(1).pdf</x:v>
      </x:c>
      <x:c r="L173" s="28" t="str">
        <x:v>Тезариус вкусов (Ники Сегнит)(1).pdf: 202, 508</x:v>
      </x:c>
    </x:row>
    <x:row r="174" ht="66" customHeight="1">
      <x:c r="A174" s="28" t="str">
        <x:v>VEG-0250</x:v>
      </x:c>
      <x:c r="B174" s="28" t="str">
        <x:v>грибы</x:v>
      </x:c>
      <x:c r="C174" s="28" t="str">
        <x:v>розмарин</x:v>
      </x:c>
      <x:c r="D174" s="28" t="str">
        <x:v>Травы, цветы и листья</x:v>
      </x:c>
      <x:c r="E174" s="28" t="str">
        <x:v>сенсорная комплементарность</x:v>
      </x:c>
      <x:c r="F174" s="28" t="str">
        <x:v>Грибы имеет профиль «землистый, лесной, жареный, мясной и слегка сернистый».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7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74" s="28" t="str">
        <x:v>горячее блюдо, бульон, соус, пюре, ферментация или гарнир с розмарин</x:v>
      </x:c>
      <x:c r="J174" s="28" t="str">
        <x:v>Средняя</x:v>
      </x:c>
      <x:c r="K174" s="28" t="str">
        <x:v>Тезариус вкусов (Ники Сегнит)(1).pdf</x:v>
      </x:c>
      <x:c r="L174" s="28" t="str">
        <x:v>Тезариус вкусов (Ники Сегнит)(1).pdf: 202, 836</x:v>
      </x:c>
    </x:row>
    <x:row r="175" ht="66" customHeight="1">
      <x:c r="A175" s="28" t="str">
        <x:v>VEG-0251</x:v>
      </x:c>
      <x:c r="B175" s="28" t="str">
        <x:v>грибы</x:v>
      </x:c>
      <x:c r="C175" s="28" t="str">
        <x:v>рыба</x:v>
      </x:c>
      <x:c r="D175" s="28" t="str">
        <x:v>Рыба и морепродукты</x:v>
      </x:c>
      <x:c r="E175" s="28" t="str">
        <x:v>пересечение ароматических семейств; умами и солёный контраст</x:v>
      </x:c>
      <x:c r="F175" s="28" t="str">
        <x:v>Грибы имеет профиль «землистый, лесной, жареный, мясной и слегка сернистый». Партнёр «рыба»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7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5" s="28" t="str">
        <x:v>горячее блюдо, бульон, соус, пюре, ферментация или гарнир с рыба</x:v>
      </x:c>
      <x:c r="J175" s="28" t="str">
        <x:v>Средняя</x:v>
      </x:c>
      <x:c r="K175" s="28" t="str">
        <x:v>The Art &amp; Science of Foodpairing.pdf</x:v>
      </x:c>
      <x:c r="L175" s="28" t="str">
        <x:v>The Art &amp; Science of Foodpairing.pdf: 104</x:v>
      </x:c>
    </x:row>
    <x:row r="176" ht="66" customHeight="1">
      <x:c r="A176" s="28" t="str">
        <x:v>VEG-0252</x:v>
      </x:c>
      <x:c r="B176" s="28" t="str">
        <x:v>грибы</x:v>
      </x:c>
      <x:c r="C176" s="28" t="str">
        <x:v>свинина</x:v>
      </x:c>
      <x:c r="D176" s="28" t="str">
        <x:v>Мясо и птица</x:v>
      </x:c>
      <x:c r="E176" s="28" t="str">
        <x:v>общие характерные молекулы; пересечение ароматических семейств; умами и солёный контраст</x:v>
      </x:c>
      <x:c r="F176" s="28" t="str">
        <x:v>Грибы имеет профиль «землистый, лесной, жареный, мясной и слегка сернистый».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7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6" s="28" t="str">
        <x:v>горячее блюдо, бульон, соус, пюре, ферментация или гарнир с свинина</x:v>
      </x:c>
      <x:c r="J176" s="28" t="str">
        <x:v>Средняя</x:v>
      </x:c>
      <x:c r="K176" s="28" t="str">
        <x:v>Тезариус вкусов (Ники Сегнит)(1).pdf</x:v>
      </x:c>
      <x:c r="L176" s="28" t="str">
        <x:v>Тезариус вкусов (Ники Сегнит)(1).pdf: 83, 202</x:v>
      </x:c>
    </x:row>
    <x:row r="177" ht="66" customHeight="1">
      <x:c r="A177" s="28" t="str">
        <x:v>VEG-0253</x:v>
      </x:c>
      <x:c r="B177" s="28" t="str">
        <x:v>грибы</x:v>
      </x:c>
      <x:c r="C177" s="28" t="str">
        <x:v>свёкла</x:v>
      </x:c>
      <x:c r="D177" s="28" t="str">
        <x:v>Корнеплоды</x:v>
      </x:c>
      <x:c r="E177" s="28" t="str">
        <x:v>пересечение ароматических семейств</x:v>
      </x:c>
      <x:c r="F177" s="28" t="str">
        <x:v>Грибы имеет профиль «землистый, лесной, жареный, мясной и слегка сернистый». Партнёр «свёкла» относится к группе «Корнеплоды» и даёт землистый, сладкий, минеральный и слегка зелёный.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17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7" s="28" t="str">
        <x:v>горячее блюдо, бульон, соус, пюре, ферментация или гарнир с свёкла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224</x:v>
      </x:c>
    </x:row>
    <x:row r="178" ht="66" customHeight="1">
      <x:c r="A178" s="28" t="str">
        <x:v>VEG-0254</x:v>
      </x:c>
      <x:c r="B178" s="28" t="str">
        <x:v>грибы</x:v>
      </x:c>
      <x:c r="C178" s="28" t="str">
        <x:v>сельдерей корневой</x:v>
      </x:c>
      <x:c r="D178" s="28" t="str">
        <x:v>Корнеплоды</x:v>
      </x:c>
      <x:c r="E178" s="28" t="str">
        <x:v>общие характерные молекулы; пересечение ароматических семейств</x:v>
      </x:c>
      <x:c r="F178" s="28" t="str">
        <x:v>Грибы имеет профиль «землистый, лесной, жареный, мясной и слегка сернистый». Партнёр «сельдерей корневой» относится к группе «Корнеплоды» и даёт землистый, ореховый, сельдерейно-пряный и слегка грибной. Вероятный молекулярный мост: метиональ. Совместимость формируется за счёт баланса сладости, кислотности, горечи, умами и текстуры.</x:v>
      </x:c>
      <x:c r="G17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8" s="28" t="str">
        <x:v>горячее блюдо, бульон, соус, пюре, ферментация или гарнир с сельдерей корневой</x:v>
      </x:c>
      <x:c r="J178" s="28" t="str">
        <x:v>Средняя</x:v>
      </x:c>
      <x:c r="K178" s="28" t="str">
        <x:v>The Art &amp; Science of Foodpairing.pdf</x:v>
      </x:c>
      <x:c r="L178" s="28" t="str">
        <x:v>The Art &amp; Science of Foodpairing.pdf: 52</x:v>
      </x:c>
    </x:row>
    <x:row r="179" ht="66" customHeight="1">
      <x:c r="A179" s="28" t="str">
        <x:v>VEG-0255</x:v>
      </x:c>
      <x:c r="B179" s="28" t="str">
        <x:v>грибы</x:v>
      </x:c>
      <x:c r="C179" s="28" t="str">
        <x:v>спаржа</x:v>
      </x:c>
      <x:c r="D179" s="28" t="str">
        <x:v>Побеговые овощи</x:v>
      </x:c>
      <x:c r="E179" s="28" t="str">
        <x:v>общие характерные молекулы; пересечение ароматических семейств</x:v>
      </x:c>
      <x:c r="F179" s="28" t="str">
        <x:v>Грибы имеет профиль «землистый, лесной, жареный, мясной и слегка сернистый». Партнёр «спаржа» относится к группе «Побеговые овощи» и даёт зелёный, сернистый, ореховый и слегка сладкий. Вероятный молекулярный мост: пиразины. Совместимость формируется за счёт баланса сладости, кислотности, горечи, умами и текстуры.</x:v>
      </x:c>
      <x:c r="G17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7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79" s="28" t="str">
        <x:v>горячее блюдо, бульон, соус, пюре, ферментация или гарнир с спаржа</x:v>
      </x:c>
      <x:c r="J179" s="28" t="str">
        <x:v>Средняя</x:v>
      </x:c>
      <x:c r="K179" s="28" t="str">
        <x:v>Тезариус вкусов (Ники Сегнит)(1).pdf</x:v>
      </x:c>
      <x:c r="L179" s="28" t="str">
        <x:v>Тезариус вкусов (Ники Сегнит)(1).pdf: 203, 345</x:v>
      </x:c>
    </x:row>
    <x:row r="180" ht="66" customHeight="1">
      <x:c r="A180" s="28" t="str">
        <x:v>VEG-0256</x:v>
      </x:c>
      <x:c r="B180" s="28" t="str">
        <x:v>грибы</x:v>
      </x:c>
      <x:c r="C180" s="28" t="str">
        <x:v>твердый сыр</x:v>
      </x:c>
      <x:c r="D180" s="28" t="str">
        <x:v>Молочные продукты и сыры</x:v>
      </x:c>
      <x:c r="E180" s="28" t="str">
        <x:v>пересечение ароматических семейств; жировая матрица</x:v>
      </x:c>
      <x:c r="F180" s="28" t="str">
        <x:v>Грибы имеет профиль «землистый, лесной, жареный, мясной и слегка сернистый». Партнёр «твердый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8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жир способен приглушить свежую зелёную ароматику</x:v>
      </x:c>
      <x:c r="I180" s="28" t="str">
        <x:v>горячее блюдо, бульон, соус, пюре, ферментация или гарнир с твердый сыр</x:v>
      </x:c>
      <x:c r="J180" s="28" t="str">
        <x:v>Средняя</x:v>
      </x:c>
      <x:c r="K180" s="28" t="str">
        <x:v>Тезариус вкусов (Ники Сегнит)(1).pdf</x:v>
      </x:c>
      <x:c r="L180" s="28" t="str">
        <x:v>Тезариус вкусов (Ники Сегнит)(1).pdf: 170, 203</x:v>
      </x:c>
    </x:row>
    <x:row r="181" ht="66" customHeight="1">
      <x:c r="A181" s="28" t="str">
        <x:v>VEG-0257</x:v>
      </x:c>
      <x:c r="B181" s="28" t="str">
        <x:v>грибы</x:v>
      </x:c>
      <x:c r="C181" s="28" t="str">
        <x:v>тимьян</x:v>
      </x:c>
      <x:c r="D181" s="28" t="str">
        <x:v>Травы, цветы и листья</x:v>
      </x:c>
      <x:c r="E181" s="28" t="str">
        <x:v>сенсорная комплементарность</x:v>
      </x:c>
      <x:c r="F181" s="28" t="str">
        <x:v>Грибы имеет профиль «землистый, лесной, жареный, мясной и слегка сернистый».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8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81" s="28" t="str">
        <x:v>горячее блюдо, бульон, соус, пюре, ферментация или гарнир с тимьян</x:v>
      </x:c>
      <x:c r="J181" s="28" t="str">
        <x:v>Средняя</x:v>
      </x:c>
      <x:c r="K181" s="28" t="str">
        <x:v>Тезариус вкусов (Ники Сегнит)(1).pdf</x:v>
      </x:c>
      <x:c r="L181" s="28" t="str">
        <x:v>Тезариус вкусов (Ники Сегнит)(1).pdf: 204, 857</x:v>
      </x:c>
    </x:row>
    <x:row r="182" ht="66" customHeight="1">
      <x:c r="A182" s="28" t="str">
        <x:v>VEG-0258</x:v>
      </x:c>
      <x:c r="B182" s="28" t="str">
        <x:v>грибы</x:v>
      </x:c>
      <x:c r="C182" s="28" t="str">
        <x:v>томат</x:v>
      </x:c>
      <x:c r="D182" s="28" t="str">
        <x:v>Плодовые овощи</x:v>
      </x:c>
      <x:c r="E182" s="28" t="str">
        <x:v>общие характерные молекулы; пересечение ароматических семейств</x:v>
      </x:c>
      <x:c r="F182" s="28" t="str">
        <x:v>Грибы имеет профиль «землистый, лесной, жареный, мясной и слегка сернистый». Партнёр «томат» относится к группе «Плодовые овощи» и даёт зелёный, фруктовый, листовой, сернистый и умами. Вероятный молекулярный мост: глутамат, метиональ. Совместимость формируется за счёт баланса сладости, кислотности, горечи, умами и текстуры.</x:v>
      </x:c>
      <x:c r="G18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2" s="28" t="str">
        <x:v>горячее блюдо, бульон, соус, пюре, ферментация или гарнир с томат</x:v>
      </x:c>
      <x:c r="J182" s="28" t="str">
        <x:v>Средняя</x:v>
      </x:c>
      <x:c r="K182" s="28" t="str">
        <x:v>Тезариус вкусов (Ники Сегнит)(1).pdf</x:v>
      </x:c>
      <x:c r="L182" s="28" t="str">
        <x:v>Тезариус вкусов (Ники Сегнит)(1).pdf: 204, 685</x:v>
      </x:c>
    </x:row>
    <x:row r="183" ht="66" customHeight="1">
      <x:c r="A183" s="28" t="str">
        <x:v>VEG-0259</x:v>
      </x:c>
      <x:c r="B183" s="28" t="str">
        <x:v>грибы</x:v>
      </x:c>
      <x:c r="C183" s="28" t="str">
        <x:v>трюфель</x:v>
      </x:c>
      <x:c r="D183" s="28" t="str">
        <x:v>Грибы</x:v>
      </x:c>
      <x:c r="E183" s="28" t="str">
        <x:v>общие характерные молекулы; пересечение ароматических семейств; умами и солёный контраст</x:v>
      </x:c>
      <x:c r="F183" s="28" t="str">
        <x:v>Грибы имеет профиль «землистый, лесной, жареный, мясной и слегка сернистый». Партнёр «трюфель» относится к группе «Грибы» и даёт землистый, грибной и умами. Вероятный молекулярный мост: 1-октен-3-ол. Умами, соль и нуклеотиды усиливают savoury-профиль, а жарка формирует общую систему пиразинов, фуранов и сернистых молекул.</x:v>
      </x:c>
      <x:c r="G183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3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3" s="28" t="str">
        <x:v>горячее блюдо, бульон, соус, пюре, ферментация или гарнир с трюфель</x:v>
      </x:c>
      <x:c r="J183" s="28" t="str">
        <x:v>Средняя</x:v>
      </x:c>
      <x:c r="K183" s="28" t="str">
        <x:v>Тезариус вкусов (Ники Сегнит)(1).pdf</x:v>
      </x:c>
      <x:c r="L183" s="28" t="str">
        <x:v>Тезариус вкусов (Ники Сегнит)(1).pdf: 205, 302</x:v>
      </x:c>
    </x:row>
    <x:row r="184" ht="66" customHeight="1">
      <x:c r="A184" s="28" t="str">
        <x:v>VEG-0260</x:v>
      </x:c>
      <x:c r="B184" s="28" t="str">
        <x:v>грибы</x:v>
      </x:c>
      <x:c r="C184" s="28" t="str">
        <x:v>тыква баттернат</x:v>
      </x:c>
      <x:c r="D184" s="28" t="str">
        <x:v>Тыквенные</x:v>
      </x:c>
      <x:c r="E184" s="28" t="str">
        <x:v>сенсорная комплементарность</x:v>
      </x:c>
      <x:c r="F184" s="28" t="str">
        <x:v>Грибы имеет профиль «землистый, лесной, жареный, мясной и слегка сернистый».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4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4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4" s="28" t="str">
        <x:v>горячее блюдо, бульон, соус, пюре, ферментация или гарнир с тыква баттернат</x:v>
      </x:c>
      <x:c r="J184" s="28" t="str">
        <x:v>Средняя</x:v>
      </x:c>
      <x:c r="K184" s="28" t="str">
        <x:v>Тезариус вкусов (Ники Сегнит)(1).pdf</x:v>
      </x:c>
      <x:c r="L184" s="28" t="str">
        <x:v>Тезариус вкусов (Ники Сегнит)(1).pdf: 205, 610</x:v>
      </x:c>
    </x:row>
    <x:row r="185" ht="66" customHeight="1">
      <x:c r="A185" s="28" t="str">
        <x:v>VEG-0261</x:v>
      </x:c>
      <x:c r="B185" s="28" t="str">
        <x:v>грибы</x:v>
      </x:c>
      <x:c r="C185" s="28" t="str">
        <x:v>укроп</x:v>
      </x:c>
      <x:c r="D185" s="28" t="str">
        <x:v>Травы, цветы и листья</x:v>
      </x:c>
      <x:c r="E185" s="28" t="str">
        <x:v>сенсорная комплементарность</x:v>
      </x:c>
      <x:c r="F185" s="28" t="str">
        <x:v>Грибы имеет профиль «землистый, лесной, жареный, мясной и слегка сернистый». Партнёр «укроп» относится к группе «Травы, цветы и листья» и даёт анисовый, зелёный.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185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5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виды; длительный нагрев уносит свежие терпены и зелёные альдегиды</x:v>
      </x:c>
      <x:c r="I185" s="28" t="str">
        <x:v>горячее блюдо, бульон, соус, пюре, ферментация или гарнир с укроп</x:v>
      </x:c>
      <x:c r="J185" s="28" t="str">
        <x:v>Средняя</x:v>
      </x:c>
      <x:c r="K185" s="28" t="str">
        <x:v>Тезариус вкусов (Ники Сегнит)(1).pdf</x:v>
      </x:c>
      <x:c r="L185" s="28" t="str">
        <x:v>Тезариус вкусов (Ники Сегнит)(1).pdf: 206, 502</x:v>
      </x:c>
    </x:row>
    <x:row r="186" ht="66" customHeight="1">
      <x:c r="A186" s="28" t="str">
        <x:v>VEG-0262</x:v>
      </x:c>
      <x:c r="B186" s="28" t="str">
        <x:v>грибы</x:v>
      </x:c>
      <x:c r="C186" s="28" t="str">
        <x:v>устрицы</x:v>
      </x:c>
      <x:c r="D186" s="28" t="str">
        <x:v>Рыба и морепродукты</x:v>
      </x:c>
      <x:c r="E186" s="28" t="str">
        <x:v>пересечение ароматических семейств; умами и солёный контраст</x:v>
      </x:c>
      <x:c r="F186" s="28" t="str">
        <x:v>Грибы имеет профиль «землистый, лесной, жареный, мясной и слегка сернистый». Партнёр «устрицы»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186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6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6" s="28" t="str">
        <x:v>горячее блюдо, бульон, соус, пюре, ферментация или гарнир с устрицы</x:v>
      </x:c>
      <x:c r="J186" s="28" t="str">
        <x:v>Средняя</x:v>
      </x:c>
      <x:c r="K186" s="28" t="str">
        <x:v>Тезариус вкусов (Ники Сегнит)(1).pdf</x:v>
      </x:c>
      <x:c r="L186" s="28" t="str">
        <x:v>Тезариус вкусов (Ники Сегнит)(1).pdf: 206, 397</x:v>
      </x:c>
    </x:row>
    <x:row r="187" ht="66" customHeight="1">
      <x:c r="A187" s="28" t="str">
        <x:v>VEG-0263</x:v>
      </x:c>
      <x:c r="B187" s="28" t="str">
        <x:v>грибы</x:v>
      </x:c>
      <x:c r="C187" s="28" t="str">
        <x:v>хамон иберико</x:v>
      </x:c>
      <x:c r="D187" s="28" t="str">
        <x:v>Мясо и птица</x:v>
      </x:c>
      <x:c r="E187" s="28" t="str">
        <x:v>общие характерные молекулы; пересечение ароматических семейств; умами и солёный контраст</x:v>
      </x:c>
      <x:c r="F187" s="28" t="str">
        <x:v>Грибы имеет профиль «землистый, лесной, жареный, мясной и слегка сернистый». Партнёр «хамон иберико»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187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7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7" s="28" t="str">
        <x:v>горячее блюдо, бульон, соус, пюре, ферментация или гарнир с хамон иберико</x:v>
      </x:c>
      <x:c r="J187" s="28" t="str">
        <x:v>Средняя</x:v>
      </x:c>
      <x:c r="K187" s="28" t="str">
        <x:v>The Art &amp; Science of Foodpairing.pdf</x:v>
      </x:c>
      <x:c r="L187" s="28" t="str">
        <x:v>The Art &amp; Science of Foodpairing.pdf: 278</x:v>
      </x:c>
    </x:row>
    <x:row r="188" ht="66" customHeight="1">
      <x:c r="A188" s="28" t="str">
        <x:v>VEG-0264</x:v>
      </x:c>
      <x:c r="B188" s="28" t="str">
        <x:v>грибы</x:v>
      </x:c>
      <x:c r="C188" s="28" t="str">
        <x:v>цыпленок</x:v>
      </x:c>
      <x:c r="D188" s="28" t="str">
        <x:v>Прочее</x:v>
      </x:c>
      <x:c r="E188" s="28" t="str">
        <x:v>сенсорная комплементарность</x:v>
      </x:c>
      <x:c r="F188" s="28" t="str">
        <x:v>Грибы имеет профиль «землистый, лесной, жареный, мясной и слегка сернистый».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8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8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8" s="28" t="str">
        <x:v>горячее блюдо, бульон, соус, пюре, ферментация или гарнир с цыпленок</x:v>
      </x:c>
      <x:c r="J188" s="28" t="str">
        <x:v>Средняя</x:v>
      </x:c>
      <x:c r="K188" s="28" t="str">
        <x:v>Тезариус вкусов (Ники Сегнит)(1).pdf</x:v>
      </x:c>
      <x:c r="L188" s="28" t="str">
        <x:v>Тезариус вкусов (Ники Сегнит)(1).pdf: 65, 206</x:v>
      </x:c>
    </x:row>
    <x:row r="189" ht="66" customHeight="1">
      <x:c r="A189" s="28" t="str">
        <x:v>VEG-0265</x:v>
      </x:c>
      <x:c r="B189" s="28" t="str">
        <x:v>грибы</x:v>
      </x:c>
      <x:c r="C189" s="28" t="str">
        <x:v>черника</x:v>
      </x:c>
      <x:c r="D189" s="28" t="str">
        <x:v>Прочее</x:v>
      </x:c>
      <x:c r="E189" s="28" t="str">
        <x:v>сенсорная комплементарность</x:v>
      </x:c>
      <x:c r="F189" s="28" t="str">
        <x:v>Грибы имеет профиль «землистый, лесной, жареный, мясной и слегка сернистый». Партнёр «черника»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89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89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89" s="28" t="str">
        <x:v>горячее блюдо, бульон, соус, пюре, ферментация или гарнир с черника</x:v>
      </x:c>
      <x:c r="J189" s="28" t="str">
        <x:v>Средняя</x:v>
      </x:c>
      <x:c r="K189" s="28" t="str">
        <x:v>Тезариус вкусов (Ники Сегнит)(1).pdf</x:v>
      </x:c>
      <x:c r="L189" s="28" t="str">
        <x:v>Тезариус вкусов (Ники Сегнит)(1).pdf: 206, 904</x:v>
      </x:c>
    </x:row>
    <x:row r="190" ht="66" customHeight="1">
      <x:c r="A190" s="28" t="str">
        <x:v>VEG-0266</x:v>
      </x:c>
      <x:c r="B190" s="28" t="str">
        <x:v>грибы</x:v>
      </x:c>
      <x:c r="C190" s="28" t="str">
        <x:v>чеснок</x:v>
      </x:c>
      <x:c r="D190" s="28" t="str">
        <x:v>Луковые овощи</x:v>
      </x:c>
      <x:c r="E190" s="28" t="str">
        <x:v>пересечение ароматических семейств</x:v>
      </x:c>
      <x:c r="F190" s="28" t="str">
        <x:v>Грибы имеет профиль «землистый, лесной, жареный, мясной и слегка сернистый».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сернистый, умами. Совместимость формируется за счёт баланса сладости, кислотности, горечи, умами и текстуры.</x:v>
      </x:c>
      <x:c r="G190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90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90" s="28" t="str">
        <x:v>горячее блюдо, бульон, соус, пюре, ферментация или гарнир с чеснок</x:v>
      </x:c>
      <x:c r="J190" s="28" t="str">
        <x:v>Высокая</x:v>
      </x:c>
      <x:c r="K190" s="28" t="str">
        <x:v>The Art &amp; Science of Foodpairing.pdf | Тезариус вкусов (Ники Сегнит)(1).pdf</x:v>
      </x:c>
      <x:c r="L190" s="28" t="str">
        <x:v>Тезариус вкусов (Ники Сегнит)(1).pdf: 206, 293; The Art &amp; Science of Foodpairing.pdf: 113</x:v>
      </x:c>
    </x:row>
    <x:row r="191" ht="66" customHeight="1">
      <x:c r="A191" s="28" t="str">
        <x:v>VEG-0267</x:v>
      </x:c>
      <x:c r="B191" s="28" t="str">
        <x:v>грибы</x:v>
      </x:c>
      <x:c r="C191" s="28" t="str">
        <x:v>чоризо</x:v>
      </x:c>
      <x:c r="D191" s="28" t="str">
        <x:v>Прочее</x:v>
      </x:c>
      <x:c r="E191" s="28" t="str">
        <x:v>сенсорная комплементарность</x:v>
      </x:c>
      <x:c r="F191" s="28" t="str">
        <x:v>Грибы имеет профиль «землистый, лесной, жареный, мясной и слегка сернистый».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1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91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91" s="28" t="str">
        <x:v>горячее блюдо, бульон, соус, пюре, ферментация или гарнир с чоризо</x:v>
      </x:c>
      <x:c r="J191" s="28" t="str">
        <x:v>Средняя</x:v>
      </x:c>
      <x:c r="K191" s="28" t="str">
        <x:v>The Art &amp; Science of Foodpairing.pdf</x:v>
      </x:c>
      <x:c r="L191" s="28" t="str">
        <x:v>The Art &amp; Science of Foodpairing.pdf: 288</x:v>
      </x:c>
    </x:row>
    <x:row r="192" ht="66" customHeight="1">
      <x:c r="A192" s="28" t="str">
        <x:v>VEG-0268</x:v>
      </x:c>
      <x:c r="B192" s="28" t="str">
        <x:v>грибы</x:v>
      </x:c>
      <x:c r="C192" s="28" t="str">
        <x:v>яйца</x:v>
      </x:c>
      <x:c r="D192" s="28" t="str">
        <x:v>Прочее</x:v>
      </x:c>
      <x:c r="E192" s="28" t="str">
        <x:v>сенсорная комплементарность</x:v>
      </x:c>
      <x:c r="F192" s="28" t="str">
        <x:v>Грибы имеет профиль «землистый, лесной, жареный, мясной и слегка сернистый».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2" s="28" t="str">
        <x:v>обжарка удаляет воду и усиливает жареные и мясные ноты; сушка концентрирует умами. Сначала испарить свободную воду, затем добавлять жир для обжаривания.</x:v>
      </x:c>
      <x:c r="H19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I192" s="28" t="str">
        <x:v>горячее блюдо, бульон, соус, пюре, ферментация или гарнир с яйца</x:v>
      </x:c>
      <x:c r="J192" s="28" t="str">
        <x:v>Средняя</x:v>
      </x:c>
      <x:c r="K192" s="28" t="str">
        <x:v>Тезариус вкусов (Ники Сегнит)(1).pdf</x:v>
      </x:c>
      <x:c r="L192" s="28" t="str">
        <x:v>Тезариус вкусов (Ники Сегнит)(1).pdf: 207, 352</x:v>
      </x:c>
    </x:row>
    <x:row r="193" ht="66" customHeight="1">
      <x:c r="A193" s="28" t="str">
        <x:v>VEG-0269</x:v>
      </x:c>
      <x:c r="B193" s="28" t="str">
        <x:v>зелёная фасоль</x:v>
      </x:c>
      <x:c r="C193" s="28" t="str">
        <x:v>базилик</x:v>
      </x:c>
      <x:c r="D193" s="28" t="str">
        <x:v>Травы, цветы и листья</x:v>
      </x:c>
      <x:c r="E193" s="28" t="str">
        <x:v>пересечение ароматических семейств</x:v>
      </x:c>
      <x:c r="F193" s="28" t="str">
        <x:v>Зелёная фасоль имеет профиль «зелёный, травянистый, бобовый и слегка ореховый». Партнёр «базилик» относится к группе «Травы, цветы и листья» и даёт зелёный, пряный, цветочный. Профили пересекаются в семействах: зелёный. Зелёные альдегиды и терпены дают свежий верхний слой, который компенсирует крахмалистость, землистость или сернистость основы.</x:v>
      </x:c>
      <x:c r="G193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3" s="28" t="str">
        <x:v>недоготовленная груба, переваренная водяниста; использовать пищевые сорта после достаточной тепловой обработки; длительный нагрев уносит свежие терпены и зелёные альдегиды</x:v>
      </x:c>
      <x:c r="I193" s="28" t="str">
        <x:v>салат, гарнир, суп, соус, маринад, ферментация или напиток с базилик</x:v>
      </x:c>
      <x:c r="J193" s="28" t="str">
        <x:v>Средняя</x:v>
      </x:c>
      <x:c r="K193" s="28" t="str">
        <x:v>The Art &amp; Science of Foodpairing.pdf</x:v>
      </x:c>
      <x:c r="L193" s="28" t="str">
        <x:v>The Art &amp; Science of Foodpairing.pdf: 74</x:v>
      </x:c>
    </x:row>
    <x:row r="194" ht="66" customHeight="1">
      <x:c r="A194" s="28" t="str">
        <x:v>VEG-0270</x:v>
      </x:c>
      <x:c r="B194" s="28" t="str">
        <x:v>зелёная фасоль</x:v>
      </x:c>
      <x:c r="C194" s="28" t="str">
        <x:v>бальзамический уксус</x:v>
      </x:c>
      <x:c r="D194" s="28" t="str">
        <x:v>Ферментированные продукты и соусы</x:v>
      </x:c>
      <x:c r="E194" s="28" t="str">
        <x:v>умами и солёный контраст</x:v>
      </x:c>
      <x:c r="F194" s="28" t="str">
        <x:v>Зелёная фасоль имеет профиль «зелёный, травянистый, бобовый и слегка ореховый».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194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4" s="28" t="str">
        <x:v>недоготовленная груба, переваренная водяниста; использовать пищевые сорта после достаточной тепловой обработки</x:v>
      </x:c>
      <x:c r="I194" s="28" t="str">
        <x:v>салат, гарнир, суп, соус, маринад, ферментация или напиток с бальзамический уксус</x:v>
      </x:c>
      <x:c r="J194" s="28" t="str">
        <x:v>Высокая</x:v>
      </x:c>
      <x:c r="K194" s="28" t="str">
        <x:v>The Art &amp; Science of Foodpairing.pdf</x:v>
      </x:c>
      <x:c r="L194" s="28" t="str">
        <x:v>The Art &amp; Science of Foodpairing.pdf: 317</x:v>
      </x:c>
    </x:row>
    <x:row r="195" ht="66" customHeight="1">
      <x:c r="A195" s="28" t="str">
        <x:v>VEG-0271</x:v>
      </x:c>
      <x:c r="B195" s="28" t="str">
        <x:v>зелёная фасоль</x:v>
      </x:c>
      <x:c r="C195" s="28" t="str">
        <x:v>дыня</x:v>
      </x:c>
      <x:c r="D195" s="28" t="str">
        <x:v>Фрукты и ягоды</x:v>
      </x:c>
      <x:c r="E195" s="28" t="str">
        <x:v>кислотно-сладкий баланс</x:v>
      </x:c>
      <x:c r="F195" s="28" t="str">
        <x:v>Зелёная фасоль имеет профиль «зелёный, травянистый, бобовый и слегка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195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5" s="28" t="str">
        <x:v>недоготовленная груба, переваренная водяниста; использовать пищевые сорта после достаточной тепловой обработки; избыток кислоты или воды может сделать овощной вкус тонким и разрушить сливочную эмульсию</x:v>
      </x:c>
      <x:c r="I195" s="28" t="str">
        <x:v>салат, гарнир, суп, соус, маринад, ферментация или напиток с дыня</x:v>
      </x:c>
      <x:c r="J195" s="28" t="str">
        <x:v>Средняя</x:v>
      </x:c>
      <x:c r="K195" s="28" t="str">
        <x:v>The Art &amp; Science of Foodpairing.pdf</x:v>
      </x:c>
      <x:c r="L195" s="28" t="str">
        <x:v>The Art &amp; Science of Foodpairing.pdf: 320</x:v>
      </x:c>
    </x:row>
    <x:row r="196" ht="66" customHeight="1">
      <x:c r="A196" s="28" t="str">
        <x:v>VEG-0272</x:v>
      </x:c>
      <x:c r="B196" s="28" t="str">
        <x:v>зелёная фасоль</x:v>
      </x:c>
      <x:c r="C196" s="28" t="str">
        <x:v>мацутакэ</x:v>
      </x:c>
      <x:c r="D196" s="28" t="str">
        <x:v>Прочее</x:v>
      </x:c>
      <x:c r="E196" s="28" t="str">
        <x:v>сенсорная комплементарность</x:v>
      </x:c>
      <x:c r="F196" s="28" t="str">
        <x:v>Зелёная фасоль имеет профиль «зелёный, травянистый, бобовый и слегка ореховый». Партнёр «мацутакэ»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6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6" s="28" t="str">
        <x:v>недоготовленная груба, переваренная водяниста; использовать пищевые сорта после достаточной тепловой обработки</x:v>
      </x:c>
      <x:c r="I196" s="28" t="str">
        <x:v>салат, гарнир, суп, соус, маринад, ферментация или напиток с мацутакэ</x:v>
      </x:c>
      <x:c r="J196" s="28" t="str">
        <x:v>Средняя</x:v>
      </x:c>
      <x:c r="K196" s="28" t="str">
        <x:v>The Art &amp; Science of Foodpairing.pdf</x:v>
      </x:c>
      <x:c r="L196" s="28" t="str">
        <x:v>The Art &amp; Science of Foodpairing.pdf: 320</x:v>
      </x:c>
    </x:row>
    <x:row r="197" ht="66" customHeight="1">
      <x:c r="A197" s="28" t="str">
        <x:v>VEG-0273</x:v>
      </x:c>
      <x:c r="B197" s="28" t="str">
        <x:v>зелёная фасоль</x:v>
      </x:c>
      <x:c r="C197" s="28" t="str">
        <x:v>оливковое масло</x:v>
      </x:c>
      <x:c r="D197" s="28" t="str">
        <x:v>Масла и жиры</x:v>
      </x:c>
      <x:c r="E197" s="28" t="str">
        <x:v>жировая матрица</x:v>
      </x:c>
      <x:c r="F197" s="28" t="str">
        <x:v>Зелёная фасоль имеет профиль «зелёный, травянистый, бобовый и слегка ореховый». Партнёр «оливковое масло»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97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7" s="28" t="str">
        <x:v>недоготовленная груба, переваренная водяниста; использовать пищевые сорта после достаточной тепловой обработки; жир способен приглушить свежую зелёную ароматику</x:v>
      </x:c>
      <x:c r="I197" s="28" t="str">
        <x:v>салат, гарнир, суп, соус, маринад, ферментация или напиток с оливковое масло</x:v>
      </x:c>
      <x:c r="J197" s="28" t="str">
        <x:v>Средняя</x:v>
      </x:c>
      <x:c r="K197" s="28" t="str">
        <x:v>The Art &amp; Science of Foodpairing.pdf</x:v>
      </x:c>
      <x:c r="L197" s="28" t="str">
        <x:v>The Art &amp; Science of Foodpairing.pdf: 320</x:v>
      </x:c>
    </x:row>
    <x:row r="198" ht="66" customHeight="1">
      <x:c r="A198" s="28" t="str">
        <x:v>VEG-0274</x:v>
      </x:c>
      <x:c r="B198" s="28" t="str">
        <x:v>зелёная фасоль</x:v>
      </x:c>
      <x:c r="C198" s="28" t="str">
        <x:v>оливковое масло пикваль</x:v>
      </x:c>
      <x:c r="D198" s="28" t="str">
        <x:v>Масла и жиры</x:v>
      </x:c>
      <x:c r="E198" s="28" t="str">
        <x:v>жировая матрица</x:v>
      </x:c>
      <x:c r="F198" s="28" t="str">
        <x:v>Зелёная фасоль имеет профиль «зелёный, травянистый, бобовый и слегка ореховый».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198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8" s="28" t="str">
        <x:v>недоготовленная груба, переваренная водяниста; использовать пищевые сорта после достаточной тепловой обработки; жир способен приглушить свежую зелёную ароматику</x:v>
      </x:c>
      <x:c r="I198" s="28" t="str">
        <x:v>салат, гарнир, суп, соус, маринад, ферментация или напиток с оливковое масло пикваль</x:v>
      </x:c>
      <x:c r="J198" s="28" t="str">
        <x:v>Средняя</x:v>
      </x:c>
      <x:c r="K198" s="28" t="str">
        <x:v>The Art &amp; Science of Foodpairing.pdf</x:v>
      </x:c>
      <x:c r="L198" s="28" t="str">
        <x:v>The Art &amp; Science of Foodpairing.pdf: 320</x:v>
      </x:c>
    </x:row>
    <x:row r="199" ht="66" customHeight="1">
      <x:c r="A199" s="28" t="str">
        <x:v>VEG-0275</x:v>
      </x:c>
      <x:c r="B199" s="28" t="str">
        <x:v>зелёная фасоль</x:v>
      </x:c>
      <x:c r="C199" s="28" t="str">
        <x:v>пармезан</x:v>
      </x:c>
      <x:c r="D199" s="28" t="str">
        <x:v>Прочее</x:v>
      </x:c>
      <x:c r="E199" s="28" t="str">
        <x:v>сенсорная комплементарность</x:v>
      </x:c>
      <x:c r="F199" s="28" t="str">
        <x:v>Зелёная фасоль имеет профиль «зелёный, травянистый, бобовый и слегка ореховый». Партнёр «пармезан»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199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199" s="28" t="str">
        <x:v>недоготовленная груба, переваренная водяниста; использовать пищевые сорта после достаточной тепловой обработки</x:v>
      </x:c>
      <x:c r="I199" s="28" t="str">
        <x:v>салат, гарнир, суп, соус, маринад, ферментация или напиток с пармезан</x:v>
      </x:c>
      <x:c r="J199" s="28" t="str">
        <x:v>Средняя</x:v>
      </x:c>
      <x:c r="K199" s="28" t="str">
        <x:v>The Art &amp; Science of Foodpairing.pdf</x:v>
      </x:c>
      <x:c r="L199" s="28" t="str">
        <x:v>The Art &amp; Science of Foodpairing.pdf: 282</x:v>
      </x:c>
    </x:row>
    <x:row r="200" ht="66" customHeight="1">
      <x:c r="A200" s="28" t="str">
        <x:v>VEG-0276</x:v>
      </x:c>
      <x:c r="B200" s="28" t="str">
        <x:v>зелёная фасоль</x:v>
      </x:c>
      <x:c r="C200" s="28" t="str">
        <x:v>фундук</x:v>
      </x:c>
      <x:c r="D200" s="28" t="str">
        <x:v>Орехи и семена</x:v>
      </x:c>
      <x:c r="E200" s="28" t="str">
        <x:v>пересечение ароматических семейств</x:v>
      </x:c>
      <x:c r="F200" s="28" t="str">
        <x:v>Зелёная фасоль имеет профиль «зелёный, травянистый, бобовый и слегка ореховый». Партнёр «фундук» относится к группе «Орехи и семена» и даёт жареный, какаовый, ореховый. Профили пересекаются в семействах: ореховый. Обжаренные партнёры добавляют пиразины и фураны; это особенно эффективно после запекания, гриля или карамелизации овоща.</x:v>
      </x:c>
      <x:c r="G200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00" s="28" t="str">
        <x:v>недоготовленная груба, переваренная водяниста; использовать пищевые сорта после достаточной тепловой обработки</x:v>
      </x:c>
      <x:c r="I200" s="28" t="str">
        <x:v>салат, гарнир, суп, соус, маринад, ферментация или напиток с фундук</x:v>
      </x:c>
      <x:c r="J200" s="28" t="str">
        <x:v>Средняя</x:v>
      </x:c>
      <x:c r="K200" s="28" t="str">
        <x:v>The Art &amp; Science of Foodpairing.pdf</x:v>
      </x:c>
      <x:c r="L200" s="28" t="str">
        <x:v>The Art &amp; Science of Foodpairing.pdf: 332</x:v>
      </x:c>
    </x:row>
    <x:row r="201" ht="66" customHeight="1">
      <x:c r="A201" s="28" t="str">
        <x:v>VEG-0277</x:v>
      </x:c>
      <x:c r="B201" s="28" t="str">
        <x:v>зелёная фасоль</x:v>
      </x:c>
      <x:c r="C201" s="28" t="str">
        <x:v>хлеб на закваске</x:v>
      </x:c>
      <x:c r="D201" s="28" t="str">
        <x:v>Выпечка, крупы, сахара и десерты</x:v>
      </x:c>
      <x:c r="E201" s="28" t="str">
        <x:v>сенсорная комплементарность</x:v>
      </x:c>
      <x:c r="F201" s="28" t="str">
        <x:v>Зелёная фасоль имеет профиль «зелёный, травянистый, бобовый и слегка ореховый». Партнёр «хлеб на закваске» относится к группе «Выпечка, крупы, сахара и десерты» и даёт жареный, зерновой.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201" s="28" t="str">
        <x:v>бланширование сохраняет хруст; жарка добавляет ореховые ноты. Для свежего профиля работать холодно или применять короткую тепловую обработку.</x:v>
      </x:c>
      <x:c r="H201" s="28" t="str">
        <x:v>недоготовленная груба, переваренная водяниста; использовать пищевые сорта после достаточной тепловой обработки</x:v>
      </x:c>
      <x:c r="I201" s="28" t="str">
        <x:v>салат, гарнир, суп, соус, маринад, ферментация или напиток с хлеб на закваске</x:v>
      </x:c>
      <x:c r="J201" s="28" t="str">
        <x:v>Высокая</x:v>
      </x:c>
      <x:c r="K201" s="28" t="str">
        <x:v>The Art &amp; Science of Foodpairing.pdf</x:v>
      </x:c>
      <x:c r="L201" s="28" t="str">
        <x:v>The Art &amp; Science of Foodpairing.pdf: 321</x:v>
      </x:c>
    </x:row>
    <x:row r="202" ht="66" customHeight="1">
      <x:c r="A202" s="28" t="str">
        <x:v>VEG-0282</x:v>
      </x:c>
      <x:c r="B202" s="28" t="str">
        <x:v>капуста</x:v>
      </x:c>
      <x:c r="C202" s="28" t="str">
        <x:v>арбуз</x:v>
      </x:c>
      <x:c r="D202" s="28" t="str">
        <x:v>Прочее</x:v>
      </x:c>
      <x:c r="E202" s="28" t="str">
        <x:v>сернистая или горчичная комплементарность</x:v>
      </x:c>
      <x:c r="F202" s="28" t="str">
        <x:v>Капуста имеет профиль «зелёный, горчичный, сернистый и сладковатый после приготовления».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2" s="28" t="str">
        <x:v>не переваривать; красная капуста меняет цвет с pH; сернистые ноты могут конфликтовать с тонкими цветами</x:v>
      </x:c>
      <x:c r="I202" s="28" t="str">
        <x:v>горячее блюдо, бульон, соус, пюре, ферментация или гарнир с арбуз</x:v>
      </x:c>
      <x:c r="J202" s="28" t="str">
        <x:v>Средняя</x:v>
      </x:c>
      <x:c r="K202" s="28" t="str">
        <x:v>The Art &amp; Science of Foodpairing.pdf</x:v>
      </x:c>
      <x:c r="L202" s="28" t="str">
        <x:v>The Art &amp; Science of Foodpairing.pdf: 78</x:v>
      </x:c>
    </x:row>
    <x:row r="203" ht="66" customHeight="1">
      <x:c r="A203" s="28" t="str">
        <x:v>VEG-0283</x:v>
      </x:c>
      <x:c r="B203" s="28" t="str">
        <x:v>капуста</x:v>
      </x:c>
      <x:c r="C203" s="28" t="str">
        <x:v>баранина</x:v>
      </x:c>
      <x:c r="D203" s="28" t="str">
        <x:v>Мясо и птица</x:v>
      </x:c>
      <x:c r="E203" s="28" t="str">
        <x:v>умами и солёный контраст; сернистая или горчичная комплементарность</x:v>
      </x:c>
      <x:c r="F203" s="28" t="str">
        <x:v>Капуста имеет профиль «зелёный, горчичный, сернистый и сладковатый после приготовления».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3" s="28" t="str">
        <x:v>не переваривать; красная капуста меняет цвет с pH; сернистые ноты могут конфликтовать с тонкими цветами</x:v>
      </x:c>
      <x:c r="I203" s="28" t="str">
        <x:v>горячее блюдо, бульон, соус, пюре, ферментация или гарнир с баранина</x:v>
      </x:c>
      <x:c r="J203" s="28" t="str">
        <x:v>Средняя</x:v>
      </x:c>
      <x:c r="K203" s="28" t="str">
        <x:v>Тезариус вкусов (Ники Сегнит)(1).pdf</x:v>
      </x:c>
      <x:c r="L203" s="28" t="str">
        <x:v>Тезариус вкусов (Ники Сегнит)(1).pdf: 129, 309</x:v>
      </x:c>
    </x:row>
    <x:row r="204" ht="66" customHeight="1">
      <x:c r="A204" s="28" t="str">
        <x:v>VEG-0284</x:v>
      </x:c>
      <x:c r="B204" s="28" t="str">
        <x:v>капуста</x:v>
      </x:c>
      <x:c r="C204" s="28" t="str">
        <x:v>бекон</x:v>
      </x:c>
      <x:c r="D204" s="28" t="str">
        <x:v>Мясо и птица</x:v>
      </x:c>
      <x:c r="E204" s="28" t="str">
        <x:v>умами и солёный контраст; сернистая или горчичная комплементарность</x:v>
      </x:c>
      <x:c r="F204" s="28" t="str">
        <x:v>Капуста имеет профиль «зелёный, горчичный, сернистый и сладковатый после приготовления».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4" s="28" t="str">
        <x:v>не переваривать; красная капуста меняет цвет с pH; сернистые ноты могут конфликтовать с тонкими цветами</x:v>
      </x:c>
      <x:c r="I204" s="28" t="str">
        <x:v>горячее блюдо, бульон, соус, пюре, ферментация или гарнир с бекон</x:v>
      </x:c>
      <x:c r="J204" s="28" t="str">
        <x:v>Средняя</x:v>
      </x:c>
      <x:c r="K204" s="28" t="str">
        <x:v>Тезариус вкусов (Ники Сегнит)(1).pdf</x:v>
      </x:c>
      <x:c r="L204" s="28" t="str">
        <x:v>Тезариус вкусов (Ники Сегнит)(1).pdf: 309, 445</x:v>
      </x:c>
    </x:row>
    <x:row r="205" ht="66" customHeight="1">
      <x:c r="A205" s="28" t="str">
        <x:v>VEG-0285</x:v>
      </x:c>
      <x:c r="B205" s="28" t="str">
        <x:v>капуста</x:v>
      </x:c>
      <x:c r="C205" s="28" t="str">
        <x:v>бри и камамбер</x:v>
      </x:c>
      <x:c r="D205" s="28" t="str">
        <x:v>Прочее</x:v>
      </x:c>
      <x:c r="E205" s="28" t="str">
        <x:v>сернистая или горчичная комплементарность</x:v>
      </x:c>
      <x:c r="F205" s="28" t="str">
        <x:v>Капуста имеет профиль «зелёный, горчичный, сернистый и сладковатый после приготовления». Партнёр «бри и камамбер»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5" s="28" t="str">
        <x:v>не переваривать; красная капуста меняет цвет с pH; сернистые ноты могут конфликтовать с тонкими цветами</x:v>
      </x:c>
      <x:c r="I205" s="28" t="str">
        <x:v>горячее блюдо, бульон, соус, пюре, ферментация или гарнир с бри и камамбер</x:v>
      </x:c>
      <x:c r="J205" s="28" t="str">
        <x:v>Средняя</x:v>
      </x:c>
      <x:c r="K205" s="28" t="str">
        <x:v>The Art &amp; Science of Foodpairing.pdf</x:v>
      </x:c>
      <x:c r="L205" s="28" t="str">
        <x:v>The Art &amp; Science of Foodpairing.pdf: 336</x:v>
      </x:c>
    </x:row>
    <x:row r="206" ht="66" customHeight="1">
      <x:c r="A206" s="28" t="str">
        <x:v>VEG-0286</x:v>
      </x:c>
      <x:c r="B206" s="28" t="str">
        <x:v>капуста</x:v>
      </x:c>
      <x:c r="C206" s="28" t="str">
        <x:v>говядина</x:v>
      </x:c>
      <x:c r="D206" s="28" t="str">
        <x:v>Мясо и птица</x:v>
      </x:c>
      <x:c r="E206" s="28" t="str">
        <x:v>умами и солёный контраст; сернистая или горчичная комплементарность</x:v>
      </x:c>
      <x:c r="F206" s="28" t="str">
        <x:v>Капуста имеет профиль «зелёный, горчичный, сернистый и сладковатый после приготовления».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6" s="28" t="str">
        <x:v>не переваривать; красная капуста меняет цвет с pH; сернистые ноты могут конфликтовать с тонкими цветами</x:v>
      </x:c>
      <x:c r="I206" s="28" t="str">
        <x:v>горячее блюдо, бульон, соус, пюре, ферментация или гарнир с говядина</x:v>
      </x:c>
      <x:c r="J206" s="28" t="str">
        <x:v>Средняя</x:v>
      </x:c>
      <x:c r="K206" s="28" t="str">
        <x:v>Тезариус вкусов (Ники Сегнит)(1).pdf</x:v>
      </x:c>
      <x:c r="L206" s="28" t="str">
        <x:v>Тезариус вкусов (Ники Сегнит)(1).pdf: 111, 311</x:v>
      </x:c>
    </x:row>
    <x:row r="207" ht="66" customHeight="1">
      <x:c r="A207" s="28" t="str">
        <x:v>VEG-0287</x:v>
      </x:c>
      <x:c r="B207" s="28" t="str">
        <x:v>капуста</x:v>
      </x:c>
      <x:c r="C207" s="28" t="str">
        <x:v>голубой сыр</x:v>
      </x:c>
      <x:c r="D207" s="28" t="str">
        <x:v>Молочные продукты и сыры</x:v>
      </x:c>
      <x:c r="E207" s="28" t="str">
        <x:v>жировая матрица; сернистая или горчичная комплементарность</x:v>
      </x:c>
      <x:c r="F207" s="28" t="str">
        <x:v>Капуста имеет профиль «зелёный, горчичный, сернистый и сладковатый после приготовления». Партнёр «голубой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7" s="28" t="str">
        <x:v>не переваривать; красная капуста меняет цвет с pH; сернистые ноты могут конфликтовать с тонкими цветами; жир способен приглушить свежую зелёную ароматику</x:v>
      </x:c>
      <x:c r="I207" s="28" t="str">
        <x:v>горячее блюдо, бульон, соус, пюре, ферментация или гарнир с голубой сыр</x:v>
      </x:c>
      <x:c r="J207" s="28" t="str">
        <x:v>Высокая</x:v>
      </x:c>
      <x:c r="K207" s="28" t="str">
        <x:v>The Art &amp; Science of Foodpairing.pdf | Тезариус вкусов (Ники Сегнит)(1).pdf</x:v>
      </x:c>
      <x:c r="L207" s="28" t="str">
        <x:v>Тезариус вкусов (Ники Сегнит)(1).pdf: 159, 311; The Art &amp; Science of Foodpairing.pdf: 164</x:v>
      </x:c>
    </x:row>
    <x:row r="208" ht="66" customHeight="1">
      <x:c r="A208" s="28" t="str">
        <x:v>VEG-0288</x:v>
      </x:c>
      <x:c r="B208" s="28" t="str">
        <x:v>капуста</x:v>
      </x:c>
      <x:c r="C208" s="28" t="str">
        <x:v>доенджан и кочуджан</x:v>
      </x:c>
      <x:c r="D208" s="28" t="str">
        <x:v>Прочее</x:v>
      </x:c>
      <x:c r="E208" s="28" t="str">
        <x:v>сернистая или горчичная комплементарность</x:v>
      </x:c>
      <x:c r="F208" s="28" t="str">
        <x:v>Капуста имеет профиль «зелёный, горчичный, сернистый и сладковатый после приготовления». Партнёр «доенджан и кочуджан»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8" s="28" t="str">
        <x:v>не переваривать; красная капуста меняет цвет с pH; сернистые ноты могут конфликтовать с тонкими цветами</x:v>
      </x:c>
      <x:c r="I208" s="28" t="str">
        <x:v>горячее блюдо, бульон, соус, пюре, ферментация или гарнир с доенджан и кочуджан</x:v>
      </x:c>
      <x:c r="J208" s="28" t="str">
        <x:v>Средняя</x:v>
      </x:c>
      <x:c r="K208" s="28" t="str">
        <x:v>The Art &amp; Science of Foodpairing.pdf</x:v>
      </x:c>
      <x:c r="L208" s="28" t="str">
        <x:v>The Art &amp; Science of Foodpairing.pdf: 246</x:v>
      </x:c>
    </x:row>
    <x:row r="209" ht="66" customHeight="1">
      <x:c r="A209" s="28" t="str">
        <x:v>VEG-0289</x:v>
      </x:c>
      <x:c r="B209" s="28" t="str">
        <x:v>капуста</x:v>
      </x:c>
      <x:c r="C209" s="28" t="str">
        <x:v>имбирь</x:v>
      </x:c>
      <x:c r="D209" s="28" t="str">
        <x:v>Специи</x:v>
      </x:c>
      <x:c r="E209" s="28" t="str">
        <x:v>сернистая или горчичная комплементарность</x:v>
      </x:c>
      <x:c r="F209" s="28" t="str">
        <x:v>Капуста имеет профиль «зелёный, горчичный, сернистый и сладковатый после приготовления».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0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09" s="28" t="str">
        <x:v>не переваривать; красная капуста меняет цвет с pH; сернистые ноты могут конфликтовать с тонкими цветами</x:v>
      </x:c>
      <x:c r="I209" s="28" t="str">
        <x:v>горячее блюдо, бульон, соус, пюре, ферментация или гарнир с имбирь</x:v>
      </x:c>
      <x:c r="J209" s="28" t="str">
        <x:v>Высокая</x:v>
      </x:c>
      <x:c r="K209" s="28" t="str">
        <x:v>The Art &amp; Science of Foodpairing.pdf | Тезариус вкусов (Ники Сегнит)(1).pdf</x:v>
      </x:c>
      <x:c r="L209" s="28" t="str">
        <x:v>Тезариус вкусов (Ники Сегнит)(1).pdf: 311, 815; The Art &amp; Science of Foodpairing.pdf: 142</x:v>
      </x:c>
    </x:row>
    <x:row r="210" ht="66" customHeight="1">
      <x:c r="A210" s="28" t="str">
        <x:v>VEG-0290</x:v>
      </x:c>
      <x:c r="B210" s="28" t="str">
        <x:v>капуста</x:v>
      </x:c>
      <x:c r="C210" s="28" t="str">
        <x:v>каштаны</x:v>
      </x:c>
      <x:c r="D210" s="28" t="str">
        <x:v>Орехи и семена</x:v>
      </x:c>
      <x:c r="E210" s="28" t="str">
        <x:v>сернистая или горчичная комплементарность</x:v>
      </x:c>
      <x:c r="F210" s="28" t="str">
        <x:v>Капуста имеет профиль «зелёный, горчичный, сернистый и сладковатый после приготовления». Партнёр «каштаны»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0" s="28" t="str">
        <x:v>не переваривать; красная капуста меняет цвет с pH; сернистые ноты могут конфликтовать с тонкими цветами</x:v>
      </x:c>
      <x:c r="I210" s="28" t="str">
        <x:v>горячее блюдо, бульон, соус, пюре, ферментация или гарнир с каштаны</x:v>
      </x:c>
      <x:c r="J210" s="28" t="str">
        <x:v>Средняя</x:v>
      </x:c>
      <x:c r="K210" s="28" t="str">
        <x:v>Тезариус вкусов (Ники Сегнит)(1).pdf</x:v>
      </x:c>
      <x:c r="L210" s="28" t="str">
        <x:v>Тезариус вкусов (Ники Сегнит)(1).pdf: 311, 617</x:v>
      </x:c>
    </x:row>
    <x:row r="211" ht="66" customHeight="1">
      <x:c r="A211" s="28" t="str">
        <x:v>VEG-0291</x:v>
      </x:c>
      <x:c r="B211" s="28" t="str">
        <x:v>капуста</x:v>
      </x:c>
      <x:c r="C211" s="28" t="str">
        <x:v>кимчи</x:v>
      </x:c>
      <x:c r="D211" s="28" t="str">
        <x:v>Ферментированные продукты и соусы</x:v>
      </x:c>
      <x:c r="E211" s="28" t="str">
        <x:v>умами и солёный контраст; сернистая или горчичная комплементарность</x:v>
      </x:c>
      <x:c r="F211" s="28" t="str">
        <x:v>Капуста имеет профиль «зелёный, горчичный, сернистый и сладковатый после приготовления».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1" s="28" t="str">
        <x:v>не переваривать; красная капуста меняет цвет с pH; сернистые ноты могут конфликтовать с тонкими цветами</x:v>
      </x:c>
      <x:c r="I211" s="28" t="str">
        <x:v>горячее блюдо, бульон, соус, пюре, ферментация или гарнир с кимчи</x:v>
      </x:c>
      <x:c r="J211" s="28" t="str">
        <x:v>Средняя</x:v>
      </x:c>
      <x:c r="K211" s="28" t="str">
        <x:v>The Art &amp; Science of Foodpairing.pdf</x:v>
      </x:c>
      <x:c r="L211" s="28" t="str">
        <x:v>The Art &amp; Science of Foodpairing.pdf: 305</x:v>
      </x:c>
    </x:row>
    <x:row r="212" ht="66" customHeight="1">
      <x:c r="A212" s="28" t="str">
        <x:v>VEG-0292</x:v>
      </x:c>
      <x:c r="B212" s="28" t="str">
        <x:v>капуста</x:v>
      </x:c>
      <x:c r="C212" s="28" t="str">
        <x:v>копченая рыба</x:v>
      </x:c>
      <x:c r="D212" s="28" t="str">
        <x:v>Рыба и морепродукты</x:v>
      </x:c>
      <x:c r="E212" s="28" t="str">
        <x:v>умами и солёный контраст; сернистая или горчичная комплементарность</x:v>
      </x:c>
      <x:c r="F212" s="28" t="str">
        <x:v>Капуста имеет профиль «зелёный, горчичный, сернистый и сладковатый после приготовления».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2" s="28" t="str">
        <x:v>не переваривать; красная капуста меняет цвет с pH; сернистые ноты могут конфликтовать с тонкими цветами</x:v>
      </x:c>
      <x:c r="I212" s="28" t="str">
        <x:v>горячее блюдо, бульон, соус, пюре, ферментация или гарнир с копченая рыба</x:v>
      </x:c>
      <x:c r="J212" s="28" t="str">
        <x:v>Средняя</x:v>
      </x:c>
      <x:c r="K212" s="28" t="str">
        <x:v>Тезариус вкусов (Ники Сегнит)(1).pdf</x:v>
      </x:c>
      <x:c r="L212" s="28" t="str">
        <x:v>Тезариус вкусов (Ники Сегнит)(1).pdf: 311, 435</x:v>
      </x:c>
    </x:row>
    <x:row r="213" ht="66" customHeight="1">
      <x:c r="A213" s="28" t="str">
        <x:v>VEG-0293</x:v>
      </x:c>
      <x:c r="B213" s="28" t="str">
        <x:v>капуста</x:v>
      </x:c>
      <x:c r="C213" s="28" t="str">
        <x:v>корица и кассия</x:v>
      </x:c>
      <x:c r="D213" s="28" t="str">
        <x:v>Специи</x:v>
      </x:c>
      <x:c r="E213" s="28" t="str">
        <x:v>сернистая или горчичная комплементарность</x:v>
      </x:c>
      <x:c r="F213" s="28" t="str">
        <x:v>Капуста имеет профиль «зелёный, горчичный, сернистый и сладковатый после приготовления». Партнёр «корица и кассия»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3" s="28" t="str">
        <x:v>не переваривать; красная капуста меняет цвет с pH; сернистые ноты могут конфликтовать с тонкими цветами</x:v>
      </x:c>
      <x:c r="I213" s="28" t="str">
        <x:v>горячее блюдо, бульон, соус, пюре, ферментация или гарнир с корица и кассия</x:v>
      </x:c>
      <x:c r="J213" s="28" t="str">
        <x:v>Средняя</x:v>
      </x:c>
      <x:c r="K213" s="28" t="str">
        <x:v>The Art &amp; Science of Foodpairing.pdf</x:v>
      </x:c>
      <x:c r="L213" s="28" t="str">
        <x:v>The Art &amp; Science of Foodpairing.pdf: 130</x:v>
      </x:c>
    </x:row>
    <x:row r="214" ht="66" customHeight="1">
      <x:c r="A214" s="28" t="str">
        <x:v>VEG-0294</x:v>
      </x:c>
      <x:c r="B214" s="28" t="str">
        <x:v>капуста</x:v>
      </x:c>
      <x:c r="C214" s="28" t="str">
        <x:v>кунжут</x:v>
      </x:c>
      <x:c r="D214" s="28" t="str">
        <x:v>Орехи и семена</x:v>
      </x:c>
      <x:c r="E214" s="28" t="str">
        <x:v>сернистая или горчичная комплементарность</x:v>
      </x:c>
      <x:c r="F214" s="28" t="str">
        <x:v>Капуста имеет профиль «зелёный, горчичный, сернистый и сладковатый после приготовления». Партнёр «кунжут»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4" s="28" t="str">
        <x:v>не переваривать; красная капуста меняет цвет с pH; сернистые ноты могут конфликтовать с тонкими цветами</x:v>
      </x:c>
      <x:c r="I214" s="28" t="str">
        <x:v>горячее блюдо, бульон, соус, пюре, ферментация или гарнир с кунжут</x:v>
      </x:c>
      <x:c r="J214" s="28" t="str">
        <x:v>Высокая</x:v>
      </x:c>
      <x:c r="K214" s="28" t="str">
        <x:v>The Art &amp; Science of Foodpairing.pdf</x:v>
      </x:c>
      <x:c r="L214" s="28" t="str">
        <x:v>The Art &amp; Science of Foodpairing.pdf: 308</x:v>
      </x:c>
    </x:row>
    <x:row r="215" ht="66" customHeight="1">
      <x:c r="A215" s="28" t="str">
        <x:v>VEG-0295</x:v>
      </x:c>
      <x:c r="B215" s="28" t="str">
        <x:v>капуста</x:v>
      </x:c>
      <x:c r="C215" s="28" t="str">
        <x:v>кунжут, халва и тахини</x:v>
      </x:c>
      <x:c r="D215" s="28" t="str">
        <x:v>Орехи и семена</x:v>
      </x:c>
      <x:c r="E215" s="28" t="str">
        <x:v>сернистая или горчичная комплементарность</x:v>
      </x:c>
      <x:c r="F215" s="28" t="str">
        <x:v>Капуста имеет профиль «зелёный, горчичный, сернистый и сладковатый после приготовления». Партнёр «кунжут, халва и тахини» относится к группе «Орехи и семена» и даёт ореховый, жареный и жирный.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5" s="28" t="str">
        <x:v>не переваривать; красная капуста меняет цвет с pH; сернистые ноты могут конфликтовать с тонкими цветами</x:v>
      </x:c>
      <x:c r="I215" s="28" t="str">
        <x:v>горячее блюдо, бульон, соус, пюре, ферментация или гарнир с кунжут, халва и тахини</x:v>
      </x:c>
      <x:c r="J215" s="28" t="str">
        <x:v>Средняя</x:v>
      </x:c>
      <x:c r="K215" s="28" t="str">
        <x:v>The Art &amp; Science of Foodpairing.pdf</x:v>
      </x:c>
      <x:c r="L215" s="28" t="str">
        <x:v>The Art &amp; Science of Foodpairing.pdf: 308</x:v>
      </x:c>
    </x:row>
    <x:row r="216" ht="66" customHeight="1">
      <x:c r="A216" s="28" t="str">
        <x:v>VEG-0296</x:v>
      </x:c>
      <x:c r="B216" s="28" t="str">
        <x:v>капуста</x:v>
      </x:c>
      <x:c r="C216" s="28" t="str">
        <x:v>можжевельник</x:v>
      </x:c>
      <x:c r="D216" s="28" t="str">
        <x:v>Прочее</x:v>
      </x:c>
      <x:c r="E216" s="28" t="str">
        <x:v>сернистая или горчичная комплементарность</x:v>
      </x:c>
      <x:c r="F216" s="28" t="str">
        <x:v>Капуста имеет профиль «зелёный, горчичный, сернистый и сладковатый после приготовления». Партнёр «можжевельник»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6" s="28" t="str">
        <x:v>не переваривать; красная капуста меняет цвет с pH; сернистые ноты могут конфликтовать с тонкими цветами</x:v>
      </x:c>
      <x:c r="I216" s="28" t="str">
        <x:v>горячее блюдо, бульон, соус, пюре, ферментация или гарнир с можжевельник</x:v>
      </x:c>
      <x:c r="J216" s="28" t="str">
        <x:v>Средняя</x:v>
      </x:c>
      <x:c r="K216" s="28" t="str">
        <x:v>Тезариус вкусов (Ники Сегнит)(1).pdf</x:v>
      </x:c>
      <x:c r="L216" s="28" t="str">
        <x:v>Тезариус вкусов (Ники Сегнит)(1).pdf: 312, 850</x:v>
      </x:c>
    </x:row>
    <x:row r="217" ht="66" customHeight="1">
      <x:c r="A217" s="28" t="str">
        <x:v>VEG-0297</x:v>
      </x:c>
      <x:c r="B217" s="28" t="str">
        <x:v>капуста</x:v>
      </x:c>
      <x:c r="C217" s="28" t="str">
        <x:v>моллюски</x:v>
      </x:c>
      <x:c r="D217" s="28" t="str">
        <x:v>Рыба и морепродукты</x:v>
      </x:c>
      <x:c r="E217" s="28" t="str">
        <x:v>умами и солёный контраст; сернистая или горчичная комплементарность</x:v>
      </x:c>
      <x:c r="F217" s="28" t="str">
        <x:v>Капуста имеет профиль «зелёный, горчичный, сернистый и сладковатый после приготовления».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7" s="28" t="str">
        <x:v>не переваривать; красная капуста меняет цвет с pH; сернистые ноты могут конфликтовать с тонкими цветами</x:v>
      </x:c>
      <x:c r="I217" s="28" t="str">
        <x:v>горячее блюдо, бульон, соус, пюре, ферментация или гарнир с моллюски</x:v>
      </x:c>
      <x:c r="J217" s="28" t="str">
        <x:v>Средняя</x:v>
      </x:c>
      <x:c r="K217" s="28" t="str">
        <x:v>Тезариус вкусов (Ники Сегнит)(1).pdf</x:v>
      </x:c>
      <x:c r="L217" s="28" t="str">
        <x:v>Тезариус вкусов (Ники Сегнит)(1).pdf: 312, 370</x:v>
      </x:c>
    </x:row>
    <x:row r="218" ht="66" customHeight="1">
      <x:c r="A218" s="28" t="str">
        <x:v>VEG-0298</x:v>
      </x:c>
      <x:c r="B218" s="28" t="str">
        <x:v>капуста</x:v>
      </x:c>
      <x:c r="C218" s="28" t="str">
        <x:v>морковь</x:v>
      </x:c>
      <x:c r="D218" s="28" t="str">
        <x:v>Корнеплоды</x:v>
      </x:c>
      <x:c r="E218" s="28" t="str">
        <x:v>сернистая или горчичная комплементарность</x:v>
      </x:c>
      <x:c r="F218" s="28" t="str">
        <x:v>Капуста имеет профиль «зелёный, горчичный, сернистый и сладковатый после приготовления». Партнёр «морковь» относится к группе «Корнеплоды» и даёт сладкий, землистый, древесный и слегка цитрусовый.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8" s="28" t="str">
        <x:v>не переваривать; красная капуста меняет цвет с pH; сернистые ноты могут конфликтовать с тонкими цветами</x:v>
      </x:c>
      <x:c r="I218" s="28" t="str">
        <x:v>горячее блюдо, бульон, соус, пюре, ферментация или гарнир с морковь</x:v>
      </x:c>
      <x:c r="J218" s="28" t="str">
        <x:v>Средняя</x:v>
      </x:c>
      <x:c r="K218" s="28" t="str">
        <x:v>Тезариус вкусов (Ники Сегнит)(1).pdf</x:v>
      </x:c>
      <x:c r="L218" s="28" t="str">
        <x:v>Тезариус вкусов (Ники Сегнит)(1).pdf: 313, 603</x:v>
      </x:c>
    </x:row>
    <x:row r="219" ht="66" customHeight="1">
      <x:c r="A219" s="28" t="str">
        <x:v>VEG-0299</x:v>
      </x:c>
      <x:c r="B219" s="28" t="str">
        <x:v>капуста</x:v>
      </x:c>
      <x:c r="C219" s="28" t="str">
        <x:v>мускатный орех</x:v>
      </x:c>
      <x:c r="D219" s="28" t="str">
        <x:v>Рыба и морепродукты</x:v>
      </x:c>
      <x:c r="E219" s="28" t="str">
        <x:v>умами и солёный контраст; сернистая или горчичная комплементарность</x:v>
      </x:c>
      <x:c r="F219" s="28" t="str">
        <x:v>Капуста имеет профиль «зелёный, горчичный, сернистый и сладковатый после приготовления».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1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19" s="28" t="str">
        <x:v>не переваривать; красная капуста меняет цвет с pH; сернистые ноты могут конфликтовать с тонкими цветами</x:v>
      </x:c>
      <x:c r="I219" s="28" t="str">
        <x:v>горячее блюдо, бульон, соус, пюре, ферментация или гарнир с мускатный орех</x:v>
      </x:c>
      <x:c r="J219" s="28" t="str">
        <x:v>Средняя</x:v>
      </x:c>
      <x:c r="K219" s="28" t="str">
        <x:v>Тезариус вкусов (Ники Сегнит)(1).pdf</x:v>
      </x:c>
      <x:c r="L219" s="28" t="str">
        <x:v>Тезариус вкусов (Ники Сегнит)(1).pdf: 313, 588</x:v>
      </x:c>
    </x:row>
    <x:row r="220" ht="66" customHeight="1">
      <x:c r="A220" s="28" t="str">
        <x:v>VEG-0300</x:v>
      </x:c>
      <x:c r="B220" s="28" t="str">
        <x:v>капуста</x:v>
      </x:c>
      <x:c r="C220" s="28" t="str">
        <x:v>свинина</x:v>
      </x:c>
      <x:c r="D220" s="28" t="str">
        <x:v>Мясо и птица</x:v>
      </x:c>
      <x:c r="E220" s="28" t="str">
        <x:v>умами и солёный контраст; сернистая или горчичная комплементарность</x:v>
      </x:c>
      <x:c r="F220" s="28" t="str">
        <x:v>Капуста имеет профиль «зелёный, горчичный, сернистый и сладковатый после приготовления».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0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0" s="28" t="str">
        <x:v>не переваривать; красная капуста меняет цвет с pH; сернистые ноты могут конфликтовать с тонкими цветами</x:v>
      </x:c>
      <x:c r="I220" s="28" t="str">
        <x:v>горячее блюдо, бульон, соус, пюре, ферментация или гарнир с свинина</x:v>
      </x:c>
      <x:c r="J220" s="28" t="str">
        <x:v>Средняя</x:v>
      </x:c>
      <x:c r="K220" s="28" t="str">
        <x:v>Тезариус вкусов (Ники Сегнит)(1).pdf</x:v>
      </x:c>
      <x:c r="L220" s="28" t="str">
        <x:v>Тезариус вкусов (Ники Сегнит)(1).pdf: 84, 313</x:v>
      </x:c>
    </x:row>
    <x:row r="221" ht="66" customHeight="1">
      <x:c r="A221" s="28" t="str">
        <x:v>VEG-0301</x:v>
      </x:c>
      <x:c r="B221" s="28" t="str">
        <x:v>капуста</x:v>
      </x:c>
      <x:c r="C221" s="28" t="str">
        <x:v>соевый соус</x:v>
      </x:c>
      <x:c r="D221" s="28" t="str">
        <x:v>Ферментированные продукты и соусы</x:v>
      </x:c>
      <x:c r="E221" s="28" t="str">
        <x:v>умами и солёный контраст; сернистая или горчичная комплементарность</x:v>
      </x:c>
      <x:c r="F221" s="28" t="str">
        <x:v>Капуста имеет профиль «зелёный, горчичный, сернистый и сладковатый после приготовления». Партнёр «соевый соус» относится к группе «Ферментированные продукты и соусы» и даёт жареный,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1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1" s="28" t="str">
        <x:v>не переваривать; красная капуста меняет цвет с pH; сернистые ноты могут конфликтовать с тонкими цветами</x:v>
      </x:c>
      <x:c r="I221" s="28" t="str">
        <x:v>горячее блюдо, бульон, соус, пюре, ферментация или гарнир с соевый соус</x:v>
      </x:c>
      <x:c r="J221" s="28" t="str">
        <x:v>Высокая</x:v>
      </x:c>
      <x:c r="K221" s="28" t="str">
        <x:v>The Art &amp; Science of Foodpairing.pdf</x:v>
      </x:c>
      <x:c r="L221" s="28" t="str">
        <x:v>The Art &amp; Science of Foodpairing.pdf: 301</x:v>
      </x:c>
    </x:row>
    <x:row r="222" ht="66" customHeight="1">
      <x:c r="A222" s="28" t="str">
        <x:v>VEG-0302</x:v>
      </x:c>
      <x:c r="B222" s="28" t="str">
        <x:v>капуста</x:v>
      </x:c>
      <x:c r="C222" s="28" t="str">
        <x:v>томат</x:v>
      </x:c>
      <x:c r="D222" s="28" t="str">
        <x:v>Плодовые овощи</x:v>
      </x:c>
      <x:c r="E222" s="28" t="str">
        <x:v>пересечение ароматических семейств; сернистая или горчичная комплементарность</x:v>
      </x:c>
      <x:c r="F222" s="28" t="str">
        <x:v>Капуста имеет профиль «зелёный, горчичный, сернистый и сладковатый после приготовления». Партнёр «томат» относится к группе «Плодовые овощи» и даёт зелёный, фруктовый, листовой, сернистый и умами. Профили пересекаются в семействах: зелёный,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2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2" s="28" t="str">
        <x:v>не переваривать; красная капуста меняет цвет с pH; сернистые ноты могут конфликтовать с тонкими цветами</x:v>
      </x:c>
      <x:c r="I222" s="28" t="str">
        <x:v>горячее блюдо, бульон, соус, пюре, ферментация или гарнир с томат</x:v>
      </x:c>
      <x:c r="J222" s="28" t="str">
        <x:v>Средняя</x:v>
      </x:c>
      <x:c r="K222" s="28" t="str">
        <x:v>The Art &amp; Science of Foodpairing.pdf</x:v>
      </x:c>
      <x:c r="L222" s="28" t="str">
        <x:v>The Art &amp; Science of Foodpairing.pdf: 161</x:v>
      </x:c>
    </x:row>
    <x:row r="223" ht="66" customHeight="1">
      <x:c r="A223" s="28" t="str">
        <x:v>VEG-0303</x:v>
      </x:c>
      <x:c r="B223" s="28" t="str">
        <x:v>капуста</x:v>
      </x:c>
      <x:c r="C223" s="28" t="str">
        <x:v>трюфель</x:v>
      </x:c>
      <x:c r="D223" s="28" t="str">
        <x:v>Грибы</x:v>
      </x:c>
      <x:c r="E223" s="28" t="str">
        <x:v>умами и солёный контраст; сернистая или горчичная комплементарность</x:v>
      </x:c>
      <x:c r="F223" s="28" t="str">
        <x:v>Капуста имеет профиль «зелёный, горчичный, сернистый и сладковатый после приготовления».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3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3" s="28" t="str">
        <x:v>не переваривать; красная капуста меняет цвет с pH; сернистые ноты могут конфликтовать с тонкими цветами</x:v>
      </x:c>
      <x:c r="I223" s="28" t="str">
        <x:v>горячее блюдо, бульон, соус, пюре, ферментация или гарнир с трюфель</x:v>
      </x:c>
      <x:c r="J223" s="28" t="str">
        <x:v>Средняя</x:v>
      </x:c>
      <x:c r="K223" s="28" t="str">
        <x:v>Тезариус вкусов (Ники Сегнит)(1).pdf</x:v>
      </x:c>
      <x:c r="L223" s="28" t="str">
        <x:v>Тезариус вкусов (Ники Сегнит)(1).pdf: 302, 315</x:v>
      </x:c>
    </x:row>
    <x:row r="224" ht="66" customHeight="1">
      <x:c r="A224" s="28" t="str">
        <x:v>VEG-0304</x:v>
      </x:c>
      <x:c r="B224" s="28" t="str">
        <x:v>капуста</x:v>
      </x:c>
      <x:c r="C224" s="28" t="str">
        <x:v>фундук</x:v>
      </x:c>
      <x:c r="D224" s="28" t="str">
        <x:v>Орехи и семена</x:v>
      </x:c>
      <x:c r="E224" s="28" t="str">
        <x:v>сернистая или горчичная комплементарность</x:v>
      </x:c>
      <x:c r="F224" s="28" t="str">
        <x:v>Капуста имеет профиль «зелёный, горчичный, сернистый и сладковатый после приготовления». Партнёр «фундук» относится к группе «Орехи и семена» и даёт жареный, какаовый,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4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4" s="28" t="str">
        <x:v>не переваривать; красная капуста меняет цвет с pH; сернистые ноты могут конфликтовать с тонкими цветами</x:v>
      </x:c>
      <x:c r="I224" s="28" t="str">
        <x:v>горячее блюдо, бульон, соус, пюре, ферментация или гарнир с фундук</x:v>
      </x:c>
      <x:c r="J224" s="28" t="str">
        <x:v>Средняя</x:v>
      </x:c>
      <x:c r="K224" s="28" t="str">
        <x:v>The Art &amp; Science of Foodpairing.pdf</x:v>
      </x:c>
      <x:c r="L224" s="28" t="str">
        <x:v>The Art &amp; Science of Foodpairing.pdf: 332</x:v>
      </x:c>
    </x:row>
    <x:row r="225" ht="66" customHeight="1">
      <x:c r="A225" s="28" t="str">
        <x:v>VEG-0305</x:v>
      </x:c>
      <x:c r="B225" s="28" t="str">
        <x:v>капуста</x:v>
      </x:c>
      <x:c r="C225" s="28" t="str">
        <x:v>цыпленок</x:v>
      </x:c>
      <x:c r="D225" s="28" t="str">
        <x:v>Прочее</x:v>
      </x:c>
      <x:c r="E225" s="28" t="str">
        <x:v>сернистая или горчичная комплементарность</x:v>
      </x:c>
      <x:c r="F225" s="28" t="str">
        <x:v>Капуста имеет профиль «зелёный, горчичный, сернистый и сладковатый после приготовления».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5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5" s="28" t="str">
        <x:v>не переваривать; красная капуста меняет цвет с pH; сернистые ноты могут конфликтовать с тонкими цветами</x:v>
      </x:c>
      <x:c r="I225" s="28" t="str">
        <x:v>горячее блюдо, бульон, соус, пюре, ферментация или гарнир с цыпленок</x:v>
      </x:c>
      <x:c r="J225" s="28" t="str">
        <x:v>Средняя</x:v>
      </x:c>
      <x:c r="K225" s="28" t="str">
        <x:v>Тезариус вкусов (Ники Сегнит)(1).pdf</x:v>
      </x:c>
      <x:c r="L225" s="28" t="str">
        <x:v>Тезариус вкусов (Ники Сегнит)(1).pdf: 67, 315</x:v>
      </x:c>
    </x:row>
    <x:row r="226" ht="66" customHeight="1">
      <x:c r="A226" s="28" t="str">
        <x:v>VEG-0306</x:v>
      </x:c>
      <x:c r="B226" s="28" t="str">
        <x:v>капуста</x:v>
      </x:c>
      <x:c r="C226" s="28" t="str">
        <x:v>чили</x:v>
      </x:c>
      <x:c r="D226" s="28" t="str">
        <x:v>Специи</x:v>
      </x:c>
      <x:c r="E226" s="28" t="str">
        <x:v>сернистая или горчичная комплементарность</x:v>
      </x:c>
      <x:c r="F226" s="28" t="str">
        <x:v>Капуста имеет профиль «зелёный, горчичный, сернистый и сладковатый после приготовления».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6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6" s="28" t="str">
        <x:v>не переваривать; красная капуста меняет цвет с pH; сернистые ноты могут конфликтовать с тонкими цветами</x:v>
      </x:c>
      <x:c r="I226" s="28" t="str">
        <x:v>горячее блюдо, бульон, соус, пюре, ферментация или гарнир с чили</x:v>
      </x:c>
      <x:c r="J226" s="28" t="str">
        <x:v>Средняя</x:v>
      </x:c>
      <x:c r="K226" s="28" t="str">
        <x:v>Тезариус вкусов (Ники Сегнит)(1).pdf</x:v>
      </x:c>
      <x:c r="L226" s="28" t="str">
        <x:v>Тезариус вкусов (Ники Сегнит)(1).pdf: 317, 554</x:v>
      </x:c>
    </x:row>
    <x:row r="227" ht="66" customHeight="1">
      <x:c r="A227" s="28" t="str">
        <x:v>VEG-0307</x:v>
      </x:c>
      <x:c r="B227" s="28" t="str">
        <x:v>капуста</x:v>
      </x:c>
      <x:c r="C227" s="28" t="str">
        <x:v>чоризо</x:v>
      </x:c>
      <x:c r="D227" s="28" t="str">
        <x:v>Прочее</x:v>
      </x:c>
      <x:c r="E227" s="28" t="str">
        <x:v>сернистая или горчичная комплементарность</x:v>
      </x:c>
      <x:c r="F227" s="28" t="str">
        <x:v>Капуста имеет профиль «зелёный, горчичный, сернистый и сладковатый после приготовления».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7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7" s="28" t="str">
        <x:v>не переваривать; красная капуста меняет цвет с pH; сернистые ноты могут конфликтовать с тонкими цветами</x:v>
      </x:c>
      <x:c r="I227" s="28" t="str">
        <x:v>горячее блюдо, бульон, соус, пюре, ферментация или гарнир с чоризо</x:v>
      </x:c>
      <x:c r="J227" s="28" t="str">
        <x:v>Средняя</x:v>
      </x:c>
      <x:c r="K227" s="28" t="str">
        <x:v>The Art &amp; Science of Foodpairing.pdf</x:v>
      </x:c>
      <x:c r="L227" s="28" t="str">
        <x:v>The Art &amp; Science of Foodpairing.pdf: 288</x:v>
      </x:c>
    </x:row>
    <x:row r="228" ht="66" customHeight="1">
      <x:c r="A228" s="28" t="str">
        <x:v>VEG-0308</x:v>
      </x:c>
      <x:c r="B228" s="28" t="str">
        <x:v>капуста</x:v>
      </x:c>
      <x:c r="C228" s="28" t="str">
        <x:v>яблоко</x:v>
      </x:c>
      <x:c r="D228" s="28" t="str">
        <x:v>Фрукты и ягоды</x:v>
      </x:c>
      <x:c r="E228" s="28" t="str">
        <x:v>пересечение ароматических семейств; кислотно-сладкий баланс; сернистая или горчичная комплементарность</x:v>
      </x:c>
      <x:c r="F228" s="28" t="str">
        <x:v>Капуста имеет профиль «зелёный, горчичный, сернистый и сладковатый после приготовления». Партнёр «яблоко» относится к группе «Фрукты и ягоды» и даёт зелёный, свежий, фруктовый. Профили пересекаются в семействах: зелёный.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8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8" s="28" t="str">
        <x:v>не переваривать; красная капуста меняет цвет с pH; сернистые ноты могут конфликтовать с тонкими цветами; избыток кислоты или воды может сделать овощной вкус тонким и разрушить сливочную эмульсию</x:v>
      </x:c>
      <x:c r="I228" s="28" t="str">
        <x:v>горячее блюдо, бульон, соус, пюре, ферментация или гарнир с яблоко</x:v>
      </x:c>
      <x:c r="J228" s="28" t="str">
        <x:v>Средняя</x:v>
      </x:c>
      <x:c r="K228" s="28" t="str">
        <x:v>Тезариус вкусов (Ники Сегнит)(1).pdf</x:v>
      </x:c>
      <x:c r="L228" s="28" t="str">
        <x:v>Тезариус вкусов (Ники Сегнит)(1).pdf: 317, 713</x:v>
      </x:c>
    </x:row>
    <x:row r="229" ht="66" customHeight="1">
      <x:c r="A229" s="28" t="str">
        <x:v>VEG-0309</x:v>
      </x:c>
      <x:c r="B229" s="28" t="str">
        <x:v>капуста</x:v>
      </x:c>
      <x:c r="C229" s="28" t="str">
        <x:v>яйца</x:v>
      </x:c>
      <x:c r="D229" s="28" t="str">
        <x:v>Прочее</x:v>
      </x:c>
      <x:c r="E229" s="28" t="str">
        <x:v>сернистая или горчичная комплементарность</x:v>
      </x:c>
      <x:c r="F229" s="28" t="str">
        <x:v>Капуста имеет профиль «зелёный, горчичный, сернистый и сладковатый после приготовления».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229" s="28" t="str">
        <x:v>короткая жарка сохраняет зелёность; длительная варка усиливает сернистый запах; ферментация создаёт кислоту. Контролировать время: переваривание усиливает сернистость и разрушает текстуру.</x:v>
      </x:c>
      <x:c r="H229" s="28" t="str">
        <x:v>не переваривать; красная капуста меняет цвет с pH; сернистые ноты могут конфликтовать с тонкими цветами</x:v>
      </x:c>
      <x:c r="I229" s="28" t="str">
        <x:v>горячее блюдо, бульон, соус, пюре, ферментация или гарнир с яйца</x:v>
      </x:c>
      <x:c r="J229" s="28" t="str">
        <x:v>Средняя</x:v>
      </x:c>
      <x:c r="K229" s="28" t="str">
        <x:v>Тезариус вкусов (Ники Сегнит)(1).pdf</x:v>
      </x:c>
      <x:c r="L229" s="28" t="str">
        <x:v>Тезариус вкусов (Ники Сегнит)(1).pdf: 317, 353</x:v>
      </x:c>
    </x:row>
    <x:row r="230" ht="66" customHeight="1">
      <x:c r="A230" s="28" t="str">
        <x:v>VEG-0310</x:v>
      </x:c>
      <x:c r="B230" s="28" t="str">
        <x:v>картофель</x:v>
      </x:c>
      <x:c r="C230" s="28" t="str">
        <x:v>«черный пудинг»</x:v>
      </x:c>
      <x:c r="D230" s="28" t="str">
        <x:v>Прочее</x:v>
      </x:c>
      <x:c r="E230" s="28" t="str">
        <x:v>сенсорная комплементарность</x:v>
      </x:c>
      <x:c r="F230" s="28" t="str">
        <x:v>Картофель имеет профиль «крахмалистый, землистый, ореховый и жареный после нагрева». Партнёр ««черный пудинг»»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0" s="28" t="str">
        <x:v>зелёные или проросшие клубни не использовать; пережаривание даёт горечь и чрезмерно тёмную корку</x:v>
      </x:c>
      <x:c r="I230" s="28" t="str">
        <x:v>пюре, суп, запекание, крем, гарнир, соус или десертная разработка с «черный пудинг»</x:v>
      </x:c>
      <x:c r="J230" s="28" t="str">
        <x:v>Средняя</x:v>
      </x:c>
      <x:c r="K230" s="28" t="str">
        <x:v>Тезариус вкусов (Ники Сегнит)(1).pdf</x:v>
      </x:c>
      <x:c r="L230" s="28" t="str">
        <x:v>Тезариус вкусов (Ники Сегнит)(1).pdf: 93, 245</x:v>
      </x:c>
    </x:row>
    <x:row r="231" ht="66" customHeight="1">
      <x:c r="A231" s="28" t="str">
        <x:v>VEG-0311</x:v>
      </x:c>
      <x:c r="B231" s="28" t="str">
        <x:v>картофель</x:v>
      </x:c>
      <x:c r="C231" s="28" t="str">
        <x:v>абрикос</x:v>
      </x:c>
      <x:c r="D231" s="28" t="str">
        <x:v>Фрукты и ягоды</x:v>
      </x:c>
      <x:c r="E231" s="28" t="str">
        <x:v>общие характерные молекулы; кислотно-сладкий баланс</x:v>
      </x:c>
      <x:c r="F231" s="28" t="str">
        <x:v>Картофель имеет профиль «крахмалистый, землистый, ореховый и жареный после нагрева». Партнёр «абрикос»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3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1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31" s="28" t="str">
        <x:v>пюре, суп, запекание, крем, гарнир, соус или десертная разработка с абрикос</x:v>
      </x:c>
      <x:c r="J231" s="28" t="str">
        <x:v>Средняя</x:v>
      </x:c>
      <x:c r="K231" s="28" t="str">
        <x:v>The Art &amp; Science of Foodpairing.pdf</x:v>
      </x:c>
      <x:c r="L231" s="28" t="str">
        <x:v>The Art &amp; Science of Foodpairing.pdf: 196, 206</x:v>
      </x:c>
    </x:row>
    <x:row r="232" ht="66" customHeight="1">
      <x:c r="A232" s="28" t="str">
        <x:v>VEG-0312</x:v>
      </x:c>
      <x:c r="B232" s="28" t="str">
        <x:v>картофель</x:v>
      </x:c>
      <x:c r="C232" s="28" t="str">
        <x:v>авокадо</x:v>
      </x:c>
      <x:c r="D232" s="28" t="str">
        <x:v>Прочее</x:v>
      </x:c>
      <x:c r="E232" s="28" t="str">
        <x:v>сенсорная комплементарность</x:v>
      </x:c>
      <x:c r="F232" s="28" t="str">
        <x:v>Картофель имеет профиль «крахмалистый, землистый, ореховый и жареный после нагрева». Партнёр «авокадо»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2" s="28" t="str">
        <x:v>зелёные или проросшие клубни не использовать; пережаривание даёт горечь и чрезмерно тёмную корку</x:v>
      </x:c>
      <x:c r="I232" s="28" t="str">
        <x:v>пюре, суп, запекание, крем, гарнир, соус или десертная разработка с авокадо</x:v>
      </x:c>
      <x:c r="J232" s="28" t="str">
        <x:v>Средняя</x:v>
      </x:c>
      <x:c r="K232" s="28" t="str">
        <x:v>The Art &amp; Science of Foodpairing.pdf</x:v>
      </x:c>
      <x:c r="L232" s="28" t="str">
        <x:v>The Art &amp; Science of Foodpairing.pdf: 196</x:v>
      </x:c>
    </x:row>
    <x:row r="233" ht="66" customHeight="1">
      <x:c r="A233" s="28" t="str">
        <x:v>VEG-0313</x:v>
      </x:c>
      <x:c r="B233" s="28" t="str">
        <x:v>картофель</x:v>
      </x:c>
      <x:c r="C233" s="28" t="str">
        <x:v>анчоусы</x:v>
      </x:c>
      <x:c r="D233" s="28" t="str">
        <x:v>Рыба и морепродукты</x:v>
      </x:c>
      <x:c r="E233" s="28" t="str">
        <x:v>общие характерные молекулы; умами и солёный контраст</x:v>
      </x:c>
      <x:c r="F233" s="28" t="str">
        <x:v>Картофель имеет профиль «крахмалистый, землистый, ореховый и жареный после нагрева». Партнёр «анчоусы»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3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3" s="28" t="str">
        <x:v>зелёные или проросшие клубни не использовать; пережаривание даёт горечь и чрезмерно тёмную корку</x:v>
      </x:c>
      <x:c r="I233" s="28" t="str">
        <x:v>пюре, суп, запекание, крем, гарнир, соус или десертная разработка с анчоусы</x:v>
      </x:c>
      <x:c r="J233" s="28" t="str">
        <x:v>Средняя</x:v>
      </x:c>
      <x:c r="K233" s="28" t="str">
        <x:v>Тезариус вкусов (Ники Сегнит)(1).pdf</x:v>
      </x:c>
      <x:c r="L233" s="28" t="str">
        <x:v>Тезариус вкусов (Ники Сегнит)(1).pdf: 230, 427</x:v>
      </x:c>
    </x:row>
    <x:row r="234" ht="66" customHeight="1">
      <x:c r="A234" s="28" t="str">
        <x:v>VEG-0314</x:v>
      </x:c>
      <x:c r="B234" s="28" t="str">
        <x:v>картофель</x:v>
      </x:c>
      <x:c r="C234" s="28" t="str">
        <x:v>арахис</x:v>
      </x:c>
      <x:c r="D234" s="28" t="str">
        <x:v>Орехи и семена</x:v>
      </x:c>
      <x:c r="E234" s="28" t="str">
        <x:v>общие характерные молекулы; пересечение ароматических семейств</x:v>
      </x:c>
      <x:c r="F234" s="28" t="str">
        <x:v>Картофель имеет профиль «крахмалистый, землистый, ореховый и жареный после нагрева». Партнёр «арахис»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23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4" s="28" t="str">
        <x:v>зелёные или проросшие клубни не использовать; пережаривание даёт горечь и чрезмерно тёмную корку</x:v>
      </x:c>
      <x:c r="I234" s="28" t="str">
        <x:v>пюре, суп, запекание, крем, гарнир, соус или десертная разработка с арахис</x:v>
      </x:c>
      <x:c r="J234" s="28" t="str">
        <x:v>Средняя</x:v>
      </x:c>
      <x:c r="K234" s="28" t="str">
        <x:v>Тезариус вкусов (Ники Сегнит)(1).pdf</x:v>
      </x:c>
      <x:c r="L234" s="28" t="str">
        <x:v>Тезариус вкусов (Ники Сегнит)(1).pdf: 53, 230</x:v>
      </x:c>
    </x:row>
    <x:row r="235" ht="66" customHeight="1">
      <x:c r="A235" s="28" t="str">
        <x:v>VEG-0315</x:v>
      </x:c>
      <x:c r="B235" s="28" t="str">
        <x:v>картофель</x:v>
      </x:c>
      <x:c r="C235" s="28" t="str">
        <x:v>арбуз</x:v>
      </x:c>
      <x:c r="D235" s="28" t="str">
        <x:v>Прочее</x:v>
      </x:c>
      <x:c r="E235" s="28" t="str">
        <x:v>сенсорная комплементарность</x:v>
      </x:c>
      <x:c r="F235" s="28" t="str">
        <x:v>Картофель имеет профиль «крахмалистый, землистый, ореховый и жареный после нагрева». Партнёр «арбуз»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5" s="28" t="str">
        <x:v>зелёные или проросшие клубни не использовать; пережаривание даёт горечь и чрезмерно тёмную корку</x:v>
      </x:c>
      <x:c r="I235" s="28" t="str">
        <x:v>пюре, суп, запекание, крем, гарнир, соус или десертная разработка с арбуз</x:v>
      </x:c>
      <x:c r="J235" s="28" t="str">
        <x:v>Средняя</x:v>
      </x:c>
      <x:c r="K235" s="28" t="str">
        <x:v>The Art &amp; Science of Foodpairing.pdf</x:v>
      </x:c>
      <x:c r="L235" s="28" t="str">
        <x:v>The Art &amp; Science of Foodpairing.pdf: 78</x:v>
      </x:c>
    </x:row>
    <x:row r="236" ht="66" customHeight="1">
      <x:c r="A236" s="28" t="str">
        <x:v>VEG-0316</x:v>
      </x:c>
      <x:c r="B236" s="28" t="str">
        <x:v>картофель</x:v>
      </x:c>
      <x:c r="C236" s="28" t="str">
        <x:v>артишок</x:v>
      </x:c>
      <x:c r="D236" s="28" t="str">
        <x:v>Соцветия и стеблевые овощи</x:v>
      </x:c>
      <x:c r="E236" s="28" t="str">
        <x:v>сенсорная комплементарность</x:v>
      </x:c>
      <x:c r="F236" s="28" t="str">
        <x:v>Картофель имеет профиль «крахмалистый, землистый, ореховый и жареный после нагрева». Партнёр «артишок» относится к группе «Соцветия и стеблевые овощи» и даёт зелёный, ореховый, травянистый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3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6" s="28" t="str">
        <x:v>зелёные или проросшие клубни не использовать; пережаривание даёт горечь и чрезмерно тёмную корку</x:v>
      </x:c>
      <x:c r="I236" s="28" t="str">
        <x:v>пюре, суп, запекание, крем, гарнир, соус или десертная разработка с артишок</x:v>
      </x:c>
      <x:c r="J236" s="28" t="str">
        <x:v>Средняя</x:v>
      </x:c>
      <x:c r="K236" s="28" t="str">
        <x:v>Тезариус вкусов (Ники Сегнит)(1).pdf</x:v>
      </x:c>
      <x:c r="L236" s="28" t="str">
        <x:v>Тезариус вкусов (Ники Сегнит)(1).pdf: 231, 338</x:v>
      </x:c>
    </x:row>
    <x:row r="237" ht="66" customHeight="1">
      <x:c r="A237" s="28" t="str">
        <x:v>VEG-0317</x:v>
      </x:c>
      <x:c r="B237" s="28" t="str">
        <x:v>картофель</x:v>
      </x:c>
      <x:c r="C237" s="28" t="str">
        <x:v>базилик</x:v>
      </x:c>
      <x:c r="D237" s="28" t="str">
        <x:v>Травы, цветы и листья</x:v>
      </x:c>
      <x:c r="E237" s="28" t="str">
        <x:v>сенсорная комплементарность</x:v>
      </x:c>
      <x:c r="F237" s="28" t="str">
        <x:v>Картофель имеет профиль «крахмалистый, землистый, ореховый и жареный после нагрева».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3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7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37" s="28" t="str">
        <x:v>пюре, суп, запекание, крем, гарнир, соус или десертная разработка с базилик</x:v>
      </x:c>
      <x:c r="J237" s="28" t="str">
        <x:v>Средняя</x:v>
      </x:c>
      <x:c r="K237" s="28" t="str">
        <x:v>The Art &amp; Science of Foodpairing.pdf</x:v>
      </x:c>
      <x:c r="L237" s="28" t="str">
        <x:v>The Art &amp; Science of Foodpairing.pdf: 74</x:v>
      </x:c>
    </x:row>
    <x:row r="238" ht="66" customHeight="1">
      <x:c r="A238" s="28" t="str">
        <x:v>VEG-0318</x:v>
      </x:c>
      <x:c r="B238" s="28" t="str">
        <x:v>картофель</x:v>
      </x:c>
      <x:c r="C238" s="28" t="str">
        <x:v>баранина</x:v>
      </x:c>
      <x:c r="D238" s="28" t="str">
        <x:v>Мясо и птица</x:v>
      </x:c>
      <x:c r="E238" s="28" t="str">
        <x:v>общие характерные молекулы; пересечение ароматических семейств; умами и солёный контраст</x:v>
      </x:c>
      <x:c r="F238" s="28" t="str">
        <x:v>Картофель имеет профиль «крахмалистый, землистый, ореховый и жареный после нагрева». Партнёр «баранина»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3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8" s="28" t="str">
        <x:v>зелёные или проросшие клубни не использовать; пережаривание даёт горечь и чрезмерно тёмную корку</x:v>
      </x:c>
      <x:c r="I238" s="28" t="str">
        <x:v>пюре, суп, запекание, крем, гарнир, соус или десертная разработка с баранина</x:v>
      </x:c>
      <x:c r="J238" s="28" t="str">
        <x:v>Высокая</x:v>
      </x:c>
      <x:c r="K238" s="28" t="str">
        <x:v>The Art &amp; Science of Foodpairing.pdf | Тезариус вкусов (Ники Сегнит)(1).pdf</x:v>
      </x:c>
      <x:c r="L238" s="28" t="str">
        <x:v>Тезариус вкусов (Ники Сегнит)(1).pdf: 129, 231; The Art &amp; Science of Foodpairing.pdf: 196</x:v>
      </x:c>
    </x:row>
    <x:row r="239" ht="66" customHeight="1">
      <x:c r="A239" s="28" t="str">
        <x:v>VEG-0319</x:v>
      </x:c>
      <x:c r="B239" s="28" t="str">
        <x:v>картофель</x:v>
      </x:c>
      <x:c r="C239" s="28" t="str">
        <x:v>батат</x:v>
      </x:c>
      <x:c r="D239" s="28" t="str">
        <x:v>Корнеплоды и клубни</x:v>
      </x:c>
      <x:c r="E239" s="28" t="str">
        <x:v>общие характерные молекулы; пересечение ароматических семейств</x:v>
      </x:c>
      <x:c r="F239" s="28" t="str">
        <x:v>Картофель имеет профиль «крахмалистый, землистый, ореховый и жареный после нагрева». Партнёр «батат» относится к группе «Корнеплоды и клубни» и даёт сладкий, крахмалистый, цветочный, карамельный и ореховый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23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39" s="28" t="str">
        <x:v>зелёные или проросшие клубни не использовать; пережаривание даёт горечь и чрезмерно тёмную корку</x:v>
      </x:c>
      <x:c r="I239" s="28" t="str">
        <x:v>пюре, суп, запекание, крем, гарнир, соус или десертная разработка с батат</x:v>
      </x:c>
      <x:c r="J239" s="28" t="str">
        <x:v>Средняя</x:v>
      </x:c>
      <x:c r="K239" s="28" t="str">
        <x:v>The Art &amp; Science of Foodpairing.pdf</x:v>
      </x:c>
      <x:c r="L239" s="28" t="str">
        <x:v>The Art &amp; Science of Foodpairing.pdf: 119</x:v>
      </x:c>
    </x:row>
    <x:row r="240" ht="66" customHeight="1">
      <x:c r="A240" s="28" t="str">
        <x:v>VEG-0320</x:v>
      </x:c>
      <x:c r="B240" s="28" t="str">
        <x:v>картофель</x:v>
      </x:c>
      <x:c r="C240" s="28" t="str">
        <x:v>бекон</x:v>
      </x:c>
      <x:c r="D240" s="28" t="str">
        <x:v>Мясо и птица</x:v>
      </x:c>
      <x:c r="E240" s="28" t="str">
        <x:v>общие характерные молекулы; пересечение ароматических семейств; умами и солёный контраст</x:v>
      </x:c>
      <x:c r="F240" s="28" t="str">
        <x:v>Картофель имеет профиль «крахмалистый, землистый, ореховый и жареный после нагрева». Партнёр «бекон» относится к группе «Мясо и птица» и даёт дымный, жареный,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4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0" s="28" t="str">
        <x:v>зелёные или проросшие клубни не использовать; пережаривание даёт горечь и чрезмерно тёмную корку</x:v>
      </x:c>
      <x:c r="I240" s="28" t="str">
        <x:v>пюре, суп, запекание, крем, гарнир, соус или десертная разработка с бекон</x:v>
      </x:c>
      <x:c r="J240" s="28" t="str">
        <x:v>Средняя</x:v>
      </x:c>
      <x:c r="K240" s="28" t="str">
        <x:v>Тезариус вкусов (Ники Сегнит)(1).pdf</x:v>
      </x:c>
      <x:c r="L240" s="28" t="str">
        <x:v>Тезариус вкусов (Ники Сегнит)(1).pdf: 232, 445</x:v>
      </x:c>
    </x:row>
    <x:row r="241" ht="66" customHeight="1">
      <x:c r="A241" s="28" t="str">
        <x:v>VEG-0321</x:v>
      </x:c>
      <x:c r="B241" s="28" t="str">
        <x:v>картофель</x:v>
      </x:c>
      <x:c r="C241" s="28" t="str">
        <x:v>белая рыба</x:v>
      </x:c>
      <x:c r="D241" s="28" t="str">
        <x:v>Рыба и морепродукты</x:v>
      </x:c>
      <x:c r="E241" s="28" t="str">
        <x:v>общие характерные молекулы; умами и солёный контраст</x:v>
      </x:c>
      <x:c r="F241" s="28" t="str">
        <x:v>Картофель имеет профиль «крахмалистый, землистый, ореховый и жареный после нагрева». Партнёр «белая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4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1" s="28" t="str">
        <x:v>зелёные или проросшие клубни не использовать; пережаривание даёт горечь и чрезмерно тёмную корку</x:v>
      </x:c>
      <x:c r="I241" s="28" t="str">
        <x:v>пюре, суп, запекание, крем, гарнир, соус или десертная разработка с белая рыба</x:v>
      </x:c>
      <x:c r="J241" s="28" t="str">
        <x:v>Средняя</x:v>
      </x:c>
      <x:c r="K241" s="28" t="str">
        <x:v>Тезариус вкусов (Ники Сегнит)(1).pdf</x:v>
      </x:c>
      <x:c r="L241" s="28" t="str">
        <x:v>Тезариус вкусов (Ники Сегнит)(1).pdf: 232, 385</x:v>
      </x:c>
    </x:row>
    <x:row r="242" ht="66" customHeight="1">
      <x:c r="A242" s="28" t="str">
        <x:v>VEG-0322</x:v>
      </x:c>
      <x:c r="B242" s="28" t="str">
        <x:v>картофель</x:v>
      </x:c>
      <x:c r="C242" s="28" t="str">
        <x:v>бразильский орех</x:v>
      </x:c>
      <x:c r="D242" s="28" t="str">
        <x:v>Орехи и семена</x:v>
      </x:c>
      <x:c r="E242" s="28" t="str">
        <x:v>общие характерные молекулы; пересечение ароматических семейств</x:v>
      </x:c>
      <x:c r="F242" s="28" t="str">
        <x:v>Картофель имеет профиль «крахмалистый, землистый, ореховый и жареный после нагрева». Партнёр «бразильский орех»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24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2" s="28" t="str">
        <x:v>зелёные или проросшие клубни не использовать; пережаривание даёт горечь и чрезмерно тёмную корку</x:v>
      </x:c>
      <x:c r="I242" s="28" t="str">
        <x:v>пюре, суп, запекание, крем, гарнир, соус или десертная разработка с бразильский орех</x:v>
      </x:c>
      <x:c r="J242" s="28" t="str">
        <x:v>Средняя</x:v>
      </x:c>
      <x:c r="K242" s="28" t="str">
        <x:v>The Art &amp; Science of Foodpairing.pdf</x:v>
      </x:c>
      <x:c r="L242" s="28" t="str">
        <x:v>The Art &amp; Science of Foodpairing.pdf: 196</x:v>
      </x:c>
    </x:row>
    <x:row r="243" ht="66" customHeight="1">
      <x:c r="A243" s="28" t="str">
        <x:v>VEG-0323</x:v>
      </x:c>
      <x:c r="B243" s="28" t="str">
        <x:v>картофель</x:v>
      </x:c>
      <x:c r="C243" s="28" t="str">
        <x:v>бри</x:v>
      </x:c>
      <x:c r="D243" s="28" t="str">
        <x:v>Прочее</x:v>
      </x:c>
      <x:c r="E243" s="28" t="str">
        <x:v>сенсорная комплементарность</x:v>
      </x:c>
      <x:c r="F243" s="28" t="str">
        <x:v>Картофель имеет профиль «крахмалистый, землистый, ореховый и жареный после нагрева». Партнёр «бри»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4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3" s="28" t="str">
        <x:v>зелёные или проросшие клубни не использовать; пережаривание даёт горечь и чрезмерно тёмную корку</x:v>
      </x:c>
      <x:c r="I243" s="28" t="str">
        <x:v>пюре, суп, запекание, крем, гарнир, соус или десертная разработка с бри</x:v>
      </x:c>
      <x:c r="J243" s="28" t="str">
        <x:v>Средняя</x:v>
      </x:c>
      <x:c r="K243" s="28" t="str">
        <x:v>The Art &amp; Science of Foodpairing.pdf</x:v>
      </x:c>
      <x:c r="L243" s="28" t="str">
        <x:v>The Art &amp; Science of Foodpairing.pdf: 196</x:v>
      </x:c>
    </x:row>
    <x:row r="244" ht="66" customHeight="1">
      <x:c r="A244" s="28" t="str">
        <x:v>VEG-0324</x:v>
      </x:c>
      <x:c r="B244" s="28" t="str">
        <x:v>картофель</x:v>
      </x:c>
      <x:c r="C244" s="28" t="str">
        <x:v>брюква</x:v>
      </x:c>
      <x:c r="D244" s="28" t="str">
        <x:v>Корнеплоды и крестоцветные</x:v>
      </x:c>
      <x:c r="E244" s="28" t="str">
        <x:v>пересечение ароматических семейств</x:v>
      </x:c>
      <x:c r="F244" s="28" t="str">
        <x:v>Картофель имеет профиль «крахмалистый, землистый, ореховый и жареный после нагрева». Партнёр «брюква» относится к группе «Корнеплоды и крестоцветные» и даёт землистый, капустный, сладкий и слегка горчичный.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24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4" s="28" t="str">
        <x:v>зелёные или проросшие клубни не использовать; пережаривание даёт горечь и чрезмерно тёмную корку</x:v>
      </x:c>
      <x:c r="I244" s="28" t="str">
        <x:v>пюре, суп, запекание, крем, гарнир, соус или десертная разработка с брюква</x:v>
      </x:c>
      <x:c r="J244" s="28" t="str">
        <x:v>Средняя</x:v>
      </x:c>
      <x:c r="K244" s="28" t="str">
        <x:v>Тезариус вкусов (Ники Сегнит)(1).pdf</x:v>
      </x:c>
      <x:c r="L244" s="28" t="str">
        <x:v>Тезариус вкусов (Ники Сегнит)(1).pdf: 232, 318</x:v>
      </x:c>
    </x:row>
    <x:row r="245" ht="66" customHeight="1">
      <x:c r="A245" s="28" t="str">
        <x:v>VEG-0325</x:v>
      </x:c>
      <x:c r="B245" s="28" t="str">
        <x:v>картофель</x:v>
      </x:c>
      <x:c r="C245" s="28" t="str">
        <x:v>ветчина</x:v>
      </x:c>
      <x:c r="D245" s="28" t="str">
        <x:v>Мясо и птица</x:v>
      </x:c>
      <x:c r="E245" s="28" t="str">
        <x:v>общие характерные молекулы; пересечение ароматических семейств; умами и солёный контраст</x:v>
      </x:c>
      <x:c r="F245" s="28" t="str">
        <x:v>Картофель имеет профиль «крахмалистый, землистый, ореховый и жареный после нагрева». Партнёр «ветчина»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4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5" s="28" t="str">
        <x:v>зелёные или проросшие клубни не использовать; пережаривание даёт горечь и чрезмерно тёмную корку</x:v>
      </x:c>
      <x:c r="I245" s="28" t="str">
        <x:v>пюре, суп, запекание, крем, гарнир, соус или десертная разработка с ветчина</x:v>
      </x:c>
      <x:c r="J245" s="28" t="str">
        <x:v>Средняя</x:v>
      </x:c>
      <x:c r="K245" s="28" t="str">
        <x:v>The Art &amp; Science of Foodpairing.pdf</x:v>
      </x:c>
      <x:c r="L245" s="28" t="str">
        <x:v>The Art &amp; Science of Foodpairing.pdf: 196</x:v>
      </x:c>
    </x:row>
    <x:row r="246" ht="66" customHeight="1">
      <x:c r="A246" s="28" t="str">
        <x:v>VEG-0326</x:v>
      </x:c>
      <x:c r="B246" s="28" t="str">
        <x:v>картофель</x:v>
      </x:c>
      <x:c r="C246" s="28" t="str">
        <x:v>вишня</x:v>
      </x:c>
      <x:c r="D246" s="28" t="str">
        <x:v>Фрукты и ягоды</x:v>
      </x:c>
      <x:c r="E246" s="28" t="str">
        <x:v>кислотно-сладкий баланс</x:v>
      </x:c>
      <x:c r="F246" s="28" t="str">
        <x:v>Картофель имеет профиль «крахмалистый, землистый, ореховый и жареный после нагрева». Партнёр «вишня» относится к группе «Фрукты и ягоды» и даёт миндальный,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4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6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46" s="28" t="str">
        <x:v>пюре, суп, запекание, крем, гарнир, соус или десертная разработка с вишня</x:v>
      </x:c>
      <x:c r="J246" s="28" t="str">
        <x:v>Средняя</x:v>
      </x:c>
      <x:c r="K246" s="28" t="str">
        <x:v>The Art &amp; Science of Foodpairing.pdf</x:v>
      </x:c>
      <x:c r="L246" s="28" t="str">
        <x:v>The Art &amp; Science of Foodpairing.pdf: 196</x:v>
      </x:c>
    </x:row>
    <x:row r="247" ht="66" customHeight="1">
      <x:c r="A247" s="28" t="str">
        <x:v>VEG-0327</x:v>
      </x:c>
      <x:c r="B247" s="28" t="str">
        <x:v>картофель</x:v>
      </x:c>
      <x:c r="C247" s="28" t="str">
        <x:v>водоросли</x:v>
      </x:c>
      <x:c r="D247" s="28" t="str">
        <x:v>Прочее</x:v>
      </x:c>
      <x:c r="E247" s="28" t="str">
        <x:v>сенсорная комплементарность</x:v>
      </x:c>
      <x:c r="F247" s="28" t="str">
        <x:v>Картофель имеет профиль «крахмалистый, землистый, ореховый и жареный после нагрева». Партнёр «водоросли»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4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7" s="28" t="str">
        <x:v>зелёные или проросшие клубни не использовать; пережаривание даёт горечь и чрезмерно тёмную корку</x:v>
      </x:c>
      <x:c r="I247" s="28" t="str">
        <x:v>пюре, суп, запекание, крем, гарнир, соус или десертная разработка с водоросли</x:v>
      </x:c>
      <x:c r="J247" s="28" t="str">
        <x:v>Высокая</x:v>
      </x:c>
      <x:c r="K247" s="28" t="str">
        <x:v>The Art &amp; Science of Foodpairing.pdf</x:v>
      </x:c>
      <x:c r="L247" s="28" t="str">
        <x:v>The Art &amp; Science of Foodpairing.pdf: 266</x:v>
      </x:c>
    </x:row>
    <x:row r="248" ht="66" customHeight="1">
      <x:c r="A248" s="28" t="str">
        <x:v>VEG-0328</x:v>
      </x:c>
      <x:c r="B248" s="28" t="str">
        <x:v>картофель</x:v>
      </x:c>
      <x:c r="C248" s="28" t="str">
        <x:v>водяной кресс</x:v>
      </x:c>
      <x:c r="D248" s="28" t="str">
        <x:v>Прочее</x:v>
      </x:c>
      <x:c r="E248" s="28" t="str">
        <x:v>сенсорная комплементарность</x:v>
      </x:c>
      <x:c r="F248" s="28" t="str">
        <x:v>Картофель имеет профиль «крахмалистый, землистый, ореховый и жареный после нагрева». Партнёр «водяной кресс»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4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8" s="28" t="str">
        <x:v>зелёные или проросшие клубни не использовать; пережаривание даёт горечь и чрезмерно тёмную корку</x:v>
      </x:c>
      <x:c r="I248" s="28" t="str">
        <x:v>пюре, суп, запекание, крем, гарнир, соус или десертная разработка с водяной кресс</x:v>
      </x:c>
      <x:c r="J248" s="28" t="str">
        <x:v>Средняя</x:v>
      </x:c>
      <x:c r="K248" s="28" t="str">
        <x:v>Тезариус вкусов (Ники Сегнит)(1).pdf</x:v>
      </x:c>
      <x:c r="L248" s="28" t="str">
        <x:v>Тезариус вкусов (Ники Сегнит)(1).pdf: 233, 260</x:v>
      </x:c>
    </x:row>
    <x:row r="249" ht="66" customHeight="1">
      <x:c r="A249" s="28" t="str">
        <x:v>VEG-0329</x:v>
      </x:c>
      <x:c r="B249" s="28" t="str">
        <x:v>картофель</x:v>
      </x:c>
      <x:c r="C249" s="28" t="str">
        <x:v>говядина</x:v>
      </x:c>
      <x:c r="D249" s="28" t="str">
        <x:v>Мясо и птица</x:v>
      </x:c>
      <x:c r="E249" s="28" t="str">
        <x:v>общие характерные молекулы; пересечение ароматических семейств; умами и солёный контраст</x:v>
      </x:c>
      <x:c r="F249" s="28" t="str">
        <x:v>Картофель имеет профиль «крахмалистый, землистый, ореховый и жареный после нагрева». Партнёр «говядина»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4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49" s="28" t="str">
        <x:v>зелёные или проросшие клубни не использовать; пережаривание даёт горечь и чрезмерно тёмную корку</x:v>
      </x:c>
      <x:c r="I249" s="28" t="str">
        <x:v>пюре, суп, запекание, крем, гарнир, соус или десертная разработка с говядина</x:v>
      </x:c>
      <x:c r="J249" s="28" t="str">
        <x:v>Средняя</x:v>
      </x:c>
      <x:c r="K249" s="28" t="str">
        <x:v>Тезариус вкусов (Ники Сегнит)(1).pdf</x:v>
      </x:c>
      <x:c r="L249" s="28" t="str">
        <x:v>Тезариус вкусов (Ники Сегнит)(1).pdf: 111, 233</x:v>
      </x:c>
    </x:row>
    <x:row r="250" ht="66" customHeight="1">
      <x:c r="A250" s="28" t="str">
        <x:v>VEG-0330</x:v>
      </x:c>
      <x:c r="B250" s="28" t="str">
        <x:v>картофель</x:v>
      </x:c>
      <x:c r="C250" s="28" t="str">
        <x:v>говядина сухой выдержки</x:v>
      </x:c>
      <x:c r="D250" s="28" t="str">
        <x:v>Мясо и птица</x:v>
      </x:c>
      <x:c r="E250" s="28" t="str">
        <x:v>общие характерные молекулы; пересечение ароматических семейств; умами и солёный контраст</x:v>
      </x:c>
      <x:c r="F250" s="28" t="str">
        <x:v>Картофель имеет профиль «крахмалистый, землистый, ореховый и жареный после нагрева». Партнёр «говядина сухой выдержки»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5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0" s="28" t="str">
        <x:v>зелёные или проросшие клубни не использовать; пережаривание даёт горечь и чрезмерно тёмную корку</x:v>
      </x:c>
      <x:c r="I250" s="28" t="str">
        <x:v>пюре, суп, запекание, крем, гарнир, соус или десертная разработка с говядина сухой выдержки</x:v>
      </x:c>
      <x:c r="J250" s="28" t="str">
        <x:v>Средняя</x:v>
      </x:c>
      <x:c r="K250" s="28" t="str">
        <x:v>The Art &amp; Science of Foodpairing.pdf</x:v>
      </x:c>
      <x:c r="L250" s="28" t="str">
        <x:v>The Art &amp; Science of Foodpairing.pdf: 196</x:v>
      </x:c>
    </x:row>
    <x:row r="251" ht="66" customHeight="1">
      <x:c r="A251" s="28" t="str">
        <x:v>VEG-0331</x:v>
      </x:c>
      <x:c r="B251" s="28" t="str">
        <x:v>картофель</x:v>
      </x:c>
      <x:c r="C251" s="28" t="str">
        <x:v>горох</x:v>
      </x:c>
      <x:c r="D251" s="28" t="str">
        <x:v>Бобовые</x:v>
      </x:c>
      <x:c r="E251" s="28" t="str">
        <x:v>сенсорная комплементарность</x:v>
      </x:c>
      <x:c r="F251" s="28" t="str">
        <x:v>Картофель имеет профиль «крахмалистый, землистый, ореховый и жареный после нагрева». Партнёр «горох» относится к группе «Бобовые» и даёт зелёный, сладкий, бобовый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5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1" s="28" t="str">
        <x:v>зелёные или проросшие клубни не использовать; пережаривание даёт горечь и чрезмерно тёмную корку</x:v>
      </x:c>
      <x:c r="I251" s="28" t="str">
        <x:v>пюре, суп, запекание, крем, гарнир, соус или десертная разработка с горох</x:v>
      </x:c>
      <x:c r="J251" s="28" t="str">
        <x:v>Средняя</x:v>
      </x:c>
      <x:c r="K251" s="28" t="str">
        <x:v>Тезариус вкусов (Ники Сегнит)(1).pdf</x:v>
      </x:c>
      <x:c r="L251" s="28" t="str">
        <x:v>Тезариус вкусов (Ники Сегнит)(1).pdf: 233, 538</x:v>
      </x:c>
    </x:row>
    <x:row r="252" ht="66" customHeight="1">
      <x:c r="A252" s="28" t="str">
        <x:v>VEG-0332</x:v>
      </x:c>
      <x:c r="B252" s="28" t="str">
        <x:v>картофель</x:v>
      </x:c>
      <x:c r="C252" s="28" t="str">
        <x:v>грюйер</x:v>
      </x:c>
      <x:c r="D252" s="28" t="str">
        <x:v>Прочее</x:v>
      </x:c>
      <x:c r="E252" s="28" t="str">
        <x:v>сенсорная комплементарность</x:v>
      </x:c>
      <x:c r="F252" s="28" t="str">
        <x:v>Картофель имеет профиль «крахмалистый, землистый, ореховый и жареный после нагрева». Партнёр «грюйер»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5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2" s="28" t="str">
        <x:v>зелёные или проросшие клубни не использовать; пережаривание даёт горечь и чрезмерно тёмную корку</x:v>
      </x:c>
      <x:c r="I252" s="28" t="str">
        <x:v>пюре, суп, запекание, крем, гарнир, соус или десертная разработка с грюйер</x:v>
      </x:c>
      <x:c r="J252" s="28" t="str">
        <x:v>Средняя</x:v>
      </x:c>
      <x:c r="K252" s="28" t="str">
        <x:v>The Art &amp; Science of Foodpairing.pdf</x:v>
      </x:c>
      <x:c r="L252" s="28" t="str">
        <x:v>The Art &amp; Science of Foodpairing.pdf: 196</x:v>
      </x:c>
    </x:row>
    <x:row r="253" ht="66" customHeight="1">
      <x:c r="A253" s="28" t="str">
        <x:v>VEG-0333</x:v>
      </x:c>
      <x:c r="B253" s="28" t="str">
        <x:v>картофель</x:v>
      </x:c>
      <x:c r="C253" s="28" t="str">
        <x:v>гуава</x:v>
      </x:c>
      <x:c r="D253" s="28" t="str">
        <x:v>Фрукты и ягоды</x:v>
      </x:c>
      <x:c r="E253" s="28" t="str">
        <x:v>общие характерные молекулы; кислотно-сладкий баланс</x:v>
      </x:c>
      <x:c r="F253" s="28" t="str">
        <x:v>Картофель имеет профиль «крахмалистый, землистый, ореховый и жареный после нагрева». Партнёр «гуава»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5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3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53" s="28" t="str">
        <x:v>пюре, суп, запекание, крем, гарнир, соус или десертная разработка с гуава</x:v>
      </x:c>
      <x:c r="J253" s="28" t="str">
        <x:v>Средняя</x:v>
      </x:c>
      <x:c r="K253" s="28" t="str">
        <x:v>The Art &amp; Science of Foodpairing.pdf</x:v>
      </x:c>
      <x:c r="L253" s="28" t="str">
        <x:v>The Art &amp; Science of Foodpairing.pdf: 196</x:v>
      </x:c>
    </x:row>
    <x:row r="254" ht="66" customHeight="1">
      <x:c r="A254" s="28" t="str">
        <x:v>VEG-0334</x:v>
      </x:c>
      <x:c r="B254" s="28" t="str">
        <x:v>картофель</x:v>
      </x:c>
      <x:c r="C254" s="28" t="str">
        <x:v>дикая утка</x:v>
      </x:c>
      <x:c r="D254" s="28" t="str">
        <x:v>Мясо и птица</x:v>
      </x:c>
      <x:c r="E254" s="28" t="str">
        <x:v>общие характерные молекулы; пересечение ароматических семейств; умами и солёный контраст</x:v>
      </x:c>
      <x:c r="F254" s="28" t="str">
        <x:v>Картофель имеет профиль «крахмалистый, землистый, ореховый и жареный после нагрева». Партнёр «дикая утка»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5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4" s="28" t="str">
        <x:v>зелёные или проросшие клубни не использовать; пережаривание даёт горечь и чрезмерно тёмную корку</x:v>
      </x:c>
      <x:c r="I254" s="28" t="str">
        <x:v>пюре, суп, запекание, крем, гарнир, соус или десертная разработка с дикая утка</x:v>
      </x:c>
      <x:c r="J254" s="28" t="str">
        <x:v>Средняя</x:v>
      </x:c>
      <x:c r="K254" s="28" t="str">
        <x:v>The Art &amp; Science of Foodpairing.pdf</x:v>
      </x:c>
      <x:c r="L254" s="28" t="str">
        <x:v>The Art &amp; Science of Foodpairing.pdf: 196</x:v>
      </x:c>
    </x:row>
    <x:row r="255" ht="66" customHeight="1">
      <x:c r="A255" s="28" t="str">
        <x:v>VEG-0335</x:v>
      </x:c>
      <x:c r="B255" s="28" t="str">
        <x:v>картофель</x:v>
      </x:c>
      <x:c r="C255" s="28" t="str">
        <x:v>дыня</x:v>
      </x:c>
      <x:c r="D255" s="28" t="str">
        <x:v>Фрукты и ягоды</x:v>
      </x:c>
      <x:c r="E255" s="28" t="str">
        <x:v>общие характерные молекулы; кислотно-сладкий баланс</x:v>
      </x:c>
      <x:c r="F255" s="28" t="str">
        <x:v>Картофель имеет профиль «крахмалистый, землистый, ореховый и жареный после нагрева». Партнёр «дыня»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5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5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55" s="28" t="str">
        <x:v>пюре, суп, запекание, крем, гарнир, соус или десертная разработка с дыня</x:v>
      </x:c>
      <x:c r="J255" s="28" t="str">
        <x:v>Средняя</x:v>
      </x:c>
      <x:c r="K255" s="28" t="str">
        <x:v>The Art &amp; Science of Foodpairing.pdf</x:v>
      </x:c>
      <x:c r="L255" s="28" t="str">
        <x:v>The Art &amp; Science of Foodpairing.pdf: 196</x:v>
      </x:c>
    </x:row>
    <x:row r="256" ht="66" customHeight="1">
      <x:c r="A256" s="28" t="str">
        <x:v>VEG-0336</x:v>
      </x:c>
      <x:c r="B256" s="28" t="str">
        <x:v>картофель</x:v>
      </x:c>
      <x:c r="C256" s="28" t="str">
        <x:v>жареная курица</x:v>
      </x:c>
      <x:c r="D256" s="28" t="str">
        <x:v>Мясо и птица</x:v>
      </x:c>
      <x:c r="E256" s="28" t="str">
        <x:v>общие характерные молекулы; пересечение ароматических семейств; умами и солёный контраст</x:v>
      </x:c>
      <x:c r="F256" s="28" t="str">
        <x:v>Картофель имеет профиль «крахмалистый, землистый, ореховый и жареный после нагрева». Партнёр «жареная курица»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5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6" s="28" t="str">
        <x:v>зелёные или проросшие клубни не использовать; пережаривание даёт горечь и чрезмерно тёмную корку</x:v>
      </x:c>
      <x:c r="I256" s="28" t="str">
        <x:v>пюре, суп, запекание, крем, гарнир, соус или десертная разработка с жареная курица</x:v>
      </x:c>
      <x:c r="J256" s="28" t="str">
        <x:v>Средняя</x:v>
      </x:c>
      <x:c r="K256" s="28" t="str">
        <x:v>The Art &amp; Science of Foodpairing.pdf</x:v>
      </x:c>
      <x:c r="L256" s="28" t="str">
        <x:v>The Art &amp; Science of Foodpairing.pdf: 196</x:v>
      </x:c>
    </x:row>
    <x:row r="257" ht="66" customHeight="1">
      <x:c r="A257" s="28" t="str">
        <x:v>VEG-0337</x:v>
      </x:c>
      <x:c r="B257" s="28" t="str">
        <x:v>картофель</x:v>
      </x:c>
      <x:c r="C257" s="28" t="str">
        <x:v>жасмин</x:v>
      </x:c>
      <x:c r="D257" s="28" t="str">
        <x:v>Травы, цветы и листья</x:v>
      </x:c>
      <x:c r="E257" s="28" t="str">
        <x:v>сенсорная комплементарность</x:v>
      </x:c>
      <x:c r="F257" s="28" t="str">
        <x:v>Картофель имеет профиль «крахмалистый, землистый, ореховый и жареный после нагрева». Партнёр «жасмин»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5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7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57" s="28" t="str">
        <x:v>пюре, суп, запекание, крем, гарнир, соус или десертная разработка с жасмин</x:v>
      </x:c>
      <x:c r="J257" s="28" t="str">
        <x:v>Средняя</x:v>
      </x:c>
      <x:c r="K257" s="28" t="str">
        <x:v>The Art &amp; Science of Foodpairing.pdf</x:v>
      </x:c>
      <x:c r="L257" s="28" t="str">
        <x:v>The Art &amp; Science of Foodpairing.pdf: 210</x:v>
      </x:c>
    </x:row>
    <x:row r="258" ht="66" customHeight="1">
      <x:c r="A258" s="28" t="str">
        <x:v>VEG-0338</x:v>
      </x:c>
      <x:c r="B258" s="28" t="str">
        <x:v>картофель</x:v>
      </x:c>
      <x:c r="C258" s="28" t="str">
        <x:v>жирная рыба</x:v>
      </x:c>
      <x:c r="D258" s="28" t="str">
        <x:v>Рыба и морепродукты</x:v>
      </x:c>
      <x:c r="E258" s="28" t="str">
        <x:v>общие характерные молекулы; умами и солёный контраст</x:v>
      </x:c>
      <x:c r="F258" s="28" t="str">
        <x:v>Картофель имеет профиль «крахмалистый, землистый, ореховый и жареный после нагрева». Партнёр «жирная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5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8" s="28" t="str">
        <x:v>зелёные или проросшие клубни не использовать; пережаривание даёт горечь и чрезмерно тёмную корку</x:v>
      </x:c>
      <x:c r="I258" s="28" t="str">
        <x:v>пюре, суп, запекание, крем, гарнир, соус или десертная разработка с жирная рыба</x:v>
      </x:c>
      <x:c r="J258" s="28" t="str">
        <x:v>Средняя</x:v>
      </x:c>
      <x:c r="K258" s="28" t="str">
        <x:v>Тезариус вкусов (Ники Сегнит)(1).pdf</x:v>
      </x:c>
      <x:c r="L258" s="28" t="str">
        <x:v>Тезариус вкусов (Ники Сегнит)(1).pdf: 235, 412</x:v>
      </x:c>
    </x:row>
    <x:row r="259" ht="66" customHeight="1">
      <x:c r="A259" s="28" t="str">
        <x:v>VEG-0339</x:v>
      </x:c>
      <x:c r="B259" s="28" t="str">
        <x:v>картофель</x:v>
      </x:c>
      <x:c r="C259" s="28" t="str">
        <x:v>зира</x:v>
      </x:c>
      <x:c r="D259" s="28" t="str">
        <x:v>Специи</x:v>
      </x:c>
      <x:c r="E259" s="28" t="str">
        <x:v>пересечение ароматических семейств</x:v>
      </x:c>
      <x:c r="F259" s="28" t="str">
        <x:v>Картофель имеет профиль «крахмалистый, землистый, ореховый и жареный после нагрева». Партнёр «зира» относится к группе «Специи» и даёт жареный, землистый, пряный. Профили пересекаются в семействах: жареный, землистый.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5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59" s="28" t="str">
        <x:v>зелёные или проросшие клубни не использовать; пережаривание даёт горечь и чрезмерно тёмную корку</x:v>
      </x:c>
      <x:c r="I259" s="28" t="str">
        <x:v>пюре, суп, запекание, крем, гарнир, соус или десертная разработка с зира</x:v>
      </x:c>
      <x:c r="J259" s="28" t="str">
        <x:v>Средняя</x:v>
      </x:c>
      <x:c r="K259" s="28" t="str">
        <x:v>Тезариус вкусов (Ники Сегнит)(1).pdf</x:v>
      </x:c>
      <x:c r="L259" s="28" t="str">
        <x:v>Тезариус вкусов (Ники Сегнит)(1).pdf: 216, 235</x:v>
      </x:c>
    </x:row>
    <x:row r="260" ht="66" customHeight="1">
      <x:c r="A260" s="28" t="str">
        <x:v>VEG-0340</x:v>
      </x:c>
      <x:c r="B260" s="28" t="str">
        <x:v>картофель</x:v>
      </x:c>
      <x:c r="C260" s="28" t="str">
        <x:v>имбирь</x:v>
      </x:c>
      <x:c r="D260" s="28" t="str">
        <x:v>Специи</x:v>
      </x:c>
      <x:c r="E260" s="28" t="str">
        <x:v>сенсорная комплементарность</x:v>
      </x:c>
      <x:c r="F260" s="28" t="str">
        <x:v>Картофель имеет профиль «крахмалистый, землистый, ореховый и жареный после нагрева».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6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0" s="28" t="str">
        <x:v>зелёные или проросшие клубни не использовать; пережаривание даёт горечь и чрезмерно тёмную корку</x:v>
      </x:c>
      <x:c r="I260" s="28" t="str">
        <x:v>пюре, суп, запекание, крем, гарнир, соус или десертная разработка с имбирь</x:v>
      </x:c>
      <x:c r="J260" s="28" t="str">
        <x:v>Средняя</x:v>
      </x:c>
      <x:c r="K260" s="28" t="str">
        <x:v>The Art &amp; Science of Foodpairing.pdf</x:v>
      </x:c>
      <x:c r="L260" s="28" t="str">
        <x:v>The Art &amp; Science of Foodpairing.pdf: 142</x:v>
      </x:c>
    </x:row>
    <x:row r="261" ht="66" customHeight="1">
      <x:c r="A261" s="28" t="str">
        <x:v>VEG-0341</x:v>
      </x:c>
      <x:c r="B261" s="28" t="str">
        <x:v>картофель</x:v>
      </x:c>
      <x:c r="C261" s="28" t="str">
        <x:v>испанский чоризо</x:v>
      </x:c>
      <x:c r="D261" s="28" t="str">
        <x:v>Прочее</x:v>
      </x:c>
      <x:c r="E261" s="28" t="str">
        <x:v>сенсорная комплементарность</x:v>
      </x:c>
      <x:c r="F261" s="28" t="str">
        <x:v>Картофель имеет профиль «крахмалистый, землистый, ореховый и жареный после нагрева».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1" s="28" t="str">
        <x:v>зелёные или проросшие клубни не использовать; пережаривание даёт горечь и чрезмерно тёмную корку</x:v>
      </x:c>
      <x:c r="I261" s="28" t="str">
        <x:v>пюре, суп, запекание, крем, гарнир, соус или десертная разработка с испанский чоризо</x:v>
      </x:c>
      <x:c r="J261" s="28" t="str">
        <x:v>Средняя</x:v>
      </x:c>
      <x:c r="K261" s="28" t="str">
        <x:v>The Art &amp; Science of Foodpairing.pdf</x:v>
      </x:c>
      <x:c r="L261" s="28" t="str">
        <x:v>The Art &amp; Science of Foodpairing.pdf: 196</x:v>
      </x:c>
    </x:row>
    <x:row r="262" ht="66" customHeight="1">
      <x:c r="A262" s="28" t="str">
        <x:v>VEG-0342</x:v>
      </x:c>
      <x:c r="B262" s="28" t="str">
        <x:v>картофель</x:v>
      </x:c>
      <x:c r="C262" s="28" t="str">
        <x:v>каперсы</x:v>
      </x:c>
      <x:c r="D262" s="28" t="str">
        <x:v>Прочее</x:v>
      </x:c>
      <x:c r="E262" s="28" t="str">
        <x:v>сенсорная комплементарность</x:v>
      </x:c>
      <x:c r="F262" s="28" t="str">
        <x:v>Картофель имеет профиль «крахмалистый, землистый, ореховый и жареный после нагрева».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2" s="28" t="str">
        <x:v>зелёные или проросшие клубни не использовать; пережаривание даёт горечь и чрезмерно тёмную корку</x:v>
      </x:c>
      <x:c r="I262" s="28" t="str">
        <x:v>пюре, суп, запекание, крем, гарнир, соус или десертная разработка с каперсы</x:v>
      </x:c>
      <x:c r="J262" s="28" t="str">
        <x:v>Средняя</x:v>
      </x:c>
      <x:c r="K262" s="28" t="str">
        <x:v>Тезариус вкусов (Ники Сегнит)(1).pdf</x:v>
      </x:c>
      <x:c r="L262" s="28" t="str">
        <x:v>Тезариус вкусов (Ники Сегнит)(1).pdf: 235, 268</x:v>
      </x:c>
    </x:row>
    <x:row r="263" ht="66" customHeight="1">
      <x:c r="A263" s="28" t="str">
        <x:v>VEG-0343</x:v>
      </x:c>
      <x:c r="B263" s="28" t="str">
        <x:v>картофель</x:v>
      </x:c>
      <x:c r="C263" s="28" t="str">
        <x:v>капуста</x:v>
      </x:c>
      <x:c r="D263" s="28" t="str">
        <x:v>Крестоцветные</x:v>
      </x:c>
      <x:c r="E263" s="28" t="str">
        <x:v>пересечение ароматических семейств</x:v>
      </x:c>
      <x:c r="F263" s="28" t="str">
        <x:v>Картофель имеет профиль «крахмалистый, землистый, ореховый и жареный после нагрева».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формируется за счёт баланса сладости, кислотности, горечи, умами и текстуры.</x:v>
      </x:c>
      <x:c r="G26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3" s="28" t="str">
        <x:v>зелёные или проросшие клубни не использовать; пережаривание даёт горечь и чрезмерно тёмную корку</x:v>
      </x:c>
      <x:c r="I263" s="28" t="str">
        <x:v>пюре, суп, запекание, крем, гарнир, соус или десертная разработка с капуста</x:v>
      </x:c>
      <x:c r="J263" s="28" t="str">
        <x:v>Средняя</x:v>
      </x:c>
      <x:c r="K263" s="28" t="str">
        <x:v>Тезариус вкусов (Ники Сегнит)(1).pdf</x:v>
      </x:c>
      <x:c r="L263" s="28" t="str">
        <x:v>Тезариус вкусов (Ники Сегнит)(1).pdf: 235, 311</x:v>
      </x:c>
    </x:row>
    <x:row r="264" ht="66" customHeight="1">
      <x:c r="A264" s="28" t="str">
        <x:v>VEG-0344</x:v>
      </x:c>
      <x:c r="B264" s="28" t="str">
        <x:v>картофель</x:v>
      </x:c>
      <x:c r="C264" s="28" t="str">
        <x:v>каракатица</x:v>
      </x:c>
      <x:c r="D264" s="28" t="str">
        <x:v>Рыба и морепродукты</x:v>
      </x:c>
      <x:c r="E264" s="28" t="str">
        <x:v>общие характерные молекулы; умами и солёный контраст</x:v>
      </x:c>
      <x:c r="F264" s="28" t="str">
        <x:v>Картофель имеет профиль «крахмалистый, землистый, ореховый и жареный после нагрева». Партнёр «каракатица»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6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4" s="28" t="str">
        <x:v>зелёные или проросшие клубни не использовать; пережаривание даёт горечь и чрезмерно тёмную корку</x:v>
      </x:c>
      <x:c r="I264" s="28" t="str">
        <x:v>пюре, суп, запекание, крем, гарнир, соус или десертная разработка с каракатица</x:v>
      </x:c>
      <x:c r="J264" s="28" t="str">
        <x:v>Средняя</x:v>
      </x:c>
      <x:c r="K264" s="28" t="str">
        <x:v>The Art &amp; Science of Foodpairing.pdf</x:v>
      </x:c>
      <x:c r="L264" s="28" t="str">
        <x:v>The Art &amp; Science of Foodpairing.pdf: 196</x:v>
      </x:c>
    </x:row>
    <x:row r="265" ht="66" customHeight="1">
      <x:c r="A265" s="28" t="str">
        <x:v>VEG-0345</x:v>
      </x:c>
      <x:c r="B265" s="28" t="str">
        <x:v>картофель</x:v>
      </x:c>
      <x:c r="C265" s="28" t="str">
        <x:v>кардамон</x:v>
      </x:c>
      <x:c r="D265" s="28" t="str">
        <x:v>Специи</x:v>
      </x:c>
      <x:c r="E265" s="28" t="str">
        <x:v>сенсорная комплементарность</x:v>
      </x:c>
      <x:c r="F265" s="28" t="str">
        <x:v>Картофель имеет профиль «крахмалистый, землистый, ореховый и жареный после нагрева». Партнёр «кардамон» относится к группе «Специи» и даёт камфорный,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26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5" s="28" t="str">
        <x:v>зелёные или проросшие клубни не использовать; пережаривание даёт горечь и чрезмерно тёмную корку</x:v>
      </x:c>
      <x:c r="I265" s="28" t="str">
        <x:v>пюре, суп, запекание, крем, гарнир, соус или десертная разработка с кардамон</x:v>
      </x:c>
      <x:c r="J265" s="28" t="str">
        <x:v>Средняя</x:v>
      </x:c>
      <x:c r="K265" s="28" t="str">
        <x:v>The Art &amp; Science of Foodpairing.pdf</x:v>
      </x:c>
      <x:c r="L265" s="28" t="str">
        <x:v>The Art &amp; Science of Foodpairing.pdf: 196</x:v>
      </x:c>
    </x:row>
    <x:row r="266" ht="66" customHeight="1">
      <x:c r="A266" s="28" t="str">
        <x:v>VEG-0346</x:v>
      </x:c>
      <x:c r="B266" s="28" t="str">
        <x:v>картофель</x:v>
      </x:c>
      <x:c r="C266" s="28" t="str">
        <x:v>картофель фри</x:v>
      </x:c>
      <x:c r="D266" s="28" t="str">
        <x:v>Корнеплоды и клубни</x:v>
      </x:c>
      <x:c r="E266" s="28" t="str">
        <x:v>общие характерные молекулы; пересечение ароматических семейств</x:v>
      </x:c>
      <x:c r="F266" s="28" t="str">
        <x:v>Картофель имеет профиль «крахмалистый, землистый, ореховый и жареный после нагрева». Партнёр «картофель фри» относится к группе «Корнеплоды и клубни» и даёт землистый, сладкий или крахмалистый.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26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6" s="28" t="str">
        <x:v>зелёные или проросшие клубни не использовать; пережаривание даёт горечь и чрезмерно тёмную корку</x:v>
      </x:c>
      <x:c r="I266" s="28" t="str">
        <x:v>пюре, суп, запекание, крем, гарнир, соус или десертная разработка с картофель фри</x:v>
      </x:c>
      <x:c r="J266" s="28" t="str">
        <x:v>Средняя</x:v>
      </x:c>
      <x:c r="K266" s="28" t="str">
        <x:v>The Art &amp; Science of Foodpairing.pdf</x:v>
      </x:c>
      <x:c r="L266" s="28" t="str">
        <x:v>The Art &amp; Science of Foodpairing.pdf: 196</x:v>
      </x:c>
    </x:row>
    <x:row r="267" ht="66" customHeight="1">
      <x:c r="A267" s="28" t="str">
        <x:v>VEG-0347</x:v>
      </x:c>
      <x:c r="B267" s="28" t="str">
        <x:v>картофель</x:v>
      </x:c>
      <x:c r="C267" s="28" t="str">
        <x:v>кетчуп</x:v>
      </x:c>
      <x:c r="D267" s="28" t="str">
        <x:v>Прочее</x:v>
      </x:c>
      <x:c r="E267" s="28" t="str">
        <x:v>сенсорная комплементарность</x:v>
      </x:c>
      <x:c r="F267" s="28" t="str">
        <x:v>Картофель имеет профиль «крахмалистый, землистый, ореховый и жареный после нагрева». Партнёр «кетчуп»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7" s="28" t="str">
        <x:v>зелёные или проросшие клубни не использовать; пережаривание даёт горечь и чрезмерно тёмную корку</x:v>
      </x:c>
      <x:c r="I267" s="28" t="str">
        <x:v>пюре, суп, запекание, крем, гарнир, соус или десертная разработка с кетчуп</x:v>
      </x:c>
      <x:c r="J267" s="28" t="str">
        <x:v>Высокая</x:v>
      </x:c>
      <x:c r="K267" s="28" t="str">
        <x:v>The Art &amp; Science of Foodpairing.pdf</x:v>
      </x:c>
      <x:c r="L267" s="28" t="str">
        <x:v>The Art &amp; Science of Foodpairing.pdf: 197</x:v>
      </x:c>
    </x:row>
    <x:row r="268" ht="66" customHeight="1">
      <x:c r="A268" s="28" t="str">
        <x:v>VEG-0348</x:v>
      </x:c>
      <x:c r="B268" s="28" t="str">
        <x:v>картофель</x:v>
      </x:c>
      <x:c r="C268" s="28" t="str">
        <x:v>киноа</x:v>
      </x:c>
      <x:c r="D268" s="28" t="str">
        <x:v>Прочее</x:v>
      </x:c>
      <x:c r="E268" s="28" t="str">
        <x:v>сенсорная комплементарность</x:v>
      </x:c>
      <x:c r="F268" s="28" t="str">
        <x:v>Картофель имеет профиль «крахмалистый, землистый, ореховый и жареный после нагрева». Партнёр «киноа»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6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8" s="28" t="str">
        <x:v>зелёные или проросшие клубни не использовать; пережаривание даёт горечь и чрезмерно тёмную корку</x:v>
      </x:c>
      <x:c r="I268" s="28" t="str">
        <x:v>пюре, суп, запекание, крем, гарнир, соус или десертная разработка с киноа</x:v>
      </x:c>
      <x:c r="J268" s="28" t="str">
        <x:v>Средняя</x:v>
      </x:c>
      <x:c r="K268" s="28" t="str">
        <x:v>The Art &amp; Science of Foodpairing.pdf</x:v>
      </x:c>
      <x:c r="L268" s="28" t="str">
        <x:v>The Art &amp; Science of Foodpairing.pdf: 196</x:v>
      </x:c>
    </x:row>
    <x:row r="269" ht="66" customHeight="1">
      <x:c r="A269" s="28" t="str">
        <x:v>VEG-0349</x:v>
      </x:c>
      <x:c r="B269" s="28" t="str">
        <x:v>картофель</x:v>
      </x:c>
      <x:c r="C269" s="28" t="str">
        <x:v>клубника</x:v>
      </x:c>
      <x:c r="D269" s="28" t="str">
        <x:v>Фрукты и ягоды</x:v>
      </x:c>
      <x:c r="E269" s="28" t="str">
        <x:v>кислотно-сладкий баланс</x:v>
      </x:c>
      <x:c r="F269" s="28" t="str">
        <x:v>Картофель имеет профиль «крахмалистый, землистый, ореховый и жареный после нагрева».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6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69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69" s="28" t="str">
        <x:v>пюре, суп, запекание, крем, гарнир, соус или десертная разработка с клубника</x:v>
      </x:c>
      <x:c r="J269" s="28" t="str">
        <x:v>Средняя</x:v>
      </x:c>
      <x:c r="K269" s="28" t="str">
        <x:v>The Art &amp; Science of Foodpairing.pdf</x:v>
      </x:c>
      <x:c r="L269" s="28" t="str">
        <x:v>The Art &amp; Science of Foodpairing.pdf: 196</x:v>
      </x:c>
    </x:row>
    <x:row r="270" ht="66" customHeight="1">
      <x:c r="A270" s="28" t="str">
        <x:v>VEG-0350</x:v>
      </x:c>
      <x:c r="B270" s="28" t="str">
        <x:v>картофель</x:v>
      </x:c>
      <x:c r="C270" s="28" t="str">
        <x:v>кокос</x:v>
      </x:c>
      <x:c r="D270" s="28" t="str">
        <x:v>Прочее</x:v>
      </x:c>
      <x:c r="E270" s="28" t="str">
        <x:v>сенсорная комплементарность</x:v>
      </x:c>
      <x:c r="F270" s="28" t="str">
        <x:v>Картофель имеет профиль «крахмалистый, землистый, ореховый и жареный после нагрева». Партнёр «кокос» относится к группе «Прочее» и даёт лактонный, сливочный.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7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0" s="28" t="str">
        <x:v>зелёные или проросшие клубни не использовать; пережаривание даёт горечь и чрезмерно тёмную корку</x:v>
      </x:c>
      <x:c r="I270" s="28" t="str">
        <x:v>пюре, суп, запекание, крем, гарнир, соус или десертная разработка с кокос</x:v>
      </x:c>
      <x:c r="J270" s="28" t="str">
        <x:v>Средняя</x:v>
      </x:c>
      <x:c r="K270" s="28" t="str">
        <x:v>The Art &amp; Science of Foodpairing.pdf</x:v>
      </x:c>
      <x:c r="L270" s="28" t="str">
        <x:v>The Art &amp; Science of Foodpairing.pdf: 135</x:v>
      </x:c>
    </x:row>
    <x:row r="271" ht="66" customHeight="1">
      <x:c r="A271" s="28" t="str">
        <x:v>VEG-0351</x:v>
      </x:c>
      <x:c r="B271" s="28" t="str">
        <x:v>картофель</x:v>
      </x:c>
      <x:c r="C271" s="28" t="str">
        <x:v>копченая рыба</x:v>
      </x:c>
      <x:c r="D271" s="28" t="str">
        <x:v>Рыба и морепродукты</x:v>
      </x:c>
      <x:c r="E271" s="28" t="str">
        <x:v>общие характерные молекулы; умами и солёный контраст</x:v>
      </x:c>
      <x:c r="F271" s="28" t="str">
        <x:v>Картофель имеет профиль «крахмалистый, землистый, ореховый и жареный после нагрева». Партнёр «копченая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7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1" s="28" t="str">
        <x:v>зелёные или проросшие клубни не использовать; пережаривание даёт горечь и чрезмерно тёмную корку</x:v>
      </x:c>
      <x:c r="I271" s="28" t="str">
        <x:v>пюре, суп, запекание, крем, гарнир, соус или десертная разработка с копченая рыба</x:v>
      </x:c>
      <x:c r="J271" s="28" t="str">
        <x:v>Средняя</x:v>
      </x:c>
      <x:c r="K271" s="28" t="str">
        <x:v>Тезариус вкусов (Ники Сегнит)(1).pdf</x:v>
      </x:c>
      <x:c r="L271" s="28" t="str">
        <x:v>Тезариус вкусов (Ники Сегнит)(1).pdf: 236, 435</x:v>
      </x:c>
    </x:row>
    <x:row r="272" ht="66" customHeight="1">
      <x:c r="A272" s="28" t="str">
        <x:v>VEG-0352</x:v>
      </x:c>
      <x:c r="B272" s="28" t="str">
        <x:v>картофель</x:v>
      </x:c>
      <x:c r="C272" s="28" t="str">
        <x:v>корейский рыбный соус</x:v>
      </x:c>
      <x:c r="D272" s="28" t="str">
        <x:v>Рыба и морепродукты</x:v>
      </x:c>
      <x:c r="E272" s="28" t="str">
        <x:v>общие характерные молекулы; умами и солёный контраст</x:v>
      </x:c>
      <x:c r="F272" s="28" t="str">
        <x:v>Картофель имеет профиль «крахмалистый, землистый, ореховый и жареный после нагрева». Партнёр «корейский рыбный соус»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7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2" s="28" t="str">
        <x:v>зелёные или проросшие клубни не использовать; пережаривание даёт горечь и чрезмерно тёмную корку</x:v>
      </x:c>
      <x:c r="I272" s="28" t="str">
        <x:v>пюре, суп, запекание, крем, гарнир, соус или десертная разработка с корейский рыбный соус</x:v>
      </x:c>
      <x:c r="J272" s="28" t="str">
        <x:v>Средняя</x:v>
      </x:c>
      <x:c r="K272" s="28" t="str">
        <x:v>The Art &amp; Science of Foodpairing.pdf</x:v>
      </x:c>
      <x:c r="L272" s="28" t="str">
        <x:v>The Art &amp; Science of Foodpairing.pdf: 196</x:v>
      </x:c>
    </x:row>
    <x:row r="273" ht="66" customHeight="1">
      <x:c r="A273" s="28" t="str">
        <x:v>VEG-0353</x:v>
      </x:c>
      <x:c r="B273" s="28" t="str">
        <x:v>картофель</x:v>
      </x:c>
      <x:c r="C273" s="28" t="str">
        <x:v>кофе</x:v>
      </x:c>
      <x:c r="D273" s="28" t="str">
        <x:v>Кофе</x:v>
      </x:c>
      <x:c r="E273" s="28" t="str">
        <x:v>общие характерные молекулы; пересечение ароматических семейств</x:v>
      </x:c>
      <x:c r="F273" s="28" t="str">
        <x:v>Картофель имеет профиль «крахмалистый, землистый, ореховый и жареный после нагрева».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27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3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I273" s="28" t="str">
        <x:v>пюре, суп, запекание, крем, гарнир, соус или десертная разработка с кофе</x:v>
      </x:c>
      <x:c r="J273" s="28" t="str">
        <x:v>Средняя</x:v>
      </x:c>
      <x:c r="K273" s="28" t="str">
        <x:v>The Art &amp; Science of Foodpairing.pdf</x:v>
      </x:c>
      <x:c r="L273" s="28" t="str">
        <x:v>The Art &amp; Science of Foodpairing.pdf: 196</x:v>
      </x:c>
    </x:row>
    <x:row r="274" ht="66" customHeight="1">
      <x:c r="A274" s="28" t="str">
        <x:v>VEG-0354</x:v>
      </x:c>
      <x:c r="B274" s="28" t="str">
        <x:v>картофель</x:v>
      </x:c>
      <x:c r="C274" s="28" t="str">
        <x:v>краб</x:v>
      </x:c>
      <x:c r="D274" s="28" t="str">
        <x:v>Рыба и морепродукты</x:v>
      </x:c>
      <x:c r="E274" s="28" t="str">
        <x:v>общие характерные молекулы; умами и солёный контраст</x:v>
      </x:c>
      <x:c r="F274" s="28" t="str">
        <x:v>Картофель имеет профиль «крахмалистый, землистый, ореховый и жареный после нагрева». Партнёр «краб»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7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4" s="28" t="str">
        <x:v>зелёные или проросшие клубни не использовать; пережаривание даёт горечь и чрезмерно тёмную корку</x:v>
      </x:c>
      <x:c r="I274" s="28" t="str">
        <x:v>пюре, суп, запекание, крем, гарнир, соус или десертная разработка с краб</x:v>
      </x:c>
      <x:c r="J274" s="28" t="str">
        <x:v>Средняя</x:v>
      </x:c>
      <x:c r="K274" s="28" t="str">
        <x:v>The Art &amp; Science of Foodpairing.pdf</x:v>
      </x:c>
      <x:c r="L274" s="28" t="str">
        <x:v>The Art &amp; Science of Foodpairing.pdf: 196</x:v>
      </x:c>
    </x:row>
    <x:row r="275" ht="66" customHeight="1">
      <x:c r="A275" s="28" t="str">
        <x:v>VEG-0355</x:v>
      </x:c>
      <x:c r="B275" s="28" t="str">
        <x:v>картофель</x:v>
      </x:c>
      <x:c r="C275" s="28" t="str">
        <x:v>кунжутная халва</x:v>
      </x:c>
      <x:c r="D275" s="28" t="str">
        <x:v>Орехи и семена</x:v>
      </x:c>
      <x:c r="E275" s="28" t="str">
        <x:v>общие характерные молекулы; пересечение ароматических семейств</x:v>
      </x:c>
      <x:c r="F275" s="28" t="str">
        <x:v>Картофель имеет профиль «крахмалистый, землистый, ореховый и жареный после нагрева». Партнёр «кунжутная халва» относится к группе «Орехи и семена» и даёт ореховый, жареный и жирный. Вероятный молекулярный мост: альдегиды, пиразины. Обжаренные партнёры добавляют пиразины и фураны; это особенно эффективно после запекания, гриля или карамелизации овоща.</x:v>
      </x:c>
      <x:c r="G27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5" s="28" t="str">
        <x:v>зелёные или проросшие клубни не использовать; пережаривание даёт горечь и чрезмерно тёмную корку</x:v>
      </x:c>
      <x:c r="I275" s="28" t="str">
        <x:v>пюре, суп, запекание, крем, гарнир, соус или десертная разработка с кунжутная халва</x:v>
      </x:c>
      <x:c r="J275" s="28" t="str">
        <x:v>Средняя</x:v>
      </x:c>
      <x:c r="K275" s="28" t="str">
        <x:v>The Art &amp; Science of Foodpairing.pdf</x:v>
      </x:c>
      <x:c r="L275" s="28" t="str">
        <x:v>The Art &amp; Science of Foodpairing.pdf: 196</x:v>
      </x:c>
    </x:row>
    <x:row r="276" ht="66" customHeight="1">
      <x:c r="A276" s="28" t="str">
        <x:v>VEG-0356</x:v>
      </x:c>
      <x:c r="B276" s="28" t="str">
        <x:v>картофель</x:v>
      </x:c>
      <x:c r="C276" s="28" t="str">
        <x:v>лангустин</x:v>
      </x:c>
      <x:c r="D276" s="28" t="str">
        <x:v>Рыба и морепродукты</x:v>
      </x:c>
      <x:c r="E276" s="28" t="str">
        <x:v>общие характерные молекулы; умами и солёный контраст</x:v>
      </x:c>
      <x:c r="F276" s="28" t="str">
        <x:v>Картофель имеет профиль «крахмалистый, землистый, ореховый и жареный после нагрева». Партнёр «лангустин»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7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6" s="28" t="str">
        <x:v>зелёные или проросшие клубни не использовать; пережаривание даёт горечь и чрезмерно тёмную корку</x:v>
      </x:c>
      <x:c r="I276" s="28" t="str">
        <x:v>пюре, суп, запекание, крем, гарнир, соус или десертная разработка с лангустин</x:v>
      </x:c>
      <x:c r="J276" s="28" t="str">
        <x:v>Средняя</x:v>
      </x:c>
      <x:c r="K276" s="28" t="str">
        <x:v>The Art &amp; Science of Foodpairing.pdf</x:v>
      </x:c>
      <x:c r="L276" s="28" t="str">
        <x:v>The Art &amp; Science of Foodpairing.pdf: 196</x:v>
      </x:c>
    </x:row>
    <x:row r="277" ht="66" customHeight="1">
      <x:c r="A277" s="28" t="str">
        <x:v>VEG-0357</x:v>
      </x:c>
      <x:c r="B277" s="28" t="str">
        <x:v>картофель</x:v>
      </x:c>
      <x:c r="C277" s="28" t="str">
        <x:v>летний трюфель</x:v>
      </x:c>
      <x:c r="D277" s="28" t="str">
        <x:v>Грибы</x:v>
      </x:c>
      <x:c r="E277" s="28" t="str">
        <x:v>пересечение ароматических семейств; умами и солёный контраст</x:v>
      </x:c>
      <x:c r="F277" s="28" t="str">
        <x:v>Картофель имеет профиль «крахмалистый, землистый, ореховый и жареный после нагрева». Партнёр «летний 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27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7" s="28" t="str">
        <x:v>зелёные или проросшие клубни не использовать; пережаривание даёт горечь и чрезмерно тёмную корку</x:v>
      </x:c>
      <x:c r="I277" s="28" t="str">
        <x:v>пюре, суп, запекание, крем, гарнир, соус или десертная разработка с летний трюфель</x:v>
      </x:c>
      <x:c r="J277" s="28" t="str">
        <x:v>Средняя</x:v>
      </x:c>
      <x:c r="K277" s="28" t="str">
        <x:v>The Art &amp; Science of Foodpairing.pdf</x:v>
      </x:c>
      <x:c r="L277" s="28" t="str">
        <x:v>The Art &amp; Science of Foodpairing.pdf: 196</x:v>
      </x:c>
    </x:row>
    <x:row r="278" ht="66" customHeight="1">
      <x:c r="A278" s="28" t="str">
        <x:v>VEG-0358</x:v>
      </x:c>
      <x:c r="B278" s="28" t="str">
        <x:v>картофель</x:v>
      </x:c>
      <x:c r="C278" s="28" t="str">
        <x:v>ликёр бенедиктин</x:v>
      </x:c>
      <x:c r="D278" s="28" t="str">
        <x:v>Прочее</x:v>
      </x:c>
      <x:c r="E278" s="28" t="str">
        <x:v>сенсорная комплементарность</x:v>
      </x:c>
      <x:c r="F278" s="28" t="str">
        <x:v>Картофель имеет профиль «крахмалистый, землистый, ореховый и жареный после нагрева». Партнёр «ликёр бенедиктин»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7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8" s="28" t="str">
        <x:v>зелёные или проросшие клубни не использовать; пережаривание даёт горечь и чрезмерно тёмную корку</x:v>
      </x:c>
      <x:c r="I278" s="28" t="str">
        <x:v>пюре, суп, запекание, крем, гарнир, соус или десертная разработка с ликёр бенедиктин</x:v>
      </x:c>
      <x:c r="J278" s="28" t="str">
        <x:v>Средняя</x:v>
      </x:c>
      <x:c r="K278" s="28" t="str">
        <x:v>The Art &amp; Science of Foodpairing.pdf</x:v>
      </x:c>
      <x:c r="L278" s="28" t="str">
        <x:v>The Art &amp; Science of Foodpairing.pdf: 196</x:v>
      </x:c>
    </x:row>
    <x:row r="279" ht="66" customHeight="1">
      <x:c r="A279" s="28" t="str">
        <x:v>VEG-0359</x:v>
      </x:c>
      <x:c r="B279" s="28" t="str">
        <x:v>картофель</x:v>
      </x:c>
      <x:c r="C279" s="28" t="str">
        <x:v>лимон</x:v>
      </x:c>
      <x:c r="D279" s="28" t="str">
        <x:v>Фрукты и ягоды</x:v>
      </x:c>
      <x:c r="E279" s="28" t="str">
        <x:v>кислотно-сладкий баланс</x:v>
      </x:c>
      <x:c r="F279" s="28" t="str">
        <x:v>Картофель имеет профиль «крахмалистый, землистый, ореховый и жареный после нагрева». Партнёр «лимон»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7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79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79" s="28" t="str">
        <x:v>пюре, суп, запекание, крем, гарнир, соус или десертная разработка с лимон</x:v>
      </x:c>
      <x:c r="J279" s="28" t="str">
        <x:v>Средняя</x:v>
      </x:c>
      <x:c r="K279" s="28" t="str">
        <x:v>Тезариус вкусов (Ники Сегнит)(1).pdf</x:v>
      </x:c>
      <x:c r="L279" s="28" t="str">
        <x:v>Тезариус вкусов (Ники Сегнит)(1).pdf: 236, 803</x:v>
      </x:c>
    </x:row>
    <x:row r="280" ht="66" customHeight="1">
      <x:c r="A280" s="28" t="str">
        <x:v>VEG-0360</x:v>
      </x:c>
      <x:c r="B280" s="28" t="str">
        <x:v>картофель</x:v>
      </x:c>
      <x:c r="C280" s="28" t="str">
        <x:v>лимон и лайм</x:v>
      </x:c>
      <x:c r="D280" s="28" t="str">
        <x:v>Фрукты и ягоды</x:v>
      </x:c>
      <x:c r="E280" s="28" t="str">
        <x:v>кислотно-сладкий баланс</x:v>
      </x:c>
      <x:c r="F280" s="28" t="str">
        <x:v>Картофель имеет профиль «крахмалистый, землистый, ореховый и жареный после нагрева». Партнёр «лимон и лайм»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8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0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80" s="28" t="str">
        <x:v>пюре, суп, запекание, крем, гарнир, соус или десертная разработка с лимон и лайм</x:v>
      </x:c>
      <x:c r="J280" s="28" t="str">
        <x:v>Средняя</x:v>
      </x:c>
      <x:c r="K280" s="28" t="str">
        <x:v>The Art &amp; Science of Foodpairing.pdf</x:v>
      </x:c>
      <x:c r="L280" s="28" t="str">
        <x:v>The Art &amp; Science of Foodpairing.pdf: 88</x:v>
      </x:c>
    </x:row>
    <x:row r="281" ht="66" customHeight="1">
      <x:c r="A281" s="28" t="str">
        <x:v>VEG-0361</x:v>
      </x:c>
      <x:c r="B281" s="28" t="str">
        <x:v>картофель</x:v>
      </x:c>
      <x:c r="C281" s="28" t="str">
        <x:v>лисички</x:v>
      </x:c>
      <x:c r="D281" s="28" t="str">
        <x:v>Прочее</x:v>
      </x:c>
      <x:c r="E281" s="28" t="str">
        <x:v>сенсорная комплементарность</x:v>
      </x:c>
      <x:c r="F281" s="28" t="str">
        <x:v>Картофель имеет профиль «крахмалистый, землистый, ореховый и жареный после нагрева». Партнёр «лисички»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8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1" s="28" t="str">
        <x:v>зелёные или проросшие клубни не использовать; пережаривание даёт горечь и чрезмерно тёмную корку</x:v>
      </x:c>
      <x:c r="I281" s="28" t="str">
        <x:v>пюре, суп, запекание, крем, гарнир, соус или десертная разработка с лисички</x:v>
      </x:c>
      <x:c r="J281" s="28" t="str">
        <x:v>Средняя</x:v>
      </x:c>
      <x:c r="K281" s="28" t="str">
        <x:v>The Art &amp; Science of Foodpairing.pdf</x:v>
      </x:c>
      <x:c r="L281" s="28" t="str">
        <x:v>The Art &amp; Science of Foodpairing.pdf: 196</x:v>
      </x:c>
    </x:row>
    <x:row r="282" ht="66" customHeight="1">
      <x:c r="A282" s="28" t="str">
        <x:v>VEG-0362</x:v>
      </x:c>
      <x:c r="B282" s="28" t="str">
        <x:v>картофель</x:v>
      </x:c>
      <x:c r="C282" s="28" t="str">
        <x:v>листья душистой герани</x:v>
      </x:c>
      <x:c r="D282" s="28" t="str">
        <x:v>Прочее</x:v>
      </x:c>
      <x:c r="E282" s="28" t="str">
        <x:v>сенсорная комплементарность</x:v>
      </x:c>
      <x:c r="F282" s="28" t="str">
        <x:v>Картофель имеет профиль «крахмалистый, землистый, ореховый и жареный после нагрева». Партнёр «листья душистой герани»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8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2" s="28" t="str">
        <x:v>зелёные или проросшие клубни не использовать; пережаривание даёт горечь и чрезмерно тёмную корку</x:v>
      </x:c>
      <x:c r="I282" s="28" t="str">
        <x:v>пюре, суп, запекание, крем, гарнир, соус или десертная разработка с листья душистой герани</x:v>
      </x:c>
      <x:c r="J282" s="28" t="str">
        <x:v>Средняя</x:v>
      </x:c>
      <x:c r="K282" s="28" t="str">
        <x:v>The Art &amp; Science of Foodpairing.pdf</x:v>
      </x:c>
      <x:c r="L282" s="28" t="str">
        <x:v>The Art &amp; Science of Foodpairing.pdf: 196</x:v>
      </x:c>
    </x:row>
    <x:row r="283" ht="66" customHeight="1">
      <x:c r="A283" s="28" t="str">
        <x:v>VEG-0363</x:v>
      </x:c>
      <x:c r="B283" s="28" t="str">
        <x:v>картофель</x:v>
      </x:c>
      <x:c r="C283" s="28" t="str">
        <x:v>листья кориандра</x:v>
      </x:c>
      <x:c r="D283" s="28" t="str">
        <x:v>Травы, цветы и листья</x:v>
      </x:c>
      <x:c r="E283" s="28" t="str">
        <x:v>сенсорная комплементарность</x:v>
      </x:c>
      <x:c r="F283" s="28" t="str">
        <x:v>Картофель имеет профиль «крахмалистый, землистый, ореховый и жареный после нагрева».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8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3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83" s="28" t="str">
        <x:v>пюре, суп, запекание, крем, гарнир, соус или десертная разработка с листья кориандра</x:v>
      </x:c>
      <x:c r="J283" s="28" t="str">
        <x:v>Средняя</x:v>
      </x:c>
      <x:c r="K283" s="28" t="str">
        <x:v>Тезариус вкусов (Ники Сегнит)(1).pdf</x:v>
      </x:c>
      <x:c r="L283" s="28" t="str">
        <x:v>Тезариус вкусов (Ники Сегнит)(1).pdf: 236, 519</x:v>
      </x:c>
    </x:row>
    <x:row r="284" ht="66" customHeight="1">
      <x:c r="A284" s="28" t="str">
        <x:v>VEG-0364</x:v>
      </x:c>
      <x:c r="B284" s="28" t="str">
        <x:v>картофель</x:v>
      </x:c>
      <x:c r="C284" s="28" t="str">
        <x:v>личи</x:v>
      </x:c>
      <x:c r="D284" s="28" t="str">
        <x:v>Фрукты и ягоды</x:v>
      </x:c>
      <x:c r="E284" s="28" t="str">
        <x:v>общие характерные молекулы; кислотно-сладкий баланс</x:v>
      </x:c>
      <x:c r="F284" s="28" t="str">
        <x:v>Картофель имеет профиль «крахмалистый, землистый, ореховый и жареный после нагрева». Партнёр «личи»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8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4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84" s="28" t="str">
        <x:v>пюре, суп, запекание, крем, гарнир, соус или десертная разработка с личи</x:v>
      </x:c>
      <x:c r="J284" s="28" t="str">
        <x:v>Средняя</x:v>
      </x:c>
      <x:c r="K284" s="28" t="str">
        <x:v>The Art &amp; Science of Foodpairing.pdf</x:v>
      </x:c>
      <x:c r="L284" s="28" t="str">
        <x:v>The Art &amp; Science of Foodpairing.pdf: 196</x:v>
      </x:c>
    </x:row>
    <x:row r="285" ht="66" customHeight="1">
      <x:c r="A285" s="28" t="str">
        <x:v>VEG-0365</x:v>
      </x:c>
      <x:c r="B285" s="28" t="str">
        <x:v>картофель</x:v>
      </x:c>
      <x:c r="C285" s="28" t="str">
        <x:v>лук</x:v>
      </x:c>
      <x:c r="D285" s="28" t="str">
        <x:v>Луковые овощи</x:v>
      </x:c>
      <x:c r="E285" s="28" t="str">
        <x:v>пересечение ароматических семейств</x:v>
      </x:c>
      <x:c r="F285" s="28" t="str">
        <x:v>Картофель имеет профиль «крахмалистый, землистый, ореховый и жареный после нагрева».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28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5" s="28" t="str">
        <x:v>зелёные или проросшие клубни не использовать; пережаривание даёт горечь и чрезмерно тёмную корку</x:v>
      </x:c>
      <x:c r="I285" s="28" t="str">
        <x:v>пюре, суп, запекание, крем, гарнир, соус или десертная разработка с лук</x:v>
      </x:c>
      <x:c r="J285" s="28" t="str">
        <x:v>Высокая</x:v>
      </x:c>
      <x:c r="K285" s="28" t="str">
        <x:v>The Art &amp; Science of Foodpairing.pdf | Тезариус вкусов (Ники Сегнит)(1).pdf</x:v>
      </x:c>
      <x:c r="L285" s="28" t="str">
        <x:v>Тезариус вкусов (Ники Сегнит)(1).pdf: 236, 284; The Art &amp; Science of Foodpairing.pdf: 196</x:v>
      </x:c>
    </x:row>
    <x:row r="286" ht="66" customHeight="1">
      <x:c r="A286" s="28" t="str">
        <x:v>VEG-0366</x:v>
      </x:c>
      <x:c r="B286" s="28" t="str">
        <x:v>картофель</x:v>
      </x:c>
      <x:c r="C286" s="28" t="str">
        <x:v>манго</x:v>
      </x:c>
      <x:c r="D286" s="28" t="str">
        <x:v>Фрукты и ягоды</x:v>
      </x:c>
      <x:c r="E286" s="28" t="str">
        <x:v>общие характерные молекулы; кислотно-сладкий баланс</x:v>
      </x:c>
      <x:c r="F286" s="28" t="str">
        <x:v>Картофель имеет профиль «крахмалистый, землистый, ореховый и жареный после нагрева». Партнёр «манго»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28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6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286" s="28" t="str">
        <x:v>пюре, суп, запекание, крем, гарнир, соус или десертная разработка с манго</x:v>
      </x:c>
      <x:c r="J286" s="28" t="str">
        <x:v>Средняя</x:v>
      </x:c>
      <x:c r="K286" s="28" t="str">
        <x:v>The Art &amp; Science of Foodpairing.pdf</x:v>
      </x:c>
      <x:c r="L286" s="28" t="str">
        <x:v>The Art &amp; Science of Foodpairing.pdf: 312</x:v>
      </x:c>
    </x:row>
    <x:row r="287" ht="66" customHeight="1">
      <x:c r="A287" s="28" t="str">
        <x:v>VEG-0367</x:v>
      </x:c>
      <x:c r="B287" s="28" t="str">
        <x:v>картофель</x:v>
      </x:c>
      <x:c r="C287" s="28" t="str">
        <x:v>маниок</x:v>
      </x:c>
      <x:c r="D287" s="28" t="str">
        <x:v>Прочее</x:v>
      </x:c>
      <x:c r="E287" s="28" t="str">
        <x:v>сенсорная комплементарность</x:v>
      </x:c>
      <x:c r="F287" s="28" t="str">
        <x:v>Картофель имеет профиль «крахмалистый, землистый, ореховый и жареный после нагрева». Партнёр «маниок»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8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7" s="28" t="str">
        <x:v>зелёные или проросшие клубни не использовать; пережаривание даёт горечь и чрезмерно тёмную корку</x:v>
      </x:c>
      <x:c r="I287" s="28" t="str">
        <x:v>пюре, суп, запекание, крем, гарнир, соус или десертная разработка с маниок</x:v>
      </x:c>
      <x:c r="J287" s="28" t="str">
        <x:v>Средняя</x:v>
      </x:c>
      <x:c r="K287" s="28" t="str">
        <x:v>The Art &amp; Science of Foodpairing.pdf</x:v>
      </x:c>
      <x:c r="L287" s="28" t="str">
        <x:v>The Art &amp; Science of Foodpairing.pdf: 251</x:v>
      </x:c>
    </x:row>
    <x:row r="288" ht="66" customHeight="1">
      <x:c r="A288" s="28" t="str">
        <x:v>VEG-0368</x:v>
      </x:c>
      <x:c r="B288" s="28" t="str">
        <x:v>картофель</x:v>
      </x:c>
      <x:c r="C288" s="28" t="str">
        <x:v>маракуйя</x:v>
      </x:c>
      <x:c r="D288" s="28" t="str">
        <x:v>Прочее</x:v>
      </x:c>
      <x:c r="E288" s="28" t="str">
        <x:v>сенсорная комплементарность</x:v>
      </x:c>
      <x:c r="F288" s="28" t="str">
        <x:v>Картофель имеет профиль «крахмалистый, землистый, ореховый и жареный после нагрева». Партнёр «маракуйя»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8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8" s="28" t="str">
        <x:v>зелёные или проросшие клубни не использовать; пережаривание даёт горечь и чрезмерно тёмную корку</x:v>
      </x:c>
      <x:c r="I288" s="28" t="str">
        <x:v>пюре, суп, запекание, крем, гарнир, соус или десертная разработка с маракуйя</x:v>
      </x:c>
      <x:c r="J288" s="28" t="str">
        <x:v>Средняя</x:v>
      </x:c>
      <x:c r="K288" s="28" t="str">
        <x:v>The Art &amp; Science of Foodpairing.pdf</x:v>
      </x:c>
      <x:c r="L288" s="28" t="str">
        <x:v>The Art &amp; Science of Foodpairing.pdf: 196</x:v>
      </x:c>
    </x:row>
    <x:row r="289" ht="66" customHeight="1">
      <x:c r="A289" s="28" t="str">
        <x:v>VEG-0369</x:v>
      </x:c>
      <x:c r="B289" s="28" t="str">
        <x:v>картофель</x:v>
      </x:c>
      <x:c r="C289" s="28" t="str">
        <x:v>моллюски</x:v>
      </x:c>
      <x:c r="D289" s="28" t="str">
        <x:v>Рыба и морепродукты</x:v>
      </x:c>
      <x:c r="E289" s="28" t="str">
        <x:v>общие характерные молекулы; умами и солёный контраст</x:v>
      </x:c>
      <x:c r="F289" s="28" t="str">
        <x:v>Картофель имеет профиль «крахмалистый, землистый, ореховый и жареный после нагрева». Партнёр «моллюски»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28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89" s="28" t="str">
        <x:v>зелёные или проросшие клубни не использовать; пережаривание даёт горечь и чрезмерно тёмную корку</x:v>
      </x:c>
      <x:c r="I289" s="28" t="str">
        <x:v>пюре, суп, запекание, крем, гарнир, соус или десертная разработка с моллюски</x:v>
      </x:c>
      <x:c r="J289" s="28" t="str">
        <x:v>Средняя</x:v>
      </x:c>
      <x:c r="K289" s="28" t="str">
        <x:v>Тезариус вкусов (Ники Сегнит)(1).pdf</x:v>
      </x:c>
      <x:c r="L289" s="28" t="str">
        <x:v>Тезариус вкусов (Ники Сегнит)(1).pdf: 237, 370</x:v>
      </x:c>
    </x:row>
    <x:row r="290" ht="66" customHeight="1">
      <x:c r="A290" s="28" t="str">
        <x:v>VEG-0370</x:v>
      </x:c>
      <x:c r="B290" s="28" t="str">
        <x:v>картофель</x:v>
      </x:c>
      <x:c r="C290" s="28" t="str">
        <x:v>мускатный орех</x:v>
      </x:c>
      <x:c r="D290" s="28" t="str">
        <x:v>Рыба и морепродукты</x:v>
      </x:c>
      <x:c r="E290" s="28" t="str">
        <x:v>умами и солёный контраст</x:v>
      </x:c>
      <x:c r="F290" s="28" t="str">
        <x:v>Картофель имеет профиль «крахмалистый, землистый, ореховый и жареный после нагрева».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29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0" s="28" t="str">
        <x:v>зелёные или проросшие клубни не использовать; пережаривание даёт горечь и чрезмерно тёмную корку</x:v>
      </x:c>
      <x:c r="I290" s="28" t="str">
        <x:v>пюре, суп, запекание, крем, гарнир, соус или десертная разработка с мускатный орех</x:v>
      </x:c>
      <x:c r="J290" s="28" t="str">
        <x:v>Средняя</x:v>
      </x:c>
      <x:c r="K290" s="28" t="str">
        <x:v>Тезариус вкусов (Ники Сегнит)(1).pdf</x:v>
      </x:c>
      <x:c r="L290" s="28" t="str">
        <x:v>Тезариус вкусов (Ники Сегнит)(1).pdf: 239, 588</x:v>
      </x:c>
    </x:row>
    <x:row r="291" ht="66" customHeight="1">
      <x:c r="A291" s="28" t="str">
        <x:v>VEG-0371</x:v>
      </x:c>
      <x:c r="B291" s="28" t="str">
        <x:v>картофель</x:v>
      </x:c>
      <x:c r="C291" s="28" t="str">
        <x:v>мушмула</x:v>
      </x:c>
      <x:c r="D291" s="28" t="str">
        <x:v>Прочее</x:v>
      </x:c>
      <x:c r="E291" s="28" t="str">
        <x:v>сенсорная комплементарность</x:v>
      </x:c>
      <x:c r="F291" s="28" t="str">
        <x:v>Картофель имеет профиль «крахмалистый, землистый, ореховый и жареный после нагрева». Партнёр «мушмула»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9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1" s="28" t="str">
        <x:v>зелёные или проросшие клубни не использовать; пережаривание даёт горечь и чрезмерно тёмную корку</x:v>
      </x:c>
      <x:c r="I291" s="28" t="str">
        <x:v>пюре, суп, запекание, крем, гарнир, соус или десертная разработка с мушмула</x:v>
      </x:c>
      <x:c r="J291" s="28" t="str">
        <x:v>Средняя</x:v>
      </x:c>
      <x:c r="K291" s="28" t="str">
        <x:v>The Art &amp; Science of Foodpairing.pdf</x:v>
      </x:c>
      <x:c r="L291" s="28" t="str">
        <x:v>The Art &amp; Science of Foodpairing.pdf: 196</x:v>
      </x:c>
    </x:row>
    <x:row r="292" ht="66" customHeight="1">
      <x:c r="A292" s="28" t="str">
        <x:v>VEG-0372</x:v>
      </x:c>
      <x:c r="B292" s="28" t="str">
        <x:v>картофель</x:v>
      </x:c>
      <x:c r="C292" s="28" t="str">
        <x:v>мясо</x:v>
      </x:c>
      <x:c r="D292" s="28" t="str">
        <x:v>Мясо и птица</x:v>
      </x:c>
      <x:c r="E292" s="28" t="str">
        <x:v>общие характерные молекулы; пересечение ароматических семейств; умами и солёный контраст</x:v>
      </x:c>
      <x:c r="F292" s="28" t="str">
        <x:v>Картофель имеет профиль «крахмалистый, землистый, ореховый и жареный после нагрева».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29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2" s="28" t="str">
        <x:v>зелёные или проросшие клубни не использовать; пережаривание даёт горечь и чрезмерно тёмную корку</x:v>
      </x:c>
      <x:c r="I292" s="28" t="str">
        <x:v>пюре, суп, запекание, крем, гарнир, соус или десертная разработка с мясо</x:v>
      </x:c>
      <x:c r="J292" s="28" t="str">
        <x:v>Средняя</x:v>
      </x:c>
      <x:c r="K292" s="28" t="str">
        <x:v>The Art &amp; Science of Foodpairing.pdf</x:v>
      </x:c>
      <x:c r="L292" s="28" t="str">
        <x:v>The Art &amp; Science of Foodpairing.pdf: 186</x:v>
      </x:c>
    </x:row>
    <x:row r="293" ht="66" customHeight="1">
      <x:c r="A293" s="28" t="str">
        <x:v>VEG-0373</x:v>
      </x:c>
      <x:c r="B293" s="28" t="str">
        <x:v>картофель</x:v>
      </x:c>
      <x:c r="C293" s="28" t="str">
        <x:v>мята</x:v>
      </x:c>
      <x:c r="D293" s="28" t="str">
        <x:v>Травы, цветы и листья</x:v>
      </x:c>
      <x:c r="E293" s="28" t="str">
        <x:v>сенсорная комплементарность</x:v>
      </x:c>
      <x:c r="F293" s="28" t="str">
        <x:v>Картофель имеет профиль «крахмалистый, землистый, ореховый и жареный после нагрева».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29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3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293" s="28" t="str">
        <x:v>пюре, суп, запекание, крем, гарнир, соус или десертная разработка с мята</x:v>
      </x:c>
      <x:c r="J293" s="28" t="str">
        <x:v>Средняя</x:v>
      </x:c>
      <x:c r="K293" s="28" t="str">
        <x:v>Тезариус вкусов (Ники Сегнит)(1).pdf</x:v>
      </x:c>
      <x:c r="L293" s="28" t="str">
        <x:v>Тезариус вкусов (Ники Сегнит)(1).pdf: 240, 867</x:v>
      </x:c>
    </x:row>
    <x:row r="294" ht="66" customHeight="1">
      <x:c r="A294" s="28" t="str">
        <x:v>VEG-0374</x:v>
      </x:c>
      <x:c r="B294" s="28" t="str">
        <x:v>картофель</x:v>
      </x:c>
      <x:c r="C294" s="28" t="str">
        <x:v>огурец</x:v>
      </x:c>
      <x:c r="D294" s="28" t="str">
        <x:v>Тыквенные</x:v>
      </x:c>
      <x:c r="E294" s="28" t="str">
        <x:v>сенсорная комплементарность</x:v>
      </x:c>
      <x:c r="F294" s="28" t="str">
        <x:v>Картофель имеет профиль «крахмалистый, землистый, ореховый и жареный после нагрева».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9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4" s="28" t="str">
        <x:v>зелёные или проросшие клубни не использовать; пережаривание даёт горечь и чрезмерно тёмную корку</x:v>
      </x:c>
      <x:c r="I294" s="28" t="str">
        <x:v>пюре, суп, запекание, крем, гарнир, соус или десертная разработка с огурец</x:v>
      </x:c>
      <x:c r="J294" s="28" t="str">
        <x:v>Средняя</x:v>
      </x:c>
      <x:c r="K294" s="28" t="str">
        <x:v>The Art &amp; Science of Foodpairing.pdf</x:v>
      </x:c>
      <x:c r="L294" s="28" t="str">
        <x:v>The Art &amp; Science of Foodpairing.pdf: 196</x:v>
      </x:c>
    </x:row>
    <x:row r="295" ht="66" customHeight="1">
      <x:c r="A295" s="28" t="str">
        <x:v>VEG-0375</x:v>
      </x:c>
      <x:c r="B295" s="28" t="str">
        <x:v>картофель</x:v>
      </x:c>
      <x:c r="C295" s="28" t="str">
        <x:v>огуречная трава</x:v>
      </x:c>
      <x:c r="D295" s="28" t="str">
        <x:v>Плодовые и тыквенные овощи</x:v>
      </x:c>
      <x:c r="E295" s="28" t="str">
        <x:v>общие характерные молекулы</x:v>
      </x:c>
      <x:c r="F295" s="28" t="str">
        <x:v>Картофель имеет профиль «крахмалистый, землистый, ореховый и жареный после нагрева». Партнёр «огуречная трава»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29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5" s="28" t="str">
        <x:v>зелёные или проросшие клубни не использовать; пережаривание даёт горечь и чрезмерно тёмную корку</x:v>
      </x:c>
      <x:c r="I295" s="28" t="str">
        <x:v>пюре, суп, запекание, крем, гарнир, соус или десертная разработка с огуречная трава</x:v>
      </x:c>
      <x:c r="J295" s="28" t="str">
        <x:v>Средняя</x:v>
      </x:c>
      <x:c r="K295" s="28" t="str">
        <x:v>The Art &amp; Science of Foodpairing.pdf</x:v>
      </x:c>
      <x:c r="L295" s="28" t="str">
        <x:v>The Art &amp; Science of Foodpairing.pdf: 196</x:v>
      </x:c>
    </x:row>
    <x:row r="296" ht="66" customHeight="1">
      <x:c r="A296" s="28" t="str">
        <x:v>VEG-0376</x:v>
      </x:c>
      <x:c r="B296" s="28" t="str">
        <x:v>картофель</x:v>
      </x:c>
      <x:c r="C296" s="28" t="str">
        <x:v>оливки</x:v>
      </x:c>
      <x:c r="D296" s="28" t="str">
        <x:v>Прочее</x:v>
      </x:c>
      <x:c r="E296" s="28" t="str">
        <x:v>сенсорная комплементарность</x:v>
      </x:c>
      <x:c r="F296" s="28" t="str">
        <x:v>Картофель имеет профиль «крахмалистый, землистый, ореховый и жареный после нагрева».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9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6" s="28" t="str">
        <x:v>зелёные или проросшие клубни не использовать; пережаривание даёт горечь и чрезмерно тёмную корку</x:v>
      </x:c>
      <x:c r="I296" s="28" t="str">
        <x:v>пюре, суп, запекание, крем, гарнир, соус или десертная разработка с оливки</x:v>
      </x:c>
      <x:c r="J296" s="28" t="str">
        <x:v>Средняя</x:v>
      </x:c>
      <x:c r="K296" s="28" t="str">
        <x:v>Тезариус вкусов (Ники Сегнит)(1).pdf</x:v>
      </x:c>
      <x:c r="L296" s="28" t="str">
        <x:v>Тезариус вкусов (Ники Сегнит)(1).pdf: 240, 466</x:v>
      </x:c>
    </x:row>
    <x:row r="297" ht="66" customHeight="1">
      <x:c r="A297" s="28" t="str">
        <x:v>VEG-0377</x:v>
      </x:c>
      <x:c r="B297" s="28" t="str">
        <x:v>картофель</x:v>
      </x:c>
      <x:c r="C297" s="28" t="str">
        <x:v>оливковое масло</x:v>
      </x:c>
      <x:c r="D297" s="28" t="str">
        <x:v>Масла и жиры</x:v>
      </x:c>
      <x:c r="E297" s="28" t="str">
        <x:v>общие характерные молекулы; жировая матрица</x:v>
      </x:c>
      <x:c r="F297" s="28" t="str">
        <x:v>Картофель имеет профиль «крахмалистый, землистый, ореховый и жареный после нагрева». Партнёр «оливковое масло» относится к группе «Масла и жиры» и даёт жирный и мягкий. Вероятный молекулярный мост: альдегиды.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29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7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297" s="28" t="str">
        <x:v>пюре, суп, запекание, крем, гарнир, соус или десертная разработка с оливковое масло</x:v>
      </x:c>
      <x:c r="J297" s="28" t="str">
        <x:v>Средняя</x:v>
      </x:c>
      <x:c r="K297" s="28" t="str">
        <x:v>The Art &amp; Science of Foodpairing.pdf</x:v>
      </x:c>
      <x:c r="L297" s="28" t="str">
        <x:v>The Art &amp; Science of Foodpairing.pdf: 172</x:v>
      </x:c>
    </x:row>
    <x:row r="298" ht="66" customHeight="1">
      <x:c r="A298" s="28" t="str">
        <x:v>VEG-0378</x:v>
      </x:c>
      <x:c r="B298" s="28" t="str">
        <x:v>картофель</x:v>
      </x:c>
      <x:c r="C298" s="28" t="str">
        <x:v>папайя</x:v>
      </x:c>
      <x:c r="D298" s="28" t="str">
        <x:v>Прочее</x:v>
      </x:c>
      <x:c r="E298" s="28" t="str">
        <x:v>сенсорная комплементарность</x:v>
      </x:c>
      <x:c r="F298" s="28" t="str">
        <x:v>Картофель имеет профиль «крахмалистый, землистый, ореховый и жареный после нагрева». Партнёр «папайя»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29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8" s="28" t="str">
        <x:v>зелёные или проросшие клубни не использовать; пережаривание даёт горечь и чрезмерно тёмную корку</x:v>
      </x:c>
      <x:c r="I298" s="28" t="str">
        <x:v>пюре, суп, запекание, крем, гарнир, соус или десертная разработка с папайя</x:v>
      </x:c>
      <x:c r="J298" s="28" t="str">
        <x:v>Средняя</x:v>
      </x:c>
      <x:c r="K298" s="28" t="str">
        <x:v>The Art &amp; Science of Foodpairing.pdf</x:v>
      </x:c>
      <x:c r="L298" s="28" t="str">
        <x:v>The Art &amp; Science of Foodpairing.pdf: 196</x:v>
      </x:c>
    </x:row>
    <x:row r="299" ht="66" customHeight="1">
      <x:c r="A299" s="28" t="str">
        <x:v>VEG-0379</x:v>
      </x:c>
      <x:c r="B299" s="28" t="str">
        <x:v>картофель</x:v>
      </x:c>
      <x:c r="C299" s="28" t="str">
        <x:v>пастернак</x:v>
      </x:c>
      <x:c r="D299" s="28" t="str">
        <x:v>Корнеплоды</x:v>
      </x:c>
      <x:c r="E299" s="28" t="str">
        <x:v>пересечение ароматических семейств</x:v>
      </x:c>
      <x:c r="F299" s="28" t="str">
        <x:v>Картофель имеет профиль «крахмалистый, землистый, ореховый и жареный после нагрева». Партнёр «пастернак» относится к группе «Корнеплоды» и даёт сладкий, пряный, древесный и слегка анисовый. Профили пересекаются в семействах: землистый. Совместимость формируется за счёт баланса сладости, кислотности, горечи, умами и текстуры.</x:v>
      </x:c>
      <x:c r="G29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299" s="28" t="str">
        <x:v>зелёные или проросшие клубни не использовать; пережаривание даёт горечь и чрезмерно тёмную корку</x:v>
      </x:c>
      <x:c r="I299" s="28" t="str">
        <x:v>пюре, суп, запекание, крем, гарнир, соус или десертная разработка с пастернак</x:v>
      </x:c>
      <x:c r="J299" s="28" t="str">
        <x:v>Средняя</x:v>
      </x:c>
      <x:c r="K299" s="28" t="str">
        <x:v>Тезариус вкусов (Ники Сегнит)(1).pdf</x:v>
      </x:c>
      <x:c r="L299" s="28" t="str">
        <x:v>Тезариус вкусов (Ники Сегнит)(1).pdf: 240, 597</x:v>
      </x:c>
    </x:row>
    <x:row r="300" ht="66" customHeight="1">
      <x:c r="A300" s="28" t="str">
        <x:v>VEG-0380</x:v>
      </x:c>
      <x:c r="B300" s="28" t="str">
        <x:v>картофель</x:v>
      </x:c>
      <x:c r="C300" s="28" t="str">
        <x:v>петрушка</x:v>
      </x:c>
      <x:c r="D300" s="28" t="str">
        <x:v>Травы, цветы и листья</x:v>
      </x:c>
      <x:c r="E300" s="28" t="str">
        <x:v>сенсорная комплементарность</x:v>
      </x:c>
      <x:c r="F300" s="28" t="str">
        <x:v>Картофель имеет профиль «крахмалистый, землистый, ореховый и жареный после нагрева».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30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0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300" s="28" t="str">
        <x:v>пюре, суп, запекание, крем, гарнир, соус или десертная разработка с петрушка</x:v>
      </x:c>
      <x:c r="J300" s="28" t="str">
        <x:v>Средняя</x:v>
      </x:c>
      <x:c r="K300" s="28" t="str">
        <x:v>Тезариус вкусов (Ники Сегнит)(1).pdf</x:v>
      </x:c>
      <x:c r="L300" s="28" t="str">
        <x:v>Тезариус вкусов (Ники Сегнит)(1).pdf: 240, 509</x:v>
      </x:c>
    </x:row>
    <x:row r="301" ht="66" customHeight="1">
      <x:c r="A301" s="28" t="str">
        <x:v>VEG-0381</x:v>
      </x:c>
      <x:c r="B301" s="28" t="str">
        <x:v>картофель</x:v>
      </x:c>
      <x:c r="C301" s="28" t="str">
        <x:v>пиво</x:v>
      </x:c>
      <x:c r="D301" s="28" t="str">
        <x:v>Алкогольные напитки</x:v>
      </x:c>
      <x:c r="E301" s="28" t="str">
        <x:v>общие характерные молекулы</x:v>
      </x:c>
      <x:c r="F301" s="28" t="str">
        <x:v>Картофель имеет профиль «крахмалистый, землистый, ореховый и жареный после нагрева». Партнёр «пиво» относится к группе «Алкогольные напитки» и даёт спиртовой, фруктовый или древесный.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30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1" s="28" t="str">
        <x:v>зелёные или проросшие клубни не использовать; пережаривание даёт горечь и чрезмерно тёмную корку</x:v>
      </x:c>
      <x:c r="I301" s="28" t="str">
        <x:v>пюре, суп, запекание, крем, гарнир, соус или десертная разработка с пиво</x:v>
      </x:c>
      <x:c r="J301" s="28" t="str">
        <x:v>Средняя</x:v>
      </x:c>
      <x:c r="K301" s="28" t="str">
        <x:v>The Art &amp; Science of Foodpairing.pdf</x:v>
      </x:c>
      <x:c r="L301" s="28" t="str">
        <x:v>The Art &amp; Science of Foodpairing.pdf: 196</x:v>
      </x:c>
    </x:row>
    <x:row r="302" ht="66" customHeight="1">
      <x:c r="A302" s="28" t="str">
        <x:v>VEG-0382</x:v>
      </x:c>
      <x:c r="B302" s="28" t="str">
        <x:v>картофель</x:v>
      </x:c>
      <x:c r="C302" s="28" t="str">
        <x:v>рапсовый мёд</x:v>
      </x:c>
      <x:c r="D302" s="28" t="str">
        <x:v>Выпечка, крупы, сахара и десерты</x:v>
      </x:c>
      <x:c r="E302" s="28" t="str">
        <x:v>сенсорная комплементарность</x:v>
      </x:c>
      <x:c r="F302" s="28" t="str">
        <x:v>Картофель имеет профиль «крахмалистый, землистый, ореховый и жареный после нагрева». Партнёр «рапсовый мёд» относится к группе «Выпечка, крупы, сахара и десерты» и даёт медовый, сладкий, цветочный.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</x:v>
      </x:c>
      <x:c r="G30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2" s="28" t="str">
        <x:v>зелёные или проросшие клубни не использовать; пережаривание даёт горечь и чрезмерно тёмную корку</x:v>
      </x:c>
      <x:c r="I302" s="28" t="str">
        <x:v>пюре, суп, запекание, крем, гарнир, соус или десертная разработка с рапсовый мёд</x:v>
      </x:c>
      <x:c r="J302" s="28" t="str">
        <x:v>Средняя</x:v>
      </x:c>
      <x:c r="K302" s="28" t="str">
        <x:v>The Art &amp; Science of Foodpairing.pdf</x:v>
      </x:c>
      <x:c r="L302" s="28" t="str">
        <x:v>The Art &amp; Science of Foodpairing.pdf: 196</x:v>
      </x:c>
    </x:row>
    <x:row r="303" ht="66" customHeight="1">
      <x:c r="A303" s="28" t="str">
        <x:v>VEG-0383</x:v>
      </x:c>
      <x:c r="B303" s="28" t="str">
        <x:v>картофель</x:v>
      </x:c>
      <x:c r="C303" s="28" t="str">
        <x:v>рассольный сыр</x:v>
      </x:c>
      <x:c r="D303" s="28" t="str">
        <x:v>Молочные продукты и сыры</x:v>
      </x:c>
      <x:c r="E303" s="28" t="str">
        <x:v>жировая матрица</x:v>
      </x:c>
      <x:c r="F303" s="28" t="str">
        <x:v>Картофель имеет профиль «крахмалистый, землистый, ореховый и жареный после нагрева». Партнёр «рассольный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0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3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303" s="28" t="str">
        <x:v>пюре, суп, запекание, крем, гарнир, соус или десертная разработка с рассольный сыр</x:v>
      </x:c>
      <x:c r="J303" s="28" t="str">
        <x:v>Средняя</x:v>
      </x:c>
      <x:c r="K303" s="28" t="str">
        <x:v>Тезариус вкусов (Ники Сегнит)(1).pdf</x:v>
      </x:c>
      <x:c r="L303" s="28" t="str">
        <x:v>Тезариус вкусов (Ники Сегнит)(1).pdf: 150, 240</x:v>
      </x:c>
    </x:row>
    <x:row r="304" ht="66" customHeight="1">
      <x:c r="A304" s="28" t="str">
        <x:v>VEG-0384</x:v>
      </x:c>
      <x:c r="B304" s="28" t="str">
        <x:v>картофель</x:v>
      </x:c>
      <x:c r="C304" s="28" t="str">
        <x:v>розмарин</x:v>
      </x:c>
      <x:c r="D304" s="28" t="str">
        <x:v>Травы, цветы и листья</x:v>
      </x:c>
      <x:c r="E304" s="28" t="str">
        <x:v>сенсорная комплементарность</x:v>
      </x:c>
      <x:c r="F304" s="28" t="str">
        <x:v>Картофель имеет профиль «крахмалистый, землистый, ореховый и жареный после нагрева».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30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4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304" s="28" t="str">
        <x:v>пюре, суп, запекание, крем, гарнир, соус или десертная разработка с розмарин</x:v>
      </x:c>
      <x:c r="J304" s="28" t="str">
        <x:v>Средняя</x:v>
      </x:c>
      <x:c r="K304" s="28" t="str">
        <x:v>Тезариус вкусов (Ники Сегнит)(1).pdf</x:v>
      </x:c>
      <x:c r="L304" s="28" t="str">
        <x:v>Тезариус вкусов (Ники Сегнит)(1).pdf: 240, 837</x:v>
      </x:c>
    </x:row>
    <x:row r="305" ht="66" customHeight="1">
      <x:c r="A305" s="28" t="str">
        <x:v>VEG-0385</x:v>
      </x:c>
      <x:c r="B305" s="28" t="str">
        <x:v>картофель</x:v>
      </x:c>
      <x:c r="C305" s="28" t="str">
        <x:v>рыба</x:v>
      </x:c>
      <x:c r="D305" s="28" t="str">
        <x:v>Рыба и морепродукты</x:v>
      </x:c>
      <x:c r="E305" s="28" t="str">
        <x:v>общие характерные молекулы; умами и солёный контраст</x:v>
      </x:c>
      <x:c r="F305" s="28" t="str">
        <x:v>Картофель имеет профиль «крахмалистый, землистый, ореховый и жареный после нагрева». Партнёр «рыба»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30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5" s="28" t="str">
        <x:v>зелёные или проросшие клубни не использовать; пережаривание даёт горечь и чрезмерно тёмную корку</x:v>
      </x:c>
      <x:c r="I305" s="28" t="str">
        <x:v>пюре, суп, запекание, крем, гарнир, соус или десертная разработка с рыба</x:v>
      </x:c>
      <x:c r="J305" s="28" t="str">
        <x:v>Средняя</x:v>
      </x:c>
      <x:c r="K305" s="28" t="str">
        <x:v>The Art &amp; Science of Foodpairing.pdf</x:v>
      </x:c>
      <x:c r="L305" s="28" t="str">
        <x:v>The Art &amp; Science of Foodpairing.pdf: 104</x:v>
      </x:c>
    </x:row>
    <x:row r="306" ht="66" customHeight="1">
      <x:c r="A306" s="28" t="str">
        <x:v>VEG-0386</x:v>
      </x:c>
      <x:c r="B306" s="28" t="str">
        <x:v>картофель</x:v>
      </x:c>
      <x:c r="C306" s="28" t="str">
        <x:v>салями</x:v>
      </x:c>
      <x:c r="D306" s="28" t="str">
        <x:v>Прочее</x:v>
      </x:c>
      <x:c r="E306" s="28" t="str">
        <x:v>сенсорная комплементарность</x:v>
      </x:c>
      <x:c r="F306" s="28" t="str">
        <x:v>Картофель имеет профиль «крахмалистый, землистый, ореховый и жареный после нагрева». Партнёр «салями»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0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6" s="28" t="str">
        <x:v>зелёные или проросшие клубни не использовать; пережаривание даёт горечь и чрезмерно тёмную корку</x:v>
      </x:c>
      <x:c r="I306" s="28" t="str">
        <x:v>пюре, суп, запекание, крем, гарнир, соус или десертная разработка с салями</x:v>
      </x:c>
      <x:c r="J306" s="28" t="str">
        <x:v>Средняя</x:v>
      </x:c>
      <x:c r="K306" s="28" t="str">
        <x:v>The Art &amp; Science of Foodpairing.pdf</x:v>
      </x:c>
      <x:c r="L306" s="28" t="str">
        <x:v>The Art &amp; Science of Foodpairing.pdf: 196</x:v>
      </x:c>
    </x:row>
    <x:row r="307" ht="66" customHeight="1">
      <x:c r="A307" s="28" t="str">
        <x:v>VEG-0387</x:v>
      </x:c>
      <x:c r="B307" s="28" t="str">
        <x:v>картофель</x:v>
      </x:c>
      <x:c r="C307" s="28" t="str">
        <x:v>свинина</x:v>
      </x:c>
      <x:c r="D307" s="28" t="str">
        <x:v>Мясо и птица</x:v>
      </x:c>
      <x:c r="E307" s="28" t="str">
        <x:v>общие характерные молекулы; пересечение ароматических семейств; умами и солёный контраст</x:v>
      </x:c>
      <x:c r="F307" s="28" t="str">
        <x:v>Картофель имеет профиль «крахмалистый, землистый, ореховый и жареный после нагрева». Партнёр «свинина»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</x:v>
      </x:c>
      <x:c r="G30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7" s="28" t="str">
        <x:v>зелёные или проросшие клубни не использовать; пережаривание даёт горечь и чрезмерно тёмную корку</x:v>
      </x:c>
      <x:c r="I307" s="28" t="str">
        <x:v>пюре, суп, запекание, крем, гарнир, соус или десертная разработка с свинина</x:v>
      </x:c>
      <x:c r="J307" s="28" t="str">
        <x:v>Средняя</x:v>
      </x:c>
      <x:c r="K307" s="28" t="str">
        <x:v>Тезариус вкусов (Ники Сегнит)(1).pdf</x:v>
      </x:c>
      <x:c r="L307" s="28" t="str">
        <x:v>Тезариус вкусов (Ники Сегнит)(1).pdf: 84, 242</x:v>
      </x:c>
    </x:row>
    <x:row r="308" ht="66" customHeight="1">
      <x:c r="A308" s="28" t="str">
        <x:v>VEG-0388</x:v>
      </x:c>
      <x:c r="B308" s="28" t="str">
        <x:v>картофель</x:v>
      </x:c>
      <x:c r="C308" s="28" t="str">
        <x:v>сельдерей</x:v>
      </x:c>
      <x:c r="D308" s="28" t="str">
        <x:v>Стеблевые овощи</x:v>
      </x:c>
      <x:c r="E308" s="28" t="str">
        <x:v>сенсорная комплементарность</x:v>
      </x:c>
      <x:c r="F308" s="28" t="str">
        <x:v>Картофель имеет профиль «крахмалистый, землистый, ореховый и жареный после нагрева». Партнёр «сельдерей» относится к группе «Стеблевые овощи» и даёт зелёный, травянистый, пряный, слегка анисовый.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0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8" s="28" t="str">
        <x:v>зелёные или проросшие клубни не использовать; пережаривание даёт горечь и чрезмерно тёмную корку</x:v>
      </x:c>
      <x:c r="I308" s="28" t="str">
        <x:v>пюре, суп, запекание, крем, гарнир, соус или десертная разработка с сельдерей</x:v>
      </x:c>
      <x:c r="J308" s="28" t="str">
        <x:v>Высокая</x:v>
      </x:c>
      <x:c r="K308" s="28" t="str">
        <x:v>The Art &amp; Science of Foodpairing.pdf | Тезариус вкусов (Ники Сегнит)(1).pdf</x:v>
      </x:c>
      <x:c r="L308" s="28" t="str">
        <x:v>Тезариус вкусов (Ники Сегнит)(1).pdf: 242, 251; The Art &amp; Science of Foodpairing.pdf: 196</x:v>
      </x:c>
    </x:row>
    <x:row r="309" ht="66" customHeight="1">
      <x:c r="A309" s="28" t="str">
        <x:v>VEG-0389</x:v>
      </x:c>
      <x:c r="B309" s="28" t="str">
        <x:v>картофель</x:v>
      </x:c>
      <x:c r="C309" s="28" t="str">
        <x:v>соус чили</x:v>
      </x:c>
      <x:c r="D309" s="28" t="str">
        <x:v>Специи</x:v>
      </x:c>
      <x:c r="E309" s="28" t="str">
        <x:v>сенсорная комплементарность</x:v>
      </x:c>
      <x:c r="F309" s="28" t="str">
        <x:v>Картофель имеет профиль «крахмалистый, землистый, ореховый и жареный после нагрева». Партнёр «соус 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0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09" s="28" t="str">
        <x:v>зелёные или проросшие клубни не использовать; пережаривание даёт горечь и чрезмерно тёмную корку</x:v>
      </x:c>
      <x:c r="I309" s="28" t="str">
        <x:v>пюре, суп, запекание, крем, гарнир, соус или десертная разработка с соус чили</x:v>
      </x:c>
      <x:c r="J309" s="28" t="str">
        <x:v>Средняя</x:v>
      </x:c>
      <x:c r="K309" s="28" t="str">
        <x:v>The Art &amp; Science of Foodpairing.pdf</x:v>
      </x:c>
      <x:c r="L309" s="28" t="str">
        <x:v>The Art &amp; Science of Foodpairing.pdf: 196</x:v>
      </x:c>
    </x:row>
    <x:row r="310" ht="66" customHeight="1">
      <x:c r="A310" s="28" t="str">
        <x:v>VEG-0390</x:v>
      </x:c>
      <x:c r="B310" s="28" t="str">
        <x:v>картофель</x:v>
      </x:c>
      <x:c r="C310" s="28" t="str">
        <x:v>спаржа</x:v>
      </x:c>
      <x:c r="D310" s="28" t="str">
        <x:v>Побеговые овощи</x:v>
      </x:c>
      <x:c r="E310" s="28" t="str">
        <x:v>общие характерные молекулы; пересечение ароматических семейств</x:v>
      </x:c>
      <x:c r="F310" s="28" t="str">
        <x:v>Картофель имеет профиль «крахмалистый, землистый, ореховый и жареный после нагрева». Партнёр «спаржа» относится к группе «Побеговые овощи» и даёт зелёный, сернистый, ореховый и слегка сладкий. Вероятный молекулярный мост: пиразины. Совместимость формируется за счёт баланса сладости, кислотности, горечи, умами и текстуры.</x:v>
      </x:c>
      <x:c r="G31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0" s="28" t="str">
        <x:v>зелёные или проросшие клубни не использовать; пережаривание даёт горечь и чрезмерно тёмную корку</x:v>
      </x:c>
      <x:c r="I310" s="28" t="str">
        <x:v>пюре, суп, запекание, крем, гарнир, соус или десертная разработка с спаржа</x:v>
      </x:c>
      <x:c r="J310" s="28" t="str">
        <x:v>Средняя</x:v>
      </x:c>
      <x:c r="K310" s="28" t="str">
        <x:v>Тезариус вкусов (Ники Сегнит)(1).pdf</x:v>
      </x:c>
      <x:c r="L310" s="28" t="str">
        <x:v>Тезариус вкусов (Ники Сегнит)(1).pdf: 242, 346</x:v>
      </x:c>
    </x:row>
    <x:row r="311" ht="66" customHeight="1">
      <x:c r="A311" s="28" t="str">
        <x:v>VEG-0391</x:v>
      </x:c>
      <x:c r="B311" s="28" t="str">
        <x:v>картофель</x:v>
      </x:c>
      <x:c r="C311" s="28" t="str">
        <x:v>сыр</x:v>
      </x:c>
      <x:c r="D311" s="28" t="str">
        <x:v>Молочные продукты и сыры</x:v>
      </x:c>
      <x:c r="E311" s="28" t="str">
        <x:v>жировая матрица</x:v>
      </x:c>
      <x:c r="F311" s="28" t="str">
        <x:v>Картофель имеет профиль «крахмалистый, землистый, ореховый и жареный после нагрева». Партнёр «сыр»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1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1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311" s="28" t="str">
        <x:v>пюре, суп, запекание, крем, гарнир, соус или десертная разработка с сыр</x:v>
      </x:c>
      <x:c r="J311" s="28" t="str">
        <x:v>Высокая</x:v>
      </x:c>
      <x:c r="K311" s="28" t="str">
        <x:v>The Art &amp; Science of Foodpairing.pdf</x:v>
      </x:c>
      <x:c r="L311" s="28" t="str">
        <x:v>The Art &amp; Science of Foodpairing.pdf: 196, 197</x:v>
      </x:c>
    </x:row>
    <x:row r="312" ht="66" customHeight="1">
      <x:c r="A312" s="28" t="str">
        <x:v>VEG-0392</x:v>
      </x:c>
      <x:c r="B312" s="28" t="str">
        <x:v>картофель</x:v>
      </x:c>
      <x:c r="C312" s="28" t="str">
        <x:v>твердый сыр</x:v>
      </x:c>
      <x:c r="D312" s="28" t="str">
        <x:v>Молочные продукты и сыры</x:v>
      </x:c>
      <x:c r="E312" s="28" t="str">
        <x:v>жировая матрица</x:v>
      </x:c>
      <x:c r="F312" s="28" t="str">
        <x:v>Картофель имеет профиль «крахмалистый, землистый, ореховый и жареный после нагрева».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</x:v>
      </x:c>
      <x:c r="G31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2" s="28" t="str">
        <x:v>зелёные или проросшие клубни не использовать; пережаривание даёт горечь и чрезмерно тёмную корку; жир способен приглушить свежую зелёную ароматику</x:v>
      </x:c>
      <x:c r="I312" s="28" t="str">
        <x:v>пюре, суп, запекание, крем, гарнир, соус или десертная разработка с твердый сыр</x:v>
      </x:c>
      <x:c r="J312" s="28" t="str">
        <x:v>Средняя</x:v>
      </x:c>
      <x:c r="K312" s="28" t="str">
        <x:v>Тезариус вкусов (Ники Сегнит)(1).pdf</x:v>
      </x:c>
      <x:c r="L312" s="28" t="str">
        <x:v>Тезариус вкусов (Ники Сегнит)(1).pdf: 171, 242</x:v>
      </x:c>
    </x:row>
    <x:row r="313" ht="66" customHeight="1">
      <x:c r="A313" s="28" t="str">
        <x:v>VEG-0393</x:v>
      </x:c>
      <x:c r="B313" s="28" t="str">
        <x:v>картофель</x:v>
      </x:c>
      <x:c r="C313" s="28" t="str">
        <x:v>томат</x:v>
      </x:c>
      <x:c r="D313" s="28" t="str">
        <x:v>Плодовые овощи</x:v>
      </x:c>
      <x:c r="E313" s="28" t="str">
        <x:v>общие характерные молекулы; пересечение ароматических семейств</x:v>
      </x:c>
      <x:c r="F313" s="28" t="str">
        <x:v>Картофель имеет профиль «крахмалистый, землистый, ореховый и жареный после нагрева». Партнёр «томат» относится к группе «Плодовые овощи» и даёт зелёный, фруктовый, листовой, сернистый и умами. Вероятный молекулярный мост: метиональ. Совместимость формируется за счёт баланса сладости, кислотности, горечи, умами и текстуры.</x:v>
      </x:c>
      <x:c r="G31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3" s="28" t="str">
        <x:v>зелёные или проросшие клубни не использовать; пережаривание даёт горечь и чрезмерно тёмную корку</x:v>
      </x:c>
      <x:c r="I313" s="28" t="str">
        <x:v>пюре, суп, запекание, крем, гарнир, соус или десертная разработка с томат</x:v>
      </x:c>
      <x:c r="J313" s="28" t="str">
        <x:v>Средняя</x:v>
      </x:c>
      <x:c r="K313" s="28" t="str">
        <x:v>Тезариус вкусов (Ники Сегнит)(1).pdf</x:v>
      </x:c>
      <x:c r="L313" s="28" t="str">
        <x:v>Тезариус вкусов (Ники Сегнит)(1).pdf: 242, 685</x:v>
      </x:c>
    </x:row>
    <x:row r="314" ht="66" customHeight="1">
      <x:c r="A314" s="28" t="str">
        <x:v>VEG-0394</x:v>
      </x:c>
      <x:c r="B314" s="28" t="str">
        <x:v>картофель</x:v>
      </x:c>
      <x:c r="C314" s="28" t="str">
        <x:v>томатный сок</x:v>
      </x:c>
      <x:c r="D314" s="28" t="str">
        <x:v>Плодовые и тыквенные овощи</x:v>
      </x:c>
      <x:c r="E314" s="28" t="str">
        <x:v>общие характерные молекулы</x:v>
      </x:c>
      <x:c r="F314" s="28" t="str">
        <x:v>Картофель имеет профиль «крахмалистый, землистый, ореховый и жареный после нагрева». Партнёр «томатный сок»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</x:v>
      </x:c>
      <x:c r="G31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4" s="28" t="str">
        <x:v>зелёные или проросшие клубни не использовать; пережаривание даёт горечь и чрезмерно тёмную корку</x:v>
      </x:c>
      <x:c r="I314" s="28" t="str">
        <x:v>пюре, суп, запекание, крем, гарнир, соус или десертная разработка с томатный сок</x:v>
      </x:c>
      <x:c r="J314" s="28" t="str">
        <x:v>Средняя</x:v>
      </x:c>
      <x:c r="K314" s="28" t="str">
        <x:v>The Art &amp; Science of Foodpairing.pdf</x:v>
      </x:c>
      <x:c r="L314" s="28" t="str">
        <x:v>The Art &amp; Science of Foodpairing.pdf: 196</x:v>
      </x:c>
    </x:row>
    <x:row r="315" ht="66" customHeight="1">
      <x:c r="A315" s="28" t="str">
        <x:v>VEG-0395</x:v>
      </x:c>
      <x:c r="B315" s="28" t="str">
        <x:v>картофель</x:v>
      </x:c>
      <x:c r="C315" s="28" t="str">
        <x:v>трюфель</x:v>
      </x:c>
      <x:c r="D315" s="28" t="str">
        <x:v>Грибы</x:v>
      </x:c>
      <x:c r="E315" s="28" t="str">
        <x:v>пересечение ароматических семейств; умами и солёный контраст</x:v>
      </x:c>
      <x:c r="F315" s="28" t="str">
        <x:v>Картофель имеет профиль «крахмалистый, землистый, ореховый и жареный после нагрева». Партнёр «трюфель»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31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5" s="28" t="str">
        <x:v>зелёные или проросшие клубни не использовать; пережаривание даёт горечь и чрезмерно тёмную корку</x:v>
      </x:c>
      <x:c r="I315" s="28" t="str">
        <x:v>пюре, суп, запекание, крем, гарнир, соус или десертная разработка с трюфель</x:v>
      </x:c>
      <x:c r="J315" s="28" t="str">
        <x:v>Средняя</x:v>
      </x:c>
      <x:c r="K315" s="28" t="str">
        <x:v>Тезариус вкусов (Ники Сегнит)(1).pdf</x:v>
      </x:c>
      <x:c r="L315" s="28" t="str">
        <x:v>Тезариус вкусов (Ники Сегнит)(1).pdf: 243, 303</x:v>
      </x:c>
    </x:row>
    <x:row r="316" ht="66" customHeight="1">
      <x:c r="A316" s="28" t="str">
        <x:v>VEG-0396</x:v>
      </x:c>
      <x:c r="B316" s="28" t="str">
        <x:v>картофель</x:v>
      </x:c>
      <x:c r="C316" s="28" t="str">
        <x:v>тыква баттернат</x:v>
      </x:c>
      <x:c r="D316" s="28" t="str">
        <x:v>Тыквенные</x:v>
      </x:c>
      <x:c r="E316" s="28" t="str">
        <x:v>сенсорная комплементарность</x:v>
      </x:c>
      <x:c r="F316" s="28" t="str">
        <x:v>Картофель имеет профиль «крахмалистый, землистый, ореховый и жареный после нагрева».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1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6" s="28" t="str">
        <x:v>зелёные или проросшие клубни не использовать; пережаривание даёт горечь и чрезмерно тёмную корку</x:v>
      </x:c>
      <x:c r="I316" s="28" t="str">
        <x:v>пюре, суп, запекание, крем, гарнир, соус или десертная разработка с тыква баттернат</x:v>
      </x:c>
      <x:c r="J316" s="28" t="str">
        <x:v>Средняя</x:v>
      </x:c>
      <x:c r="K316" s="28" t="str">
        <x:v>The Art &amp; Science of Foodpairing.pdf</x:v>
      </x:c>
      <x:c r="L316" s="28" t="str">
        <x:v>The Art &amp; Science of Foodpairing.pdf: 196</x:v>
      </x:c>
    </x:row>
    <x:row r="317" ht="66" customHeight="1">
      <x:c r="A317" s="28" t="str">
        <x:v>VEG-0397</x:v>
      </x:c>
      <x:c r="B317" s="28" t="str">
        <x:v>картофель</x:v>
      </x:c>
      <x:c r="C317" s="28" t="str">
        <x:v>укроп</x:v>
      </x:c>
      <x:c r="D317" s="28" t="str">
        <x:v>Травы, цветы и листья</x:v>
      </x:c>
      <x:c r="E317" s="28" t="str">
        <x:v>сенсорная комплементарность</x:v>
      </x:c>
      <x:c r="F317" s="28" t="str">
        <x:v>Картофель имеет профиль «крахмалистый, землистый, ореховый и жареный после нагрева». Партнёр «укроп» относится к группе «Травы, цветы и листья» и даёт анисовый, зелёный.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31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7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317" s="28" t="str">
        <x:v>пюре, суп, запекание, крем, гарнир, соус или десертная разработка с укроп</x:v>
      </x:c>
      <x:c r="J317" s="28" t="str">
        <x:v>Средняя</x:v>
      </x:c>
      <x:c r="K317" s="28" t="str">
        <x:v>Тезариус вкусов (Ники Сегнит)(1).pdf</x:v>
      </x:c>
      <x:c r="L317" s="28" t="str">
        <x:v>Тезариус вкусов (Ники Сегнит)(1).pdf: 244, 502</x:v>
      </x:c>
    </x:row>
    <x:row r="318" ht="66" customHeight="1">
      <x:c r="A318" s="28" t="str">
        <x:v>VEG-0398</x:v>
      </x:c>
      <x:c r="B318" s="28" t="str">
        <x:v>картофель</x:v>
      </x:c>
      <x:c r="C318" s="28" t="str">
        <x:v>фундук</x:v>
      </x:c>
      <x:c r="D318" s="28" t="str">
        <x:v>Орехи и семена</x:v>
      </x:c>
      <x:c r="E318" s="28" t="str">
        <x:v>общие характерные молекулы; пересечение ароматических семейств</x:v>
      </x:c>
      <x:c r="F318" s="28" t="str">
        <x:v>Картофель имеет профиль «крахмалистый, землистый, ореховый и жареный после нагрева». Партнёр «фундук» относится к группе «Орехи и семена» и даёт жареный, какаовый,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31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8" s="28" t="str">
        <x:v>зелёные или проросшие клубни не использовать; пережаривание даёт горечь и чрезмерно тёмную корку</x:v>
      </x:c>
      <x:c r="I318" s="28" t="str">
        <x:v>пюре, суп, запекание, крем, гарнир, соус или десертная разработка с фундук</x:v>
      </x:c>
      <x:c r="J318" s="28" t="str">
        <x:v>Средняя</x:v>
      </x:c>
      <x:c r="K318" s="28" t="str">
        <x:v>The Art &amp; Science of Foodpairing.pdf</x:v>
      </x:c>
      <x:c r="L318" s="28" t="str">
        <x:v>The Art &amp; Science of Foodpairing.pdf: 196</x:v>
      </x:c>
    </x:row>
    <x:row r="319" ht="66" customHeight="1">
      <x:c r="A319" s="28" t="str">
        <x:v>VEG-0399</x:v>
      </x:c>
      <x:c r="B319" s="28" t="str">
        <x:v>картофель</x:v>
      </x:c>
      <x:c r="C319" s="28" t="str">
        <x:v>хрен</x:v>
      </x:c>
      <x:c r="D319" s="28" t="str">
        <x:v>Прочее</x:v>
      </x:c>
      <x:c r="E319" s="28" t="str">
        <x:v>сенсорная комплементарность</x:v>
      </x:c>
      <x:c r="F319" s="28" t="str">
        <x:v>Картофель имеет профиль «крахмалистый, землистый, ореховый и жареный после нагрева». Партнёр «хрен»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1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19" s="28" t="str">
        <x:v>зелёные или проросшие клубни не использовать; пережаривание даёт горечь и чрезмерно тёмную корку</x:v>
      </x:c>
      <x:c r="I319" s="28" t="str">
        <x:v>пюре, суп, запекание, крем, гарнир, соус или десертная разработка с хрен</x:v>
      </x:c>
      <x:c r="J319" s="28" t="str">
        <x:v>Средняя</x:v>
      </x:c>
      <x:c r="K319" s="28" t="str">
        <x:v>Тезариус вкусов (Ники Сегнит)(1).pdf</x:v>
      </x:c>
      <x:c r="L319" s="28" t="str">
        <x:v>Тезариус вкусов (Ники Сегнит)(1).pdf: 244, 274</x:v>
      </x:c>
    </x:row>
    <x:row r="320" ht="66" customHeight="1">
      <x:c r="A320" s="28" t="str">
        <x:v>VEG-0400</x:v>
      </x:c>
      <x:c r="B320" s="28" t="str">
        <x:v>картофель</x:v>
      </x:c>
      <x:c r="C320" s="28" t="str">
        <x:v>цветная капуста</x:v>
      </x:c>
      <x:c r="D320" s="28" t="str">
        <x:v>Крестоцветные</x:v>
      </x:c>
      <x:c r="E320" s="28" t="str">
        <x:v>общие характерные молекулы; пересечение ароматических семейств</x:v>
      </x:c>
      <x:c r="F320" s="28" t="str">
        <x:v>Картофель имеет профиль «крахмалистый, землистый, ореховый и жареный после нагрева». Партнёр «цветная капуста» относится к группе «Крестоцветные» и даёт мягко капустный, ореховый, сернистый и сливочный после запекания. Вероятный молекулярный мост: пиразины. Совместимость формируется за счёт баланса сладости, кислотности, горечи, умами и текстуры.</x:v>
      </x:c>
      <x:c r="G32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0" s="28" t="str">
        <x:v>зелёные или проросшие клубни не использовать; пережаривание даёт горечь и чрезмерно тёмную корку</x:v>
      </x:c>
      <x:c r="I320" s="28" t="str">
        <x:v>пюре, суп, запекание, крем, гарнир, соус или десертная разработка с цветная капуста</x:v>
      </x:c>
      <x:c r="J320" s="28" t="str">
        <x:v>Средняя</x:v>
      </x:c>
      <x:c r="K320" s="28" t="str">
        <x:v>Тезариус вкусов (Ники Сегнит)(1).pdf</x:v>
      </x:c>
      <x:c r="L320" s="28" t="str">
        <x:v>Тезариус вкусов (Ники Сегнит)(1).pdf: 244, 323</x:v>
      </x:c>
    </x:row>
    <x:row r="321" ht="66" customHeight="1">
      <x:c r="A321" s="28" t="str">
        <x:v>VEG-0401</x:v>
      </x:c>
      <x:c r="B321" s="28" t="str">
        <x:v>картофель</x:v>
      </x:c>
      <x:c r="C321" s="28" t="str">
        <x:v>цветы бузины</x:v>
      </x:c>
      <x:c r="D321" s="28" t="str">
        <x:v>Травы, цветы и листья</x:v>
      </x:c>
      <x:c r="E321" s="28" t="str">
        <x:v>сенсорная комплементарность</x:v>
      </x:c>
      <x:c r="F321" s="28" t="str">
        <x:v>Картофель имеет профиль «крахмалистый, землистый, ореховый и жареный после нагрева». Партнёр «цветы бузины»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</x:v>
      </x:c>
      <x:c r="G32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1" s="28" t="str">
        <x:v>зелёные или проросшие клубни не использовать; пережаривание даёт горечь и чрезмерно тёмную корку; длительный нагрев уносит свежие терпены и зелёные альдегиды</x:v>
      </x:c>
      <x:c r="I321" s="28" t="str">
        <x:v>пюре, суп, запекание, крем, гарнир, соус или десертная разработка с цветы бузины</x:v>
      </x:c>
      <x:c r="J321" s="28" t="str">
        <x:v>Средняя</x:v>
      </x:c>
      <x:c r="K321" s="28" t="str">
        <x:v>The Art &amp; Science of Foodpairing.pdf</x:v>
      </x:c>
      <x:c r="L321" s="28" t="str">
        <x:v>The Art &amp; Science of Foodpairing.pdf: 196</x:v>
      </x:c>
    </x:row>
    <x:row r="322" ht="66" customHeight="1">
      <x:c r="A322" s="28" t="str">
        <x:v>VEG-0402</x:v>
      </x:c>
      <x:c r="B322" s="28" t="str">
        <x:v>картофель</x:v>
      </x:c>
      <x:c r="C322" s="28" t="str">
        <x:v>цыпленок</x:v>
      </x:c>
      <x:c r="D322" s="28" t="str">
        <x:v>Прочее</x:v>
      </x:c>
      <x:c r="E322" s="28" t="str">
        <x:v>сенсорная комплементарность</x:v>
      </x:c>
      <x:c r="F322" s="28" t="str">
        <x:v>Картофель имеет профиль «крахмалистый, землистый, ореховый и жареный после нагрева».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2" s="28" t="str">
        <x:v>зелёные или проросшие клубни не использовать; пережаривание даёт горечь и чрезмерно тёмную корку</x:v>
      </x:c>
      <x:c r="I322" s="28" t="str">
        <x:v>пюре, суп, запекание, крем, гарнир, соус или десертная разработка с цыпленок</x:v>
      </x:c>
      <x:c r="J322" s="28" t="str">
        <x:v>Средняя</x:v>
      </x:c>
      <x:c r="K322" s="28" t="str">
        <x:v>Тезариус вкусов (Ники Сегнит)(1).pdf</x:v>
      </x:c>
      <x:c r="L322" s="28" t="str">
        <x:v>Тезариус вкусов (Ники Сегнит)(1).pdf: 67, 244</x:v>
      </x:c>
    </x:row>
    <x:row r="323" ht="66" customHeight="1">
      <x:c r="A323" s="28" t="str">
        <x:v>VEG-0403</x:v>
      </x:c>
      <x:c r="B323" s="28" t="str">
        <x:v>картофель</x:v>
      </x:c>
      <x:c r="C323" s="28" t="str">
        <x:v>чай</x:v>
      </x:c>
      <x:c r="D323" s="28" t="str">
        <x:v>Чай</x:v>
      </x:c>
      <x:c r="E323" s="28" t="str">
        <x:v>сенсорная комплементарность</x:v>
      </x:c>
      <x:c r="F323" s="28" t="str">
        <x:v>Картофель имеет профиль «крахмалистый, землистый, ореховый и жареный после нагрева».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3" s="28" t="str">
        <x:v>зелёные или проросшие клубни не использовать; пережаривание даёт горечь и чрезмерно тёмную корку</x:v>
      </x:c>
      <x:c r="I323" s="28" t="str">
        <x:v>пюре, суп, запекание, крем, гарнир, соус или десертная разработка с чай</x:v>
      </x:c>
      <x:c r="J323" s="28" t="str">
        <x:v>Средняя</x:v>
      </x:c>
      <x:c r="K323" s="28" t="str">
        <x:v>The Art &amp; Science of Foodpairing.pdf</x:v>
      </x:c>
      <x:c r="L323" s="28" t="str">
        <x:v>The Art &amp; Science of Foodpairing.pdf: 196</x:v>
      </x:c>
    </x:row>
    <x:row r="324" ht="66" customHeight="1">
      <x:c r="A324" s="28" t="str">
        <x:v>VEG-0404</x:v>
      </x:c>
      <x:c r="B324" s="28" t="str">
        <x:v>картофель</x:v>
      </x:c>
      <x:c r="C324" s="28" t="str">
        <x:v>чеддер</x:v>
      </x:c>
      <x:c r="D324" s="28" t="str">
        <x:v>Прочее</x:v>
      </x:c>
      <x:c r="E324" s="28" t="str">
        <x:v>сенсорная комплементарность</x:v>
      </x:c>
      <x:c r="F324" s="28" t="str">
        <x:v>Картофель имеет профиль «крахмалистый, землистый, ореховый и жареный после нагрева». Партнёр «чеддер»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4" s="28" t="str">
        <x:v>зелёные или проросшие клубни не использовать; пережаривание даёт горечь и чрезмерно тёмную корку</x:v>
      </x:c>
      <x:c r="I324" s="28" t="str">
        <x:v>пюре, суп, запекание, крем, гарнир, соус или десертная разработка с чеддер</x:v>
      </x:c>
      <x:c r="J324" s="28" t="str">
        <x:v>Средняя</x:v>
      </x:c>
      <x:c r="K324" s="28" t="str">
        <x:v>The Art &amp; Science of Foodpairing.pdf</x:v>
      </x:c>
      <x:c r="L324" s="28" t="str">
        <x:v>The Art &amp; Science of Foodpairing.pdf: 196</x:v>
      </x:c>
    </x:row>
    <x:row r="325" ht="66" customHeight="1">
      <x:c r="A325" s="28" t="str">
        <x:v>VEG-0405</x:v>
      </x:c>
      <x:c r="B325" s="28" t="str">
        <x:v>картофель</x:v>
      </x:c>
      <x:c r="C325" s="28" t="str">
        <x:v>черная икра</x:v>
      </x:c>
      <x:c r="D325" s="28" t="str">
        <x:v>Рыба и морепродукты</x:v>
      </x:c>
      <x:c r="E325" s="28" t="str">
        <x:v>общие характерные молекулы; умами и солёный контраст</x:v>
      </x:c>
      <x:c r="F325" s="28" t="str">
        <x:v>Картофель имеет профиль «крахмалистый, землистый, ореховый и жареный после нагрева». Партнёр «черная икра»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</x:v>
      </x:c>
      <x:c r="G32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5" s="28" t="str">
        <x:v>зелёные или проросшие клубни не использовать; пережаривание даёт горечь и чрезмерно тёмную корку</x:v>
      </x:c>
      <x:c r="I325" s="28" t="str">
        <x:v>пюре, суп, запекание, крем, гарнир, соус или десертная разработка с черная икра</x:v>
      </x:c>
      <x:c r="J325" s="28" t="str">
        <x:v>Средняя</x:v>
      </x:c>
      <x:c r="K325" s="28" t="str">
        <x:v>Тезариус вкусов (Ники Сегнит)(1).pdf</x:v>
      </x:c>
      <x:c r="L325" s="28" t="str">
        <x:v>Тезариус вкусов (Ники Сегнит)(1).pdf: 244, 406</x:v>
      </x:c>
    </x:row>
    <x:row r="326" ht="66" customHeight="1">
      <x:c r="A326" s="28" t="str">
        <x:v>VEG-0406</x:v>
      </x:c>
      <x:c r="B326" s="28" t="str">
        <x:v>картофель</x:v>
      </x:c>
      <x:c r="C326" s="28" t="str">
        <x:v>чернослив ажен</x:v>
      </x:c>
      <x:c r="D326" s="28" t="str">
        <x:v>Фрукты и ягоды</x:v>
      </x:c>
      <x:c r="E326" s="28" t="str">
        <x:v>общие характерные молекулы; кислотно-сладкий баланс</x:v>
      </x:c>
      <x:c r="F326" s="28" t="str">
        <x:v>Картофель имеет профиль «крахмалистый, землистый, ореховый и жареный после нагрева». Партнёр «чернослив ажен» относится к группе «Фрукты и ягоды» и даёт фруктовый, цветочный и свежий. Вероятный молекулярный мост: альдегиды.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2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6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326" s="28" t="str">
        <x:v>пюре, суп, запекание, крем, гарнир, соус или десертная разработка с чернослив ажен</x:v>
      </x:c>
      <x:c r="J326" s="28" t="str">
        <x:v>Средняя</x:v>
      </x:c>
      <x:c r="K326" s="28" t="str">
        <x:v>The Art &amp; Science of Foodpairing.pdf</x:v>
      </x:c>
      <x:c r="L326" s="28" t="str">
        <x:v>The Art &amp; Science of Foodpairing.pdf: 196</x:v>
      </x:c>
    </x:row>
    <x:row r="327" ht="66" customHeight="1">
      <x:c r="A327" s="28" t="str">
        <x:v>VEG-0407</x:v>
      </x:c>
      <x:c r="B327" s="28" t="str">
        <x:v>картофель</x:v>
      </x:c>
      <x:c r="C327" s="28" t="str">
        <x:v>чеснок</x:v>
      </x:c>
      <x:c r="D327" s="28" t="str">
        <x:v>Луковые овощи</x:v>
      </x:c>
      <x:c r="E327" s="28" t="str">
        <x:v>пересечение ароматических семейств</x:v>
      </x:c>
      <x:c r="F327" s="28" t="str">
        <x:v>Картофель имеет профиль «крахмалистый, землистый, ореховый и жареный после нагрева».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сернистый. Совместимость формируется за счёт баланса сладости, кислотности, горечи, умами и текстуры.</x:v>
      </x:c>
      <x:c r="G32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7" s="28" t="str">
        <x:v>зелёные или проросшие клубни не использовать; пережаривание даёт горечь и чрезмерно тёмную корку</x:v>
      </x:c>
      <x:c r="I327" s="28" t="str">
        <x:v>пюре, суп, запекание, крем, гарнир, соус или десертная разработка с чеснок</x:v>
      </x:c>
      <x:c r="J327" s="28" t="str">
        <x:v>Средняя</x:v>
      </x:c>
      <x:c r="K327" s="28" t="str">
        <x:v>Тезариус вкусов (Ники Сегнит)(1).pdf</x:v>
      </x:c>
      <x:c r="L327" s="28" t="str">
        <x:v>Тезариус вкусов (Ники Сегнит)(1).pdf: 245, 294</x:v>
      </x:c>
    </x:row>
    <x:row r="328" ht="66" customHeight="1">
      <x:c r="A328" s="28" t="str">
        <x:v>VEG-0408</x:v>
      </x:c>
      <x:c r="B328" s="28" t="str">
        <x:v>картофель</x:v>
      </x:c>
      <x:c r="C328" s="28" t="str">
        <x:v>чиабатта</x:v>
      </x:c>
      <x:c r="D328" s="28" t="str">
        <x:v>Прочее</x:v>
      </x:c>
      <x:c r="E328" s="28" t="str">
        <x:v>сенсорная комплементарность</x:v>
      </x:c>
      <x:c r="F328" s="28" t="str">
        <x:v>Картофель имеет профиль «крахмалистый, землистый, ореховый и жареный после нагрева».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28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8" s="28" t="str">
        <x:v>зелёные или проросшие клубни не использовать; пережаривание даёт горечь и чрезмерно тёмную корку</x:v>
      </x:c>
      <x:c r="I328" s="28" t="str">
        <x:v>пюре, суп, запекание, крем, гарнир, соус или десертная разработка с чиабатта</x:v>
      </x:c>
      <x:c r="J328" s="28" t="str">
        <x:v>Средняя</x:v>
      </x:c>
      <x:c r="K328" s="28" t="str">
        <x:v>The Art &amp; Science of Foodpairing.pdf</x:v>
      </x:c>
      <x:c r="L328" s="28" t="str">
        <x:v>The Art &amp; Science of Foodpairing.pdf: 196</x:v>
      </x:c>
    </x:row>
    <x:row r="329" ht="66" customHeight="1">
      <x:c r="A329" s="28" t="str">
        <x:v>VEG-0409</x:v>
      </x:c>
      <x:c r="B329" s="28" t="str">
        <x:v>картофель</x:v>
      </x:c>
      <x:c r="C329" s="28" t="str">
        <x:v>чили</x:v>
      </x:c>
      <x:c r="D329" s="28" t="str">
        <x:v>Специи</x:v>
      </x:c>
      <x:c r="E329" s="28" t="str">
        <x:v>сенсорная комплементарность</x:v>
      </x:c>
      <x:c r="F329" s="28" t="str">
        <x:v>Картофель имеет профиль «крахмалистый, землистый, ореховый и жареный после нагрева».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29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29" s="28" t="str">
        <x:v>зелёные или проросшие клубни не использовать; пережаривание даёт горечь и чрезмерно тёмную корку</x:v>
      </x:c>
      <x:c r="I329" s="28" t="str">
        <x:v>пюре, суп, запекание, крем, гарнир, соус или десертная разработка с чили</x:v>
      </x:c>
      <x:c r="J329" s="28" t="str">
        <x:v>Средняя</x:v>
      </x:c>
      <x:c r="K329" s="28" t="str">
        <x:v>Тезариус вкусов (Ники Сегнит)(1).pdf</x:v>
      </x:c>
      <x:c r="L329" s="28" t="str">
        <x:v>Тезариус вкусов (Ники Сегнит)(1).pdf: 245, 555</x:v>
      </x:c>
    </x:row>
    <x:row r="330" ht="66" customHeight="1">
      <x:c r="A330" s="28" t="str">
        <x:v>VEG-0410</x:v>
      </x:c>
      <x:c r="B330" s="28" t="str">
        <x:v>картофель</x:v>
      </x:c>
      <x:c r="C330" s="28" t="str">
        <x:v>чили ахи панка</x:v>
      </x:c>
      <x:c r="D330" s="28" t="str">
        <x:v>Специи</x:v>
      </x:c>
      <x:c r="E330" s="28" t="str">
        <x:v>сенсорная комплементарность</x:v>
      </x:c>
      <x:c r="F330" s="28" t="str">
        <x:v>Картофель имеет профиль «крахмалистый, землистый, ореховый и жареный после нагрева». Партнёр «чили ахи панка»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30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0" s="28" t="str">
        <x:v>зелёные или проросшие клубни не использовать; пережаривание даёт горечь и чрезмерно тёмную корку</x:v>
      </x:c>
      <x:c r="I330" s="28" t="str">
        <x:v>пюре, суп, запекание, крем, гарнир, соус или десертная разработка с чили ахи панка</x:v>
      </x:c>
      <x:c r="J330" s="28" t="str">
        <x:v>Средняя</x:v>
      </x:c>
      <x:c r="K330" s="28" t="str">
        <x:v>The Art &amp; Science of Foodpairing.pdf</x:v>
      </x:c>
      <x:c r="L330" s="28" t="str">
        <x:v>The Art &amp; Science of Foodpairing.pdf: 196</x:v>
      </x:c>
    </x:row>
    <x:row r="331" ht="66" customHeight="1">
      <x:c r="A331" s="28" t="str">
        <x:v>VEG-0411</x:v>
      </x:c>
      <x:c r="B331" s="28" t="str">
        <x:v>картофель</x:v>
      </x:c>
      <x:c r="C331" s="28" t="str">
        <x:v>чёрный перец</x:v>
      </x:c>
      <x:c r="D331" s="28" t="str">
        <x:v>Специи</x:v>
      </x:c>
      <x:c r="E331" s="28" t="str">
        <x:v>сенсорная комплементарность</x:v>
      </x:c>
      <x:c r="F331" s="28" t="str">
        <x:v>Картофель имеет профиль «крахмалистый, землистый, ореховый и жареный после нагрева». Партнёр «чёрный перец» относится к группе «Специи» и даёт древесный, пряный,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31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1" s="28" t="str">
        <x:v>зелёные или проросшие клубни не использовать; пережаривание даёт горечь и чрезмерно тёмную корку</x:v>
      </x:c>
      <x:c r="I331" s="28" t="str">
        <x:v>пюре, суп, запекание, крем, гарнир, соус или десертная разработка с чёрный перец</x:v>
      </x:c>
      <x:c r="J331" s="28" t="str">
        <x:v>Средняя</x:v>
      </x:c>
      <x:c r="K331" s="28" t="str">
        <x:v>The Art &amp; Science of Foodpairing.pdf</x:v>
      </x:c>
      <x:c r="L331" s="28" t="str">
        <x:v>The Art &amp; Science of Foodpairing.pdf: 273</x:v>
      </x:c>
    </x:row>
    <x:row r="332" ht="66" customHeight="1">
      <x:c r="A332" s="28" t="str">
        <x:v>VEG-0412</x:v>
      </x:c>
      <x:c r="B332" s="28" t="str">
        <x:v>картофель</x:v>
      </x:c>
      <x:c r="C332" s="28" t="str">
        <x:v>чёрный трюфель</x:v>
      </x:c>
      <x:c r="D332" s="28" t="str">
        <x:v>Грибы</x:v>
      </x:c>
      <x:c r="E332" s="28" t="str">
        <x:v>пересечение ароматических семейств; умами и солёный контраст</x:v>
      </x:c>
      <x:c r="F332" s="28" t="str">
        <x:v>Картофель имеет профиль «крахмалистый, землистый, ореховый и жареный после нагрева». Партнёр «чёрный трюфель» относится к группе «Грибы» и даёт землистый, грибной и умами. Профили пересекаются в семействах: жареный, землистый. Умами, соль и нуклеотиды усиливают savoury-профиль, а жарка формирует общую систему пиразинов, фуранов и сернистых молекул.</x:v>
      </x:c>
      <x:c r="G332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2" s="28" t="str">
        <x:v>зелёные или проросшие клубни не использовать; пережаривание даёт горечь и чрезмерно тёмную корку</x:v>
      </x:c>
      <x:c r="I332" s="28" t="str">
        <x:v>пюре, суп, запекание, крем, гарнир, соус или десертная разработка с чёрный трюфель</x:v>
      </x:c>
      <x:c r="J332" s="28" t="str">
        <x:v>Высокая</x:v>
      </x:c>
      <x:c r="K332" s="28" t="str">
        <x:v>The Art &amp; Science of Foodpairing.pdf</x:v>
      </x:c>
      <x:c r="L332" s="28" t="str">
        <x:v>The Art &amp; Science of Foodpairing.pdf: 193</x:v>
      </x:c>
    </x:row>
    <x:row r="333" ht="66" customHeight="1">
      <x:c r="A333" s="28" t="str">
        <x:v>VEG-0413</x:v>
      </x:c>
      <x:c r="B333" s="28" t="str">
        <x:v>картофель</x:v>
      </x:c>
      <x:c r="C333" s="28" t="str">
        <x:v>чёрный чай</x:v>
      </x:c>
      <x:c r="D333" s="28" t="str">
        <x:v>Чай</x:v>
      </x:c>
      <x:c r="E333" s="28" t="str">
        <x:v>сенсорная комплементарность</x:v>
      </x:c>
      <x:c r="F333" s="28" t="str">
        <x:v>Картофель имеет профиль «крахмалистый, землистый, ореховый и жареный после нагрева». Партнёр «чёрный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33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3" s="28" t="str">
        <x:v>зелёные или проросшие клубни не использовать; пережаривание даёт горечь и чрезмерно тёмную корку</x:v>
      </x:c>
      <x:c r="I333" s="28" t="str">
        <x:v>пюре, суп, запекание, крем, гарнир, соус или десертная разработка с чёрный чай</x:v>
      </x:c>
      <x:c r="J333" s="28" t="str">
        <x:v>Средняя</x:v>
      </x:c>
      <x:c r="K333" s="28" t="str">
        <x:v>The Art &amp; Science of Foodpairing.pdf</x:v>
      </x:c>
      <x:c r="L333" s="28" t="str">
        <x:v>The Art &amp; Science of Foodpairing.pdf: 196</x:v>
      </x:c>
    </x:row>
    <x:row r="334" ht="66" customHeight="1">
      <x:c r="A334" s="28" t="str">
        <x:v>VEG-0414</x:v>
      </x:c>
      <x:c r="B334" s="28" t="str">
        <x:v>картофель</x:v>
      </x:c>
      <x:c r="C334" s="28" t="str">
        <x:v>шафран</x:v>
      </x:c>
      <x:c r="D334" s="28" t="str">
        <x:v>Специи</x:v>
      </x:c>
      <x:c r="E334" s="28" t="str">
        <x:v>сенсорная комплементарность</x:v>
      </x:c>
      <x:c r="F334" s="28" t="str">
        <x:v>Картофель имеет профиль «крахмалистый, землистый, ореховый и жареный после нагрева».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334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4" s="28" t="str">
        <x:v>зелёные или проросшие клубни не использовать; пережаривание даёт горечь и чрезмерно тёмную корку</x:v>
      </x:c>
      <x:c r="I334" s="28" t="str">
        <x:v>пюре, суп, запекание, крем, гарнир, соус или десертная разработка с шафран</x:v>
      </x:c>
      <x:c r="J334" s="28" t="str">
        <x:v>Средняя</x:v>
      </x:c>
      <x:c r="K334" s="28" t="str">
        <x:v>Тезариус вкусов (Ники Сегнит)(1).pdf</x:v>
      </x:c>
      <x:c r="L334" s="28" t="str">
        <x:v>Тезариус вкусов (Ники Сегнит)(1).pdf: 246, 474</x:v>
      </x:c>
    </x:row>
    <x:row r="335" ht="66" customHeight="1">
      <x:c r="A335" s="28" t="str">
        <x:v>VEG-0415</x:v>
      </x:c>
      <x:c r="B335" s="28" t="str">
        <x:v>картофель</x:v>
      </x:c>
      <x:c r="C335" s="28" t="str">
        <x:v>шоколад</x:v>
      </x:c>
      <x:c r="D335" s="28" t="str">
        <x:v>Какао и шоколад</x:v>
      </x:c>
      <x:c r="E335" s="28" t="str">
        <x:v>общие характерные молекулы; пересечение ароматических семейств</x:v>
      </x:c>
      <x:c r="F335" s="28" t="str">
        <x:v>Картофель имеет профиль «крахмалистый, землистый, ореховый и жареный после нагрева».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</x:v>
      </x:c>
      <x:c r="G335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5" s="28" t="str">
        <x:v>зелёные или проросшие клубни не использовать; пережаривание даёт горечь и чрезмерно тёмную корку; жареная горечь легко маскирует нежный овощной аромат</x:v>
      </x:c>
      <x:c r="I335" s="28" t="str">
        <x:v>пюре, суп, запекание, крем, гарнир, соус или десертная разработка с шоколад</x:v>
      </x:c>
      <x:c r="J335" s="28" t="str">
        <x:v>Средняя</x:v>
      </x:c>
      <x:c r="K335" s="28" t="str">
        <x:v>The Art &amp; Science of Foodpairing.pdf</x:v>
      </x:c>
      <x:c r="L335" s="28" t="str">
        <x:v>The Art &amp; Science of Foodpairing.pdf: 62</x:v>
      </x:c>
    </x:row>
    <x:row r="336" ht="66" customHeight="1">
      <x:c r="A336" s="28" t="str">
        <x:v>VEG-0416</x:v>
      </x:c>
      <x:c r="B336" s="28" t="str">
        <x:v>картофель</x:v>
      </x:c>
      <x:c r="C336" s="28" t="str">
        <x:v>яблоко</x:v>
      </x:c>
      <x:c r="D336" s="28" t="str">
        <x:v>Фрукты и ягоды</x:v>
      </x:c>
      <x:c r="E336" s="28" t="str">
        <x:v>кислотно-сладкий баланс</x:v>
      </x:c>
      <x:c r="F336" s="28" t="str">
        <x:v>Картофель имеет профиль «крахмалистый, землистый, ореховый и жареный после нагрева».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</x:v>
      </x:c>
      <x:c r="G336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6" s="28" t="str">
        <x:v>зелёные или проросшие клубни не использовать; пережаривание даёт горечь и чрезмерно тёмную корку; избыток кислоты или воды может сделать овощной вкус тонким и разрушить сливочную эмульсию</x:v>
      </x:c>
      <x:c r="I336" s="28" t="str">
        <x:v>пюре, суп, запекание, крем, гарнир, соус или десертная разработка с яблоко</x:v>
      </x:c>
      <x:c r="J336" s="28" t="str">
        <x:v>Высокая</x:v>
      </x:c>
      <x:c r="K336" s="28" t="str">
        <x:v>The Art &amp; Science of Foodpairing.pdf</x:v>
      </x:c>
      <x:c r="L336" s="28" t="str">
        <x:v>The Art &amp; Science of Foodpairing.pdf: 48</x:v>
      </x:c>
    </x:row>
    <x:row r="337" ht="66" customHeight="1">
      <x:c r="A337" s="28" t="str">
        <x:v>VEG-0417</x:v>
      </x:c>
      <x:c r="B337" s="28" t="str">
        <x:v>картофель</x:v>
      </x:c>
      <x:c r="C337" s="28" t="str">
        <x:v>яйца</x:v>
      </x:c>
      <x:c r="D337" s="28" t="str">
        <x:v>Прочее</x:v>
      </x:c>
      <x:c r="E337" s="28" t="str">
        <x:v>сенсорная комплементарность</x:v>
      </x:c>
      <x:c r="F337" s="28" t="str">
        <x:v>Картофель имеет профиль «крахмалистый, землистый, ореховый и жареный после нагрева».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37" s="28" t="str">
        <x:v>варка даёт мягкие сернисто-крахмальные ноты; жарка и запекание создают Майяр и хруст. Для сладко-жареного профиля удалить поверхностную влагу и использовать запекание или обжаривание.</x:v>
      </x:c>
      <x:c r="H337" s="28" t="str">
        <x:v>зелёные или проросшие клубни не использовать; пережаривание даёт горечь и чрезмерно тёмную корку</x:v>
      </x:c>
      <x:c r="I337" s="28" t="str">
        <x:v>пюре, суп, запекание, крем, гарнир, соус или десертная разработка с яйца</x:v>
      </x:c>
      <x:c r="J337" s="28" t="str">
        <x:v>Средняя</x:v>
      </x:c>
      <x:c r="K337" s="28" t="str">
        <x:v>Тезариус вкусов (Ники Сегнит)(1).pdf</x:v>
      </x:c>
      <x:c r="L337" s="28" t="str">
        <x:v>Тезариус вкусов (Ники Сегнит)(1).pdf: 246, 354</x:v>
      </x:c>
    </x:row>
    <x:row r="338" ht="66" customHeight="1">
      <x:c r="A338" s="28" t="str">
        <x:v>VEG-0418</x:v>
      </x:c>
      <x:c r="B338" s="28" t="str">
        <x:v>лук</x:v>
      </x:c>
      <x:c r="C338" s="28" t="str">
        <x:v>«черный пудинг»</x:v>
      </x:c>
      <x:c r="D338" s="28" t="str">
        <x:v>Прочее</x:v>
      </x:c>
      <x:c r="E338" s="28" t="str">
        <x:v>сернистая или горчичная комплементарность</x:v>
      </x:c>
      <x:c r="F338" s="28" t="str">
        <x:v>Лук имеет профиль «сернистый, сладкий, зелёный; после жарки — карамельный и мясной». Партнёр ««черный пудинг»»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3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38" s="28" t="str">
        <x:v>сырой лук легко перекрывает деликатные ароматы; подгорание создаёт устойчивую горечь</x:v>
      </x:c>
      <x:c r="I338" s="28" t="str">
        <x:v>горячее блюдо, бульон, соус, пюре, ферментация или гарнир с «черный пудинг»</x:v>
      </x:c>
      <x:c r="J338" s="28" t="str">
        <x:v>Средняя</x:v>
      </x:c>
      <x:c r="K338" s="28" t="str">
        <x:v>Тезариус вкусов (Ники Сегнит)(1).pdf</x:v>
      </x:c>
      <x:c r="L338" s="28" t="str">
        <x:v>Тезариус вкусов (Ники Сегнит)(1).pdf: 94, 288</x:v>
      </x:c>
    </x:row>
    <x:row r="339" ht="66" customHeight="1">
      <x:c r="A339" s="28" t="str">
        <x:v>VEG-0419</x:v>
      </x:c>
      <x:c r="B339" s="28" t="str">
        <x:v>лук</x:v>
      </x:c>
      <x:c r="C339" s="28" t="str">
        <x:v>анчоусы</x:v>
      </x:c>
      <x:c r="D339" s="28" t="str">
        <x:v>Рыба и морепродукты</x:v>
      </x:c>
      <x:c r="E339" s="28" t="str">
        <x:v>умами и солёный контраст; сернистая или горчичная комплементарность</x:v>
      </x:c>
      <x:c r="F339" s="28" t="str">
        <x:v>Лук имеет профиль «сернистый, сладкий, зелёный; после жарки — карамельный и мясной».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3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39" s="28" t="str">
        <x:v>сырой лук легко перекрывает деликатные ароматы; подгорание создаёт устойчивую горечь</x:v>
      </x:c>
      <x:c r="I339" s="28" t="str">
        <x:v>горячее блюдо, бульон, соус, пюре, ферментация или гарнир с анчоусы</x:v>
      </x:c>
      <x:c r="J339" s="28" t="str">
        <x:v>Средняя</x:v>
      </x:c>
      <x:c r="K339" s="28" t="str">
        <x:v>Тезариус вкусов (Ники Сегнит)(1).pdf</x:v>
      </x:c>
      <x:c r="L339" s="28" t="str">
        <x:v>Тезариус вкусов (Ники Сегнит)(1).pdf: 278, 428</x:v>
      </x:c>
    </x:row>
    <x:row r="340" ht="66" customHeight="1">
      <x:c r="A340" s="28" t="str">
        <x:v>VEG-0420</x:v>
      </x:c>
      <x:c r="B340" s="28" t="str">
        <x:v>лук</x:v>
      </x:c>
      <x:c r="C340" s="28" t="str">
        <x:v>апельсин</x:v>
      </x:c>
      <x:c r="D340" s="28" t="str">
        <x:v>Фрукты и ягоды</x:v>
      </x:c>
      <x:c r="E340" s="28" t="str">
        <x:v>пересечение ароматических семейств; кислотно-сладкий баланс; сернистая или горчичная комплементарность</x:v>
      </x:c>
      <x:c r="F340" s="28" t="str">
        <x:v>Лук имеет профиль «сернистый, сладкий, зелёный; после жарки — карамельный и мясной». Партнёр «апельсин» относится к группе «Фрукты и ягоды» и даёт сладкий, цветочный, цитрусовый. Профили пересекаются в семействах: сладкий.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0" s="28" t="str">
        <x:v>сырой лук легко перекрывает деликатные ароматы; подгорание создаёт устойчивую горечь; избыток кислоты или воды может сделать овощной вкус тонким и разрушить сливочную эмульсию</x:v>
      </x:c>
      <x:c r="I340" s="28" t="str">
        <x:v>горячее блюдо, бульон, соус, пюре, ферментация или гарнир с апельсин</x:v>
      </x:c>
      <x:c r="J340" s="28" t="str">
        <x:v>Средняя</x:v>
      </x:c>
      <x:c r="K340" s="28" t="str">
        <x:v>Тезариус вкусов (Ники Сегнит)(1).pdf</x:v>
      </x:c>
      <x:c r="L340" s="28" t="str">
        <x:v>Тезариус вкусов (Ники Сегнит)(1).pdf: 280, 777</x:v>
      </x:c>
    </x:row>
    <x:row r="341" ht="66" customHeight="1">
      <x:c r="A341" s="28" t="str">
        <x:v>VEG-0421</x:v>
      </x:c>
      <x:c r="B341" s="28" t="str">
        <x:v>лук</x:v>
      </x:c>
      <x:c r="C341" s="28" t="str">
        <x:v>баранина</x:v>
      </x:c>
      <x:c r="D341" s="28" t="str">
        <x:v>Мясо и птица</x:v>
      </x:c>
      <x:c r="E341" s="28" t="str">
        <x:v>пересечение ароматических семейств; умами и солёный контраст; сернистая или горчичная комплементарность</x:v>
      </x:c>
      <x:c r="F341" s="28" t="str">
        <x:v>Лук имеет профиль «сернистый, сладкий, зелёный; после жарки — карамельный и мясной». Партнёр «баранина»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1" s="28" t="str">
        <x:v>сырой лук легко перекрывает деликатные ароматы; подгорание создаёт устойчивую горечь</x:v>
      </x:c>
      <x:c r="I341" s="28" t="str">
        <x:v>горячее блюдо, бульон, соус, пюре, ферментация или гарнир с баранина</x:v>
      </x:c>
      <x:c r="J341" s="28" t="str">
        <x:v>Средняя</x:v>
      </x:c>
      <x:c r="K341" s="28" t="str">
        <x:v>Тезариус вкусов (Ники Сегнит)(1).pdf</x:v>
      </x:c>
      <x:c r="L341" s="28" t="str">
        <x:v>Тезариус вкусов (Ники Сегнит)(1).pdf: 130, 280</x:v>
      </x:c>
    </x:row>
    <x:row r="342" ht="66" customHeight="1">
      <x:c r="A342" s="28" t="str">
        <x:v>VEG-0422</x:v>
      </x:c>
      <x:c r="B342" s="28" t="str">
        <x:v>лук</x:v>
      </x:c>
      <x:c r="C342" s="28" t="str">
        <x:v>бекон</x:v>
      </x:c>
      <x:c r="D342" s="28" t="str">
        <x:v>Мясо и птица</x:v>
      </x:c>
      <x:c r="E342" s="28" t="str">
        <x:v>пересечение ароматических семейств; умами и солёный контраст; сернистая или горчичная комплементарность</x:v>
      </x:c>
      <x:c r="F342" s="28" t="str">
        <x:v>Лук имеет профиль «сернистый, сладкий, зелёный; после жарки — карамельный и мясной». Партнёр «бекон» относится к группе «Мясо и птица» и даёт дымный, жареный,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2" s="28" t="str">
        <x:v>сырой лук легко перекрывает деликатные ароматы; подгорание создаёт устойчивую горечь</x:v>
      </x:c>
      <x:c r="I342" s="28" t="str">
        <x:v>горячее блюдо, бульон, соус, пюре, ферментация или гарнир с бекон</x:v>
      </x:c>
      <x:c r="J342" s="28" t="str">
        <x:v>Средняя</x:v>
      </x:c>
      <x:c r="K342" s="28" t="str">
        <x:v>Тезариус вкусов (Ники Сегнит)(1).pdf</x:v>
      </x:c>
      <x:c r="L342" s="28" t="str">
        <x:v>Тезариус вкусов (Ники Сегнит)(1).pdf: 281, 445</x:v>
      </x:c>
    </x:row>
    <x:row r="343" ht="66" customHeight="1">
      <x:c r="A343" s="28" t="str">
        <x:v>VEG-0423</x:v>
      </x:c>
      <x:c r="B343" s="28" t="str">
        <x:v>лук</x:v>
      </x:c>
      <x:c r="C343" s="28" t="str">
        <x:v>болгарский перец</x:v>
      </x:c>
      <x:c r="D343" s="28" t="str">
        <x:v>Плодовые овощи</x:v>
      </x:c>
      <x:c r="E343" s="28" t="str">
        <x:v>пересечение ароматических семейств; сернистая или горчичная комплементарность</x:v>
      </x:c>
      <x:c r="F343" s="28" t="str">
        <x:v>Лук имеет профиль «сернистый, сладкий, зелёный; после жарки — карамельный и мясной».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3" s="28" t="str">
        <x:v>сырой лук легко перекрывает деликатные ароматы; подгорание создаёт устойчивую горечь</x:v>
      </x:c>
      <x:c r="I343" s="28" t="str">
        <x:v>горячее блюдо, бульон, соус, пюре, ферментация или гарнир с болгарский перец</x:v>
      </x:c>
      <x:c r="J343" s="28" t="str">
        <x:v>Средняя</x:v>
      </x:c>
      <x:c r="K343" s="28" t="str">
        <x:v>Тезариус вкусов (Ники Сегнит)(1).pdf</x:v>
      </x:c>
      <x:c r="L343" s="28" t="str">
        <x:v>Тезариус вкусов (Ники Сегнит)(1).pdf: 281, 547</x:v>
      </x:c>
    </x:row>
    <x:row r="344" ht="66" customHeight="1">
      <x:c r="A344" s="28" t="str">
        <x:v>VEG-0424</x:v>
      </x:c>
      <x:c r="B344" s="28" t="str">
        <x:v>лук</x:v>
      </x:c>
      <x:c r="C344" s="28" t="str">
        <x:v>гвоздика</x:v>
      </x:c>
      <x:c r="D344" s="28" t="str">
        <x:v>Специи</x:v>
      </x:c>
      <x:c r="E344" s="28" t="str">
        <x:v>сернистая или горчичная комплементарность</x:v>
      </x:c>
      <x:c r="F344" s="28" t="str">
        <x:v>Лук имеет профиль «сернистый, сладкий, зелёный; после жарки — карамельный и мясной». Партнёр «гвоздика» относится к группе «Специи» и даёт древесный, пряный, фенольный.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4" s="28" t="str">
        <x:v>сырой лук легко перекрывает деликатные ароматы; подгорание создаёт устойчивую горечь</x:v>
      </x:c>
      <x:c r="I344" s="28" t="str">
        <x:v>горячее блюдо, бульон, соус, пюре, ферментация или гарнир с гвоздика</x:v>
      </x:c>
      <x:c r="J344" s="28" t="str">
        <x:v>Средняя</x:v>
      </x:c>
      <x:c r="K344" s="28" t="str">
        <x:v>Тезариус вкусов (Ники Сегнит)(1).pdf</x:v>
      </x:c>
      <x:c r="L344" s="28" t="str">
        <x:v>Тезариус вкусов (Ники Сегнит)(1).pdf: 282, 584</x:v>
      </x:c>
    </x:row>
    <x:row r="345" ht="66" customHeight="1">
      <x:c r="A345" s="28" t="str">
        <x:v>VEG-0425</x:v>
      </x:c>
      <x:c r="B345" s="28" t="str">
        <x:v>лук</x:v>
      </x:c>
      <x:c r="C345" s="28" t="str">
        <x:v>говядина</x:v>
      </x:c>
      <x:c r="D345" s="28" t="str">
        <x:v>Мясо и птица</x:v>
      </x:c>
      <x:c r="E345" s="28" t="str">
        <x:v>пересечение ароматических семейств; умами и солёный контраст; сернистая или горчичная комплементарность</x:v>
      </x:c>
      <x:c r="F345" s="28" t="str">
        <x:v>Лук имеет профиль «сернистый, сладкий, зелёный; после жарки — карамельный и мясной». Партнёр «говядина»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5" s="28" t="str">
        <x:v>сырой лук легко перекрывает деликатные ароматы; подгорание создаёт устойчивую горечь</x:v>
      </x:c>
      <x:c r="I345" s="28" t="str">
        <x:v>горячее блюдо, бульон, соус, пюре, ферментация или гарнир с говядина</x:v>
      </x:c>
      <x:c r="J345" s="28" t="str">
        <x:v>Средняя</x:v>
      </x:c>
      <x:c r="K345" s="28" t="str">
        <x:v>Тезариус вкусов (Ники Сегнит)(1).pdf</x:v>
      </x:c>
      <x:c r="L345" s="28" t="str">
        <x:v>Тезариус вкусов (Ники Сегнит)(1).pdf: 113, 283</x:v>
      </x:c>
    </x:row>
    <x:row r="346" ht="66" customHeight="1">
      <x:c r="A346" s="28" t="str">
        <x:v>VEG-0426</x:v>
      </x:c>
      <x:c r="B346" s="28" t="str">
        <x:v>лук</x:v>
      </x:c>
      <x:c r="C346" s="28" t="str">
        <x:v>горох</x:v>
      </x:c>
      <x:c r="D346" s="28" t="str">
        <x:v>Бобовые</x:v>
      </x:c>
      <x:c r="E346" s="28" t="str">
        <x:v>пересечение ароматических семейств; сернистая или горчичная комплементарность</x:v>
      </x:c>
      <x:c r="F346" s="28" t="str">
        <x:v>Лук имеет профиль «сернистый, сладкий, зелёный; после жарки — карамельный и мясной». Партнёр «горох» относится к группе «Бобовые» и даёт зелёный, сладкий, бобовый и слегка цветочный.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6" s="28" t="str">
        <x:v>сырой лук легко перекрывает деликатные ароматы; подгорание создаёт устойчивую горечь</x:v>
      </x:c>
      <x:c r="I346" s="28" t="str">
        <x:v>горячее блюдо, бульон, соус, пюре, ферментация или гарнир с горох</x:v>
      </x:c>
      <x:c r="J346" s="28" t="str">
        <x:v>Средняя</x:v>
      </x:c>
      <x:c r="K346" s="28" t="str">
        <x:v>Тезариус вкусов (Ники Сегнит)(1).pdf</x:v>
      </x:c>
      <x:c r="L346" s="28" t="str">
        <x:v>Тезариус вкусов (Ники Сегнит)(1).pdf: 283, 538</x:v>
      </x:c>
    </x:row>
    <x:row r="347" ht="66" customHeight="1">
      <x:c r="A347" s="28" t="str">
        <x:v>VEG-0427</x:v>
      </x:c>
      <x:c r="B347" s="28" t="str">
        <x:v>лук</x:v>
      </x:c>
      <x:c r="C347" s="28" t="str">
        <x:v>жирная рыба</x:v>
      </x:c>
      <x:c r="D347" s="28" t="str">
        <x:v>Рыба и морепродукты</x:v>
      </x:c>
      <x:c r="E347" s="28" t="str">
        <x:v>умами и солёный контраст; сернистая или горчичная комплементарность</x:v>
      </x:c>
      <x:c r="F347" s="28" t="str">
        <x:v>Лук имеет профиль «сернистый, сладкий, зелёный; после жарки — карамельный и мясной».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7" s="28" t="str">
        <x:v>сырой лук легко перекрывает деликатные ароматы; подгорание создаёт устойчивую горечь</x:v>
      </x:c>
      <x:c r="I347" s="28" t="str">
        <x:v>горячее блюдо, бульон, соус, пюре, ферментация или гарнир с жирная рыба</x:v>
      </x:c>
      <x:c r="J347" s="28" t="str">
        <x:v>Средняя</x:v>
      </x:c>
      <x:c r="K347" s="28" t="str">
        <x:v>Тезариус вкусов (Ники Сегнит)(1).pdf</x:v>
      </x:c>
      <x:c r="L347" s="28" t="str">
        <x:v>Тезариус вкусов (Ники Сегнит)(1).pdf: 283, 414</x:v>
      </x:c>
    </x:row>
    <x:row r="348" ht="66" customHeight="1">
      <x:c r="A348" s="28" t="str">
        <x:v>VEG-0428</x:v>
      </x:c>
      <x:c r="B348" s="28" t="str">
        <x:v>лук</x:v>
      </x:c>
      <x:c r="C348" s="28" t="str">
        <x:v>имбирь</x:v>
      </x:c>
      <x:c r="D348" s="28" t="str">
        <x:v>Специи</x:v>
      </x:c>
      <x:c r="E348" s="28" t="str">
        <x:v>сернистая или горчичная комплементарность</x:v>
      </x:c>
      <x:c r="F348" s="28" t="str">
        <x:v>Лук имеет профиль «сернистый, сладкий, зелёный; после жарки — карамельный и мясной».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8" s="28" t="str">
        <x:v>сырой лук легко перекрывает деликатные ароматы; подгорание создаёт устойчивую горечь</x:v>
      </x:c>
      <x:c r="I348" s="28" t="str">
        <x:v>горячее блюдо, бульон, соус, пюре, ферментация или гарнир с имбирь</x:v>
      </x:c>
      <x:c r="J348" s="28" t="str">
        <x:v>Высокая</x:v>
      </x:c>
      <x:c r="K348" s="28" t="str">
        <x:v>The Art &amp; Science of Foodpairing.pdf | Тезариус вкусов (Ники Сегнит)(1).pdf</x:v>
      </x:c>
      <x:c r="L348" s="28" t="str">
        <x:v>Тезариус вкусов (Ники Сегнит)(1).pdf: 283, 813, 818; The Art &amp; Science of Foodpairing.pdf: 142</x:v>
      </x:c>
    </x:row>
    <x:row r="349" ht="66" customHeight="1">
      <x:c r="A349" s="28" t="str">
        <x:v>VEG-0429</x:v>
      </x:c>
      <x:c r="B349" s="28" t="str">
        <x:v>лук</x:v>
      </x:c>
      <x:c r="C349" s="28" t="str">
        <x:v>капуста</x:v>
      </x:c>
      <x:c r="D349" s="28" t="str">
        <x:v>Крестоцветные</x:v>
      </x:c>
      <x:c r="E349" s="28" t="str">
        <x:v>пересечение ароматических семейств; сернистая или горчичная комплементарность</x:v>
      </x:c>
      <x:c r="F349" s="28" t="str">
        <x:v>Лук имеет профиль «сернистый, сладкий, зелёный; после жарки — карамельный и мясной».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4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49" s="28" t="str">
        <x:v>сырой лук легко перекрывает деликатные ароматы; подгорание создаёт устойчивую горечь</x:v>
      </x:c>
      <x:c r="I349" s="28" t="str">
        <x:v>горячее блюдо, бульон, соус, пюре, ферментация или гарнир с капуста</x:v>
      </x:c>
      <x:c r="J349" s="28" t="str">
        <x:v>Средняя</x:v>
      </x:c>
      <x:c r="K349" s="28" t="str">
        <x:v>Тезариус вкусов (Ники Сегнит)(1).pdf</x:v>
      </x:c>
      <x:c r="L349" s="28" t="str">
        <x:v>Тезариус вкусов (Ники Сегнит)(1).pdf: 284, 311</x:v>
      </x:c>
    </x:row>
    <x:row r="350" ht="66" customHeight="1">
      <x:c r="A350" s="28" t="str">
        <x:v>VEG-0430</x:v>
      </x:c>
      <x:c r="B350" s="28" t="str">
        <x:v>лук</x:v>
      </x:c>
      <x:c r="C350" s="28" t="str">
        <x:v>копченая рыба</x:v>
      </x:c>
      <x:c r="D350" s="28" t="str">
        <x:v>Рыба и морепродукты</x:v>
      </x:c>
      <x:c r="E350" s="28" t="str">
        <x:v>умами и солёный контраст; сернистая или горчичная комплементарность</x:v>
      </x:c>
      <x:c r="F350" s="28" t="str">
        <x:v>Лук имеет профиль «сернистый, сладкий, зелёный; после жарки — карамельный и мясной». Партнёр «копченая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0" s="28" t="str">
        <x:v>сырой лук легко перекрывает деликатные ароматы; подгорание создаёт устойчивую горечь</x:v>
      </x:c>
      <x:c r="I350" s="28" t="str">
        <x:v>горячее блюдо, бульон, соус, пюре, ферментация или гарнир с копченая рыба</x:v>
      </x:c>
      <x:c r="J350" s="28" t="str">
        <x:v>Средняя</x:v>
      </x:c>
      <x:c r="K350" s="28" t="str">
        <x:v>Тезариус вкусов (Ники Сегнит)(1).pdf</x:v>
      </x:c>
      <x:c r="L350" s="28" t="str">
        <x:v>Тезариус вкусов (Ники Сегнит)(1).pdf: 284, 437</x:v>
      </x:c>
    </x:row>
    <x:row r="351" ht="66" customHeight="1">
      <x:c r="A351" s="28" t="str">
        <x:v>VEG-0431</x:v>
      </x:c>
      <x:c r="B351" s="28" t="str">
        <x:v>лук</x:v>
      </x:c>
      <x:c r="C351" s="28" t="str">
        <x:v>морковь</x:v>
      </x:c>
      <x:c r="D351" s="28" t="str">
        <x:v>Корнеплоды</x:v>
      </x:c>
      <x:c r="E351" s="28" t="str">
        <x:v>пересечение ароматических семейств; сернистая или горчичная комплементарность</x:v>
      </x:c>
      <x:c r="F351" s="28" t="str">
        <x:v>Лук имеет профиль «сернистый, сладкий, зелёный; после жарки — карамельный и мясной».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1" s="28" t="str">
        <x:v>сырой лук легко перекрывает деликатные ароматы; подгорание создаёт устойчивую горечь</x:v>
      </x:c>
      <x:c r="I351" s="28" t="str">
        <x:v>горячее блюдо, бульон, соус, пюре, ферментация или гарнир с морковь</x:v>
      </x:c>
      <x:c r="J351" s="28" t="str">
        <x:v>Средняя</x:v>
      </x:c>
      <x:c r="K351" s="28" t="str">
        <x:v>Тезариус вкусов (Ники Сегнит)(1).pdf</x:v>
      </x:c>
      <x:c r="L351" s="28" t="str">
        <x:v>Тезариус вкусов (Ники Сегнит)(1).pdf: 284, 605</x:v>
      </x:c>
    </x:row>
    <x:row r="352" ht="66" customHeight="1">
      <x:c r="A352" s="28" t="str">
        <x:v>VEG-0432</x:v>
      </x:c>
      <x:c r="B352" s="28" t="str">
        <x:v>лук</x:v>
      </x:c>
      <x:c r="C352" s="28" t="str">
        <x:v>мускатный орех</x:v>
      </x:c>
      <x:c r="D352" s="28" t="str">
        <x:v>Рыба и морепродукты</x:v>
      </x:c>
      <x:c r="E352" s="28" t="str">
        <x:v>умами и солёный контраст; сернистая или горчичная комплементарность</x:v>
      </x:c>
      <x:c r="F352" s="28" t="str">
        <x:v>Лук имеет профиль «сернистый, сладкий, зелёный; после жарки — карамельный и мясной».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2" s="28" t="str">
        <x:v>сырой лук легко перекрывает деликатные ароматы; подгорание создаёт устойчивую горечь</x:v>
      </x:c>
      <x:c r="I352" s="28" t="str">
        <x:v>горячее блюдо, бульон, соус, пюре, ферментация или гарнир с мускатный орех</x:v>
      </x:c>
      <x:c r="J352" s="28" t="str">
        <x:v>Средняя</x:v>
      </x:c>
      <x:c r="K352" s="28" t="str">
        <x:v>Тезариус вкусов (Ники Сегнит)(1).pdf</x:v>
      </x:c>
      <x:c r="L352" s="28" t="str">
        <x:v>Тезариус вкусов (Ники Сегнит)(1).pdf: 284, 588</x:v>
      </x:c>
    </x:row>
    <x:row r="353" ht="66" customHeight="1">
      <x:c r="A353" s="28" t="str">
        <x:v>VEG-0433</x:v>
      </x:c>
      <x:c r="B353" s="28" t="str">
        <x:v>лук</x:v>
      </x:c>
      <x:c r="C353" s="28" t="str">
        <x:v>мята</x:v>
      </x:c>
      <x:c r="D353" s="28" t="str">
        <x:v>Травы, цветы и листья</x:v>
      </x:c>
      <x:c r="E353" s="28" t="str">
        <x:v>сернистая или горчичная комплементарность</x:v>
      </x:c>
      <x:c r="F353" s="28" t="str">
        <x:v>Лук имеет профиль «сернистый, сладкий, зелёный; после жарки — карамельный и мясной».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3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53" s="28" t="str">
        <x:v>горячее блюдо, бульон, соус, пюре, ферментация или гарнир с мята</x:v>
      </x:c>
      <x:c r="J353" s="28" t="str">
        <x:v>Средняя</x:v>
      </x:c>
      <x:c r="K353" s="28" t="str">
        <x:v>Тезариус вкусов (Ники Сегнит)(1).pdf</x:v>
      </x:c>
      <x:c r="L353" s="28" t="str">
        <x:v>Тезариус вкусов (Ники Сегнит)(1).pdf: 285, 869</x:v>
      </x:c>
    </x:row>
    <x:row r="354" ht="66" customHeight="1">
      <x:c r="A354" s="28" t="str">
        <x:v>VEG-0434</x:v>
      </x:c>
      <x:c r="B354" s="28" t="str">
        <x:v>лук</x:v>
      </x:c>
      <x:c r="C354" s="28" t="str">
        <x:v>огурец</x:v>
      </x:c>
      <x:c r="D354" s="28" t="str">
        <x:v>Тыквенные</x:v>
      </x:c>
      <x:c r="E354" s="28" t="str">
        <x:v>сернистая или горчичная комплементарность</x:v>
      </x:c>
      <x:c r="F354" s="28" t="str">
        <x:v>Лук имеет профиль «сернистый, сладкий, зелёный; после жарки — карамельный и мясной».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4" s="28" t="str">
        <x:v>сырой лук легко перекрывает деликатные ароматы; подгорание создаёт устойчивую горечь</x:v>
      </x:c>
      <x:c r="I354" s="28" t="str">
        <x:v>горячее блюдо, бульон, соус, пюре, ферментация или гарнир с огурец</x:v>
      </x:c>
      <x:c r="J354" s="28" t="str">
        <x:v>Средняя</x:v>
      </x:c>
      <x:c r="K354" s="28" t="str">
        <x:v>Тезариус вкусов (Ники Сегнит)(1).pdf</x:v>
      </x:c>
      <x:c r="L354" s="28" t="str">
        <x:v>Тезариус вкусов (Ники Сегнит)(1).pdf: 286, 493</x:v>
      </x:c>
    </x:row>
    <x:row r="355" ht="66" customHeight="1">
      <x:c r="A355" s="28" t="str">
        <x:v>VEG-0435</x:v>
      </x:c>
      <x:c r="B355" s="28" t="str">
        <x:v>лук</x:v>
      </x:c>
      <x:c r="C355" s="28" t="str">
        <x:v>оливки</x:v>
      </x:c>
      <x:c r="D355" s="28" t="str">
        <x:v>Прочее</x:v>
      </x:c>
      <x:c r="E355" s="28" t="str">
        <x:v>сернистая или горчичная комплементарность</x:v>
      </x:c>
      <x:c r="F355" s="28" t="str">
        <x:v>Лук имеет профиль «сернистый, сладкий, зелёный; после жарки — карамельный и мясной».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5" s="28" t="str">
        <x:v>сырой лук легко перекрывает деликатные ароматы; подгорание создаёт устойчивую горечь</x:v>
      </x:c>
      <x:c r="I355" s="28" t="str">
        <x:v>горячее блюдо, бульон, соус, пюре, ферментация или гарнир с оливки</x:v>
      </x:c>
      <x:c r="J355" s="28" t="str">
        <x:v>Средняя</x:v>
      </x:c>
      <x:c r="K355" s="28" t="str">
        <x:v>The Art &amp; Science of Foodpairing.pdf</x:v>
      </x:c>
      <x:c r="L355" s="28" t="str">
        <x:v>The Art &amp; Science of Foodpairing.pdf: 216</x:v>
      </x:c>
    </x:row>
    <x:row r="356" ht="66" customHeight="1">
      <x:c r="A356" s="28" t="str">
        <x:v>VEG-0436</x:v>
      </x:c>
      <x:c r="B356" s="28" t="str">
        <x:v>лук</x:v>
      </x:c>
      <x:c r="C356" s="28" t="str">
        <x:v>печень</x:v>
      </x:c>
      <x:c r="D356" s="28" t="str">
        <x:v>Мясо и птица</x:v>
      </x:c>
      <x:c r="E356" s="28" t="str">
        <x:v>пересечение ароматических семейств; умами и солёный контраст; сернистая или горчичная комплементарность</x:v>
      </x:c>
      <x:c r="F356" s="28" t="str">
        <x:v>Лук имеет профиль «сернистый, сладкий, зелёный; после жарки — карамельный и мясной». Партнёр «печень»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6" s="28" t="str">
        <x:v>сырой лук легко перекрывает деликатные ароматы; подгорание создаёт устойчивую горечь</x:v>
      </x:c>
      <x:c r="I356" s="28" t="str">
        <x:v>горячее блюдо, бульон, соус, пюре, ферментация или гарнир с печень</x:v>
      </x:c>
      <x:c r="J356" s="28" t="str">
        <x:v>Средняя</x:v>
      </x:c>
      <x:c r="K356" s="28" t="str">
        <x:v>Тезариус вкусов (Ники Сегнит)(1).pdf</x:v>
      </x:c>
      <x:c r="L356" s="28" t="str">
        <x:v>Тезариус вкусов (Ники Сегнит)(1).pdf: 101, 286</x:v>
      </x:c>
    </x:row>
    <x:row r="357" ht="66" customHeight="1">
      <x:c r="A357" s="28" t="str">
        <x:v>VEG-0437</x:v>
      </x:c>
      <x:c r="B357" s="28" t="str">
        <x:v>лук</x:v>
      </x:c>
      <x:c r="C357" s="28" t="str">
        <x:v>розмарин</x:v>
      </x:c>
      <x:c r="D357" s="28" t="str">
        <x:v>Травы, цветы и листья</x:v>
      </x:c>
      <x:c r="E357" s="28" t="str">
        <x:v>сернистая или горчичная комплементарность</x:v>
      </x:c>
      <x:c r="F357" s="28" t="str">
        <x:v>Лук имеет профиль «сернистый, сладкий, зелёный; после жарки — карамельный и мясной».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7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57" s="28" t="str">
        <x:v>горячее блюдо, бульон, соус, пюре, ферментация или гарнир с розмарин</x:v>
      </x:c>
      <x:c r="J357" s="28" t="str">
        <x:v>Средняя</x:v>
      </x:c>
      <x:c r="K357" s="28" t="str">
        <x:v>Тезариус вкусов (Ники Сегнит)(1).pdf</x:v>
      </x:c>
      <x:c r="L357" s="28" t="str">
        <x:v>Тезариус вкусов (Ники Сегнит)(1).pdf: 286, 837</x:v>
      </x:c>
    </x:row>
    <x:row r="358" ht="66" customHeight="1">
      <x:c r="A358" s="28" t="str">
        <x:v>VEG-0438</x:v>
      </x:c>
      <x:c r="B358" s="28" t="str">
        <x:v>лук</x:v>
      </x:c>
      <x:c r="C358" s="28" t="str">
        <x:v>свинина</x:v>
      </x:c>
      <x:c r="D358" s="28" t="str">
        <x:v>Мясо и птица</x:v>
      </x:c>
      <x:c r="E358" s="28" t="str">
        <x:v>пересечение ароматических семейств; умами и солёный контраст; сернистая или горчичная комплементарность</x:v>
      </x:c>
      <x:c r="F358" s="28" t="str">
        <x:v>Лук имеет профиль «сернистый, сладкий, зелёный; после жарки — карамельный и мясной». Партнёр «свинина» относится к группе «Мясо и птица» и даёт жареный, мясной и умами. Профили пересекаются в семействах: жареный.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8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8" s="28" t="str">
        <x:v>сырой лук легко перекрывает деликатные ароматы; подгорание создаёт устойчивую горечь</x:v>
      </x:c>
      <x:c r="I358" s="28" t="str">
        <x:v>горячее блюдо, бульон, соус, пюре, ферментация или гарнир с свинина</x:v>
      </x:c>
      <x:c r="J358" s="28" t="str">
        <x:v>Средняя</x:v>
      </x:c>
      <x:c r="K358" s="28" t="str">
        <x:v>Тезариус вкусов (Ники Сегнит)(1).pdf</x:v>
      </x:c>
      <x:c r="L358" s="28" t="str">
        <x:v>Тезариус вкусов (Ники Сегнит)(1).pdf: 86, 287</x:v>
      </x:c>
    </x:row>
    <x:row r="359" ht="66" customHeight="1">
      <x:c r="A359" s="28" t="str">
        <x:v>VEG-0439</x:v>
      </x:c>
      <x:c r="B359" s="28" t="str">
        <x:v>лук</x:v>
      </x:c>
      <x:c r="C359" s="28" t="str">
        <x:v>твердый сыр</x:v>
      </x:c>
      <x:c r="D359" s="28" t="str">
        <x:v>Молочные продукты и сыры</x:v>
      </x:c>
      <x:c r="E359" s="28" t="str">
        <x:v>жировая матрица; сернистая или горчичная комплементарность</x:v>
      </x:c>
      <x:c r="F359" s="28" t="str">
        <x:v>Лук имеет профиль «сернистый, сладкий, зелёный; после жарки — карамельный и мясной».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59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59" s="28" t="str">
        <x:v>сырой лук легко перекрывает деликатные ароматы; подгорание создаёт устойчивую горечь; жир способен приглушить свежую зелёную ароматику</x:v>
      </x:c>
      <x:c r="I359" s="28" t="str">
        <x:v>горячее блюдо, бульон, соус, пюре, ферментация или гарнир с твердый сыр</x:v>
      </x:c>
      <x:c r="J359" s="28" t="str">
        <x:v>Средняя</x:v>
      </x:c>
      <x:c r="K359" s="28" t="str">
        <x:v>Тезариус вкусов (Ники Сегнит)(1).pdf</x:v>
      </x:c>
      <x:c r="L359" s="28" t="str">
        <x:v>Тезариус вкусов (Ники Сегнит)(1).pdf: 173, 288</x:v>
      </x:c>
    </x:row>
    <x:row r="360" ht="66" customHeight="1">
      <x:c r="A360" s="28" t="str">
        <x:v>VEG-0440</x:v>
      </x:c>
      <x:c r="B360" s="28" t="str">
        <x:v>лук</x:v>
      </x:c>
      <x:c r="C360" s="28" t="str">
        <x:v>тимьян</x:v>
      </x:c>
      <x:c r="D360" s="28" t="str">
        <x:v>Травы, цветы и листья</x:v>
      </x:c>
      <x:c r="E360" s="28" t="str">
        <x:v>сернистая или горчичная комплементарность</x:v>
      </x:c>
      <x:c r="F360" s="28" t="str">
        <x:v>Лук имеет профиль «сернистый, сладкий, зелёный; после жарки — карамельный и мясной».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0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0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60" s="28" t="str">
        <x:v>горячее блюдо, бульон, соус, пюре, ферментация или гарнир с тимьян</x:v>
      </x:c>
      <x:c r="J360" s="28" t="str">
        <x:v>Средняя</x:v>
      </x:c>
      <x:c r="K360" s="28" t="str">
        <x:v>Тезариус вкусов (Ники Сегнит)(1).pdf</x:v>
      </x:c>
      <x:c r="L360" s="28" t="str">
        <x:v>Тезариус вкусов (Ники Сегнит)(1).pdf: 288, 858</x:v>
      </x:c>
    </x:row>
    <x:row r="361" ht="66" customHeight="1">
      <x:c r="A361" s="28" t="str">
        <x:v>VEG-0441</x:v>
      </x:c>
      <x:c r="B361" s="28" t="str">
        <x:v>лук</x:v>
      </x:c>
      <x:c r="C361" s="28" t="str">
        <x:v>томат</x:v>
      </x:c>
      <x:c r="D361" s="28" t="str">
        <x:v>Плодовые овощи</x:v>
      </x:c>
      <x:c r="E361" s="28" t="str">
        <x:v>пересечение ароматических семейств; сернистая или горчичная комплементарность</x:v>
      </x:c>
      <x:c r="F361" s="28" t="str">
        <x:v>Лук имеет профиль «сернистый, сладкий, зелёный; после жарки — карамельный и мясной». Партнёр «томат» относится к группе «Плодовые овощи» и даёт зелёный, фруктовый, листовой, сернистый и умами.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1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1" s="28" t="str">
        <x:v>сырой лук легко перекрывает деликатные ароматы; подгорание создаёт устойчивую горечь</x:v>
      </x:c>
      <x:c r="I361" s="28" t="str">
        <x:v>горячее блюдо, бульон, соус, пюре, ферментация или гарнир с томат</x:v>
      </x:c>
      <x:c r="J361" s="28" t="str">
        <x:v>Средняя</x:v>
      </x:c>
      <x:c r="K361" s="28" t="str">
        <x:v>Тезариус вкусов (Ники Сегнит)(1).pdf</x:v>
      </x:c>
      <x:c r="L361" s="28" t="str">
        <x:v>Тезариус вкусов (Ники Сегнит)(1).pdf: 288, 687</x:v>
      </x:c>
    </x:row>
    <x:row r="362" ht="66" customHeight="1">
      <x:c r="A362" s="28" t="str">
        <x:v>VEG-0442</x:v>
      </x:c>
      <x:c r="B362" s="28" t="str">
        <x:v>лук</x:v>
      </x:c>
      <x:c r="C362" s="28" t="str">
        <x:v>устрицы</x:v>
      </x:c>
      <x:c r="D362" s="28" t="str">
        <x:v>Рыба и морепродукты</x:v>
      </x:c>
      <x:c r="E362" s="28" t="str">
        <x:v>умами и солёный контраст; сернистая или горчичная комплементарность</x:v>
      </x:c>
      <x:c r="F362" s="28" t="str">
        <x:v>Лук имеет профиль «сернистый, сладкий, зелёный; после жарки — карамельный и мясной».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2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2" s="28" t="str">
        <x:v>сырой лук легко перекрывает деликатные ароматы; подгорание создаёт устойчивую горечь</x:v>
      </x:c>
      <x:c r="I362" s="28" t="str">
        <x:v>горячее блюдо, бульон, соус, пюре, ферментация или гарнир с устрицы</x:v>
      </x:c>
      <x:c r="J362" s="28" t="str">
        <x:v>Средняя</x:v>
      </x:c>
      <x:c r="K362" s="28" t="str">
        <x:v>Тезариус вкусов (Ники Сегнит)(1).pdf</x:v>
      </x:c>
      <x:c r="L362" s="28" t="str">
        <x:v>Тезариус вкусов (Ники Сегнит)(1).pdf: 288, 398</x:v>
      </x:c>
    </x:row>
    <x:row r="363" ht="66" customHeight="1">
      <x:c r="A363" s="28" t="str">
        <x:v>VEG-0443</x:v>
      </x:c>
      <x:c r="B363" s="28" t="str">
        <x:v>лук</x:v>
      </x:c>
      <x:c r="C363" s="28" t="str">
        <x:v>цветная капуста</x:v>
      </x:c>
      <x:c r="D363" s="28" t="str">
        <x:v>Крестоцветные</x:v>
      </x:c>
      <x:c r="E363" s="28" t="str">
        <x:v>пересечение ароматических семейств; сернистая или горчичная комплементарность</x:v>
      </x:c>
      <x:c r="F363" s="28" t="str">
        <x:v>Лук имеет профиль «сернистый, сладкий, зелёный; после жарки — карамельный и мясной». Партнёр «цветная капуста» относится к группе «Крестоцветные» и даёт мягко капустный, ореховый, сернистый и сливочный после запекания. Профили пересекаются в семействах: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3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3" s="28" t="str">
        <x:v>сырой лук легко перекрывает деликатные ароматы; подгорание создаёт устойчивую горечь</x:v>
      </x:c>
      <x:c r="I363" s="28" t="str">
        <x:v>горячее блюдо, бульон, соус, пюре, ферментация или гарнир с цветная капуста</x:v>
      </x:c>
      <x:c r="J363" s="28" t="str">
        <x:v>Средняя</x:v>
      </x:c>
      <x:c r="K363" s="28" t="str">
        <x:v>The Art &amp; Science of Foodpairing.pdf</x:v>
      </x:c>
      <x:c r="L363" s="28" t="str">
        <x:v>The Art &amp; Science of Foodpairing.pdf: 67</x:v>
      </x:c>
    </x:row>
    <x:row r="364" ht="66" customHeight="1">
      <x:c r="A364" s="28" t="str">
        <x:v>VEG-0444</x:v>
      </x:c>
      <x:c r="B364" s="28" t="str">
        <x:v>лук</x:v>
      </x:c>
      <x:c r="C364" s="28" t="str">
        <x:v>цыпленок</x:v>
      </x:c>
      <x:c r="D364" s="28" t="str">
        <x:v>Прочее</x:v>
      </x:c>
      <x:c r="E364" s="28" t="str">
        <x:v>сернистая или горчичная комплементарность</x:v>
      </x:c>
      <x:c r="F364" s="28" t="str">
        <x:v>Лук имеет профиль «сернистый, сладкий, зелёный; после жарки — карамельный и мясной».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4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4" s="28" t="str">
        <x:v>сырой лук легко перекрывает деликатные ароматы; подгорание создаёт устойчивую горечь</x:v>
      </x:c>
      <x:c r="I364" s="28" t="str">
        <x:v>горячее блюдо, бульон, соус, пюре, ферментация или гарнир с цыпленок</x:v>
      </x:c>
      <x:c r="J364" s="28" t="str">
        <x:v>Средняя</x:v>
      </x:c>
      <x:c r="K364" s="28" t="str">
        <x:v>Тезариус вкусов (Ники Сегнит)(1).pdf</x:v>
      </x:c>
      <x:c r="L364" s="28" t="str">
        <x:v>Тезариус вкусов (Ники Сегнит)(1).pdf: 69, 288</x:v>
      </x:c>
    </x:row>
    <x:row r="365" ht="66" customHeight="1">
      <x:c r="A365" s="28" t="str">
        <x:v>VEG-0445</x:v>
      </x:c>
      <x:c r="B365" s="28" t="str">
        <x:v>лук</x:v>
      </x:c>
      <x:c r="C365" s="28" t="str">
        <x:v>чеснок</x:v>
      </x:c>
      <x:c r="D365" s="28" t="str">
        <x:v>Луковые овощи</x:v>
      </x:c>
      <x:c r="E365" s="28" t="str">
        <x:v>общие характерные молекулы; пересечение ароматических семейств; сернистая или горчичная комплементарность</x:v>
      </x:c>
      <x:c r="F365" s="28" t="str">
        <x:v>Лук имеет профиль «сернистый, сладкий, зелёный; после жарки — карамельный и мясной». Партнёр «чеснок» относится к группе «Луковые овощи» и даёт резкий сернистый, зелёный и мясной; после запекания — сладкий и ореховый. Вероятный молекулярный мост: диаллилдисульфид.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5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5" s="28" t="str">
        <x:v>сырой лук легко перекрывает деликатные ароматы; подгорание создаёт устойчивую горечь</x:v>
      </x:c>
      <x:c r="I365" s="28" t="str">
        <x:v>горячее блюдо, бульон, соус, пюре, ферментация или гарнир с чеснок</x:v>
      </x:c>
      <x:c r="J365" s="28" t="str">
        <x:v>Средняя</x:v>
      </x:c>
      <x:c r="K365" s="28" t="str">
        <x:v>Тезариус вкусов (Ники Сегнит)(1).pdf</x:v>
      </x:c>
      <x:c r="L365" s="28" t="str">
        <x:v>Тезариус вкусов (Ники Сегнит)(1).pdf: 288, 294</x:v>
      </x:c>
    </x:row>
    <x:row r="366" ht="66" customHeight="1">
      <x:c r="A366" s="28" t="str">
        <x:v>VEG-0446</x:v>
      </x:c>
      <x:c r="B366" s="28" t="str">
        <x:v>лук</x:v>
      </x:c>
      <x:c r="C366" s="28" t="str">
        <x:v>шалфей</x:v>
      </x:c>
      <x:c r="D366" s="28" t="str">
        <x:v>Травы, цветы и листья</x:v>
      </x:c>
      <x:c r="E366" s="28" t="str">
        <x:v>сернистая или горчичная комплементарность</x:v>
      </x:c>
      <x:c r="F366" s="28" t="str">
        <x:v>Лук имеет профиль «сернистый, сладкий, зелёный; после жарки — карамельный и мясной». Партнёр «шалфей» относится к группе «Травы, цветы и листья» и даёт древесный, камфорный.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6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6" s="28" t="str">
        <x:v>сырой лук легко перекрывает деликатные ароматы; подгорание создаёт устойчивую горечь; длительный нагрев уносит свежие терпены и зелёные альдегиды</x:v>
      </x:c>
      <x:c r="I366" s="28" t="str">
        <x:v>горячее блюдо, бульон, соус, пюре, ферментация или гарнир с шалфей</x:v>
      </x:c>
      <x:c r="J366" s="28" t="str">
        <x:v>Средняя</x:v>
      </x:c>
      <x:c r="K366" s="28" t="str">
        <x:v>Тезариус вкусов (Ники Сегнит)(1).pdf</x:v>
      </x:c>
      <x:c r="L366" s="28" t="str">
        <x:v>Тезариус вкусов (Ники Сегнит)(1).pdf: 288, 844</x:v>
      </x:c>
    </x:row>
    <x:row r="367" ht="66" customHeight="1">
      <x:c r="A367" s="28" t="str">
        <x:v>VEG-0447</x:v>
      </x:c>
      <x:c r="B367" s="28" t="str">
        <x:v>лук</x:v>
      </x:c>
      <x:c r="C367" s="28" t="str">
        <x:v>яйца</x:v>
      </x:c>
      <x:c r="D367" s="28" t="str">
        <x:v>Прочее</x:v>
      </x:c>
      <x:c r="E367" s="28" t="str">
        <x:v>сернистая или горчичная комплементарность</x:v>
      </x:c>
      <x:c r="F367" s="28" t="str">
        <x:v>Лук имеет профиль «сернистый, сладкий, зелёный; после жарки — карамельный и мясной». Партнёр «яйца»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67" s="28" t="str">
        <x:v>нарезка запускает ферментативные реакции; медленная жарка создаёт карамельные и Майяр-ноты. Разделять свежую острую и приготовленную сладкую форму как разные ингредиенты.</x:v>
      </x:c>
      <x:c r="H367" s="28" t="str">
        <x:v>сырой лук легко перекрывает деликатные ароматы; подгорание создаёт устойчивую горечь</x:v>
      </x:c>
      <x:c r="I367" s="28" t="str">
        <x:v>горячее блюдо, бульон, соус, пюре, ферментация или гарнир с яйца</x:v>
      </x:c>
      <x:c r="J367" s="28" t="str">
        <x:v>Средняя</x:v>
      </x:c>
      <x:c r="K367" s="28" t="str">
        <x:v>Тезариус вкусов (Ники Сегнит)(1).pdf</x:v>
      </x:c>
      <x:c r="L367" s="28" t="str">
        <x:v>Тезариус вкусов (Ники Сегнит)(1).pdf: 289, 355</x:v>
      </x:c>
    </x:row>
    <x:row r="368" ht="66" customHeight="1">
      <x:c r="A368" s="28" t="str">
        <x:v>VEG-0456</x:v>
      </x:c>
      <x:c r="B368" s="28" t="str">
        <x:v>морковь</x:v>
      </x:c>
      <x:c r="C368" s="28" t="str">
        <x:v>баранина</x:v>
      </x:c>
      <x:c r="D368" s="28" t="str">
        <x:v>Мясо и птица</x:v>
      </x:c>
      <x:c r="E368" s="28" t="str">
        <x:v>умами и солёный контраст</x:v>
      </x:c>
      <x:c r="F368" s="28" t="str">
        <x:v>Морковь имеет профиль «сладкий, землистый, древесный и слегка цитрусовый».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6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68" s="28" t="str">
        <x:v>сырая землистость может доминировать; перегрев делает профиль варёно-сладким</x:v>
      </x:c>
      <x:c r="I368" s="28" t="str">
        <x:v>сок, кордиал, гаспачо, салат, соус, маринад или коктейльный компонент с баранина</x:v>
      </x:c>
      <x:c r="J368" s="28" t="str">
        <x:v>Средняя</x:v>
      </x:c>
      <x:c r="K368" s="28" t="str">
        <x:v>The Art &amp; Science of Foodpairing.pdf</x:v>
      </x:c>
      <x:c r="L368" s="28" t="str">
        <x:v>The Art &amp; Science of Foodpairing.pdf: 232</x:v>
      </x:c>
    </x:row>
    <x:row r="369" ht="66" customHeight="1">
      <x:c r="A369" s="28" t="str">
        <x:v>VEG-0458</x:v>
      </x:c>
      <x:c r="B369" s="28" t="str">
        <x:v>морковь</x:v>
      </x:c>
      <x:c r="C369" s="28" t="str">
        <x:v>ветчина</x:v>
      </x:c>
      <x:c r="D369" s="28" t="str">
        <x:v>Мясо и птица</x:v>
      </x:c>
      <x:c r="E369" s="28" t="str">
        <x:v>умами и солёный контраст</x:v>
      </x:c>
      <x:c r="F369" s="28" t="str">
        <x:v>Морковь имеет профиль «сладкий, землистый, древесный и слегка цитрусовый». Партнёр «ветчина»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69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69" s="28" t="str">
        <x:v>сырая землистость может доминировать; перегрев делает профиль варёно-сладким</x:v>
      </x:c>
      <x:c r="I369" s="28" t="str">
        <x:v>сок, кордиал, гаспачо, салат, соус, маринад или коктейльный компонент с ветчина</x:v>
      </x:c>
      <x:c r="J369" s="28" t="str">
        <x:v>Средняя</x:v>
      </x:c>
      <x:c r="K369" s="28" t="str">
        <x:v>The Art &amp; Science of Foodpairing.pdf</x:v>
      </x:c>
      <x:c r="L369" s="28" t="str">
        <x:v>The Art &amp; Science of Foodpairing.pdf: 232</x:v>
      </x:c>
    </x:row>
    <x:row r="370" ht="66" customHeight="1">
      <x:c r="A370" s="28" t="str">
        <x:v>VEG-0462</x:v>
      </x:c>
      <x:c r="B370" s="28" t="str">
        <x:v>морковь</x:v>
      </x:c>
      <x:c r="C370" s="28" t="str">
        <x:v>говядина</x:v>
      </x:c>
      <x:c r="D370" s="28" t="str">
        <x:v>Мясо и птица</x:v>
      </x:c>
      <x:c r="E370" s="28" t="str">
        <x:v>умами и солёный контраст</x:v>
      </x:c>
      <x:c r="F370" s="28" t="str">
        <x:v>Морковь имеет профиль «сладкий, землистый, древесный и слегка цитрусовый».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0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0" s="28" t="str">
        <x:v>сырая землистость может доминировать; перегрев делает профиль варёно-сладким</x:v>
      </x:c>
      <x:c r="I370" s="28" t="str">
        <x:v>сок, кордиал, гаспачо, салат, соус, маринад или коктейльный компонент с говядина</x:v>
      </x:c>
      <x:c r="J370" s="28" t="str">
        <x:v>Средняя</x:v>
      </x:c>
      <x:c r="K370" s="28" t="str">
        <x:v>Тезариус вкусов (Ники Сегнит)(1).pdf</x:v>
      </x:c>
      <x:c r="L370" s="28" t="str">
        <x:v>Тезариус вкусов (Ники Сегнит)(1).pdf: 114, 602</x:v>
      </x:c>
    </x:row>
    <x:row r="371" ht="66" customHeight="1">
      <x:c r="A371" s="28" t="str">
        <x:v>VEG-0463</x:v>
      </x:c>
      <x:c r="B371" s="28" t="str">
        <x:v>морковь</x:v>
      </x:c>
      <x:c r="C371" s="28" t="str">
        <x:v>говядина сухой выдержки</x:v>
      </x:c>
      <x:c r="D371" s="28" t="str">
        <x:v>Мясо и птица</x:v>
      </x:c>
      <x:c r="E371" s="28" t="str">
        <x:v>умами и солёный контраст</x:v>
      </x:c>
      <x:c r="F371" s="28" t="str">
        <x:v>Морковь имеет профиль «сладкий, землистый, древесный и слегка цитрусовый». Партнёр «говядина сухой выдержки»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1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1" s="28" t="str">
        <x:v>сырая землистость может доминировать; перегрев делает профиль варёно-сладким</x:v>
      </x:c>
      <x:c r="I371" s="28" t="str">
        <x:v>сок, кордиал, гаспачо, салат, соус, маринад или коктейльный компонент с говядина сухой выдержки</x:v>
      </x:c>
      <x:c r="J371" s="28" t="str">
        <x:v>Средняя</x:v>
      </x:c>
      <x:c r="K371" s="28" t="str">
        <x:v>The Art &amp; Science of Foodpairing.pdf</x:v>
      </x:c>
      <x:c r="L371" s="28" t="str">
        <x:v>The Art &amp; Science of Foodpairing.pdf: 232</x:v>
      </x:c>
    </x:row>
    <x:row r="372" ht="66" customHeight="1">
      <x:c r="A372" s="28" t="str">
        <x:v>VEG-0479</x:v>
      </x:c>
      <x:c r="B372" s="28" t="str">
        <x:v>морковь</x:v>
      </x:c>
      <x:c r="C372" s="28" t="str">
        <x:v>кефаль</x:v>
      </x:c>
      <x:c r="D372" s="28" t="str">
        <x:v>Рыба и морепродукты</x:v>
      </x:c>
      <x:c r="E372" s="28" t="str">
        <x:v>умами и солёный контраст</x:v>
      </x:c>
      <x:c r="F372" s="28" t="str">
        <x:v>Морковь имеет профиль «сладкий, землистый, древесный и слегка цитрусовый». Партнёр «кефаль»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2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2" s="28" t="str">
        <x:v>сырая землистость может доминировать; перегрев делает профиль варёно-сладким</x:v>
      </x:c>
      <x:c r="I372" s="28" t="str">
        <x:v>сок, кордиал, гаспачо, салат, соус, маринад или коктейльный компонент с кефаль</x:v>
      </x:c>
      <x:c r="J372" s="28" t="str">
        <x:v>Средняя</x:v>
      </x:c>
      <x:c r="K372" s="28" t="str">
        <x:v>The Art &amp; Science of Foodpairing.pdf</x:v>
      </x:c>
      <x:c r="L372" s="28" t="str">
        <x:v>The Art &amp; Science of Foodpairing.pdf: 232</x:v>
      </x:c>
    </x:row>
    <x:row r="373" ht="66" customHeight="1">
      <x:c r="A373" s="28" t="str">
        <x:v>VEG-0487</x:v>
      </x:c>
      <x:c r="B373" s="28" t="str">
        <x:v>морковь</x:v>
      </x:c>
      <x:c r="C373" s="28" t="str">
        <x:v>красный луциан</x:v>
      </x:c>
      <x:c r="D373" s="28" t="str">
        <x:v>Рыба и морепродукты</x:v>
      </x:c>
      <x:c r="E373" s="28" t="str">
        <x:v>умами и солёный контраст</x:v>
      </x:c>
      <x:c r="F373" s="28" t="str">
        <x:v>Морковь имеет профиль «сладкий, землистый, древесный и слегка цитрусовый». Партнёр «красный луциан»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3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3" s="28" t="str">
        <x:v>сырая землистость может доминировать; перегрев делает профиль варёно-сладким</x:v>
      </x:c>
      <x:c r="I373" s="28" t="str">
        <x:v>сок, кордиал, гаспачо, салат, соус, маринад или коктейльный компонент с красный луциан</x:v>
      </x:c>
      <x:c r="J373" s="28" t="str">
        <x:v>Средняя</x:v>
      </x:c>
      <x:c r="K373" s="28" t="str">
        <x:v>The Art &amp; Science of Foodpairing.pdf</x:v>
      </x:c>
      <x:c r="L373" s="28" t="str">
        <x:v>The Art &amp; Science of Foodpairing.pdf: 232</x:v>
      </x:c>
    </x:row>
    <x:row r="374" ht="66" customHeight="1">
      <x:c r="A374" s="28" t="str">
        <x:v>VEG-0493</x:v>
      </x:c>
      <x:c r="B374" s="28" t="str">
        <x:v>морковь</x:v>
      </x:c>
      <x:c r="C374" s="28" t="str">
        <x:v>лосось</x:v>
      </x:c>
      <x:c r="D374" s="28" t="str">
        <x:v>Рыба и морепродукты</x:v>
      </x:c>
      <x:c r="E374" s="28" t="str">
        <x:v>умами и солёный контраст</x:v>
      </x:c>
      <x:c r="F374" s="28" t="str">
        <x:v>Морковь имеет профиль «сладкий, землистый, древесный и слегка цитрусовый».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4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4" s="28" t="str">
        <x:v>сырая землистость может доминировать; перегрев делает профиль варёно-сладким</x:v>
      </x:c>
      <x:c r="I374" s="28" t="str">
        <x:v>сок, кордиал, гаспачо, салат, соус, маринад или коктейльный компонент с лосось</x:v>
      </x:c>
      <x:c r="J374" s="28" t="str">
        <x:v>Средняя</x:v>
      </x:c>
      <x:c r="K374" s="28" t="str">
        <x:v>The Art &amp; Science of Foodpairing.pdf</x:v>
      </x:c>
      <x:c r="L374" s="28" t="str">
        <x:v>The Art &amp; Science of Foodpairing.pdf: 232</x:v>
      </x:c>
    </x:row>
    <x:row r="375" ht="66" customHeight="1">
      <x:c r="A375" s="28" t="str">
        <x:v>VEG-0502</x:v>
      </x:c>
      <x:c r="B375" s="28" t="str">
        <x:v>морковь</x:v>
      </x:c>
      <x:c r="C375" s="28" t="str">
        <x:v>пекинская утка</x:v>
      </x:c>
      <x:c r="D375" s="28" t="str">
        <x:v>Мясо и птица</x:v>
      </x:c>
      <x:c r="E375" s="28" t="str">
        <x:v>умами и солёный контраст</x:v>
      </x:c>
      <x:c r="F375" s="28" t="str">
        <x:v>Морковь имеет профиль «сладкий, землистый, древесный и слегка цитрусовый». Партнёр «пекинская утка»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5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5" s="28" t="str">
        <x:v>сырая землистость может доминировать; перегрев делает профиль варёно-сладким</x:v>
      </x:c>
      <x:c r="I375" s="28" t="str">
        <x:v>сок, кордиал, гаспачо, салат, соус, маринад или коктейльный компонент с пекинская утка</x:v>
      </x:c>
      <x:c r="J375" s="28" t="str">
        <x:v>Средняя</x:v>
      </x:c>
      <x:c r="K375" s="28" t="str">
        <x:v>The Art &amp; Science of Foodpairing.pdf</x:v>
      </x:c>
      <x:c r="L375" s="28" t="str">
        <x:v>The Art &amp; Science of Foodpairing.pdf: 232</x:v>
      </x:c>
    </x:row>
    <x:row r="376" ht="66" customHeight="1">
      <x:c r="A376" s="28" t="str">
        <x:v>VEG-0513</x:v>
      </x:c>
      <x:c r="B376" s="28" t="str">
        <x:v>морковь</x:v>
      </x:c>
      <x:c r="C376" s="28" t="str">
        <x:v>томатный сок</x:v>
      </x:c>
      <x:c r="D376" s="28" t="str">
        <x:v>Плодовые и тыквенные овощи</x:v>
      </x:c>
      <x:c r="E376" s="28" t="str">
        <x:v>сенсорная комплементарность</x:v>
      </x:c>
      <x:c r="F376" s="28" t="str">
        <x:v>Морковь имеет профиль «сладкий, землистый, древесный и слегка цитрусовый». Партнёр «томатный сок»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376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6" s="28" t="str">
        <x:v>сырая землистость может доминировать; перегрев делает профиль варёно-сладким</x:v>
      </x:c>
      <x:c r="I376" s="28" t="str">
        <x:v>сок, кордиал, гаспачо, салат, соус, маринад или коктейльный компонент с томатный сок</x:v>
      </x:c>
      <x:c r="J376" s="28" t="str">
        <x:v>Средняя</x:v>
      </x:c>
      <x:c r="K376" s="28" t="str">
        <x:v>The Art &amp; Science of Foodpairing.pdf</x:v>
      </x:c>
      <x:c r="L376" s="28" t="str">
        <x:v>The Art &amp; Science of Foodpairing.pdf: 232</x:v>
      </x:c>
    </x:row>
    <x:row r="377" ht="66" customHeight="1">
      <x:c r="A377" s="28" t="str">
        <x:v>VEG-0514</x:v>
      </x:c>
      <x:c r="B377" s="28" t="str">
        <x:v>морковь</x:v>
      </x:c>
      <x:c r="C377" s="28" t="str">
        <x:v>треска</x:v>
      </x:c>
      <x:c r="D377" s="28" t="str">
        <x:v>Рыба и морепродукты</x:v>
      </x:c>
      <x:c r="E377" s="28" t="str">
        <x:v>умами и солёный контраст</x:v>
      </x:c>
      <x:c r="F377" s="28" t="str">
        <x:v>Морковь имеет профиль «сладкий, землистый, древесный и слегка цитрусовый».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7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7" s="28" t="str">
        <x:v>сырая землистость может доминировать; перегрев делает профиль варёно-сладким</x:v>
      </x:c>
      <x:c r="I377" s="28" t="str">
        <x:v>сок, кордиал, гаспачо, салат, соус, маринад или коктейльный компонент с треска</x:v>
      </x:c>
      <x:c r="J377" s="28" t="str">
        <x:v>Средняя</x:v>
      </x:c>
      <x:c r="K377" s="28" t="str">
        <x:v>The Art &amp; Science of Foodpairing.pdf</x:v>
      </x:c>
      <x:c r="L377" s="28" t="str">
        <x:v>The Art &amp; Science of Foodpairing.pdf: 232</x:v>
      </x:c>
    </x:row>
    <x:row r="378" ht="66" customHeight="1">
      <x:c r="A378" s="28" t="str">
        <x:v>VEG-0517</x:v>
      </x:c>
      <x:c r="B378" s="28" t="str">
        <x:v>морковь</x:v>
      </x:c>
      <x:c r="C378" s="28" t="str">
        <x:v>хамон иберико</x:v>
      </x:c>
      <x:c r="D378" s="28" t="str">
        <x:v>Мясо и птица</x:v>
      </x:c>
      <x:c r="E378" s="28" t="str">
        <x:v>умами и солёный контраст</x:v>
      </x:c>
      <x:c r="F378" s="28" t="str">
        <x:v>Морковь имеет профиль «сладкий, землистый, древесный и слегка цитрусовый».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78" s="28" t="str">
        <x:v>запекание концентрирует сладость и древесно-пряные ноты; сок сохраняет зелёность. Для сладко-жареного профиля удалить поверхностную влагу и использовать запекание или обжаривание.</x:v>
      </x:c>
      <x:c r="H378" s="28" t="str">
        <x:v>сырая землистость может доминировать; перегрев делает профиль варёно-сладким</x:v>
      </x:c>
      <x:c r="I378" s="28" t="str">
        <x:v>сок, кордиал, гаспачо, салат, соус, маринад или коктейльный компонент с хамон иберико</x:v>
      </x:c>
      <x:c r="J378" s="28" t="str">
        <x:v>Средняя</x:v>
      </x:c>
      <x:c r="K378" s="28" t="str">
        <x:v>The Art &amp; Science of Foodpairing.pdf</x:v>
      </x:c>
      <x:c r="L378" s="28" t="str">
        <x:v>The Art &amp; Science of Foodpairing.pdf: 278</x:v>
      </x:c>
    </x:row>
    <x:row r="379" ht="66" customHeight="1">
      <x:c r="A379" s="28" t="str">
        <x:v>VEG-0537</x:v>
      </x:c>
      <x:c r="B379" s="28" t="str">
        <x:v>огурец</x:v>
      </x:c>
      <x:c r="C379" s="28" t="str">
        <x:v>бальзамический уксус</x:v>
      </x:c>
      <x:c r="D379" s="28" t="str">
        <x:v>Ферментированные продукты и соусы</x:v>
      </x:c>
      <x:c r="E379" s="28" t="str">
        <x:v>умами и солёный контраст</x:v>
      </x:c>
      <x:c r="F379" s="28" t="str">
        <x:v>Огурец имеет профиль «зелёный, водянистый, свежий и дынный».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79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79" s="28" t="str">
        <x:v>легко разбавляет вкус; перезрелая кожица и семена дают горечь; сок быстро окисляется</x:v>
      </x:c>
      <x:c r="I379" s="28" t="str">
        <x:v>сок, кордиал, гаспачо, салат, соус, маринад или коктейльный компонент с бальзамический уксус</x:v>
      </x:c>
      <x:c r="J379" s="28" t="str">
        <x:v>Средняя</x:v>
      </x:c>
      <x:c r="K379" s="28" t="str">
        <x:v>The Art &amp; Science of Foodpairing.pdf</x:v>
      </x:c>
      <x:c r="L379" s="28" t="str">
        <x:v>The Art &amp; Science of Foodpairing.pdf: 316</x:v>
      </x:c>
    </x:row>
    <x:row r="380" ht="66" customHeight="1">
      <x:c r="A380" s="28" t="str">
        <x:v>VEG-0539</x:v>
      </x:c>
      <x:c r="B380" s="28" t="str">
        <x:v>огурец</x:v>
      </x:c>
      <x:c r="C380" s="28" t="str">
        <x:v>белая рыба</x:v>
      </x:c>
      <x:c r="D380" s="28" t="str">
        <x:v>Рыба и морепродукты</x:v>
      </x:c>
      <x:c r="E380" s="28" t="str">
        <x:v>умами и солёный контраст</x:v>
      </x:c>
      <x:c r="F380" s="28" t="str">
        <x:v>Огурец имеет профиль «зелёный, водянистый, свежий и дынный».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0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0" s="28" t="str">
        <x:v>легко разбавляет вкус; перезрелая кожица и семена дают горечь; сок быстро окисляется</x:v>
      </x:c>
      <x:c r="I380" s="28" t="str">
        <x:v>сок, кордиал, гаспачо, салат, соус, маринад или коктейльный компонент с белая рыба</x:v>
      </x:c>
      <x:c r="J380" s="28" t="str">
        <x:v>Средняя</x:v>
      </x:c>
      <x:c r="K380" s="28" t="str">
        <x:v>Тезариус вкусов (Ники Сегнит)(1).pdf</x:v>
      </x:c>
      <x:c r="L380" s="28" t="str">
        <x:v>Тезариус вкусов (Ники Сегнит)(1).pdf: 387, 491</x:v>
      </x:c>
    </x:row>
    <x:row r="381" ht="66" customHeight="1">
      <x:c r="A381" s="28" t="str">
        <x:v>VEG-0547</x:v>
      </x:c>
      <x:c r="B381" s="28" t="str">
        <x:v>огурец</x:v>
      </x:c>
      <x:c r="C381" s="28" t="str">
        <x:v>жирная рыба</x:v>
      </x:c>
      <x:c r="D381" s="28" t="str">
        <x:v>Рыба и морепродукты</x:v>
      </x:c>
      <x:c r="E381" s="28" t="str">
        <x:v>умами и солёный контраст</x:v>
      </x:c>
      <x:c r="F381" s="28" t="str">
        <x:v>Огурец имеет профиль «зелёный, водянистый, свежий и дынный».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1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1" s="28" t="str">
        <x:v>легко разбавляет вкус; перезрелая кожица и семена дают горечь; сок быстро окисляется</x:v>
      </x:c>
      <x:c r="I381" s="28" t="str">
        <x:v>сок, кордиал, гаспачо, салат, соус, маринад или коктейльный компонент с жирная рыба</x:v>
      </x:c>
      <x:c r="J381" s="28" t="str">
        <x:v>Средняя</x:v>
      </x:c>
      <x:c r="K381" s="28" t="str">
        <x:v>Тезариус вкусов (Ники Сегнит)(1).pdf</x:v>
      </x:c>
      <x:c r="L381" s="28" t="str">
        <x:v>Тезариус вкусов (Ники Сегнит)(1).pdf: 416, 492</x:v>
      </x:c>
    </x:row>
    <x:row r="382" ht="66" customHeight="1">
      <x:c r="A382" s="28" t="str">
        <x:v>VEG-0564</x:v>
      </x:c>
      <x:c r="B382" s="28" t="str">
        <x:v>огурец</x:v>
      </x:c>
      <x:c r="C382" s="28" t="str">
        <x:v>лосось</x:v>
      </x:c>
      <x:c r="D382" s="28" t="str">
        <x:v>Рыба и морепродукты</x:v>
      </x:c>
      <x:c r="E382" s="28" t="str">
        <x:v>умами и солёный контраст</x:v>
      </x:c>
      <x:c r="F382" s="28" t="str">
        <x:v>Огурец имеет профиль «зелёный, водянистый, свежий и дынный». Партнёр «лосось»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2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2" s="28" t="str">
        <x:v>легко разбавляет вкус; перезрелая кожица и семена дают горечь; сок быстро окисляется</x:v>
      </x:c>
      <x:c r="I382" s="28" t="str">
        <x:v>сок, кордиал, гаспачо, салат, соус, маринад или коктейльный компонент с лосось</x:v>
      </x:c>
      <x:c r="J382" s="28" t="str">
        <x:v>Средняя</x:v>
      </x:c>
      <x:c r="K382" s="28" t="str">
        <x:v>The Art &amp; Science of Foodpairing.pdf</x:v>
      </x:c>
      <x:c r="L382" s="28" t="str">
        <x:v>The Art &amp; Science of Foodpairing.pdf: 268</x:v>
      </x:c>
    </x:row>
    <x:row r="383" ht="66" customHeight="1">
      <x:c r="A383" s="28" t="str">
        <x:v>VEG-0569</x:v>
      </x:c>
      <x:c r="B383" s="28" t="str">
        <x:v>огурец</x:v>
      </x:c>
      <x:c r="C383" s="28" t="str">
        <x:v>моллюски</x:v>
      </x:c>
      <x:c r="D383" s="28" t="str">
        <x:v>Рыба и морепродукты</x:v>
      </x:c>
      <x:c r="E383" s="28" t="str">
        <x:v>умами и солёный контраст</x:v>
      </x:c>
      <x:c r="F383" s="28" t="str">
        <x:v>Огурец имеет профиль «зелёный, водянистый, свежий и дынный».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3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3" s="28" t="str">
        <x:v>легко разбавляет вкус; перезрелая кожица и семена дают горечь; сок быстро окисляется</x:v>
      </x:c>
      <x:c r="I383" s="28" t="str">
        <x:v>сок, кордиал, гаспачо, салат, соус, маринад или коктейльный компонент с моллюски</x:v>
      </x:c>
      <x:c r="J383" s="28" t="str">
        <x:v>Средняя</x:v>
      </x:c>
      <x:c r="K383" s="28" t="str">
        <x:v>Тезариус вкусов (Ники Сегнит)(1).pdf</x:v>
      </x:c>
      <x:c r="L383" s="28" t="str">
        <x:v>Тезариус вкусов (Ники Сегнит)(1).pdf: 374, 493</x:v>
      </x:c>
    </x:row>
    <x:row r="384" ht="66" customHeight="1">
      <x:c r="A384" s="28" t="str">
        <x:v>VEG-0576</x:v>
      </x:c>
      <x:c r="B384" s="28" t="str">
        <x:v>огурец</x:v>
      </x:c>
      <x:c r="C384" s="28" t="str">
        <x:v>рыба</x:v>
      </x:c>
      <x:c r="D384" s="28" t="str">
        <x:v>Рыба и морепродукты</x:v>
      </x:c>
      <x:c r="E384" s="28" t="str">
        <x:v>умами и солёный контраст</x:v>
      </x:c>
      <x:c r="F384" s="28" t="str">
        <x:v>Огурец имеет профиль «зелёный, водянистый, свежий и дынный».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4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4" s="28" t="str">
        <x:v>легко разбавляет вкус; перезрелая кожица и семена дают горечь; сок быстро окисляется</x:v>
      </x:c>
      <x:c r="I384" s="28" t="str">
        <x:v>сок, кордиал, гаспачо, салат, соус, маринад или коктейльный компонент с рыба</x:v>
      </x:c>
      <x:c r="J384" s="28" t="str">
        <x:v>Средняя</x:v>
      </x:c>
      <x:c r="K384" s="28" t="str">
        <x:v>The Art &amp; Science of Foodpairing.pdf</x:v>
      </x:c>
      <x:c r="L384" s="28" t="str">
        <x:v>The Art &amp; Science of Foodpairing.pdf: 104</x:v>
      </x:c>
    </x:row>
    <x:row r="385" ht="66" customHeight="1">
      <x:c r="A385" s="28" t="str">
        <x:v>VEG-0577</x:v>
      </x:c>
      <x:c r="B385" s="28" t="str">
        <x:v>огурец</x:v>
      </x:c>
      <x:c r="C385" s="28" t="str">
        <x:v>салат и огурец</x:v>
      </x:c>
      <x:c r="D385" s="28" t="str">
        <x:v>Плодовые и тыквенные овощи</x:v>
      </x:c>
      <x:c r="E385" s="28" t="str">
        <x:v>пересечение ароматических семейств</x:v>
      </x:c>
      <x:c r="F385" s="28" t="str">
        <x:v>Огурец имеет профиль «зелёный, водянистый, свежий и дынный». Партнёр «салат и огурец» относится к группе «Плодовые и тыквенные овощи» и даёт зелёный, фруктовый или водянистый. Профили пересекаются в семействах: водянистый, зелёный. Совместимость формируется за счёт баланса сладости, кислотности, горечи, умами и текстуры.</x:v>
      </x:c>
      <x:c r="G385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5" s="28" t="str">
        <x:v>легко разбавляет вкус; перезрелая кожица и семена дают горечь; сок быстро окисляется</x:v>
      </x:c>
      <x:c r="I385" s="28" t="str">
        <x:v>сок, кордиал, гаспачо, салат, соус, маринад или коктейльный компонент с салат и огурец</x:v>
      </x:c>
      <x:c r="J385" s="28" t="str">
        <x:v>Средняя</x:v>
      </x:c>
      <x:c r="K385" s="28" t="str">
        <x:v>The Art &amp; Science of Foodpairing.pdf</x:v>
      </x:c>
      <x:c r="L385" s="28" t="str">
        <x:v>The Art &amp; Science of Foodpairing.pdf: 268</x:v>
      </x:c>
    </x:row>
    <x:row r="386" ht="66" customHeight="1">
      <x:c r="A386" s="28" t="str">
        <x:v>VEG-0578</x:v>
      </x:c>
      <x:c r="B386" s="28" t="str">
        <x:v>огурец</x:v>
      </x:c>
      <x:c r="C386" s="28" t="str">
        <x:v>свинина</x:v>
      </x:c>
      <x:c r="D386" s="28" t="str">
        <x:v>Мясо и птица</x:v>
      </x:c>
      <x:c r="E386" s="28" t="str">
        <x:v>умами и солёный контраст</x:v>
      </x:c>
      <x:c r="F386" s="28" t="str">
        <x:v>Огурец имеет профиль «зелёный, водянистый, свежий и дынный».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6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6" s="28" t="str">
        <x:v>легко разбавляет вкус; перезрелая кожица и семена дают горечь; сок быстро окисляется</x:v>
      </x:c>
      <x:c r="I386" s="28" t="str">
        <x:v>сок, кордиал, гаспачо, салат, соус, маринад или коктейльный компонент с свинина</x:v>
      </x:c>
      <x:c r="J386" s="28" t="str">
        <x:v>Средняя</x:v>
      </x:c>
      <x:c r="K386" s="28" t="str">
        <x:v>Тезариус вкусов (Ники Сегнит)(1).pdf</x:v>
      </x:c>
      <x:c r="L386" s="28" t="str">
        <x:v>Тезариус вкусов (Ники Сегнит)(1).pdf: 86, 496</x:v>
      </x:c>
    </x:row>
    <x:row r="387" ht="66" customHeight="1">
      <x:c r="A387" s="28" t="str">
        <x:v>VEG-0579</x:v>
      </x:c>
      <x:c r="B387" s="28" t="str">
        <x:v>огурец</x:v>
      </x:c>
      <x:c r="C387" s="28" t="str">
        <x:v>соус тартар</x:v>
      </x:c>
      <x:c r="D387" s="28" t="str">
        <x:v>Прочее</x:v>
      </x:c>
      <x:c r="E387" s="28" t="str">
        <x:v>сенсорная комплементарность</x:v>
      </x:c>
      <x:c r="F387" s="28" t="str">
        <x:v>Огурец имеет профиль «зелёный, водянистый, свежий и дынный». Партнёр «соус тартар»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387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7" s="28" t="str">
        <x:v>легко разбавляет вкус; перезрелая кожица и семена дают горечь; сок быстро окисляется</x:v>
      </x:c>
      <x:c r="I387" s="28" t="str">
        <x:v>сок, кордиал, гаспачо, салат, соус, маринад или коктейльный компонент с соус тартар</x:v>
      </x:c>
      <x:c r="J387" s="28" t="str">
        <x:v>Средняя</x:v>
      </x:c>
      <x:c r="K387" s="28" t="str">
        <x:v>The Art &amp; Science of Foodpairing.pdf</x:v>
      </x:c>
      <x:c r="L387" s="28" t="str">
        <x:v>The Art &amp; Science of Foodpairing.pdf: 268</x:v>
      </x:c>
    </x:row>
    <x:row r="388" ht="66" customHeight="1">
      <x:c r="A388" s="28" t="str">
        <x:v>VEG-0583</x:v>
      </x:c>
      <x:c r="B388" s="28" t="str">
        <x:v>огурец</x:v>
      </x:c>
      <x:c r="C388" s="28" t="str">
        <x:v>треска</x:v>
      </x:c>
      <x:c r="D388" s="28" t="str">
        <x:v>Рыба и морепродукты</x:v>
      </x:c>
      <x:c r="E388" s="28" t="str">
        <x:v>умами и солёный контраст</x:v>
      </x:c>
      <x:c r="F388" s="28" t="str">
        <x:v>Огурец имеет профиль «зелёный, водянистый, свежий и дынный». Партнёр «треска»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388" s="28" t="str">
        <x:v>холодное применение сохраняет свежесть; соль вытягивает воду; нагрев разрушает характерный профиль. Для свежего профиля работать холодно или применять короткую тепловую обработку.</x:v>
      </x:c>
      <x:c r="H388" s="28" t="str">
        <x:v>легко разбавляет вкус; перезрелая кожица и семена дают горечь; сок быстро окисляется</x:v>
      </x:c>
      <x:c r="I388" s="28" t="str">
        <x:v>сок, кордиал, гаспачо, салат, соус, маринад или коктейльный компонент с треска</x:v>
      </x:c>
      <x:c r="J388" s="28" t="str">
        <x:v>Средняя</x:v>
      </x:c>
      <x:c r="K388" s="28" t="str">
        <x:v>The Art &amp; Science of Foodpairing.pdf</x:v>
      </x:c>
      <x:c r="L388" s="28" t="str">
        <x:v>The Art &amp; Science of Foodpairing.pdf: 268</x:v>
      </x:c>
    </x:row>
    <x:row r="389" ht="66" customHeight="1">
      <x:c r="A389" s="28" t="str">
        <x:v>VEG-0595</x:v>
      </x:c>
      <x:c r="B389" s="28" t="str">
        <x:v>пастернак</x:v>
      </x:c>
      <x:c r="C389" s="28" t="str">
        <x:v>бекон</x:v>
      </x:c>
      <x:c r="D389" s="28" t="str">
        <x:v>Мясо и птица</x:v>
      </x:c>
      <x:c r="E389" s="28" t="str">
        <x:v>умами и солёный контраст</x:v>
      </x:c>
      <x:c r="F389" s="28" t="str">
        <x:v>Пастернак имеет профиль «сладкий, пряный, древесный и слегка анисовый».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89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89" s="28" t="str">
        <x:v>старый пастернак может быть волокнистым; сильная сладость требует баланса</x:v>
      </x:c>
      <x:c r="I389" s="28" t="str">
        <x:v>пюре, суп, запекание, крем, гарнир, соус или десертная разработка с бекон</x:v>
      </x:c>
      <x:c r="J389" s="28" t="str">
        <x:v>Средняя</x:v>
      </x:c>
      <x:c r="K389" s="28" t="str">
        <x:v>Тезариус вкусов (Ники Сегнит)(1).pdf</x:v>
      </x:c>
      <x:c r="L389" s="28" t="str">
        <x:v>Тезариус вкусов (Ники Сегнит)(1).pdf: 446, 595</x:v>
      </x:c>
    </x:row>
    <x:row r="390" ht="66" customHeight="1">
      <x:c r="A390" s="28" t="str">
        <x:v>VEG-0596</x:v>
      </x:c>
      <x:c r="B390" s="28" t="str">
        <x:v>пастернак</x:v>
      </x:c>
      <x:c r="C390" s="28" t="str">
        <x:v>белая рыба</x:v>
      </x:c>
      <x:c r="D390" s="28" t="str">
        <x:v>Рыба и морепродукты</x:v>
      </x:c>
      <x:c r="E390" s="28" t="str">
        <x:v>умами и солёный контраст</x:v>
      </x:c>
      <x:c r="F390" s="28" t="str">
        <x:v>Пастернак имеет профиль «сладкий, пряный, древесный и слегка анисовый».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0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0" s="28" t="str">
        <x:v>старый пастернак может быть волокнистым; сильная сладость требует баланса</x:v>
      </x:c>
      <x:c r="I390" s="28" t="str">
        <x:v>пюре, суп, запекание, крем, гарнир, соус или десертная разработка с белая рыба</x:v>
      </x:c>
      <x:c r="J390" s="28" t="str">
        <x:v>Средняя</x:v>
      </x:c>
      <x:c r="K390" s="28" t="str">
        <x:v>Тезариус вкусов (Ники Сегнит)(1).pdf</x:v>
      </x:c>
      <x:c r="L390" s="28" t="str">
        <x:v>Тезариус вкусов (Ники Сегнит)(1).pdf: 388, 595</x:v>
      </x:c>
    </x:row>
    <x:row r="391" ht="66" customHeight="1">
      <x:c r="A391" s="28" t="str">
        <x:v>VEG-0598</x:v>
      </x:c>
      <x:c r="B391" s="28" t="str">
        <x:v>пастернак</x:v>
      </x:c>
      <x:c r="C391" s="28" t="str">
        <x:v>говядина</x:v>
      </x:c>
      <x:c r="D391" s="28" t="str">
        <x:v>Мясо и птица</x:v>
      </x:c>
      <x:c r="E391" s="28" t="str">
        <x:v>умами и солёный контраст</x:v>
      </x:c>
      <x:c r="F391" s="28" t="str">
        <x:v>Пастернак имеет профиль «сладкий, пряный, древесный и слегка анисовый».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1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1" s="28" t="str">
        <x:v>старый пастернак может быть волокнистым; сильная сладость требует баланса</x:v>
      </x:c>
      <x:c r="I391" s="28" t="str">
        <x:v>пюре, суп, запекание, крем, гарнир, соус или десертная разработка с говядина</x:v>
      </x:c>
      <x:c r="J391" s="28" t="str">
        <x:v>Средняя</x:v>
      </x:c>
      <x:c r="K391" s="28" t="str">
        <x:v>Тезариус вкусов (Ники Сегнит)(1).pdf</x:v>
      </x:c>
      <x:c r="L391" s="28" t="str">
        <x:v>Тезариус вкусов (Ники Сегнит)(1).pdf: 115, 596</x:v>
      </x:c>
    </x:row>
    <x:row r="392" ht="66" customHeight="1">
      <x:c r="A392" s="28" t="str">
        <x:v>VEG-0602</x:v>
      </x:c>
      <x:c r="B392" s="28" t="str">
        <x:v>пастернак</x:v>
      </x:c>
      <x:c r="C392" s="28" t="str">
        <x:v>моллюски</x:v>
      </x:c>
      <x:c r="D392" s="28" t="str">
        <x:v>Рыба и морепродукты</x:v>
      </x:c>
      <x:c r="E392" s="28" t="str">
        <x:v>умами и солёный контраст</x:v>
      </x:c>
      <x:c r="F392" s="28" t="str">
        <x:v>Пастернак имеет профиль «сладкий, пряный, древесный и слегка анисовый».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2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2" s="28" t="str">
        <x:v>старый пастернак может быть волокнистым; сильная сладость требует баланса</x:v>
      </x:c>
      <x:c r="I392" s="28" t="str">
        <x:v>пюре, суп, запекание, крем, гарнир, соус или десертная разработка с моллюски</x:v>
      </x:c>
      <x:c r="J392" s="28" t="str">
        <x:v>Средняя</x:v>
      </x:c>
      <x:c r="K392" s="28" t="str">
        <x:v>Тезариус вкусов (Ники Сегнит)(1).pdf</x:v>
      </x:c>
      <x:c r="L392" s="28" t="str">
        <x:v>Тезариус вкусов (Ники Сегнит)(1).pdf: 374, 598</x:v>
      </x:c>
    </x:row>
    <x:row r="393" ht="66" customHeight="1">
      <x:c r="A393" s="28" t="str">
        <x:v>VEG-0603</x:v>
      </x:c>
      <x:c r="B393" s="28" t="str">
        <x:v>пастернак</x:v>
      </x:c>
      <x:c r="C393" s="28" t="str">
        <x:v>мускатный орех</x:v>
      </x:c>
      <x:c r="D393" s="28" t="str">
        <x:v>Рыба и морепродукты</x:v>
      </x:c>
      <x:c r="E393" s="28" t="str">
        <x:v>общие характерные молекулы; пересечение ароматических семейств; умами и солёный контраст</x:v>
      </x:c>
      <x:c r="F393" s="28" t="str">
        <x:v>Пастернак имеет профиль «сладкий, пряный, древесный и слегка анисовый». Партнёр «мускатный орех» относится к группе «Рыба и морепродукты» и даёт камфорный, ореховый, пряный. Вероятный молекулярный мост: пинены.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3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3" s="28" t="str">
        <x:v>старый пастернак может быть волокнистым; сильная сладость требует баланса</x:v>
      </x:c>
      <x:c r="I393" s="28" t="str">
        <x:v>пюре, суп, запекание, крем, гарнир, соус или десертная разработка с мускатный орех</x:v>
      </x:c>
      <x:c r="J393" s="28" t="str">
        <x:v>Средняя</x:v>
      </x:c>
      <x:c r="K393" s="28" t="str">
        <x:v>Тезариус вкусов (Ники Сегнит)(1).pdf</x:v>
      </x:c>
      <x:c r="L393" s="28" t="str">
        <x:v>Тезариус вкусов (Ники Сегнит)(1).pdf: 589, 598</x:v>
      </x:c>
    </x:row>
    <x:row r="394" ht="66" customHeight="1">
      <x:c r="A394" s="28" t="str">
        <x:v>VEG-0605</x:v>
      </x:c>
      <x:c r="B394" s="28" t="str">
        <x:v>пастернак</x:v>
      </x:c>
      <x:c r="C394" s="28" t="str">
        <x:v>свинина</x:v>
      </x:c>
      <x:c r="D394" s="28" t="str">
        <x:v>Мясо и птица</x:v>
      </x:c>
      <x:c r="E394" s="28" t="str">
        <x:v>умами и солёный контраст</x:v>
      </x:c>
      <x:c r="F394" s="28" t="str">
        <x:v>Пастернак имеет профиль «сладкий, пряный, древесный и слегка анисовый».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4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4" s="28" t="str">
        <x:v>старый пастернак может быть волокнистым; сильная сладость требует баланса</x:v>
      </x:c>
      <x:c r="I394" s="28" t="str">
        <x:v>пюре, суп, запекание, крем, гарнир, соус или десертная разработка с свинина</x:v>
      </x:c>
      <x:c r="J394" s="28" t="str">
        <x:v>Средняя</x:v>
      </x:c>
      <x:c r="K394" s="28" t="str">
        <x:v>Тезариус вкусов (Ники Сегнит)(1).pdf</x:v>
      </x:c>
      <x:c r="L394" s="28" t="str">
        <x:v>Тезариус вкусов (Ники Сегнит)(1).pdf: 86, 598</x:v>
      </x:c>
    </x:row>
    <x:row r="395" ht="66" customHeight="1">
      <x:c r="A395" s="28" t="str">
        <x:v>VEG-0607</x:v>
      </x:c>
      <x:c r="B395" s="28" t="str">
        <x:v>пастернак</x:v>
      </x:c>
      <x:c r="C395" s="28" t="str">
        <x:v>хамон иберико</x:v>
      </x:c>
      <x:c r="D395" s="28" t="str">
        <x:v>Мясо и птица</x:v>
      </x:c>
      <x:c r="E395" s="28" t="str">
        <x:v>умами и солёный контраст</x:v>
      </x:c>
      <x:c r="F395" s="28" t="str">
        <x:v>Пастернак имеет профиль «сладкий, пряный, древесный и слегка анисовый».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5" s="28" t="str">
        <x:v>запекание усиливает сладость и ореховые ноты; пюре хорошо принимает сливочный жир. Для сладко-жареного профиля удалить поверхностную влагу и использовать запекание или обжаривание.</x:v>
      </x:c>
      <x:c r="H395" s="28" t="str">
        <x:v>старый пастернак может быть волокнистым; сильная сладость требует баланса</x:v>
      </x:c>
      <x:c r="I395" s="28" t="str">
        <x:v>пюре, суп, запекание, крем, гарнир, соус или десертная разработка с хамон иберико</x:v>
      </x:c>
      <x:c r="J395" s="28" t="str">
        <x:v>Средняя</x:v>
      </x:c>
      <x:c r="K395" s="28" t="str">
        <x:v>The Art &amp; Science of Foodpairing.pdf</x:v>
      </x:c>
      <x:c r="L395" s="28" t="str">
        <x:v>The Art &amp; Science of Foodpairing.pdf: 278</x:v>
      </x:c>
    </x:row>
    <x:row r="396" ht="66" customHeight="1">
      <x:c r="A396" s="28" t="str">
        <x:v>VEG-0614</x:v>
      </x:c>
      <x:c r="B396" s="28" t="str">
        <x:v>редис</x:v>
      </x:c>
      <x:c r="C396" s="28" t="str">
        <x:v>кимчи</x:v>
      </x:c>
      <x:c r="D396" s="28" t="str">
        <x:v>Ферментированные продукты и соусы</x:v>
      </x:c>
      <x:c r="E396" s="28" t="str">
        <x:v>умами и солёный контраст; сернистая или горчичная комплементарность</x:v>
      </x:c>
      <x:c r="F396" s="28" t="str">
        <x:v>Редис имеет профиль «горчичный, зелёный, перечный и водянистый».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396" s="28" t="str">
        <x:v>соль, кислота и маринование смягчают остроту; нагрев снижает изотиоцианаты. Контролировать время: переваривание усиливает сернистость и разрушает текстуру.</x:v>
      </x:c>
      <x:c r="H396" s="28" t="str">
        <x:v>вялая текстура и чрезмерная острота; некоторые сорта значительно сильнее других</x:v>
      </x:c>
      <x:c r="I396" s="28" t="str">
        <x:v>салат, гарнир, суп, соус, маринад, ферментация или напиток с кимчи</x:v>
      </x:c>
      <x:c r="J396" s="28" t="str">
        <x:v>Средняя</x:v>
      </x:c>
      <x:c r="K396" s="28" t="str">
        <x:v>The Art &amp; Science of Foodpairing.pdf</x:v>
      </x:c>
      <x:c r="L396" s="28" t="str">
        <x:v>The Art &amp; Science of Foodpairing.pdf: 304, 305</x:v>
      </x:c>
    </x:row>
    <x:row r="397" ht="66" customHeight="1">
      <x:c r="A397" s="28" t="str">
        <x:v>VEG-0624</x:v>
      </x:c>
      <x:c r="B397" s="28" t="str">
        <x:v>свёкла</x:v>
      </x:c>
      <x:c r="C397" s="28" t="str">
        <x:v>анчоусы</x:v>
      </x:c>
      <x:c r="D397" s="28" t="str">
        <x:v>Рыба и морепродукты</x:v>
      </x:c>
      <x:c r="E397" s="28" t="str">
        <x:v>общие характерные молекулы; умами и солёный контраст</x:v>
      </x:c>
      <x:c r="F397" s="28" t="str">
        <x:v>Свёкла имеет профиль «землистый, сладкий, минеральный и слегка зелёный». Партнёр «анчоусы»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97" s="28" t="str">
        <x:v>геосмин легко доминирует; беталаины отвечают за цвет, а не за запах; сильный нагрев снижает яркость цвета</x:v>
      </x:c>
      <x:c r="I397" s="28" t="str">
        <x:v>сок, кордиал, гаспачо, салат, соус, маринад или коктейльный компонент с анчоусы</x:v>
      </x:c>
      <x:c r="J397" s="28" t="str">
        <x:v>Средняя</x:v>
      </x:c>
      <x:c r="K397" s="28" t="str">
        <x:v>Тезариус вкусов (Ники Сегнит)(1).pdf</x:v>
      </x:c>
      <x:c r="L397" s="28" t="str">
        <x:v>Тезариус вкусов (Ники Сегнит)(1).pdf: 222, 429</x:v>
      </x:c>
    </x:row>
    <x:row r="398" ht="66" customHeight="1">
      <x:c r="A398" s="28" t="str">
        <x:v>VEG-0629</x:v>
      </x:c>
      <x:c r="B398" s="28" t="str">
        <x:v>свёкла</x:v>
      </x:c>
      <x:c r="C398" s="28" t="str">
        <x:v>бальзамический уксус</x:v>
      </x:c>
      <x:c r="D398" s="28" t="str">
        <x:v>Ферментированные продукты и соусы</x:v>
      </x:c>
      <x:c r="E398" s="28" t="str">
        <x:v>умами и солёный контраст</x:v>
      </x:c>
      <x:c r="F398" s="28" t="str">
        <x:v>Свёкла имеет профиль «землистый, сладкий, минеральный и слегка зелёный». Партнёр «бальзамический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98" s="28" t="str">
        <x:v>геосмин легко доминирует; беталаины отвечают за цвет, а не за запах; сильный нагрев снижает яркость цвета</x:v>
      </x:c>
      <x:c r="I398" s="28" t="str">
        <x:v>сок, кордиал, гаспачо, салат, соус, маринад или коктейльный компонент с бальзамический уксус</x:v>
      </x:c>
      <x:c r="J398" s="28" t="str">
        <x:v>Средняя</x:v>
      </x:c>
      <x:c r="K398" s="28" t="str">
        <x:v>The Art &amp; Science of Foodpairing.pdf</x:v>
      </x:c>
      <x:c r="L398" s="28" t="str">
        <x:v>The Art &amp; Science of Foodpairing.pdf: 316</x:v>
      </x:c>
    </x:row>
    <x:row r="399" ht="66" customHeight="1">
      <x:c r="A399" s="28" t="str">
        <x:v>VEG-0631</x:v>
      </x:c>
      <x:c r="B399" s="28" t="str">
        <x:v>свёкла</x:v>
      </x:c>
      <x:c r="C399" s="28" t="str">
        <x:v>баранина</x:v>
      </x:c>
      <x:c r="D399" s="28" t="str">
        <x:v>Мясо и птица</x:v>
      </x:c>
      <x:c r="E399" s="28" t="str">
        <x:v>умами и солёный контраст</x:v>
      </x:c>
      <x:c r="F399" s="28" t="str">
        <x:v>Свёкла имеет профиль «землистый, сладкий, минеральный и слегка зелёный».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39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399" s="28" t="str">
        <x:v>геосмин легко доминирует; беталаины отвечают за цвет, а не за запах; сильный нагрев снижает яркость цвета</x:v>
      </x:c>
      <x:c r="I399" s="28" t="str">
        <x:v>сок, кордиал, гаспачо, салат, соус, маринад или коктейльный компонент с баранина</x:v>
      </x:c>
      <x:c r="J399" s="28" t="str">
        <x:v>Средняя</x:v>
      </x:c>
      <x:c r="K399" s="28" t="str">
        <x:v>The Art &amp; Science of Foodpairing.pdf</x:v>
      </x:c>
      <x:c r="L399" s="28" t="str">
        <x:v>The Art &amp; Science of Foodpairing.pdf: 224</x:v>
      </x:c>
    </x:row>
    <x:row r="400" ht="66" customHeight="1">
      <x:c r="A400" s="28" t="str">
        <x:v>VEG-0632</x:v>
      </x:c>
      <x:c r="B400" s="28" t="str">
        <x:v>свёкла</x:v>
      </x:c>
      <x:c r="C400" s="28" t="str">
        <x:v>батат</x:v>
      </x:c>
      <x:c r="D400" s="28" t="str">
        <x:v>Корнеплоды и клубни</x:v>
      </x:c>
      <x:c r="E400" s="28" t="str">
        <x:v>пересечение ароматических семейств</x:v>
      </x:c>
      <x:c r="F400" s="28" t="str">
        <x:v>Свёкла имеет профиль «землистый, сладкий, минеральный и слегка зелёный». Партнёр «батат» относится к группе «Корнеплоды и клубни» и даёт сладкий, крахмалистый, цветочный, карамельный и ореховый после запекания.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0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0" s="28" t="str">
        <x:v>геосмин легко доминирует; беталаины отвечают за цвет, а не за запах; сильный нагрев снижает яркость цвета</x:v>
      </x:c>
      <x:c r="I400" s="28" t="str">
        <x:v>сок, кордиал, гаспачо, салат, соус, маринад или коктейльный компонент с батат</x:v>
      </x:c>
      <x:c r="J400" s="28" t="str">
        <x:v>Средняя</x:v>
      </x:c>
      <x:c r="K400" s="28" t="str">
        <x:v>The Art &amp; Science of Foodpairing.pdf</x:v>
      </x:c>
      <x:c r="L400" s="28" t="str">
        <x:v>The Art &amp; Science of Foodpairing.pdf: 119</x:v>
      </x:c>
    </x:row>
    <x:row r="401" ht="66" customHeight="1">
      <x:c r="A401" s="28" t="str">
        <x:v>VEG-0633</x:v>
      </x:c>
      <x:c r="B401" s="28" t="str">
        <x:v>свёкла</x:v>
      </x:c>
      <x:c r="C401" s="28" t="str">
        <x:v>бекон</x:v>
      </x:c>
      <x:c r="D401" s="28" t="str">
        <x:v>Мясо и птица</x:v>
      </x:c>
      <x:c r="E401" s="28" t="str">
        <x:v>умами и солёный контраст</x:v>
      </x:c>
      <x:c r="F401" s="28" t="str">
        <x:v>Свёкла имеет профиль «землистый, сладкий, минеральный и слегка зелёный».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1" s="28" t="str">
        <x:v>геосмин легко доминирует; беталаины отвечают за цвет, а не за запах; сильный нагрев снижает яркость цвета</x:v>
      </x:c>
      <x:c r="I401" s="28" t="str">
        <x:v>сок, кордиал, гаспачо, салат, соус, маринад или коктейльный компонент с бекон</x:v>
      </x:c>
      <x:c r="J401" s="28" t="str">
        <x:v>Средняя</x:v>
      </x:c>
      <x:c r="K401" s="28" t="str">
        <x:v>The Art &amp; Science of Foodpairing.pdf</x:v>
      </x:c>
      <x:c r="L401" s="28" t="str">
        <x:v>The Art &amp; Science of Foodpairing.pdf: 224</x:v>
      </x:c>
    </x:row>
    <x:row r="402" ht="66" customHeight="1">
      <x:c r="A402" s="28" t="str">
        <x:v>VEG-0639</x:v>
      </x:c>
      <x:c r="B402" s="28" t="str">
        <x:v>свёкла</x:v>
      </x:c>
      <x:c r="C402" s="28" t="str">
        <x:v>говядина</x:v>
      </x:c>
      <x:c r="D402" s="28" t="str">
        <x:v>Мясо и птица</x:v>
      </x:c>
      <x:c r="E402" s="28" t="str">
        <x:v>умами и солёный контраст</x:v>
      </x:c>
      <x:c r="F402" s="28" t="str">
        <x:v>Свёкла имеет профиль «землистый, сладкий, минеральный и слегка зелёный».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2" s="28" t="str">
        <x:v>геосмин легко доминирует; беталаины отвечают за цвет, а не за запах; сильный нагрев снижает яркость цвета</x:v>
      </x:c>
      <x:c r="I402" s="28" t="str">
        <x:v>сок, кордиал, гаспачо, салат, соус, маринад или коктейльный компонент с говядина</x:v>
      </x:c>
      <x:c r="J402" s="28" t="str">
        <x:v>Высокая</x:v>
      </x:c>
      <x:c r="K402" s="28" t="str">
        <x:v>The Art &amp; Science of Foodpairing.pdf | Тезариус вкусов (Ники Сегнит)(1).pdf</x:v>
      </x:c>
      <x:c r="L402" s="28" t="str">
        <x:v>Тезариус вкусов (Ники Сегнит)(1).pdf: 117, 223; The Art &amp; Science of Foodpairing.pdf: 224</x:v>
      </x:c>
    </x:row>
    <x:row r="403" ht="66" customHeight="1">
      <x:c r="A403" s="28" t="str">
        <x:v>VEG-0644</x:v>
      </x:c>
      <x:c r="B403" s="28" t="str">
        <x:v>свёкла</x:v>
      </x:c>
      <x:c r="C403" s="28" t="str">
        <x:v>жирная рыба</x:v>
      </x:c>
      <x:c r="D403" s="28" t="str">
        <x:v>Рыба и морепродукты</x:v>
      </x:c>
      <x:c r="E403" s="28" t="str">
        <x:v>общие характерные молекулы; умами и солёный контраст</x:v>
      </x:c>
      <x:c r="F403" s="28" t="str">
        <x:v>Свёкла имеет профиль «землистый, сладкий, минеральный и слегка зелёный». Партнёр «жирная 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3" s="28" t="str">
        <x:v>геосмин легко доминирует; беталаины отвечают за цвет, а не за запах; сильный нагрев снижает яркость цвета</x:v>
      </x:c>
      <x:c r="I403" s="28" t="str">
        <x:v>сок, кордиал, гаспачо, салат, соус, маринад или коктейльный компонент с жирная рыба</x:v>
      </x:c>
      <x:c r="J403" s="28" t="str">
        <x:v>Средняя</x:v>
      </x:c>
      <x:c r="K403" s="28" t="str">
        <x:v>Тезариус вкусов (Ники Сегнит)(1).pdf</x:v>
      </x:c>
      <x:c r="L403" s="28" t="str">
        <x:v>Тезариус вкусов (Ники Сегнит)(1).pdf: 223, 417</x:v>
      </x:c>
    </x:row>
    <x:row r="404" ht="66" customHeight="1">
      <x:c r="A404" s="28" t="str">
        <x:v>VEG-0650</x:v>
      </x:c>
      <x:c r="B404" s="28" t="str">
        <x:v>свёкла</x:v>
      </x:c>
      <x:c r="C404" s="28" t="str">
        <x:v>капуста</x:v>
      </x:c>
      <x:c r="D404" s="28" t="str">
        <x:v>Крестоцветные</x:v>
      </x:c>
      <x:c r="E404" s="28" t="str">
        <x:v>пересечение ароматических семейств</x:v>
      </x:c>
      <x:c r="F404" s="28" t="str">
        <x:v>Свёкла имеет профиль «землистый, сладкий, минеральный и слегка зелёный».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0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4" s="28" t="str">
        <x:v>геосмин легко доминирует; беталаины отвечают за цвет, а не за запах; сильный нагрев снижает яркость цвета</x:v>
      </x:c>
      <x:c r="I404" s="28" t="str">
        <x:v>сок, кордиал, гаспачо, салат, соус, маринад или коктейльный компонент с капуста</x:v>
      </x:c>
      <x:c r="J404" s="28" t="str">
        <x:v>Средняя</x:v>
      </x:c>
      <x:c r="K404" s="28" t="str">
        <x:v>The Art &amp; Science of Foodpairing.pdf</x:v>
      </x:c>
      <x:c r="L404" s="28" t="str">
        <x:v>The Art &amp; Science of Foodpairing.pdf: 224</x:v>
      </x:c>
    </x:row>
    <x:row r="405" ht="66" customHeight="1">
      <x:c r="A405" s="28" t="str">
        <x:v>VEG-0651</x:v>
      </x:c>
      <x:c r="B405" s="28" t="str">
        <x:v>свёкла</x:v>
      </x:c>
      <x:c r="C405" s="28" t="str">
        <x:v>картофель</x:v>
      </x:c>
      <x:c r="D405" s="28" t="str">
        <x:v>Корнеплоды и клубни</x:v>
      </x:c>
      <x:c r="E405" s="28" t="str">
        <x:v>общие характерные молекулы; пересечение ароматических семейств</x:v>
      </x:c>
      <x:c r="F405" s="28" t="str">
        <x:v>Свёкла имеет профиль «землистый, сладкий, минеральный и слегка зелёный». Партнёр «картофель» относится к группе «Корнеплоды и клубни» и даёт крахмалистый, землистый, ореховый и жареный после нагрева.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0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5" s="28" t="str">
        <x:v>геосмин легко доминирует; беталаины отвечают за цвет, а не за запах; сильный нагрев снижает яркость цвета</x:v>
      </x:c>
      <x:c r="I405" s="28" t="str">
        <x:v>сок, кордиал, гаспачо, салат, соус, маринад или коктейльный компонент с картофель</x:v>
      </x:c>
      <x:c r="J405" s="28" t="str">
        <x:v>Средняя</x:v>
      </x:c>
      <x:c r="K405" s="28" t="str">
        <x:v>Тезариус вкусов (Ники Сегнит)(1).pdf</x:v>
      </x:c>
      <x:c r="L405" s="28" t="str">
        <x:v>Тезариус вкусов (Ники Сегнит)(1).pdf: 224, 241</x:v>
      </x:c>
    </x:row>
    <x:row r="406" ht="66" customHeight="1">
      <x:c r="A406" s="28" t="str">
        <x:v>VEG-0652</x:v>
      </x:c>
      <x:c r="B406" s="28" t="str">
        <x:v>свёкла</x:v>
      </x:c>
      <x:c r="C406" s="28" t="str">
        <x:v>кефаль</x:v>
      </x:c>
      <x:c r="D406" s="28" t="str">
        <x:v>Рыба и морепродукты</x:v>
      </x:c>
      <x:c r="E406" s="28" t="str">
        <x:v>общие характерные молекулы; умами и солёный контраст</x:v>
      </x:c>
      <x:c r="F406" s="28" t="str">
        <x:v>Свёкла имеет профиль «землистый, сладкий, минеральный и слегка зелёный». Партнёр «кефаль»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6" s="28" t="str">
        <x:v>геосмин легко доминирует; беталаины отвечают за цвет, а не за запах; сильный нагрев снижает яркость цвета</x:v>
      </x:c>
      <x:c r="I406" s="28" t="str">
        <x:v>сок, кордиал, гаспачо, салат, соус, маринад или коктейльный компонент с кефаль</x:v>
      </x:c>
      <x:c r="J406" s="28" t="str">
        <x:v>Средняя</x:v>
      </x:c>
      <x:c r="K406" s="28" t="str">
        <x:v>The Art &amp; Science of Foodpairing.pdf</x:v>
      </x:c>
      <x:c r="L406" s="28" t="str">
        <x:v>The Art &amp; Science of Foodpairing.pdf: 224</x:v>
      </x:c>
    </x:row>
    <x:row r="407" ht="66" customHeight="1">
      <x:c r="A407" s="28" t="str">
        <x:v>VEG-0653</x:v>
      </x:c>
      <x:c r="B407" s="28" t="str">
        <x:v>свёкла</x:v>
      </x:c>
      <x:c r="C407" s="28" t="str">
        <x:v>кимчи</x:v>
      </x:c>
      <x:c r="D407" s="28" t="str">
        <x:v>Ферментированные продукты и соусы</x:v>
      </x:c>
      <x:c r="E407" s="28" t="str">
        <x:v>умами и солёный контраст</x:v>
      </x:c>
      <x:c r="F407" s="28" t="str">
        <x:v>Свёкла имеет профиль «землистый, сладкий, минеральный и слегка зелёный». Партнёр «кимчи»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7" s="28" t="str">
        <x:v>геосмин легко доминирует; беталаины отвечают за цвет, а не за запах; сильный нагрев снижает яркость цвета</x:v>
      </x:c>
      <x:c r="I407" s="28" t="str">
        <x:v>сок, кордиал, гаспачо, салат, соус, маринад или коктейльный компонент с кимчи</x:v>
      </x:c>
      <x:c r="J407" s="28" t="str">
        <x:v>Средняя</x:v>
      </x:c>
      <x:c r="K407" s="28" t="str">
        <x:v>The Art &amp; Science of Foodpairing.pdf</x:v>
      </x:c>
      <x:c r="L407" s="28" t="str">
        <x:v>The Art &amp; Science of Foodpairing.pdf: 305</x:v>
      </x:c>
    </x:row>
    <x:row r="408" ht="66" customHeight="1">
      <x:c r="A408" s="28" t="str">
        <x:v>VEG-0657</x:v>
      </x:c>
      <x:c r="B408" s="28" t="str">
        <x:v>свёкла</x:v>
      </x:c>
      <x:c r="C408" s="28" t="str">
        <x:v>копчёный лосось</x:v>
      </x:c>
      <x:c r="D408" s="28" t="str">
        <x:v>Рыба и морепродукты</x:v>
      </x:c>
      <x:c r="E408" s="28" t="str">
        <x:v>общие характерные молекулы; умами и солёный контраст</x:v>
      </x:c>
      <x:c r="F408" s="28" t="str">
        <x:v>Свёкла имеет профиль «землистый, сладкий, минеральный и слегка зелёный». Партнёр «копчёный лосось»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8" s="28" t="str">
        <x:v>геосмин легко доминирует; беталаины отвечают за цвет, а не за запах; сильный нагрев снижает яркость цвета</x:v>
      </x:c>
      <x:c r="I408" s="28" t="str">
        <x:v>сок, кордиал, гаспачо, салат, соус, маринад или коктейльный компонент с копчёный лосось</x:v>
      </x:c>
      <x:c r="J408" s="28" t="str">
        <x:v>Средняя</x:v>
      </x:c>
      <x:c r="K408" s="28" t="str">
        <x:v>The Art &amp; Science of Foodpairing.pdf</x:v>
      </x:c>
      <x:c r="L408" s="28" t="str">
        <x:v>The Art &amp; Science of Foodpairing.pdf: 224</x:v>
      </x:c>
    </x:row>
    <x:row r="409" ht="66" customHeight="1">
      <x:c r="A409" s="28" t="str">
        <x:v>VEG-0661</x:v>
      </x:c>
      <x:c r="B409" s="28" t="str">
        <x:v>свёкла</x:v>
      </x:c>
      <x:c r="C409" s="28" t="str">
        <x:v>курица</x:v>
      </x:c>
      <x:c r="D409" s="28" t="str">
        <x:v>Мясо и птица</x:v>
      </x:c>
      <x:c r="E409" s="28" t="str">
        <x:v>умами и солёный контраст</x:v>
      </x:c>
      <x:c r="F409" s="28" t="str">
        <x:v>Свёкла имеет профиль «землистый, сладкий, минеральный и слегка зелёный». Партнёр «курица»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0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09" s="28" t="str">
        <x:v>геосмин легко доминирует; беталаины отвечают за цвет, а не за запах; сильный нагрев снижает яркость цвета</x:v>
      </x:c>
      <x:c r="I409" s="28" t="str">
        <x:v>сок, кордиал, гаспачо, салат, соус, маринад или коктейльный компонент с курица</x:v>
      </x:c>
      <x:c r="J409" s="28" t="str">
        <x:v>Средняя</x:v>
      </x:c>
      <x:c r="K409" s="28" t="str">
        <x:v>The Art &amp; Science of Foodpairing.pdf</x:v>
      </x:c>
      <x:c r="L409" s="28" t="str">
        <x:v>The Art &amp; Science of Foodpairing.pdf: 224</x:v>
      </x:c>
    </x:row>
    <x:row r="410" ht="66" customHeight="1">
      <x:c r="A410" s="28" t="str">
        <x:v>VEG-0664</x:v>
      </x:c>
      <x:c r="B410" s="28" t="str">
        <x:v>свёкла</x:v>
      </x:c>
      <x:c r="C410" s="28" t="str">
        <x:v>лосось</x:v>
      </x:c>
      <x:c r="D410" s="28" t="str">
        <x:v>Рыба и морепродукты</x:v>
      </x:c>
      <x:c r="E410" s="28" t="str">
        <x:v>общие характерные молекулы; умами и солёный контраст</x:v>
      </x:c>
      <x:c r="F410" s="28" t="str">
        <x:v>Свёкла имеет профиль «землистый, сладкий, минеральный и слегка зелёный». Партнёр «лосось»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0" s="28" t="str">
        <x:v>геосмин легко доминирует; беталаины отвечают за цвет, а не за запах; сильный нагрев снижает яркость цвета</x:v>
      </x:c>
      <x:c r="I410" s="28" t="str">
        <x:v>сок, кордиал, гаспачо, салат, соус, маринад или коктейльный компонент с лосось</x:v>
      </x:c>
      <x:c r="J410" s="28" t="str">
        <x:v>Средняя</x:v>
      </x:c>
      <x:c r="K410" s="28" t="str">
        <x:v>The Art &amp; Science of Foodpairing.pdf</x:v>
      </x:c>
      <x:c r="L410" s="28" t="str">
        <x:v>The Art &amp; Science of Foodpairing.pdf: 224</x:v>
      </x:c>
    </x:row>
    <x:row r="411" ht="66" customHeight="1">
      <x:c r="A411" s="28" t="str">
        <x:v>VEG-0665</x:v>
      </x:c>
      <x:c r="B411" s="28" t="str">
        <x:v>свёкла</x:v>
      </x:c>
      <x:c r="C411" s="28" t="str">
        <x:v>лук</x:v>
      </x:c>
      <x:c r="D411" s="28" t="str">
        <x:v>Луковые овощи</x:v>
      </x:c>
      <x:c r="E411" s="28" t="str">
        <x:v>пересечение ароматических семейств</x:v>
      </x:c>
      <x:c r="F411" s="28" t="str">
        <x:v>Свёкла имеет профиль «землистый, сладкий, минеральный и слегка зелёный».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1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1" s="28" t="str">
        <x:v>геосмин легко доминирует; беталаины отвечают за цвет, а не за запах; сильный нагрев снижает яркость цвета</x:v>
      </x:c>
      <x:c r="I411" s="28" t="str">
        <x:v>сок, кордиал, гаспачо, салат, соус, маринад или коктейльный компонент с лук</x:v>
      </x:c>
      <x:c r="J411" s="28" t="str">
        <x:v>Средняя</x:v>
      </x:c>
      <x:c r="K411" s="28" t="str">
        <x:v>Тезариус вкусов (Ники Сегнит)(1).pdf</x:v>
      </x:c>
      <x:c r="L411" s="28" t="str">
        <x:v>Тезариус вкусов (Ники Сегнит)(1).pdf: 225, 286</x:v>
      </x:c>
    </x:row>
    <x:row r="412" ht="66" customHeight="1">
      <x:c r="A412" s="28" t="str">
        <x:v>VEG-0666</x:v>
      </x:c>
      <x:c r="B412" s="28" t="str">
        <x:v>свёкла</x:v>
      </x:c>
      <x:c r="C412" s="28" t="str">
        <x:v>лук-порей</x:v>
      </x:c>
      <x:c r="D412" s="28" t="str">
        <x:v>Луковые овощи</x:v>
      </x:c>
      <x:c r="E412" s="28" t="str">
        <x:v>пересечение ароматических семейств</x:v>
      </x:c>
      <x:c r="F412" s="28" t="str">
        <x:v>Свёкла имеет профиль «землистый, сладкий, минеральный и слегка зелёный». Партнёр «лук-порей» относится к группе «Луковые овощи» и даёт сернистый, сладкий и жареный. Профили пересекаются в семействах: сладкий.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1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2" s="28" t="str">
        <x:v>геосмин легко доминирует; беталаины отвечают за цвет, а не за запах; сильный нагрев снижает яркость цвета</x:v>
      </x:c>
      <x:c r="I412" s="28" t="str">
        <x:v>сок, кордиал, гаспачо, салат, соус, маринад или коктейльный компонент с лук-порей</x:v>
      </x:c>
      <x:c r="J412" s="28" t="str">
        <x:v>Средняя</x:v>
      </x:c>
      <x:c r="K412" s="28" t="str">
        <x:v>The Art &amp; Science of Foodpairing.pdf</x:v>
      </x:c>
      <x:c r="L412" s="28" t="str">
        <x:v>The Art &amp; Science of Foodpairing.pdf: 224</x:v>
      </x:c>
    </x:row>
    <x:row r="413" ht="66" customHeight="1">
      <x:c r="A413" s="28" t="str">
        <x:v>VEG-0672</x:v>
      </x:c>
      <x:c r="B413" s="28" t="str">
        <x:v>свёкла</x:v>
      </x:c>
      <x:c r="C413" s="28" t="str">
        <x:v>моллюски</x:v>
      </x:c>
      <x:c r="D413" s="28" t="str">
        <x:v>Рыба и морепродукты</x:v>
      </x:c>
      <x:c r="E413" s="28" t="str">
        <x:v>общие характерные молекулы; умами и солёный контраст</x:v>
      </x:c>
      <x:c r="F413" s="28" t="str">
        <x:v>Свёкла имеет профиль «землистый, сладкий, минеральный и слегка зелёный». Партнёр «моллюски»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3" s="28" t="str">
        <x:v>геосмин легко доминирует; беталаины отвечают за цвет, а не за запах; сильный нагрев снижает яркость цвета</x:v>
      </x:c>
      <x:c r="I413" s="28" t="str">
        <x:v>сок, кордиал, гаспачо, салат, соус, маринад или коктейльный компонент с моллюски</x:v>
      </x:c>
      <x:c r="J413" s="28" t="str">
        <x:v>Средняя</x:v>
      </x:c>
      <x:c r="K413" s="28" t="str">
        <x:v>The Art &amp; Science of Foodpairing.pdf</x:v>
      </x:c>
      <x:c r="L413" s="28" t="str">
        <x:v>The Art &amp; Science of Foodpairing.pdf: 224</x:v>
      </x:c>
    </x:row>
    <x:row r="414" ht="66" customHeight="1">
      <x:c r="A414" s="28" t="str">
        <x:v>VEG-0674</x:v>
      </x:c>
      <x:c r="B414" s="28" t="str">
        <x:v>свёкла</x:v>
      </x:c>
      <x:c r="C414" s="28" t="str">
        <x:v>морской язык</x:v>
      </x:c>
      <x:c r="D414" s="28" t="str">
        <x:v>Рыба и морепродукты</x:v>
      </x:c>
      <x:c r="E414" s="28" t="str">
        <x:v>общие характерные молекулы; умами и солёный контраст</x:v>
      </x:c>
      <x:c r="F414" s="28" t="str">
        <x:v>Свёкла имеет профиль «землистый, сладкий, минеральный и слегка зелёный». Партнёр «морской язык»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4" s="28" t="str">
        <x:v>геосмин легко доминирует; беталаины отвечают за цвет, а не за запах; сильный нагрев снижает яркость цвета</x:v>
      </x:c>
      <x:c r="I414" s="28" t="str">
        <x:v>сок, кордиал, гаспачо, салат, соус, маринад или коктейльный компонент с морской язык</x:v>
      </x:c>
      <x:c r="J414" s="28" t="str">
        <x:v>Средняя</x:v>
      </x:c>
      <x:c r="K414" s="28" t="str">
        <x:v>The Art &amp; Science of Foodpairing.pdf</x:v>
      </x:c>
      <x:c r="L414" s="28" t="str">
        <x:v>The Art &amp; Science of Foodpairing.pdf: 224</x:v>
      </x:c>
    </x:row>
    <x:row r="415" ht="66" customHeight="1">
      <x:c r="A415" s="28" t="str">
        <x:v>VEG-0681</x:v>
      </x:c>
      <x:c r="B415" s="28" t="str">
        <x:v>свёкла</x:v>
      </x:c>
      <x:c r="C415" s="28" t="str">
        <x:v>песочное печенье</x:v>
      </x:c>
      <x:c r="D415" s="28" t="str">
        <x:v>Мясо и птица</x:v>
      </x:c>
      <x:c r="E415" s="28" t="str">
        <x:v>умами и солёный контраст</x:v>
      </x:c>
      <x:c r="F415" s="28" t="str">
        <x:v>Свёкла имеет профиль «землистый, сладкий, минеральный и слегка зелёный». Партнёр «песочное печенье»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5" s="28" t="str">
        <x:v>геосмин легко доминирует; беталаины отвечают за цвет, а не за запах; сильный нагрев снижает яркость цвета</x:v>
      </x:c>
      <x:c r="I415" s="28" t="str">
        <x:v>сок, кордиал, гаспачо, салат, соус, маринад или коктейльный компонент с песочное печенье</x:v>
      </x:c>
      <x:c r="J415" s="28" t="str">
        <x:v>Средняя</x:v>
      </x:c>
      <x:c r="K415" s="28" t="str">
        <x:v>The Art &amp; Science of Foodpairing.pdf</x:v>
      </x:c>
      <x:c r="L415" s="28" t="str">
        <x:v>The Art &amp; Science of Foodpairing.pdf: 224</x:v>
      </x:c>
    </x:row>
    <x:row r="416" ht="66" customHeight="1">
      <x:c r="A416" s="28" t="str">
        <x:v>VEG-0683</x:v>
      </x:c>
      <x:c r="B416" s="28" t="str">
        <x:v>свёкла</x:v>
      </x:c>
      <x:c r="C416" s="28" t="str">
        <x:v>печень</x:v>
      </x:c>
      <x:c r="D416" s="28" t="str">
        <x:v>Мясо и птица</x:v>
      </x:c>
      <x:c r="E416" s="28" t="str">
        <x:v>умами и солёный контраст</x:v>
      </x:c>
      <x:c r="F416" s="28" t="str">
        <x:v>Свёкла имеет профиль «землистый, сладкий, минеральный и слегка зелёный». Партнёр «печень»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6" s="28" t="str">
        <x:v>геосмин легко доминирует; беталаины отвечают за цвет, а не за запах; сильный нагрев снижает яркость цвета</x:v>
      </x:c>
      <x:c r="I416" s="28" t="str">
        <x:v>сок, кордиал, гаспачо, салат, соус, маринад или коктейльный компонент с печень</x:v>
      </x:c>
      <x:c r="J416" s="28" t="str">
        <x:v>Средняя</x:v>
      </x:c>
      <x:c r="K416" s="28" t="str">
        <x:v>Тезариус вкусов (Ники Сегнит)(1).pdf</x:v>
      </x:c>
      <x:c r="L416" s="28" t="str">
        <x:v>Тезариус вкусов (Ники Сегнит)(1).pdf: 102, 225</x:v>
      </x:c>
    </x:row>
    <x:row r="417" ht="66" customHeight="1">
      <x:c r="A417" s="28" t="str">
        <x:v>VEG-0684</x:v>
      </x:c>
      <x:c r="B417" s="28" t="str">
        <x:v>свёкла</x:v>
      </x:c>
      <x:c r="C417" s="28" t="str">
        <x:v>рыба</x:v>
      </x:c>
      <x:c r="D417" s="28" t="str">
        <x:v>Рыба и морепродукты</x:v>
      </x:c>
      <x:c r="E417" s="28" t="str">
        <x:v>общие характерные молекулы; умами и солёный контраст</x:v>
      </x:c>
      <x:c r="F417" s="28" t="str">
        <x:v>Свёкла имеет профиль «землистый, сладкий, минеральный и слегка зелёный». Партнёр «рыба» относится к группе «Рыба и морепродукты» и даёт жирный, морской,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7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7" s="28" t="str">
        <x:v>геосмин легко доминирует; беталаины отвечают за цвет, а не за запах; сильный нагрев снижает яркость цвета</x:v>
      </x:c>
      <x:c r="I417" s="28" t="str">
        <x:v>сок, кордиал, гаспачо, салат, соус, маринад или коктейльный компонент с рыба</x:v>
      </x:c>
      <x:c r="J417" s="28" t="str">
        <x:v>Средняя</x:v>
      </x:c>
      <x:c r="K417" s="28" t="str">
        <x:v>The Art &amp; Science of Foodpairing.pdf</x:v>
      </x:c>
      <x:c r="L417" s="28" t="str">
        <x:v>The Art &amp; Science of Foodpairing.pdf: 104</x:v>
      </x:c>
    </x:row>
    <x:row r="418" ht="66" customHeight="1">
      <x:c r="A418" s="28" t="str">
        <x:v>VEG-0685</x:v>
      </x:c>
      <x:c r="B418" s="28" t="str">
        <x:v>свёкла</x:v>
      </x:c>
      <x:c r="C418" s="28" t="str">
        <x:v>свиная грудинка</x:v>
      </x:c>
      <x:c r="D418" s="28" t="str">
        <x:v>Мясо и птица</x:v>
      </x:c>
      <x:c r="E418" s="28" t="str">
        <x:v>умами и солёный контраст</x:v>
      </x:c>
      <x:c r="F418" s="28" t="str">
        <x:v>Свёкла имеет профиль «землистый, сладкий, минеральный и слегка зелёный». Партнёр «свиная грудинка»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8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8" s="28" t="str">
        <x:v>геосмин легко доминирует; беталаины отвечают за цвет, а не за запах; сильный нагрев снижает яркость цвета</x:v>
      </x:c>
      <x:c r="I418" s="28" t="str">
        <x:v>сок, кордиал, гаспачо, салат, соус, маринад или коктейльный компонент с свиная грудинка</x:v>
      </x:c>
      <x:c r="J418" s="28" t="str">
        <x:v>Средняя</x:v>
      </x:c>
      <x:c r="K418" s="28" t="str">
        <x:v>The Art &amp; Science of Foodpairing.pdf</x:v>
      </x:c>
      <x:c r="L418" s="28" t="str">
        <x:v>The Art &amp; Science of Foodpairing.pdf: 224</x:v>
      </x:c>
    </x:row>
    <x:row r="419" ht="66" customHeight="1">
      <x:c r="A419" s="28" t="str">
        <x:v>VEG-0686</x:v>
      </x:c>
      <x:c r="B419" s="28" t="str">
        <x:v>свёкла</x:v>
      </x:c>
      <x:c r="C419" s="28" t="str">
        <x:v>свинина</x:v>
      </x:c>
      <x:c r="D419" s="28" t="str">
        <x:v>Мясо и птица</x:v>
      </x:c>
      <x:c r="E419" s="28" t="str">
        <x:v>умами и солёный контраст</x:v>
      </x:c>
      <x:c r="F419" s="28" t="str">
        <x:v>Свёкла имеет профиль «землистый, сладкий, минеральный и слегка зелёный».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19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19" s="28" t="str">
        <x:v>геосмин легко доминирует; беталаины отвечают за цвет, а не за запах; сильный нагрев снижает яркость цвета</x:v>
      </x:c>
      <x:c r="I419" s="28" t="str">
        <x:v>сок, кордиал, гаспачо, салат, соус, маринад или коктейльный компонент с свинина</x:v>
      </x:c>
      <x:c r="J419" s="28" t="str">
        <x:v>Средняя</x:v>
      </x:c>
      <x:c r="K419" s="28" t="str">
        <x:v>Тезариус вкусов (Ники Сегнит)(1).pdf</x:v>
      </x:c>
      <x:c r="L419" s="28" t="str">
        <x:v>Тезариус вкусов (Ники Сегнит)(1).pdf: 87, 225</x:v>
      </x:c>
    </x:row>
    <x:row r="420" ht="66" customHeight="1">
      <x:c r="A420" s="28" t="str">
        <x:v>VEG-0689</x:v>
      </x:c>
      <x:c r="B420" s="28" t="str">
        <x:v>свёкла</x:v>
      </x:c>
      <x:c r="C420" s="28" t="str">
        <x:v>скат</x:v>
      </x:c>
      <x:c r="D420" s="28" t="str">
        <x:v>Рыба и морепродукты</x:v>
      </x:c>
      <x:c r="E420" s="28" t="str">
        <x:v>общие характерные молекулы; умами и солёный контраст</x:v>
      </x:c>
      <x:c r="F420" s="28" t="str">
        <x:v>Свёкла имеет профиль «землистый, сладкий, минеральный и слегка зелёный». Партнёр «скат» относится к группе «Рыба и морепродукты» и даёт морской, солоноватый и умами. Вероятный молекулярный мост: альдегиды.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20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0" s="28" t="str">
        <x:v>геосмин легко доминирует; беталаины отвечают за цвет, а не за запах; сильный нагрев снижает яркость цвета</x:v>
      </x:c>
      <x:c r="I420" s="28" t="str">
        <x:v>сок, кордиал, гаспачо, салат, соус, маринад или коктейльный компонент с скат</x:v>
      </x:c>
      <x:c r="J420" s="28" t="str">
        <x:v>Средняя</x:v>
      </x:c>
      <x:c r="K420" s="28" t="str">
        <x:v>The Art &amp; Science of Foodpairing.pdf</x:v>
      </x:c>
      <x:c r="L420" s="28" t="str">
        <x:v>The Art &amp; Science of Foodpairing.pdf: 224</x:v>
      </x:c>
    </x:row>
    <x:row r="421" ht="66" customHeight="1">
      <x:c r="A421" s="28" t="str">
        <x:v>VEG-0691</x:v>
      </x:c>
      <x:c r="B421" s="28" t="str">
        <x:v>свёкла</x:v>
      </x:c>
      <x:c r="C421" s="28" t="str">
        <x:v>соевый соус</x:v>
      </x:c>
      <x:c r="D421" s="28" t="str">
        <x:v>Ферментированные продукты и соусы</x:v>
      </x:c>
      <x:c r="E421" s="28" t="str">
        <x:v>умами и солёный контраст</x:v>
      </x:c>
      <x:c r="F421" s="28" t="str">
        <x:v>Свёкла имеет профиль «землистый, сладкий, минеральный и слегка зелёный». Партнёр «соевый соус» относится к группе «Ферментированные продукты и соусы» и даёт жареный,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21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1" s="28" t="str">
        <x:v>геосмин легко доминирует; беталаины отвечают за цвет, а не за запах; сильный нагрев снижает яркость цвета</x:v>
      </x:c>
      <x:c r="I421" s="28" t="str">
        <x:v>сок, кордиал, гаспачо, салат, соус, маринад или коктейльный компонент с соевый соус</x:v>
      </x:c>
      <x:c r="J421" s="28" t="str">
        <x:v>Средняя</x:v>
      </x:c>
      <x:c r="K421" s="28" t="str">
        <x:v>The Art &amp; Science of Foodpairing.pdf</x:v>
      </x:c>
      <x:c r="L421" s="28" t="str">
        <x:v>The Art &amp; Science of Foodpairing.pdf: 224</x:v>
      </x:c>
    </x:row>
    <x:row r="422" ht="66" customHeight="1">
      <x:c r="A422" s="28" t="str">
        <x:v>VEG-0695</x:v>
      </x:c>
      <x:c r="B422" s="28" t="str">
        <x:v>свёкла</x:v>
      </x:c>
      <x:c r="C422" s="28" t="str">
        <x:v>томатильо</x:v>
      </x:c>
      <x:c r="D422" s="28" t="str">
        <x:v>Плодовые и тыквенные овощи</x:v>
      </x:c>
      <x:c r="E422" s="28" t="str">
        <x:v>общие характерные молекулы; пересечение ароматических семейств</x:v>
      </x:c>
      <x:c r="F422" s="28" t="str">
        <x:v>Свёкла имеет профиль «землистый, сладкий, минеральный и слегка зелёный». Партнёр «томатильо» относится к группе «Плодовые и тыквенные овощи» и даёт зелёный, фруктовый или водянистый. Вероятный молекулярный мост: альдегиды.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2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2" s="28" t="str">
        <x:v>геосмин легко доминирует; беталаины отвечают за цвет, а не за запах; сильный нагрев снижает яркость цвета</x:v>
      </x:c>
      <x:c r="I422" s="28" t="str">
        <x:v>сок, кордиал, гаспачо, салат, соус, маринад или коктейльный компонент с томатильо</x:v>
      </x:c>
      <x:c r="J422" s="28" t="str">
        <x:v>Средняя</x:v>
      </x:c>
      <x:c r="K422" s="28" t="str">
        <x:v>The Art &amp; Science of Foodpairing.pdf</x:v>
      </x:c>
      <x:c r="L422" s="28" t="str">
        <x:v>The Art &amp; Science of Foodpairing.pdf: 224</x:v>
      </x:c>
    </x:row>
    <x:row r="423" ht="66" customHeight="1">
      <x:c r="A423" s="28" t="str">
        <x:v>VEG-0696</x:v>
      </x:c>
      <x:c r="B423" s="28" t="str">
        <x:v>свёкла</x:v>
      </x:c>
      <x:c r="C423" s="28" t="str">
        <x:v>трюфель</x:v>
      </x:c>
      <x:c r="D423" s="28" t="str">
        <x:v>Грибы</x:v>
      </x:c>
      <x:c r="E423" s="28" t="str">
        <x:v>пересечение ароматических семейств; умами и солёный контраст</x:v>
      </x:c>
      <x:c r="F423" s="28" t="str">
        <x:v>Свёкла имеет профиль «землистый, сладкий, минеральный и слегка зелёный». Партнёр «трюфель» относится к группе «Грибы» и даёт землистый, грибной и умами. Профили пересекаются в семействах: землистый.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23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3" s="28" t="str">
        <x:v>геосмин легко доминирует; беталаины отвечают за цвет, а не за запах; сильный нагрев снижает яркость цвета</x:v>
      </x:c>
      <x:c r="I423" s="28" t="str">
        <x:v>сок, кордиал, гаспачо, салат, соус, маринад или коктейльный компонент с трюфель</x:v>
      </x:c>
      <x:c r="J423" s="28" t="str">
        <x:v>Средняя</x:v>
      </x:c>
      <x:c r="K423" s="28" t="str">
        <x:v>The Art &amp; Science of Foodpairing.pdf</x:v>
      </x:c>
      <x:c r="L423" s="28" t="str">
        <x:v>The Art &amp; Science of Foodpairing.pdf: 192</x:v>
      </x:c>
    </x:row>
    <x:row r="424" ht="66" customHeight="1">
      <x:c r="A424" s="28" t="str">
        <x:v>VEG-0700</x:v>
      </x:c>
      <x:c r="B424" s="28" t="str">
        <x:v>свёкла</x:v>
      </x:c>
      <x:c r="C424" s="28" t="str">
        <x:v>цветная капуста</x:v>
      </x:c>
      <x:c r="D424" s="28" t="str">
        <x:v>Крестоцветные</x:v>
      </x:c>
      <x:c r="E424" s="28" t="str">
        <x:v>сенсорная комплементарность</x:v>
      </x:c>
      <x:c r="F424" s="28" t="str">
        <x:v>Свёкла имеет профиль «землистый, сладкий, минеральный и слегка зелёный». Партнёр «цветная капуста» относится к группе «Крестоцветные» и даёт мягко капустный, ореховый, сернистый и сливочный после запекания.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4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4" s="28" t="str">
        <x:v>геосмин легко доминирует; беталаины отвечают за цвет, а не за запах; сильный нагрев снижает яркость цвета</x:v>
      </x:c>
      <x:c r="I424" s="28" t="str">
        <x:v>сок, кордиал, гаспачо, салат, соус, маринад или коктейльный компонент с цветная капуста</x:v>
      </x:c>
      <x:c r="J424" s="28" t="str">
        <x:v>Средняя</x:v>
      </x:c>
      <x:c r="K424" s="28" t="str">
        <x:v>The Art &amp; Science of Foodpairing.pdf</x:v>
      </x:c>
      <x:c r="L424" s="28" t="str">
        <x:v>The Art &amp; Science of Foodpairing.pdf: 224</x:v>
      </x:c>
    </x:row>
    <x:row r="425" ht="66" customHeight="1">
      <x:c r="A425" s="28" t="str">
        <x:v>VEG-0702</x:v>
      </x:c>
      <x:c r="B425" s="28" t="str">
        <x:v>свёкла</x:v>
      </x:c>
      <x:c r="C425" s="28" t="str">
        <x:v>чеснок</x:v>
      </x:c>
      <x:c r="D425" s="28" t="str">
        <x:v>Луковые овощи</x:v>
      </x:c>
      <x:c r="E425" s="28" t="str">
        <x:v>сенсорная комплементарность</x:v>
      </x:c>
      <x:c r="F425" s="28" t="str">
        <x:v>Свёкла имеет профиль «землистый, сладкий, минеральный и слегка зелёный». Партнёр «чеснок» относится к группе «Луковые овощи» и даёт резкий сернистый, зелёный и мясной; после запекания — сладкий и ореховый.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5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5" s="28" t="str">
        <x:v>геосмин легко доминирует; беталаины отвечают за цвет, а не за запах; сильный нагрев снижает яркость цвета</x:v>
      </x:c>
      <x:c r="I425" s="28" t="str">
        <x:v>сок, кордиал, гаспачо, салат, соус, маринад или коктейльный компонент с чеснок</x:v>
      </x:c>
      <x:c r="J425" s="28" t="str">
        <x:v>Средняя</x:v>
      </x:c>
      <x:c r="K425" s="28" t="str">
        <x:v>The Art &amp; Science of Foodpairing.pdf</x:v>
      </x:c>
      <x:c r="L425" s="28" t="str">
        <x:v>The Art &amp; Science of Foodpairing.pdf: 113, 114</x:v>
      </x:c>
    </x:row>
    <x:row r="426" ht="66" customHeight="1">
      <x:c r="A426" s="28" t="str">
        <x:v>VEG-0710</x:v>
      </x:c>
      <x:c r="B426" s="28" t="str">
        <x:v>свёкла</x:v>
      </x:c>
      <x:c r="C426" s="28" t="str">
        <x:v>яичница</x:v>
      </x:c>
      <x:c r="D426" s="28" t="str">
        <x:v>Яйца</x:v>
      </x:c>
      <x:c r="E426" s="28" t="str">
        <x:v>сенсорная комплементарность</x:v>
      </x:c>
      <x:c r="F426" s="28" t="str">
        <x:v>Свёкла имеет профиль «землистый, сладкий, минеральный и слегка зелёный». Партнёр «яичница» относится к группе «Яйца» и даёт сливочный,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Нагрев концентрирует природные сахара и смещает профиль от сырого землисто-зелёного к сладко-жареному.</x:v>
      </x:c>
      <x:c r="G426" s="28" t="str">
        <x:v>запекание концентрирует сладость; кислота снижает ощущение землистости; ферментация добавляет молочную кислоту. Для сладко-жареного профиля удалить поверхностную влагу и использовать запекание или обжаривание.</x:v>
      </x:c>
      <x:c r="H426" s="28" t="str">
        <x:v>геосмин легко доминирует; беталаины отвечают за цвет, а не за запах; сильный нагрев снижает яркость цвета</x:v>
      </x:c>
      <x:c r="I426" s="28" t="str">
        <x:v>сок, кордиал, гаспачо, салат, соус, маринад или коктейльный компонент с яичница</x:v>
      </x:c>
      <x:c r="J426" s="28" t="str">
        <x:v>Средняя</x:v>
      </x:c>
      <x:c r="K426" s="28" t="str">
        <x:v>The Art &amp; Science of Foodpairing.pdf</x:v>
      </x:c>
      <x:c r="L426" s="28" t="str">
        <x:v>The Art &amp; Science of Foodpairing.pdf: 224</x:v>
      </x:c>
    </x:row>
    <x:row r="427" ht="66" customHeight="1">
      <x:c r="A427" s="28" t="str">
        <x:v>VEG-0714</x:v>
      </x:c>
      <x:c r="B427" s="28" t="str">
        <x:v>сельдерей</x:v>
      </x:c>
      <x:c r="C427" s="28" t="str">
        <x:v>баранина</x:v>
      </x:c>
      <x:c r="D427" s="28" t="str">
        <x:v>Мясо и птица</x:v>
      </x:c>
      <x:c r="E427" s="28" t="str">
        <x:v>умами и солёный контраст</x:v>
      </x:c>
      <x:c r="F427" s="28" t="str">
        <x:v>Сельдерей имеет профиль «зелёный, травянистый, пряный, слегка анисовый». Партнёр «баранина»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7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27" s="28" t="str">
        <x:v>быстро становится доминирующим и горьким; волокна требуют фильтрации в напитках</x:v>
      </x:c>
      <x:c r="I427" s="28" t="str">
        <x:v>сок, кордиал, гаспачо, салат, соус, маринад или коктейльный компонент с баранина</x:v>
      </x:c>
      <x:c r="J427" s="28" t="str">
        <x:v>Средняя</x:v>
      </x:c>
      <x:c r="K427" s="28" t="str">
        <x:v>Тезариус вкусов (Ники Сегнит)(1).pdf</x:v>
      </x:c>
      <x:c r="L427" s="28" t="str">
        <x:v>Тезариус вкусов (Ники Сегнит)(1).pdf: 133, 249</x:v>
      </x:c>
    </x:row>
    <x:row r="428" ht="66" customHeight="1">
      <x:c r="A428" s="28" t="str">
        <x:v>VEG-0715</x:v>
      </x:c>
      <x:c r="B428" s="28" t="str">
        <x:v>сельдерей</x:v>
      </x:c>
      <x:c r="C428" s="28" t="str">
        <x:v>белая рыба</x:v>
      </x:c>
      <x:c r="D428" s="28" t="str">
        <x:v>Рыба и морепродукты</x:v>
      </x:c>
      <x:c r="E428" s="28" t="str">
        <x:v>умами и солёный контраст</x:v>
      </x:c>
      <x:c r="F428" s="28" t="str">
        <x:v>Сельдерей имеет профиль «зелёный, травянистый, пряный, слегка анисовый».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8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28" s="28" t="str">
        <x:v>быстро становится доминирующим и горьким; волокна требуют фильтрации в напитках</x:v>
      </x:c>
      <x:c r="I428" s="28" t="str">
        <x:v>сок, кордиал, гаспачо, салат, соус, маринад или коктейльный компонент с белая рыба</x:v>
      </x:c>
      <x:c r="J428" s="28" t="str">
        <x:v>Средняя</x:v>
      </x:c>
      <x:c r="K428" s="28" t="str">
        <x:v>Тезариус вкусов (Ники Сегнит)(1).pdf</x:v>
      </x:c>
      <x:c r="L428" s="28" t="str">
        <x:v>Тезариус вкусов (Ники Сегнит)(1).pdf: 249, 388</x:v>
      </x:c>
    </x:row>
    <x:row r="429" ht="66" customHeight="1">
      <x:c r="A429" s="28" t="str">
        <x:v>VEG-0717</x:v>
      </x:c>
      <x:c r="B429" s="28" t="str">
        <x:v>сельдерей</x:v>
      </x:c>
      <x:c r="C429" s="28" t="str">
        <x:v>говядина</x:v>
      </x:c>
      <x:c r="D429" s="28" t="str">
        <x:v>Мясо и птица</x:v>
      </x:c>
      <x:c r="E429" s="28" t="str">
        <x:v>умами и солёный контраст</x:v>
      </x:c>
      <x:c r="F429" s="28" t="str">
        <x:v>Сельдерей имеет профиль «зелёный, травянистый, пряный, слегка анисовый».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29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29" s="28" t="str">
        <x:v>быстро становится доминирующим и горьким; волокна требуют фильтрации в напитках</x:v>
      </x:c>
      <x:c r="I429" s="28" t="str">
        <x:v>сок, кордиал, гаспачо, салат, соус, маринад или коктейльный компонент с говядина</x:v>
      </x:c>
      <x:c r="J429" s="28" t="str">
        <x:v>Средняя</x:v>
      </x:c>
      <x:c r="K429" s="28" t="str">
        <x:v>Тезариус вкусов (Ники Сегнит)(1).pdf</x:v>
      </x:c>
      <x:c r="L429" s="28" t="str">
        <x:v>Тезариус вкусов (Ники Сегнит)(1).pdf: 118, 250</x:v>
      </x:c>
    </x:row>
    <x:row r="430" ht="66" customHeight="1">
      <x:c r="A430" s="28" t="str">
        <x:v>VEG-0723</x:v>
      </x:c>
      <x:c r="B430" s="28" t="str">
        <x:v>сельдерей</x:v>
      </x:c>
      <x:c r="C430" s="28" t="str">
        <x:v>лук</x:v>
      </x:c>
      <x:c r="D430" s="28" t="str">
        <x:v>Луковые овощи</x:v>
      </x:c>
      <x:c r="E430" s="28" t="str">
        <x:v>сенсорная комплементарность</x:v>
      </x:c>
      <x:c r="F430" s="28" t="str">
        <x:v>Сельдерей имеет профиль «зелёный, травянистый, пряный, слегка анисовый». Партнёр «лук» относится к группе «Луковые овощи» и даёт сернистый, сладкий, зелёный; после жарки — карамельный и мясной.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30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0" s="28" t="str">
        <x:v>быстро становится доминирующим и горьким; волокна требуют фильтрации в напитках</x:v>
      </x:c>
      <x:c r="I430" s="28" t="str">
        <x:v>сок, кордиал, гаспачо, салат, соус, маринад или коктейльный компонент с лук</x:v>
      </x:c>
      <x:c r="J430" s="28" t="str">
        <x:v>Средняя</x:v>
      </x:c>
      <x:c r="K430" s="28" t="str">
        <x:v>Тезариус вкусов (Ники Сегнит)(1).pdf</x:v>
      </x:c>
      <x:c r="L430" s="28" t="str">
        <x:v>Тезариус вкусов (Ники Сегнит)(1).pdf: 251, 287</x:v>
      </x:c>
    </x:row>
    <x:row r="431" ht="66" customHeight="1">
      <x:c r="A431" s="28" t="str">
        <x:v>VEG-0724</x:v>
      </x:c>
      <x:c r="B431" s="28" t="str">
        <x:v>сельдерей</x:v>
      </x:c>
      <x:c r="C431" s="28" t="str">
        <x:v>моллюски</x:v>
      </x:c>
      <x:c r="D431" s="28" t="str">
        <x:v>Рыба и морепродукты</x:v>
      </x:c>
      <x:c r="E431" s="28" t="str">
        <x:v>умами и солёный контраст</x:v>
      </x:c>
      <x:c r="F431" s="28" t="str">
        <x:v>Сельдерей имеет профиль «зелёный, травянистый, пряный, слегка анисовый».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1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1" s="28" t="str">
        <x:v>быстро становится доминирующим и горьким; волокна требуют фильтрации в напитках</x:v>
      </x:c>
      <x:c r="I431" s="28" t="str">
        <x:v>сок, кордиал, гаспачо, салат, соус, маринад или коктейльный компонент с моллюски</x:v>
      </x:c>
      <x:c r="J431" s="28" t="str">
        <x:v>Средняя</x:v>
      </x:c>
      <x:c r="K431" s="28" t="str">
        <x:v>Тезариус вкусов (Ники Сегнит)(1).pdf</x:v>
      </x:c>
      <x:c r="L431" s="28" t="str">
        <x:v>Тезариус вкусов (Ники Сегнит)(1).pdf: 251, 375</x:v>
      </x:c>
    </x:row>
    <x:row r="432" ht="66" customHeight="1">
      <x:c r="A432" s="28" t="str">
        <x:v>VEG-0726</x:v>
      </x:c>
      <x:c r="B432" s="28" t="str">
        <x:v>сельдерей</x:v>
      </x:c>
      <x:c r="C432" s="28" t="str">
        <x:v>мускатный орех</x:v>
      </x:c>
      <x:c r="D432" s="28" t="str">
        <x:v>Рыба и морепродукты</x:v>
      </x:c>
      <x:c r="E432" s="28" t="str">
        <x:v>пересечение ароматических семейств; умами и солёный контраст</x:v>
      </x:c>
      <x:c r="F432" s="28" t="str">
        <x:v>Сельдерей имеет профиль «зелёный, травянистый, пряный, слегка анисовый». Партнёр «мускатный орех» относится к группе «Рыба и морепродукты» и даёт камфорный, ореховый, пряный. Профили пересекаются в семействах: пряный. Умами, соль и нуклеотиды усиливают savoury-профиль, а жарка формирует общую систему пиразинов, фуранов и сернистых молекул.</x:v>
      </x:c>
      <x:c r="G432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2" s="28" t="str">
        <x:v>быстро становится доминирующим и горьким; волокна требуют фильтрации в напитках</x:v>
      </x:c>
      <x:c r="I432" s="28" t="str">
        <x:v>сок, кордиал, гаспачо, салат, соус, маринад или коктейльный компонент с мускатный орех</x:v>
      </x:c>
      <x:c r="J432" s="28" t="str">
        <x:v>Средняя</x:v>
      </x:c>
      <x:c r="K432" s="28" t="str">
        <x:v>Тезариус вкусов (Ники Сегнит)(1).pdf</x:v>
      </x:c>
      <x:c r="L432" s="28" t="str">
        <x:v>Тезариус вкусов (Ники Сегнит)(1).pdf: 253, 589</x:v>
      </x:c>
    </x:row>
    <x:row r="433" ht="66" customHeight="1">
      <x:c r="A433" s="28" t="str">
        <x:v>VEG-0728</x:v>
      </x:c>
      <x:c r="B433" s="28" t="str">
        <x:v>сельдерей</x:v>
      </x:c>
      <x:c r="C433" s="28" t="str">
        <x:v>прошутто</x:v>
      </x:c>
      <x:c r="D433" s="28" t="str">
        <x:v>Мясо и птица</x:v>
      </x:c>
      <x:c r="E433" s="28" t="str">
        <x:v>умами и солёный контраст</x:v>
      </x:c>
      <x:c r="F433" s="28" t="str">
        <x:v>Сельдерей имеет профиль «зелёный, травянистый, пряный, слегка анисовый». Партнёр «прошутто»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3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3" s="28" t="str">
        <x:v>быстро становится доминирующим и горьким; волокна требуют фильтрации в напитках</x:v>
      </x:c>
      <x:c r="I433" s="28" t="str">
        <x:v>сок, кордиал, гаспачо, салат, соус, маринад или коктейльный компонент с прошутто</x:v>
      </x:c>
      <x:c r="J433" s="28" t="str">
        <x:v>Средняя</x:v>
      </x:c>
      <x:c r="K433" s="28" t="str">
        <x:v>Тезариус вкусов (Ники Сегнит)(1).pdf</x:v>
      </x:c>
      <x:c r="L433" s="28" t="str">
        <x:v>Тезариус вкусов (Ники Сегнит)(1).pdf: 253, 459</x:v>
      </x:c>
    </x:row>
    <x:row r="434" ht="66" customHeight="1">
      <x:c r="A434" s="28" t="str">
        <x:v>VEG-0729</x:v>
      </x:c>
      <x:c r="B434" s="28" t="str">
        <x:v>сельдерей</x:v>
      </x:c>
      <x:c r="C434" s="28" t="str">
        <x:v>свинина</x:v>
      </x:c>
      <x:c r="D434" s="28" t="str">
        <x:v>Мясо и птица</x:v>
      </x:c>
      <x:c r="E434" s="28" t="str">
        <x:v>умами и солёный контраст</x:v>
      </x:c>
      <x:c r="F434" s="28" t="str">
        <x:v>Сельдерей имеет профиль «зелёный, травянистый, пряный, слегка анисовый».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4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4" s="28" t="str">
        <x:v>быстро становится доминирующим и горьким; волокна требуют фильтрации в напитках</x:v>
      </x:c>
      <x:c r="I434" s="28" t="str">
        <x:v>сок, кордиал, гаспачо, салат, соус, маринад или коктейльный компонент с свинина</x:v>
      </x:c>
      <x:c r="J434" s="28" t="str">
        <x:v>Средняя</x:v>
      </x:c>
      <x:c r="K434" s="28" t="str">
        <x:v>Тезариус вкусов (Ники Сегнит)(1).pdf</x:v>
      </x:c>
      <x:c r="L434" s="28" t="str">
        <x:v>Тезариус вкусов (Ники Сегнит)(1).pdf: 87, 253</x:v>
      </x:c>
    </x:row>
    <x:row r="435" ht="66" customHeight="1">
      <x:c r="A435" s="28" t="str">
        <x:v>VEG-0731</x:v>
      </x:c>
      <x:c r="B435" s="28" t="str">
        <x:v>сельдерей</x:v>
      </x:c>
      <x:c r="C435" s="28" t="str">
        <x:v>трюфель</x:v>
      </x:c>
      <x:c r="D435" s="28" t="str">
        <x:v>Грибы</x:v>
      </x:c>
      <x:c r="E435" s="28" t="str">
        <x:v>умами и солёный контраст</x:v>
      </x:c>
      <x:c r="F435" s="28" t="str">
        <x:v>Сельдерей имеет профиль «зелёный, травянистый, пряный, слегка анисовый».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5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5" s="28" t="str">
        <x:v>быстро становится доминирующим и горьким; волокна требуют фильтрации в напитках</x:v>
      </x:c>
      <x:c r="I435" s="28" t="str">
        <x:v>сок, кордиал, гаспачо, салат, соус, маринад или коктейльный компонент с трюфель</x:v>
      </x:c>
      <x:c r="J435" s="28" t="str">
        <x:v>Средняя</x:v>
      </x:c>
      <x:c r="K435" s="28" t="str">
        <x:v>Тезариус вкусов (Ники Сегнит)(1).pdf</x:v>
      </x:c>
      <x:c r="L435" s="28" t="str">
        <x:v>Тезариус вкусов (Ники Сегнит)(1).pdf: 251, 253, 305</x:v>
      </x:c>
    </x:row>
    <x:row r="436" ht="66" customHeight="1">
      <x:c r="A436" s="28" t="str">
        <x:v>VEG-0732</x:v>
      </x:c>
      <x:c r="B436" s="28" t="str">
        <x:v>сельдерей</x:v>
      </x:c>
      <x:c r="C436" s="28" t="str">
        <x:v>устрицы</x:v>
      </x:c>
      <x:c r="D436" s="28" t="str">
        <x:v>Рыба и морепродукты</x:v>
      </x:c>
      <x:c r="E436" s="28" t="str">
        <x:v>умами и солёный контраст</x:v>
      </x:c>
      <x:c r="F436" s="28" t="str">
        <x:v>Сельдерей имеет профиль «зелёный, травянистый, пряный, слегка анисовый». Партнёр «устрицы»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6" s="28" t="str">
        <x:v>свежий сок сохраняет зелёность; тушение смягчает горечь и переводит профиль в бульонный. Для свежего профиля работать холодно или применять короткую тепловую обработку.</x:v>
      </x:c>
      <x:c r="H436" s="28" t="str">
        <x:v>быстро становится доминирующим и горьким; волокна требуют фильтрации в напитках</x:v>
      </x:c>
      <x:c r="I436" s="28" t="str">
        <x:v>сок, кордиал, гаспачо, салат, соус, маринад или коктейльный компонент с устрицы</x:v>
      </x:c>
      <x:c r="J436" s="28" t="str">
        <x:v>Средняя</x:v>
      </x:c>
      <x:c r="K436" s="28" t="str">
        <x:v>Тезариус вкусов (Ники Сегнит)(1).pdf</x:v>
      </x:c>
      <x:c r="L436" s="28" t="str">
        <x:v>Тезариус вкусов (Ники Сегнит)(1).pdf: 253, 400</x:v>
      </x:c>
    </x:row>
    <x:row r="437" ht="66" customHeight="1">
      <x:c r="A437" s="28" t="str">
        <x:v>VEG-0741</x:v>
      </x:c>
      <x:c r="B437" s="28" t="str">
        <x:v>сельдерей корневой</x:v>
      </x:c>
      <x:c r="C437" s="28" t="str">
        <x:v>говядина</x:v>
      </x:c>
      <x:c r="D437" s="28" t="str">
        <x:v>Мясо и птица</x:v>
      </x:c>
      <x:c r="E437" s="28" t="str">
        <x:v>умами и солёный контраст</x:v>
      </x:c>
      <x:c r="F437" s="28" t="str">
        <x:v>Сельдерей корневой имеет профиль «землистый, ореховый, сельдерейно-пряный и слегка грибной». Партнёр «говядина»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3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7" s="28" t="str">
        <x:v>быстро окисляется после нарезки; избыток сельдерейных фталидов даёт аптечную ноту</x:v>
      </x:c>
      <x:c r="I437" s="28" t="str">
        <x:v>пюре, суп, запекание, крем, гарнир, соус или десертная разработка с говядина</x:v>
      </x:c>
      <x:c r="J437" s="28" t="str">
        <x:v>Средняя</x:v>
      </x:c>
      <x:c r="K437" s="28" t="str">
        <x:v>The Art &amp; Science of Foodpairing.pdf</x:v>
      </x:c>
      <x:c r="L437" s="28" t="str">
        <x:v>The Art &amp; Science of Foodpairing.pdf: 52</x:v>
      </x:c>
    </x:row>
    <x:row r="438" ht="66" customHeight="1">
      <x:c r="A438" s="28" t="str">
        <x:v>VEG-0749</x:v>
      </x:c>
      <x:c r="B438" s="28" t="str">
        <x:v>сельдерей корневой</x:v>
      </x:c>
      <x:c r="C438" s="28" t="str">
        <x:v>зелёная фасоль</x:v>
      </x:c>
      <x:c r="D438" s="28" t="str">
        <x:v>Бобовые</x:v>
      </x:c>
      <x:c r="E438" s="28" t="str">
        <x:v>пересечение ароматических семейств</x:v>
      </x:c>
      <x:c r="F438" s="28" t="str">
        <x:v>Сельдерей корневой имеет профиль «землистый, ореховый, сельдерейно-пряный и слегка грибной». Партнёр «зелёная фасоль» относится к группе «Бобовые» и даёт зелёный, травянистый, бобовый и слегка ореховый. Профили пересекаются в семействах: ореховый. Совместимость формируется за счёт баланса сладости, кислотности, горечи, умами и текстуры.</x:v>
      </x:c>
      <x:c r="G43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8" s="28" t="str">
        <x:v>быстро окисляется после нарезки; избыток сельдерейных фталидов даёт аптечную ноту</x:v>
      </x:c>
      <x:c r="I438" s="28" t="str">
        <x:v>пюре, суп, запекание, крем, гарнир, соус или десертная разработка с зелёная фасоль</x:v>
      </x:c>
      <x:c r="J438" s="28" t="str">
        <x:v>Средняя</x:v>
      </x:c>
      <x:c r="K438" s="28" t="str">
        <x:v>The Art &amp; Science of Foodpairing.pdf</x:v>
      </x:c>
      <x:c r="L438" s="28" t="str">
        <x:v>The Art &amp; Science of Foodpairing.pdf: 52</x:v>
      </x:c>
    </x:row>
    <x:row r="439" ht="66" customHeight="1">
      <x:c r="A439" s="28" t="str">
        <x:v>VEG-0753</x:v>
      </x:c>
      <x:c r="B439" s="28" t="str">
        <x:v>сельдерей корневой</x:v>
      </x:c>
      <x:c r="C439" s="28" t="str">
        <x:v>капуста</x:v>
      </x:c>
      <x:c r="D439" s="28" t="str">
        <x:v>Крестоцветные</x:v>
      </x:c>
      <x:c r="E439" s="28" t="str">
        <x:v>сенсорная комплементарность</x:v>
      </x:c>
      <x:c r="F439" s="28" t="str">
        <x:v>Сельдерей корневой имеет профиль «землистый, ореховый, сельдерейно-пряный и слегка грибной». Партнёр «капуста» относится к группе «Крестоцветные» и даёт зелёный, горчичный, сернистый и сладковатый после приготовления.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3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39" s="28" t="str">
        <x:v>быстро окисляется после нарезки; избыток сельдерейных фталидов даёт аптечную ноту</x:v>
      </x:c>
      <x:c r="I439" s="28" t="str">
        <x:v>пюре, суп, запекание, крем, гарнир, соус или десертная разработка с капуста</x:v>
      </x:c>
      <x:c r="J439" s="28" t="str">
        <x:v>Средняя</x:v>
      </x:c>
      <x:c r="K439" s="28" t="str">
        <x:v>The Art &amp; Science of Foodpairing.pdf</x:v>
      </x:c>
      <x:c r="L439" s="28" t="str">
        <x:v>The Art &amp; Science of Foodpairing.pdf: 52</x:v>
      </x:c>
    </x:row>
    <x:row r="440" ht="66" customHeight="1">
      <x:c r="A440" s="28" t="str">
        <x:v>VEG-0757</x:v>
      </x:c>
      <x:c r="B440" s="28" t="str">
        <x:v>сельдерей корневой</x:v>
      </x:c>
      <x:c r="C440" s="28" t="str">
        <x:v>краб</x:v>
      </x:c>
      <x:c r="D440" s="28" t="str">
        <x:v>Рыба и морепродукты</x:v>
      </x:c>
      <x:c r="E440" s="28" t="str">
        <x:v>умами и солёный контраст</x:v>
      </x:c>
      <x:c r="F440" s="28" t="str">
        <x:v>Сельдерей корневой имеет профиль «землистый, ореховый, сельдерейно-пряный и слегка грибной». Партнёр «краб»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0" s="28" t="str">
        <x:v>быстро окисляется после нарезки; избыток сельдерейных фталидов даёт аптечную ноту</x:v>
      </x:c>
      <x:c r="I440" s="28" t="str">
        <x:v>пюре, суп, запекание, крем, гарнир, соус или десертная разработка с краб</x:v>
      </x:c>
      <x:c r="J440" s="28" t="str">
        <x:v>Средняя</x:v>
      </x:c>
      <x:c r="K440" s="28" t="str">
        <x:v>The Art &amp; Science of Foodpairing.pdf</x:v>
      </x:c>
      <x:c r="L440" s="28" t="str">
        <x:v>The Art &amp; Science of Foodpairing.pdf: 52</x:v>
      </x:c>
    </x:row>
    <x:row r="441" ht="66" customHeight="1">
      <x:c r="A441" s="28" t="str">
        <x:v>VEG-0758</x:v>
      </x:c>
      <x:c r="B441" s="28" t="str">
        <x:v>сельдерей корневой</x:v>
      </x:c>
      <x:c r="C441" s="28" t="str">
        <x:v>креветка</x:v>
      </x:c>
      <x:c r="D441" s="28" t="str">
        <x:v>Рыба и морепродукты</x:v>
      </x:c>
      <x:c r="E441" s="28" t="str">
        <x:v>умами и солёный контраст</x:v>
      </x:c>
      <x:c r="F441" s="28" t="str">
        <x:v>Сельдерей корневой имеет профиль «землистый, ореховый, сельдерейно-пряный и слегка грибной». Партнёр «креветка»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1" s="28" t="str">
        <x:v>быстро окисляется после нарезки; избыток сельдерейных фталидов даёт аптечную ноту</x:v>
      </x:c>
      <x:c r="I441" s="28" t="str">
        <x:v>пюре, суп, запекание, крем, гарнир, соус или десертная разработка с креветка</x:v>
      </x:c>
      <x:c r="J441" s="28" t="str">
        <x:v>Средняя</x:v>
      </x:c>
      <x:c r="K441" s="28" t="str">
        <x:v>The Art &amp; Science of Foodpairing.pdf</x:v>
      </x:c>
      <x:c r="L441" s="28" t="str">
        <x:v>The Art &amp; Science of Foodpairing.pdf: 52</x:v>
      </x:c>
    </x:row>
    <x:row r="442" ht="66" customHeight="1">
      <x:c r="A442" s="28" t="str">
        <x:v>VEG-0759</x:v>
      </x:c>
      <x:c r="B442" s="28" t="str">
        <x:v>сельдерей корневой</x:v>
      </x:c>
      <x:c r="C442" s="28" t="str">
        <x:v>креветки</x:v>
      </x:c>
      <x:c r="D442" s="28" t="str">
        <x:v>Рыба и морепродукты</x:v>
      </x:c>
      <x:c r="E442" s="28" t="str">
        <x:v>умами и солёный контраст</x:v>
      </x:c>
      <x:c r="F442" s="28" t="str">
        <x:v>Сельдерей корневой имеет профиль «землистый, ореховый, сельдерейно-пряный и слегка грибной». Партнёр «креветки»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2" s="28" t="str">
        <x:v>быстро окисляется после нарезки; избыток сельдерейных фталидов даёт аптечную ноту</x:v>
      </x:c>
      <x:c r="I442" s="28" t="str">
        <x:v>пюре, суп, запекание, крем, гарнир, соус или десертная разработка с креветки</x:v>
      </x:c>
      <x:c r="J442" s="28" t="str">
        <x:v>Высокая</x:v>
      </x:c>
      <x:c r="K442" s="28" t="str">
        <x:v>The Art &amp; Science of Foodpairing.pdf</x:v>
      </x:c>
      <x:c r="L442" s="28" t="str">
        <x:v>The Art &amp; Science of Foodpairing.pdf: 52</x:v>
      </x:c>
    </x:row>
    <x:row r="443" ht="66" customHeight="1">
      <x:c r="A443" s="28" t="str">
        <x:v>VEG-0770</x:v>
      </x:c>
      <x:c r="B443" s="28" t="str">
        <x:v>сельдерей корневой</x:v>
      </x:c>
      <x:c r="C443" s="28" t="str">
        <x:v>морской язык</x:v>
      </x:c>
      <x:c r="D443" s="28" t="str">
        <x:v>Рыба и морепродукты</x:v>
      </x:c>
      <x:c r="E443" s="28" t="str">
        <x:v>умами и солёный контраст</x:v>
      </x:c>
      <x:c r="F443" s="28" t="str">
        <x:v>Сельдерей корневой имеет профиль «землистый, ореховый, сельдерейно-пряный и слегка грибной». Партнёр «морской язык»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3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3" s="28" t="str">
        <x:v>быстро окисляется после нарезки; избыток сельдерейных фталидов даёт аптечную ноту</x:v>
      </x:c>
      <x:c r="I443" s="28" t="str">
        <x:v>пюре, суп, запекание, крем, гарнир, соус или десертная разработка с морской язык</x:v>
      </x:c>
      <x:c r="J443" s="28" t="str">
        <x:v>Средняя</x:v>
      </x:c>
      <x:c r="K443" s="28" t="str">
        <x:v>The Art &amp; Science of Foodpairing.pdf</x:v>
      </x:c>
      <x:c r="L443" s="28" t="str">
        <x:v>The Art &amp; Science of Foodpairing.pdf: 52</x:v>
      </x:c>
    </x:row>
    <x:row r="444" ht="66" customHeight="1">
      <x:c r="A444" s="28" t="str">
        <x:v>VEG-0775</x:v>
      </x:c>
      <x:c r="B444" s="28" t="str">
        <x:v>сельдерей корневой</x:v>
      </x:c>
      <x:c r="C444" s="28" t="str">
        <x:v>пекинская утка</x:v>
      </x:c>
      <x:c r="D444" s="28" t="str">
        <x:v>Мясо и птица</x:v>
      </x:c>
      <x:c r="E444" s="28" t="str">
        <x:v>умами и солёный контраст</x:v>
      </x:c>
      <x:c r="F444" s="28" t="str">
        <x:v>Сельдерей корневой имеет профиль «землистый, ореховый, сельдерейно-пряный и слегка грибной». Партнёр «пекинская утка»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4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4" s="28" t="str">
        <x:v>быстро окисляется после нарезки; избыток сельдерейных фталидов даёт аптечную ноту</x:v>
      </x:c>
      <x:c r="I444" s="28" t="str">
        <x:v>пюре, суп, запекание, крем, гарнир, соус или десертная разработка с пекинская утка</x:v>
      </x:c>
      <x:c r="J444" s="28" t="str">
        <x:v>Средняя</x:v>
      </x:c>
      <x:c r="K444" s="28" t="str">
        <x:v>The Art &amp; Science of Foodpairing.pdf</x:v>
      </x:c>
      <x:c r="L444" s="28" t="str">
        <x:v>The Art &amp; Science of Foodpairing.pdf: 52</x:v>
      </x:c>
    </x:row>
    <x:row r="445" ht="66" customHeight="1">
      <x:c r="A445" s="28" t="str">
        <x:v>VEG-0779</x:v>
      </x:c>
      <x:c r="B445" s="28" t="str">
        <x:v>сельдерей корневой</x:v>
      </x:c>
      <x:c r="C445" s="28" t="str">
        <x:v>рыба</x:v>
      </x:c>
      <x:c r="D445" s="28" t="str">
        <x:v>Рыба и морепродукты</x:v>
      </x:c>
      <x:c r="E445" s="28" t="str">
        <x:v>умами и солёный контраст</x:v>
      </x:c>
      <x:c r="F445" s="28" t="str">
        <x:v>Сельдерей корневой имеет профиль «землистый, ореховый, сельдерейно-пряный и слегка грибной».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5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5" s="28" t="str">
        <x:v>быстро окисляется после нарезки; избыток сельдерейных фталидов даёт аптечную ноту</x:v>
      </x:c>
      <x:c r="I445" s="28" t="str">
        <x:v>пюре, суп, запекание, крем, гарнир, соус или десертная разработка с рыба</x:v>
      </x:c>
      <x:c r="J445" s="28" t="str">
        <x:v>Средняя</x:v>
      </x:c>
      <x:c r="K445" s="28" t="str">
        <x:v>The Art &amp; Science of Foodpairing.pdf</x:v>
      </x:c>
      <x:c r="L445" s="28" t="str">
        <x:v>The Art &amp; Science of Foodpairing.pdf: 104</x:v>
      </x:c>
    </x:row>
    <x:row r="446" ht="66" customHeight="1">
      <x:c r="A446" s="28" t="str">
        <x:v>VEG-0780</x:v>
      </x:c>
      <x:c r="B446" s="28" t="str">
        <x:v>сельдерей корневой</x:v>
      </x:c>
      <x:c r="C446" s="28" t="str">
        <x:v>свиная грудинка</x:v>
      </x:c>
      <x:c r="D446" s="28" t="str">
        <x:v>Мясо и птица</x:v>
      </x:c>
      <x:c r="E446" s="28" t="str">
        <x:v>умами и солёный контраст</x:v>
      </x:c>
      <x:c r="F446" s="28" t="str">
        <x:v>Сельдерей корневой имеет профиль «землистый, ореховый, сельдерейно-пряный и слегка грибной». Партнёр «свиная грудинка»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6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6" s="28" t="str">
        <x:v>быстро окисляется после нарезки; избыток сельдерейных фталидов даёт аптечную ноту</x:v>
      </x:c>
      <x:c r="I446" s="28" t="str">
        <x:v>пюре, суп, запекание, крем, гарнир, соус или десертная разработка с свиная грудинка</x:v>
      </x:c>
      <x:c r="J446" s="28" t="str">
        <x:v>Средняя</x:v>
      </x:c>
      <x:c r="K446" s="28" t="str">
        <x:v>The Art &amp; Science of Foodpairing.pdf</x:v>
      </x:c>
      <x:c r="L446" s="28" t="str">
        <x:v>The Art &amp; Science of Foodpairing.pdf: 52</x:v>
      </x:c>
    </x:row>
    <x:row r="447" ht="66" customHeight="1">
      <x:c r="A447" s="28" t="str">
        <x:v>VEG-0781</x:v>
      </x:c>
      <x:c r="B447" s="28" t="str">
        <x:v>сельдерей корневой</x:v>
      </x:c>
      <x:c r="C447" s="28" t="str">
        <x:v>скат</x:v>
      </x:c>
      <x:c r="D447" s="28" t="str">
        <x:v>Рыба и морепродукты</x:v>
      </x:c>
      <x:c r="E447" s="28" t="str">
        <x:v>умами и солёный контраст</x:v>
      </x:c>
      <x:c r="F447" s="28" t="str">
        <x:v>Сельдерей корневой имеет профиль «землистый, ореховый, сельдерейно-пряный и слегка грибной». Партнёр «скат»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7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7" s="28" t="str">
        <x:v>быстро окисляется после нарезки; избыток сельдерейных фталидов даёт аптечную ноту</x:v>
      </x:c>
      <x:c r="I447" s="28" t="str">
        <x:v>пюре, суп, запекание, крем, гарнир, соус или десертная разработка с скат</x:v>
      </x:c>
      <x:c r="J447" s="28" t="str">
        <x:v>Средняя</x:v>
      </x:c>
      <x:c r="K447" s="28" t="str">
        <x:v>The Art &amp; Science of Foodpairing.pdf</x:v>
      </x:c>
      <x:c r="L447" s="28" t="str">
        <x:v>The Art &amp; Science of Foodpairing.pdf: 52</x:v>
      </x:c>
    </x:row>
    <x:row r="448" ht="66" customHeight="1">
      <x:c r="A448" s="28" t="str">
        <x:v>VEG-0785</x:v>
      </x:c>
      <x:c r="B448" s="28" t="str">
        <x:v>сельдерей корневой</x:v>
      </x:c>
      <x:c r="C448" s="28" t="str">
        <x:v>томатильо</x:v>
      </x:c>
      <x:c r="D448" s="28" t="str">
        <x:v>Плодовые и тыквенные овощи</x:v>
      </x:c>
      <x:c r="E448" s="28" t="str">
        <x:v>сенсорная комплементарность</x:v>
      </x:c>
      <x:c r="F448" s="28" t="str">
        <x:v>Сельдерей корневой имеет профиль «землистый, ореховый, сельдерейно-пряный и слегка грибной». Партнёр «томатильо» относится к группе «Плодовые и тыквенные овощи» и даёт зелёный, фруктовый или водянистый.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48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8" s="28" t="str">
        <x:v>быстро окисляется после нарезки; избыток сельдерейных фталидов даёт аптечную ноту</x:v>
      </x:c>
      <x:c r="I448" s="28" t="str">
        <x:v>пюре, суп, запекание, крем, гарнир, соус или десертная разработка с томатильо</x:v>
      </x:c>
      <x:c r="J448" s="28" t="str">
        <x:v>Средняя</x:v>
      </x:c>
      <x:c r="K448" s="28" t="str">
        <x:v>The Art &amp; Science of Foodpairing.pdf</x:v>
      </x:c>
      <x:c r="L448" s="28" t="str">
        <x:v>The Art &amp; Science of Foodpairing.pdf: 52</x:v>
      </x:c>
    </x:row>
    <x:row r="449" ht="66" customHeight="1">
      <x:c r="A449" s="28" t="str">
        <x:v>VEG-0787</x:v>
      </x:c>
      <x:c r="B449" s="28" t="str">
        <x:v>сельдерей корневой</x:v>
      </x:c>
      <x:c r="C449" s="28" t="str">
        <x:v>хамон иберико</x:v>
      </x:c>
      <x:c r="D449" s="28" t="str">
        <x:v>Мясо и птица</x:v>
      </x:c>
      <x:c r="E449" s="28" t="str">
        <x:v>умами и солёный контраст</x:v>
      </x:c>
      <x:c r="F449" s="28" t="str">
        <x:v>Сельдерей корневой имеет профиль «землистый, ореховый, сельдерейно-пряный и слегка грибной».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49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49" s="28" t="str">
        <x:v>быстро окисляется после нарезки; избыток сельдерейных фталидов даёт аптечную ноту</x:v>
      </x:c>
      <x:c r="I449" s="28" t="str">
        <x:v>пюре, суп, запекание, крем, гарнир, соус или десертная разработка с хамон иберико</x:v>
      </x:c>
      <x:c r="J449" s="28" t="str">
        <x:v>Средняя</x:v>
      </x:c>
      <x:c r="K449" s="28" t="str">
        <x:v>The Art &amp; Science of Foodpairing.pdf</x:v>
      </x:c>
      <x:c r="L449" s="28" t="str">
        <x:v>The Art &amp; Science of Foodpairing.pdf: 278</x:v>
      </x:c>
    </x:row>
    <x:row r="450" ht="66" customHeight="1">
      <x:c r="A450" s="28" t="str">
        <x:v>VEG-0791</x:v>
      </x:c>
      <x:c r="B450" s="28" t="str">
        <x:v>сельдерей корневой</x:v>
      </x:c>
      <x:c r="C450" s="28" t="str">
        <x:v>черничный уксус</x:v>
      </x:c>
      <x:c r="D450" s="28" t="str">
        <x:v>Ферментированные продукты и соусы</x:v>
      </x:c>
      <x:c r="E450" s="28" t="str">
        <x:v>умами и солёный контраст</x:v>
      </x:c>
      <x:c r="F450" s="28" t="str">
        <x:v>Сельдерей корневой имеет профиль «землистый, ореховый, сельдерейно-пряный и слегка грибной». Партнёр «черничный уксус» относится к группе «Ферментированные продукты и соусы» и даёт ферментированный, умами и сложный.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50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50" s="28" t="str">
        <x:v>быстро окисляется после нарезки; избыток сельдерейных фталидов даёт аптечную ноту</x:v>
      </x:c>
      <x:c r="I450" s="28" t="str">
        <x:v>пюре, суп, запекание, крем, гарнир, соус или десертная разработка с черничный уксус</x:v>
      </x:c>
      <x:c r="J450" s="28" t="str">
        <x:v>Средняя</x:v>
      </x:c>
      <x:c r="K450" s="28" t="str">
        <x:v>The Art &amp; Science of Foodpairing.pdf</x:v>
      </x:c>
      <x:c r="L450" s="28" t="str">
        <x:v>The Art &amp; Science of Foodpairing.pdf: 52</x:v>
      </x:c>
    </x:row>
    <x:row r="451" ht="66" customHeight="1">
      <x:c r="A451" s="28" t="str">
        <x:v>VEG-0792</x:v>
      </x:c>
      <x:c r="B451" s="28" t="str">
        <x:v>сельдерей корневой</x:v>
      </x:c>
      <x:c r="C451" s="28" t="str">
        <x:v>чеснок</x:v>
      </x:c>
      <x:c r="D451" s="28" t="str">
        <x:v>Луковые овощи</x:v>
      </x:c>
      <x:c r="E451" s="28" t="str">
        <x:v>сенсорная комплементарность</x:v>
      </x:c>
      <x:c r="F451" s="28" t="str">
        <x:v>Сельдерей корневой имеет профиль «землистый, ореховый, сельдерейно-пряный и слегка грибной». Партнёр «чеснок» относится к группе «Луковые овощи» и даёт резкий сернистый, зелёный и мясной; после запекания — сладкий и ореховый.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51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51" s="28" t="str">
        <x:v>быстро окисляется после нарезки; избыток сельдерейных фталидов даёт аптечную ноту</x:v>
      </x:c>
      <x:c r="I451" s="28" t="str">
        <x:v>пюре, суп, запекание, крем, гарнир, соус или десертная разработка с чеснок</x:v>
      </x:c>
      <x:c r="J451" s="28" t="str">
        <x:v>Средняя</x:v>
      </x:c>
      <x:c r="K451" s="28" t="str">
        <x:v>The Art &amp; Science of Foodpairing.pdf</x:v>
      </x:c>
      <x:c r="L451" s="28" t="str">
        <x:v>The Art &amp; Science of Foodpairing.pdf: 52</x:v>
      </x:c>
    </x:row>
    <x:row r="452" ht="66" customHeight="1">
      <x:c r="A452" s="28" t="str">
        <x:v>VEG-0796</x:v>
      </x:c>
      <x:c r="B452" s="28" t="str">
        <x:v>сельдерей корневой</x:v>
      </x:c>
      <x:c r="C452" s="28" t="str">
        <x:v>яичный желток</x:v>
      </x:c>
      <x:c r="D452" s="28" t="str">
        <x:v>Яйца</x:v>
      </x:c>
      <x:c r="E452" s="28" t="str">
        <x:v>сенсорная комплементарность</x:v>
      </x:c>
      <x:c r="F452" s="28" t="str">
        <x:v>Сельдерей корневой имеет профиль «землистый, ореховый, сельдерейно-пряный и слегка грибной». Партнёр «яичный желток» относится к группе «Яйца» и даёт сливочный, сернистый и умами.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</x:v>
      </x:c>
      <x:c r="G452" s="28" t="str">
        <x:v>запекание усиливает сладость и ореховые ноты; пюре хорошо переносит сливочный жир. Для сладко-жареного профиля удалить поверхностную влагу и использовать запекание или обжаривание.</x:v>
      </x:c>
      <x:c r="H452" s="28" t="str">
        <x:v>быстро окисляется после нарезки; избыток сельдерейных фталидов даёт аптечную ноту</x:v>
      </x:c>
      <x:c r="I452" s="28" t="str">
        <x:v>пюре, суп, запекание, крем, гарнир, соус или десертная разработка с яичный желток</x:v>
      </x:c>
      <x:c r="J452" s="28" t="str">
        <x:v>Средняя</x:v>
      </x:c>
      <x:c r="K452" s="28" t="str">
        <x:v>The Art &amp; Science of Foodpairing.pdf</x:v>
      </x:c>
      <x:c r="L452" s="28" t="str">
        <x:v>The Art &amp; Science of Foodpairing.pdf: 52</x:v>
      </x:c>
    </x:row>
    <x:row r="453" ht="66" customHeight="1">
      <x:c r="A453" s="28" t="str">
        <x:v>VEG-0802</x:v>
      </x:c>
      <x:c r="B453" s="28" t="str">
        <x:v>спаржа</x:v>
      </x:c>
      <x:c r="C453" s="28" t="str">
        <x:v>белая рыба</x:v>
      </x:c>
      <x:c r="D453" s="28" t="str">
        <x:v>Рыба и морепродукты</x:v>
      </x:c>
      <x:c r="E453" s="28" t="str">
        <x:v>умами и солёный контраст; сернистая или горчичная комплементарность</x:v>
      </x:c>
      <x:c r="F453" s="28" t="str">
        <x:v>Спаржа имеет профиль «зелёный, сернистый, ореховый и слегка сладкий». Партнёр «белая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3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3" s="28" t="str">
        <x:v>переваривание усиливает сернистость и разрушает текстуру; толстые основания очищать</x:v>
      </x:c>
      <x:c r="I453" s="28" t="str">
        <x:v>горячее блюдо, бульон, соус, пюре, ферментация или гарнир с белая рыба</x:v>
      </x:c>
      <x:c r="J453" s="28" t="str">
        <x:v>Средняя</x:v>
      </x:c>
      <x:c r="K453" s="28" t="str">
        <x:v>Тезариус вкусов (Ники Сегнит)(1).pdf</x:v>
      </x:c>
      <x:c r="L453" s="28" t="str">
        <x:v>Тезариус вкусов (Ники Сегнит)(1).pdf: 345, 389</x:v>
      </x:c>
    </x:row>
    <x:row r="454" ht="66" customHeight="1">
      <x:c r="A454" s="28" t="str">
        <x:v>VEG-0804</x:v>
      </x:c>
      <x:c r="B454" s="28" t="str">
        <x:v>спаржа</x:v>
      </x:c>
      <x:c r="C454" s="28" t="str">
        <x:v>горох</x:v>
      </x:c>
      <x:c r="D454" s="28" t="str">
        <x:v>Бобовые</x:v>
      </x:c>
      <x:c r="E454" s="28" t="str">
        <x:v>пересечение ароматических семейств; сернистая или горчичная комплементарность</x:v>
      </x:c>
      <x:c r="F454" s="28" t="str">
        <x:v>Спаржа имеет профиль «зелёный, сернистый, ореховый и слегка сладкий».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4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4" s="28" t="str">
        <x:v>переваривание усиливает сернистость и разрушает текстуру; толстые основания очищать</x:v>
      </x:c>
      <x:c r="I454" s="28" t="str">
        <x:v>горячее блюдо, бульон, соус, пюре, ферментация или гарнир с горох</x:v>
      </x:c>
      <x:c r="J454" s="28" t="str">
        <x:v>Средняя</x:v>
      </x:c>
      <x:c r="K454" s="28" t="str">
        <x:v>Тезариус вкусов (Ники Сегнит)(1).pdf</x:v>
      </x:c>
      <x:c r="L454" s="28" t="str">
        <x:v>Тезариус вкусов (Ники Сегнит)(1).pdf: 345, 541</x:v>
      </x:c>
    </x:row>
    <x:row r="455" ht="66" customHeight="1">
      <x:c r="A455" s="28" t="str">
        <x:v>VEG-0807</x:v>
      </x:c>
      <x:c r="B455" s="28" t="str">
        <x:v>спаржа</x:v>
      </x:c>
      <x:c r="C455" s="28" t="str">
        <x:v>жирная рыба</x:v>
      </x:c>
      <x:c r="D455" s="28" t="str">
        <x:v>Рыба и морепродукты</x:v>
      </x:c>
      <x:c r="E455" s="28" t="str">
        <x:v>умами и солёный контраст; сернистая или горчичная комплементарность</x:v>
      </x:c>
      <x:c r="F455" s="28" t="str">
        <x:v>Спаржа имеет профиль «зелёный, сернистый, ореховый и слегка сладкий». Партнёр «жирная 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5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5" s="28" t="str">
        <x:v>переваривание усиливает сернистость и разрушает текстуру; толстые основания очищать</x:v>
      </x:c>
      <x:c r="I455" s="28" t="str">
        <x:v>горячее блюдо, бульон, соус, пюре, ферментация или гарнир с жирная рыба</x:v>
      </x:c>
      <x:c r="J455" s="28" t="str">
        <x:v>Средняя</x:v>
      </x:c>
      <x:c r="K455" s="28" t="str">
        <x:v>Тезариус вкусов (Ники Сегнит)(1).pdf</x:v>
      </x:c>
      <x:c r="L455" s="28" t="str">
        <x:v>Тезариус вкусов (Ники Сегнит)(1).pdf: 346, 417</x:v>
      </x:c>
    </x:row>
    <x:row r="456" ht="66" customHeight="1">
      <x:c r="A456" s="28" t="str">
        <x:v>VEG-0813</x:v>
      </x:c>
      <x:c r="B456" s="28" t="str">
        <x:v>спаржа</x:v>
      </x:c>
      <x:c r="C456" s="28" t="str">
        <x:v>моллюски</x:v>
      </x:c>
      <x:c r="D456" s="28" t="str">
        <x:v>Рыба и морепродукты</x:v>
      </x:c>
      <x:c r="E456" s="28" t="str">
        <x:v>умами и солёный контраст; сернистая или горчичная комплементарность</x:v>
      </x:c>
      <x:c r="F456" s="28" t="str">
        <x:v>Спаржа имеет профиль «зелёный, сернистый, ореховый и слегка сладкий».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6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6" s="28" t="str">
        <x:v>переваривание усиливает сернистость и разрушает текстуру; толстые основания очищать</x:v>
      </x:c>
      <x:c r="I456" s="28" t="str">
        <x:v>горячее блюдо, бульон, соус, пюре, ферментация или гарнир с моллюски</x:v>
      </x:c>
      <x:c r="J456" s="28" t="str">
        <x:v>Средняя</x:v>
      </x:c>
      <x:c r="K456" s="28" t="str">
        <x:v>Тезариус вкусов (Ники Сегнит)(1).pdf</x:v>
      </x:c>
      <x:c r="L456" s="28" t="str">
        <x:v>Тезариус вкусов (Ники Сегнит)(1).pdf: 347, 375</x:v>
      </x:c>
    </x:row>
    <x:row r="457" ht="66" customHeight="1">
      <x:c r="A457" s="28" t="str">
        <x:v>VEG-0816</x:v>
      </x:c>
      <x:c r="B457" s="28" t="str">
        <x:v>спаржа</x:v>
      </x:c>
      <x:c r="C457" s="28" t="str">
        <x:v>прошутто</x:v>
      </x:c>
      <x:c r="D457" s="28" t="str">
        <x:v>Мясо и птица</x:v>
      </x:c>
      <x:c r="E457" s="28" t="str">
        <x:v>общие характерные молекулы; умами и солёный контраст; сернистая или горчичная комплементарность</x:v>
      </x:c>
      <x:c r="F457" s="28" t="str">
        <x:v>Спаржа имеет профиль «зелёный, сернистый, ореховый и слегка сладкий». Партнёр «прошутто» относится к группе «Мясо и птица» и даёт жареный, мясной и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7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7" s="28" t="str">
        <x:v>переваривание усиливает сернистость и разрушает текстуру; толстые основания очищать</x:v>
      </x:c>
      <x:c r="I457" s="28" t="str">
        <x:v>горячее блюдо, бульон, соус, пюре, ферментация или гарнир с прошутто</x:v>
      </x:c>
      <x:c r="J457" s="28" t="str">
        <x:v>Средняя</x:v>
      </x:c>
      <x:c r="K457" s="28" t="str">
        <x:v>Тезариус вкусов (Ники Сегнит)(1).pdf</x:v>
      </x:c>
      <x:c r="L457" s="28" t="str">
        <x:v>Тезариус вкусов (Ники Сегнит)(1).pdf: 347, 460</x:v>
      </x:c>
    </x:row>
    <x:row r="458" ht="66" customHeight="1">
      <x:c r="A458" s="28" t="str">
        <x:v>VEG-0818</x:v>
      </x:c>
      <x:c r="B458" s="28" t="str">
        <x:v>спаржа</x:v>
      </x:c>
      <x:c r="C458" s="28" t="str">
        <x:v>трюфель</x:v>
      </x:c>
      <x:c r="D458" s="28" t="str">
        <x:v>Грибы</x:v>
      </x:c>
      <x:c r="E458" s="28" t="str">
        <x:v>умами и солёный контраст; сернистая или горчичная комплементарность</x:v>
      </x:c>
      <x:c r="F458" s="28" t="str">
        <x:v>Спаржа имеет профиль «зелёный, сернистый, ореховый и слегка сладкий».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58" s="28" t="str">
        <x:v>гриль и запекание создают ореховые и картофельные ноты; короткая варка сохраняет зелёность. Контролировать время: переваривание усиливает сернистость и разрушает текстуру.</x:v>
      </x:c>
      <x:c r="H458" s="28" t="str">
        <x:v>переваривание усиливает сернистость и разрушает текстуру; толстые основания очищать</x:v>
      </x:c>
      <x:c r="I458" s="28" t="str">
        <x:v>горячее блюдо, бульон, соус, пюре, ферментация или гарнир с трюфель</x:v>
      </x:c>
      <x:c r="J458" s="28" t="str">
        <x:v>Средняя</x:v>
      </x:c>
      <x:c r="K458" s="28" t="str">
        <x:v>Тезариус вкусов (Ники Сегнит)(1).pdf</x:v>
      </x:c>
      <x:c r="L458" s="28" t="str">
        <x:v>Тезариус вкусов (Ники Сегнит)(1).pdf: 306, 347</x:v>
      </x:c>
    </x:row>
    <x:row r="459" ht="66" customHeight="1">
      <x:c r="A459" s="28" t="str">
        <x:v>VEG-0825</x:v>
      </x:c>
      <x:c r="B459" s="28" t="str">
        <x:v>томат</x:v>
      </x:c>
      <x:c r="C459" s="28" t="str">
        <x:v>анчоусы</x:v>
      </x:c>
      <x:c r="D459" s="28" t="str">
        <x:v>Рыба и морепродукты</x:v>
      </x:c>
      <x:c r="E459" s="28" t="str">
        <x:v>пересечение ароматических семейств; умами и солёный контраст</x:v>
      </x:c>
      <x:c r="F459" s="28" t="str">
        <x:v>Томат имеет профиль «зелёный, фруктовый, листовой, сернистый и умами». Партнёр «анчоусы»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5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59" s="28" t="str">
        <x:v>незрелые плоды слишком зелёные; длительное кипячение стирает свежесть; кислота влияет на молочные эмульсии</x:v>
      </x:c>
      <x:c r="I459" s="28" t="str">
        <x:v>сок, кордиал, гаспачо, салат, соус, маринад или коктейльный компонент с анчоусы</x:v>
      </x:c>
      <x:c r="J459" s="28" t="str">
        <x:v>Средняя</x:v>
      </x:c>
      <x:c r="K459" s="28" t="str">
        <x:v>Тезариус вкусов (Ники Сегнит)(1).pdf</x:v>
      </x:c>
      <x:c r="L459" s="28" t="str">
        <x:v>Тезариус вкусов (Ники Сегнит)(1).pdf: 430, 680</x:v>
      </x:c>
    </x:row>
    <x:row r="460" ht="66" customHeight="1">
      <x:c r="A460" s="28" t="str">
        <x:v>VEG-0830</x:v>
      </x:c>
      <x:c r="B460" s="28" t="str">
        <x:v>томат</x:v>
      </x:c>
      <x:c r="C460" s="28" t="str">
        <x:v>баранина</x:v>
      </x:c>
      <x:c r="D460" s="28" t="str">
        <x:v>Мясо и птица</x:v>
      </x:c>
      <x:c r="E460" s="28" t="str">
        <x:v>пересечение ароматических семейств; умами и солёный контраст</x:v>
      </x:c>
      <x:c r="F460" s="28" t="str">
        <x:v>Томат имеет профиль «зелёный, фруктовый, листовой, сернистый и умами». Партнёр «баранина»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0" s="28" t="str">
        <x:v>незрелые плоды слишком зелёные; длительное кипячение стирает свежесть; кислота влияет на молочные эмульсии</x:v>
      </x:c>
      <x:c r="I460" s="28" t="str">
        <x:v>сок, кордиал, гаспачо, салат, соус, маринад или коктейльный компонент с баранина</x:v>
      </x:c>
      <x:c r="J460" s="28" t="str">
        <x:v>Высокая</x:v>
      </x:c>
      <x:c r="K460" s="28" t="str">
        <x:v>The Art &amp; Science of Foodpairing.pdf | Тезариус вкусов (Ники Сегнит)(1).pdf</x:v>
      </x:c>
      <x:c r="L460" s="28" t="str">
        <x:v>Тезариус вкусов (Ники Сегнит)(1).pdf: 133, 681; The Art &amp; Science of Foodpairing.pdf: 161</x:v>
      </x:c>
    </x:row>
    <x:row r="461" ht="66" customHeight="1">
      <x:c r="A461" s="28" t="str">
        <x:v>VEG-0831</x:v>
      </x:c>
      <x:c r="B461" s="28" t="str">
        <x:v>томат</x:v>
      </x:c>
      <x:c r="C461" s="28" t="str">
        <x:v>бекон</x:v>
      </x:c>
      <x:c r="D461" s="28" t="str">
        <x:v>Мясо и птица</x:v>
      </x:c>
      <x:c r="E461" s="28" t="str">
        <x:v>пересечение ароматических семейств; умами и солёный контраст</x:v>
      </x:c>
      <x:c r="F461" s="28" t="str">
        <x:v>Томат имеет профиль «зелёный, фруктовый, листовой, сернистый и умами». Партнёр «бекон» относится к группе «Мясо и птица» и даёт дымный, жареный,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1" s="28" t="str">
        <x:v>незрелые плоды слишком зелёные; длительное кипячение стирает свежесть; кислота влияет на молочные эмульсии</x:v>
      </x:c>
      <x:c r="I461" s="28" t="str">
        <x:v>сок, кордиал, гаспачо, салат, соус, маринад или коктейльный компонент с бекон</x:v>
      </x:c>
      <x:c r="J461" s="28" t="str">
        <x:v>Высокая</x:v>
      </x:c>
      <x:c r="K461" s="28" t="str">
        <x:v>The Art &amp; Science of Foodpairing.pdf | Тезариус вкусов (Ники Сегнит)(1).pdf</x:v>
      </x:c>
      <x:c r="L461" s="28" t="str">
        <x:v>Тезариус вкусов (Ники Сегнит)(1).pdf: 449, 682; The Art &amp; Science of Foodpairing.pdf: 161</x:v>
      </x:c>
    </x:row>
    <x:row r="462" ht="66" customHeight="1">
      <x:c r="A462" s="28" t="str">
        <x:v>VEG-0832</x:v>
      </x:c>
      <x:c r="B462" s="28" t="str">
        <x:v>томат</x:v>
      </x:c>
      <x:c r="C462" s="28" t="str">
        <x:v>белая рыба</x:v>
      </x:c>
      <x:c r="D462" s="28" t="str">
        <x:v>Рыба и морепродукты</x:v>
      </x:c>
      <x:c r="E462" s="28" t="str">
        <x:v>пересечение ароматических семейств; умами и солёный контраст</x:v>
      </x:c>
      <x:c r="F462" s="28" t="str">
        <x:v>Томат имеет профиль «зелёный, фруктовый, листовой, сернистый и умами».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2" s="28" t="str">
        <x:v>незрелые плоды слишком зелёные; длительное кипячение стирает свежесть; кислота влияет на молочные эмульсии</x:v>
      </x:c>
      <x:c r="I462" s="28" t="str">
        <x:v>сок, кордиал, гаспачо, салат, соус, маринад или коктейльный компонент с белая рыба</x:v>
      </x:c>
      <x:c r="J462" s="28" t="str">
        <x:v>Средняя</x:v>
      </x:c>
      <x:c r="K462" s="28" t="str">
        <x:v>Тезариус вкусов (Ники Сегнит)(1).pdf</x:v>
      </x:c>
      <x:c r="L462" s="28" t="str">
        <x:v>Тезариус вкусов (Ники Сегнит)(1).pdf: 391, 684</x:v>
      </x:c>
    </x:row>
    <x:row r="463" ht="66" customHeight="1">
      <x:c r="A463" s="28" t="str">
        <x:v>VEG-0834</x:v>
      </x:c>
      <x:c r="B463" s="28" t="str">
        <x:v>томат</x:v>
      </x:c>
      <x:c r="C463" s="28" t="str">
        <x:v>бобы</x:v>
      </x:c>
      <x:c r="D463" s="28" t="str">
        <x:v>Бобовые</x:v>
      </x:c>
      <x:c r="E463" s="28" t="str">
        <x:v>пересечение ароматических семейств</x:v>
      </x:c>
      <x:c r="F463" s="28" t="str">
        <x:v>Томат имеет профиль «зелёный, фруктовый, листовой, сернистый и умами». Партнёр «бобы» относится к группе «Бобовые» и даёт зелёный, бобовый и крахмалистый. Профили пересекаются в семействах: зелёный. Совместимость формируется за счёт баланса сладости, кислотности, горечи, умами и текстуры.</x:v>
      </x:c>
      <x:c r="G46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3" s="28" t="str">
        <x:v>незрелые плоды слишком зелёные; длительное кипячение стирает свежесть; кислота влияет на молочные эмульсии</x:v>
      </x:c>
      <x:c r="I463" s="28" t="str">
        <x:v>сок, кордиал, гаспачо, салат, соус, маринад или коктейльный компонент с бобы</x:v>
      </x:c>
      <x:c r="J463" s="28" t="str">
        <x:v>Средняя</x:v>
      </x:c>
      <x:c r="K463" s="28" t="str">
        <x:v>The Art &amp; Science of Foodpairing.pdf</x:v>
      </x:c>
      <x:c r="L463" s="28" t="str">
        <x:v>The Art &amp; Science of Foodpairing.pdf: 161</x:v>
      </x:c>
    </x:row>
    <x:row r="464" ht="66" customHeight="1">
      <x:c r="A464" s="28" t="str">
        <x:v>VEG-0839</x:v>
      </x:c>
      <x:c r="B464" s="28" t="str">
        <x:v>томат</x:v>
      </x:c>
      <x:c r="C464" s="28" t="str">
        <x:v>говядина</x:v>
      </x:c>
      <x:c r="D464" s="28" t="str">
        <x:v>Мясо и птица</x:v>
      </x:c>
      <x:c r="E464" s="28" t="str">
        <x:v>пересечение ароматических семейств; умами и солёный контраст</x:v>
      </x:c>
      <x:c r="F464" s="28" t="str">
        <x:v>Томат имеет профиль «зелёный, фруктовый, листовой, сернистый и умами». Партнёр «говядина»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4" s="28" t="str">
        <x:v>незрелые плоды слишком зелёные; длительное кипячение стирает свежесть; кислота влияет на молочные эмульсии</x:v>
      </x:c>
      <x:c r="I464" s="28" t="str">
        <x:v>сок, кордиал, гаспачо, салат, соус, маринад или коктейльный компонент с говядина</x:v>
      </x:c>
      <x:c r="J464" s="28" t="str">
        <x:v>Средняя</x:v>
      </x:c>
      <x:c r="K464" s="28" t="str">
        <x:v>Тезариус вкусов (Ники Сегнит)(1).pdf</x:v>
      </x:c>
      <x:c r="L464" s="28" t="str">
        <x:v>Тезариус вкусов (Ники Сегнит)(1).pdf: 118, 685</x:v>
      </x:c>
    </x:row>
    <x:row r="465" ht="66" customHeight="1">
      <x:c r="A465" s="28" t="str">
        <x:v>VEG-0840</x:v>
      </x:c>
      <x:c r="B465" s="28" t="str">
        <x:v>томат</x:v>
      </x:c>
      <x:c r="C465" s="28" t="str">
        <x:v>говядина сухой выдержки</x:v>
      </x:c>
      <x:c r="D465" s="28" t="str">
        <x:v>Мясо и птица</x:v>
      </x:c>
      <x:c r="E465" s="28" t="str">
        <x:v>пересечение ароматических семейств; умами и солёный контраст</x:v>
      </x:c>
      <x:c r="F465" s="28" t="str">
        <x:v>Томат имеет профиль «зелёный, фруктовый, листовой, сернистый и умами». Партнёр «говядина сухой выдержки»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5" s="28" t="str">
        <x:v>незрелые плоды слишком зелёные; длительное кипячение стирает свежесть; кислота влияет на молочные эмульсии</x:v>
      </x:c>
      <x:c r="I465" s="28" t="str">
        <x:v>сок, кордиал, гаспачо, салат, соус, маринад или коктейльный компонент с говядина сухой выдержки</x:v>
      </x:c>
      <x:c r="J465" s="28" t="str">
        <x:v>Средняя</x:v>
      </x:c>
      <x:c r="K465" s="28" t="str">
        <x:v>The Art &amp; Science of Foodpairing.pdf</x:v>
      </x:c>
      <x:c r="L465" s="28" t="str">
        <x:v>The Art &amp; Science of Foodpairing.pdf: 161</x:v>
      </x:c>
    </x:row>
    <x:row r="466" ht="66" customHeight="1">
      <x:c r="A466" s="28" t="str">
        <x:v>VEG-0846</x:v>
      </x:c>
      <x:c r="B466" s="28" t="str">
        <x:v>томат</x:v>
      </x:c>
      <x:c r="C466" s="28" t="str">
        <x:v>йогурт</x:v>
      </x:c>
      <x:c r="D466" s="28" t="str">
        <x:v>Плодовые и тыквенные овощи</x:v>
      </x:c>
      <x:c r="E466" s="28" t="str">
        <x:v>пересечение ароматических семейств</x:v>
      </x:c>
      <x:c r="F466" s="28" t="str">
        <x:v>Томат имеет профиль «зелёный, фруктовый, листовой, сернистый и умами». Партнёр «йогурт»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G46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6" s="28" t="str">
        <x:v>незрелые плоды слишком зелёные; длительное кипячение стирает свежесть; кислота влияет на молочные эмульсии</x:v>
      </x:c>
      <x:c r="I466" s="28" t="str">
        <x:v>сок, кордиал, гаспачо, салат, соус, маринад или коктейльный компонент с йогурт</x:v>
      </x:c>
      <x:c r="J466" s="28" t="str">
        <x:v>Средняя</x:v>
      </x:c>
      <x:c r="K466" s="28" t="str">
        <x:v>The Art &amp; Science of Foodpairing.pdf</x:v>
      </x:c>
      <x:c r="L466" s="28" t="str">
        <x:v>The Art &amp; Science of Foodpairing.pdf: 161</x:v>
      </x:c>
    </x:row>
    <x:row r="467" ht="66" customHeight="1">
      <x:c r="A467" s="28" t="str">
        <x:v>VEG-0850</x:v>
      </x:c>
      <x:c r="B467" s="28" t="str">
        <x:v>томат</x:v>
      </x:c>
      <x:c r="C467" s="28" t="str">
        <x:v>кефаль</x:v>
      </x:c>
      <x:c r="D467" s="28" t="str">
        <x:v>Рыба и морепродукты</x:v>
      </x:c>
      <x:c r="E467" s="28" t="str">
        <x:v>пересечение ароматических семейств; умами и солёный контраст</x:v>
      </x:c>
      <x:c r="F467" s="28" t="str">
        <x:v>Томат имеет профиль «зелёный, фруктовый, листовой, сернистый и умами». Партнёр «кефаль»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7" s="28" t="str">
        <x:v>незрелые плоды слишком зелёные; длительное кипячение стирает свежесть; кислота влияет на молочные эмульсии</x:v>
      </x:c>
      <x:c r="I467" s="28" t="str">
        <x:v>сок, кордиал, гаспачо, салат, соус, маринад или коктейльный компонент с кефаль</x:v>
      </x:c>
      <x:c r="J467" s="28" t="str">
        <x:v>Высокая</x:v>
      </x:c>
      <x:c r="K467" s="28" t="str">
        <x:v>The Art &amp; Science of Foodpairing.pdf</x:v>
      </x:c>
      <x:c r="L467" s="28" t="str">
        <x:v>The Art &amp; Science of Foodpairing.pdf: 70</x:v>
      </x:c>
    </x:row>
    <x:row r="468" ht="66" customHeight="1">
      <x:c r="A468" s="28" t="str">
        <x:v>VEG-0857</x:v>
      </x:c>
      <x:c r="B468" s="28" t="str">
        <x:v>томат</x:v>
      </x:c>
      <x:c r="C468" s="28" t="str">
        <x:v>краб</x:v>
      </x:c>
      <x:c r="D468" s="28" t="str">
        <x:v>Рыба и морепродукты</x:v>
      </x:c>
      <x:c r="E468" s="28" t="str">
        <x:v>пересечение ароматических семейств; умами и солёный контраст</x:v>
      </x:c>
      <x:c r="F468" s="28" t="str">
        <x:v>Томат имеет профиль «зелёный, фруктовый, листовой, сернистый и умами». Партнёр «краб»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8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8" s="28" t="str">
        <x:v>незрелые плоды слишком зелёные; длительное кипячение стирает свежесть; кислота влияет на молочные эмульсии</x:v>
      </x:c>
      <x:c r="I468" s="28" t="str">
        <x:v>сок, кордиал, гаспачо, салат, соус, маринад или коктейльный компонент с краб</x:v>
      </x:c>
      <x:c r="J468" s="28" t="str">
        <x:v>Средняя</x:v>
      </x:c>
      <x:c r="K468" s="28" t="str">
        <x:v>The Art &amp; Science of Foodpairing.pdf</x:v>
      </x:c>
      <x:c r="L468" s="28" t="str">
        <x:v>The Art &amp; Science of Foodpairing.pdf: 161</x:v>
      </x:c>
    </x:row>
    <x:row r="469" ht="66" customHeight="1">
      <x:c r="A469" s="28" t="str">
        <x:v>VEG-0858</x:v>
      </x:c>
      <x:c r="B469" s="28" t="str">
        <x:v>томат</x:v>
      </x:c>
      <x:c r="C469" s="28" t="str">
        <x:v>курица</x:v>
      </x:c>
      <x:c r="D469" s="28" t="str">
        <x:v>Мясо и птица</x:v>
      </x:c>
      <x:c r="E469" s="28" t="str">
        <x:v>пересечение ароматических семейств; умами и солёный контраст</x:v>
      </x:c>
      <x:c r="F469" s="28" t="str">
        <x:v>Томат имеет профиль «зелёный, фруктовый, листовой, сернистый и умами». Партнёр «курица»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69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69" s="28" t="str">
        <x:v>незрелые плоды слишком зелёные; длительное кипячение стирает свежесть; кислота влияет на молочные эмульсии</x:v>
      </x:c>
      <x:c r="I469" s="28" t="str">
        <x:v>сок, кордиал, гаспачо, салат, соус, маринад или коктейльный компонент с курица</x:v>
      </x:c>
      <x:c r="J469" s="28" t="str">
        <x:v>Средняя</x:v>
      </x:c>
      <x:c r="K469" s="28" t="str">
        <x:v>The Art &amp; Science of Foodpairing.pdf</x:v>
      </x:c>
      <x:c r="L469" s="28" t="str">
        <x:v>The Art &amp; Science of Foodpairing.pdf: 161</x:v>
      </x:c>
    </x:row>
    <x:row r="470" ht="66" customHeight="1">
      <x:c r="A470" s="28" t="str">
        <x:v>VEG-0867</x:v>
      </x:c>
      <x:c r="B470" s="28" t="str">
        <x:v>томат</x:v>
      </x:c>
      <x:c r="C470" s="28" t="str">
        <x:v>моллюски</x:v>
      </x:c>
      <x:c r="D470" s="28" t="str">
        <x:v>Рыба и морепродукты</x:v>
      </x:c>
      <x:c r="E470" s="28" t="str">
        <x:v>пересечение ароматических семейств; умами и солёный контраст</x:v>
      </x:c>
      <x:c r="F470" s="28" t="str">
        <x:v>Томат имеет профиль «зелёный, фруктовый, листовой, сернистый и умами».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0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0" s="28" t="str">
        <x:v>незрелые плоды слишком зелёные; длительное кипячение стирает свежесть; кислота влияет на молочные эмульсии</x:v>
      </x:c>
      <x:c r="I470" s="28" t="str">
        <x:v>сок, кордиал, гаспачо, салат, соус, маринад или коктейльный компонент с моллюски</x:v>
      </x:c>
      <x:c r="J470" s="28" t="str">
        <x:v>Средняя</x:v>
      </x:c>
      <x:c r="K470" s="28" t="str">
        <x:v>Тезариус вкусов (Ники Сегнит)(1).pdf</x:v>
      </x:c>
      <x:c r="L470" s="28" t="str">
        <x:v>Тезариус вкусов (Ники Сегнит)(1).pdf: 377, 687</x:v>
      </x:c>
    </x:row>
    <x:row r="471" ht="66" customHeight="1">
      <x:c r="A471" s="28" t="str">
        <x:v>VEG-0872</x:v>
      </x:c>
      <x:c r="B471" s="28" t="str">
        <x:v>томат</x:v>
      </x:c>
      <x:c r="C471" s="28" t="str">
        <x:v>мускатный орех</x:v>
      </x:c>
      <x:c r="D471" s="28" t="str">
        <x:v>Рыба и морепродукты</x:v>
      </x:c>
      <x:c r="E471" s="28" t="str">
        <x:v>умами и солёный контраст</x:v>
      </x:c>
      <x:c r="F471" s="28" t="str">
        <x:v>Томат имеет профиль «зелёный, фруктовый, листовой, сернистый и умами». Партнёр «мускатный орех» относится к группе «Рыба и морепродукты» и даёт камфорный, ореховый, пряный.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71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1" s="28" t="str">
        <x:v>незрелые плоды слишком зелёные; длительное кипячение стирает свежесть; кислота влияет на молочные эмульсии</x:v>
      </x:c>
      <x:c r="I471" s="28" t="str">
        <x:v>сок, кордиал, гаспачо, салат, соус, маринад или коктейльный компонент с мускатный орех</x:v>
      </x:c>
      <x:c r="J471" s="28" t="str">
        <x:v>Средняя</x:v>
      </x:c>
      <x:c r="K471" s="28" t="str">
        <x:v>Тезариус вкусов (Ники Сегнит)(1).pdf</x:v>
      </x:c>
      <x:c r="L471" s="28" t="str">
        <x:v>Тезариус вкусов (Ники Сегнит)(1).pdf: 590, 688</x:v>
      </x:c>
    </x:row>
    <x:row r="472" ht="66" customHeight="1">
      <x:c r="A472" s="28" t="str">
        <x:v>VEG-0874</x:v>
      </x:c>
      <x:c r="B472" s="28" t="str">
        <x:v>томат</x:v>
      </x:c>
      <x:c r="C472" s="28" t="str">
        <x:v>мясо</x:v>
      </x:c>
      <x:c r="D472" s="28" t="str">
        <x:v>Мясо и птица</x:v>
      </x:c>
      <x:c r="E472" s="28" t="str">
        <x:v>пересечение ароматических семейств; умами и солёный контраст</x:v>
      </x:c>
      <x:c r="F472" s="28" t="str">
        <x:v>Томат имеет профиль «зелёный, фруктовый, листовой, сернистый и умами». Партнёр «мясо» относится к группе «Мясо и птица» и даёт жареный, жирный,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2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2" s="28" t="str">
        <x:v>незрелые плоды слишком зелёные; длительное кипячение стирает свежесть; кислота влияет на молочные эмульсии</x:v>
      </x:c>
      <x:c r="I472" s="28" t="str">
        <x:v>сок, кордиал, гаспачо, салат, соус, маринад или коктейльный компонент с мясо</x:v>
      </x:c>
      <x:c r="J472" s="28" t="str">
        <x:v>Средняя</x:v>
      </x:c>
      <x:c r="K472" s="28" t="str">
        <x:v>The Art &amp; Science of Foodpairing.pdf</x:v>
      </x:c>
      <x:c r="L472" s="28" t="str">
        <x:v>The Art &amp; Science of Foodpairing.pdf: 186</x:v>
      </x:c>
    </x:row>
    <x:row r="473" ht="66" customHeight="1">
      <x:c r="A473" s="28" t="str">
        <x:v>VEG-0885</x:v>
      </x:c>
      <x:c r="B473" s="28" t="str">
        <x:v>томат</x:v>
      </x:c>
      <x:c r="C473" s="28" t="str">
        <x:v>прошутто</x:v>
      </x:c>
      <x:c r="D473" s="28" t="str">
        <x:v>Мясо и птица</x:v>
      </x:c>
      <x:c r="E473" s="28" t="str">
        <x:v>пересечение ароматических семейств; умами и солёный контраст</x:v>
      </x:c>
      <x:c r="F473" s="28" t="str">
        <x:v>Томат имеет профиль «зелёный, фруктовый, листовой, сернистый и умами». Партнёр «прошутто»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3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3" s="28" t="str">
        <x:v>незрелые плоды слишком зелёные; длительное кипячение стирает свежесть; кислота влияет на молочные эмульсии</x:v>
      </x:c>
      <x:c r="I473" s="28" t="str">
        <x:v>сок, кордиал, гаспачо, салат, соус, маринад или коктейльный компонент с прошутто</x:v>
      </x:c>
      <x:c r="J473" s="28" t="str">
        <x:v>Средняя</x:v>
      </x:c>
      <x:c r="K473" s="28" t="str">
        <x:v>Тезариус вкусов (Ники Сегнит)(1).pdf</x:v>
      </x:c>
      <x:c r="L473" s="28" t="str">
        <x:v>Тезариус вкусов (Ники Сегнит)(1).pdf: 460, 689</x:v>
      </x:c>
    </x:row>
    <x:row r="474" ht="66" customHeight="1">
      <x:c r="A474" s="28" t="str">
        <x:v>VEG-0888</x:v>
      </x:c>
      <x:c r="B474" s="28" t="str">
        <x:v>томат</x:v>
      </x:c>
      <x:c r="C474" s="28" t="str">
        <x:v>свинина</x:v>
      </x:c>
      <x:c r="D474" s="28" t="str">
        <x:v>Мясо и птица</x:v>
      </x:c>
      <x:c r="E474" s="28" t="str">
        <x:v>пересечение ароматических семейств; умами и солёный контраст</x:v>
      </x:c>
      <x:c r="F474" s="28" t="str">
        <x:v>Томат имеет профиль «зелёный, фруктовый, листовой, сернистый и умами». Партнёр «свинина» относится к группе «Мясо и птица» и даёт жареный, мясной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4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4" s="28" t="str">
        <x:v>незрелые плоды слишком зелёные; длительное кипячение стирает свежесть; кислота влияет на молочные эмульсии</x:v>
      </x:c>
      <x:c r="I474" s="28" t="str">
        <x:v>сок, кордиал, гаспачо, салат, соус, маринад или коктейльный компонент с свинина</x:v>
      </x:c>
      <x:c r="J474" s="28" t="str">
        <x:v>Средняя</x:v>
      </x:c>
      <x:c r="K474" s="28" t="str">
        <x:v>Тезариус вкусов (Ники Сегнит)(1).pdf</x:v>
      </x:c>
      <x:c r="L474" s="28" t="str">
        <x:v>Тезариус вкусов (Ники Сегнит)(1).pdf: 87, 689</x:v>
      </x:c>
    </x:row>
    <x:row r="475" ht="66" customHeight="1">
      <x:c r="A475" s="28" t="str">
        <x:v>VEG-0889</x:v>
      </x:c>
      <x:c r="B475" s="28" t="str">
        <x:v>томат</x:v>
      </x:c>
      <x:c r="C475" s="28" t="str">
        <x:v>сибас</x:v>
      </x:c>
      <x:c r="D475" s="28" t="str">
        <x:v>Рыба и морепродукты</x:v>
      </x:c>
      <x:c r="E475" s="28" t="str">
        <x:v>пересечение ароматических семейств; умами и солёный контраст</x:v>
      </x:c>
      <x:c r="F475" s="28" t="str">
        <x:v>Томат имеет профиль «зелёный, фруктовый, листовой, сернистый и умами». Партнёр «сибас»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</x:v>
      </x:c>
      <x:c r="G475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5" s="28" t="str">
        <x:v>незрелые плоды слишком зелёные; длительное кипячение стирает свежесть; кислота влияет на молочные эмульсии</x:v>
      </x:c>
      <x:c r="I475" s="28" t="str">
        <x:v>сок, кордиал, гаспачо, салат, соус, маринад или коктейльный компонент с сибас</x:v>
      </x:c>
      <x:c r="J475" s="28" t="str">
        <x:v>Средняя</x:v>
      </x:c>
      <x:c r="K475" s="28" t="str">
        <x:v>The Art &amp; Science of Foodpairing.pdf</x:v>
      </x:c>
      <x:c r="L475" s="28" t="str">
        <x:v>The Art &amp; Science of Foodpairing.pdf: 161</x:v>
      </x:c>
    </x:row>
    <x:row r="476" ht="66" customHeight="1">
      <x:c r="A476" s="28" t="str">
        <x:v>VEG-0893</x:v>
      </x:c>
      <x:c r="B476" s="28" t="str">
        <x:v>томат</x:v>
      </x:c>
      <x:c r="C476" s="28" t="str">
        <x:v>соус чили</x:v>
      </x:c>
      <x:c r="D476" s="28" t="str">
        <x:v>Специи</x:v>
      </x:c>
      <x:c r="E476" s="28" t="str">
        <x:v>сенсорная комплементарность</x:v>
      </x:c>
      <x:c r="F476" s="28" t="str">
        <x:v>Томат имеет профиль «зелёный, фруктовый, листовой, сернистый и умами». Партнёр «соус 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</x:v>
      </x:c>
      <x:c r="G476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6" s="28" t="str">
        <x:v>незрелые плоды слишком зелёные; длительное кипячение стирает свежесть; кислота влияет на молочные эмульсии</x:v>
      </x:c>
      <x:c r="I476" s="28" t="str">
        <x:v>сок, кордиал, гаспачо, салат, соус, маринад или коктейльный компонент с соус чили</x:v>
      </x:c>
      <x:c r="J476" s="28" t="str">
        <x:v>Средняя</x:v>
      </x:c>
      <x:c r="K476" s="28" t="str">
        <x:v>The Art &amp; Science of Foodpairing.pdf</x:v>
      </x:c>
      <x:c r="L476" s="28" t="str">
        <x:v>The Art &amp; Science of Foodpairing.pdf: 161</x:v>
      </x:c>
    </x:row>
    <x:row r="477" ht="66" customHeight="1">
      <x:c r="A477" s="28" t="str">
        <x:v>VEG-0898</x:v>
      </x:c>
      <x:c r="B477" s="28" t="str">
        <x:v>томат</x:v>
      </x:c>
      <x:c r="C477" s="28" t="str">
        <x:v>томатный сок</x:v>
      </x:c>
      <x:c r="D477" s="28" t="str">
        <x:v>Плодовые и тыквенные овощи</x:v>
      </x:c>
      <x:c r="E477" s="28" t="str">
        <x:v>пересечение ароматических семейств</x:v>
      </x:c>
      <x:c r="F477" s="28" t="str">
        <x:v>Томат имеет профиль «зелёный, фруктовый, листовой, сернистый и умами». Партнёр «томатный сок» относится к группе «Плодовые и тыквенные овощи» и даёт зелёный, фруктовый или водянистый. Профили пересекаются в семействах: зелёный, фруктовый. Совместимость формируется за счёт баланса сладости, кислотности, горечи, умами и текстуры.</x:v>
      </x:c>
      <x:c r="G477" s="28" t="str">
        <x:v>нагрев концентрирует умами и сладость, снижает зелёные ноты; сушка усиливает фруктово-умами профиль. Для свежего профиля работать холодно или применять короткую тепловую обработку.</x:v>
      </x:c>
      <x:c r="H477" s="28" t="str">
        <x:v>незрелые плоды слишком зелёные; длительное кипячение стирает свежесть; кислота влияет на молочные эмульсии</x:v>
      </x:c>
      <x:c r="I477" s="28" t="str">
        <x:v>сок, кордиал, гаспачо, салат, соус, маринад или коктейльный компонент с томатный сок</x:v>
      </x:c>
      <x:c r="J477" s="28" t="str">
        <x:v>Средняя</x:v>
      </x:c>
      <x:c r="K477" s="28" t="str">
        <x:v>The Art &amp; Science of Foodpairing.pdf</x:v>
      </x:c>
      <x:c r="L477" s="28" t="str">
        <x:v>The Art &amp; Science of Foodpairing.pdf: 161</x:v>
      </x:c>
    </x:row>
    <x:row r="478" ht="66" customHeight="1">
      <x:c r="A478" s="28" t="str">
        <x:v>VEG-0929</x:v>
      </x:c>
      <x:c r="B478" s="28" t="str">
        <x:v>тыква</x:v>
      </x:c>
      <x:c r="C478" s="28" t="str">
        <x:v>мускатный орех</x:v>
      </x:c>
      <x:c r="D478" s="28" t="str">
        <x:v>Рыба и морепродукты</x:v>
      </x:c>
      <x:c r="E478" s="28" t="str">
        <x:v>пересечение ароматических семейств; умами и солёный контраст</x:v>
      </x:c>
      <x:c r="F478" s="28" t="str">
        <x:v>Тыква имеет профиль «сладкий, крахмалистый, ореховый и слегка цветочный».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78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478" s="28" t="str">
        <x:v>водянистые сорта размывают вкус; сильная сладость требует кислоты, соли или горечи</x:v>
      </x:c>
      <x:c r="I478" s="28" t="str">
        <x:v>пюре, суп, запекание, крем, гарнир, соус или десертная разработка с мускатный орех</x:v>
      </x:c>
      <x:c r="J478" s="28" t="str">
        <x:v>Гипотеза / практическая</x:v>
      </x:c>
      <x:c r="K478" s="28" t="str">
        <x:v>Таблица сочетания(1).pdf</x:v>
      </x:c>
      <x:c r="L478" s="28" t="str">
        <x:v>Таблица сочетания(1).pdf: 18</x:v>
      </x:c>
    </x:row>
    <x:row r="479" ht="66" customHeight="1">
      <x:c r="A479" s="28" t="str">
        <x:v>VEG-0930</x:v>
      </x:c>
      <x:c r="B479" s="28" t="str">
        <x:v>тыква</x:v>
      </x:c>
      <x:c r="C479" s="28" t="str">
        <x:v>мясо</x:v>
      </x:c>
      <x:c r="D479" s="28" t="str">
        <x:v>Мясо и птица</x:v>
      </x:c>
      <x:c r="E479" s="28" t="str">
        <x:v>общие характерные молекулы; умами и солёный контраст</x:v>
      </x:c>
      <x:c r="F479" s="28" t="str">
        <x:v>Тыква имеет профиль «сладкий, крахмалистый, ореховый и слегка цветочный». Партнёр «мясо» относится к группе «Мясо и птица» и даёт жареный, жирный, умами.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79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479" s="28" t="str">
        <x:v>водянистые сорта размывают вкус; сильная сладость требует кислоты, соли или горечи</x:v>
      </x:c>
      <x:c r="I479" s="28" t="str">
        <x:v>пюре, суп, запекание, крем, гарнир, соус или десертная разработка с мясо</x:v>
      </x:c>
      <x:c r="J479" s="28" t="str">
        <x:v>Средняя</x:v>
      </x:c>
      <x:c r="K479" s="28" t="str">
        <x:v>The Art &amp; Science of Foodpairing.pdf</x:v>
      </x:c>
      <x:c r="L479" s="28" t="str">
        <x:v>The Art &amp; Science of Foodpairing.pdf: 186</x:v>
      </x:c>
    </x:row>
    <x:row r="480" ht="66" customHeight="1">
      <x:c r="A480" s="28" t="str">
        <x:v>VEG-0933</x:v>
      </x:c>
      <x:c r="B480" s="28" t="str">
        <x:v>тыква</x:v>
      </x:c>
      <x:c r="C480" s="28" t="str">
        <x:v>рыба</x:v>
      </x:c>
      <x:c r="D480" s="28" t="str">
        <x:v>Рыба и морепродукты</x:v>
      </x:c>
      <x:c r="E480" s="28" t="str">
        <x:v>умами и солёный контраст</x:v>
      </x:c>
      <x:c r="F480" s="28" t="str">
        <x:v>Тыква имеет профиль «сладкий, крахмалистый, ореховый и слегка цветочный».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0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480" s="28" t="str">
        <x:v>водянистые сорта размывают вкус; сильная сладость требует кислоты, соли или горечи</x:v>
      </x:c>
      <x:c r="I480" s="28" t="str">
        <x:v>пюре, суп, запекание, крем, гарнир, соус или десертная разработка с рыба</x:v>
      </x:c>
      <x:c r="J480" s="28" t="str">
        <x:v>Средняя</x:v>
      </x:c>
      <x:c r="K480" s="28" t="str">
        <x:v>The Art &amp; Science of Foodpairing.pdf</x:v>
      </x:c>
      <x:c r="L480" s="28" t="str">
        <x:v>The Art &amp; Science of Foodpairing.pdf: 104</x:v>
      </x:c>
    </x:row>
    <x:row r="481" ht="66" customHeight="1">
      <x:c r="A481" s="28" t="str">
        <x:v>VEG-0934</x:v>
      </x:c>
      <x:c r="B481" s="28" t="str">
        <x:v>тыква</x:v>
      </x:c>
      <x:c r="C481" s="28" t="str">
        <x:v>соевый соус</x:v>
      </x:c>
      <x:c r="D481" s="28" t="str">
        <x:v>Ферментированные продукты и соусы</x:v>
      </x:c>
      <x:c r="E481" s="28" t="str">
        <x:v>общие характерные молекулы; умами и солёный контраст</x:v>
      </x:c>
      <x:c r="F481" s="28" t="str">
        <x:v>Тыква имеет профиль «сладкий, крахмалистый, ореховый и слегка цветочный». Партнёр «соевый соус» относится к группе «Ферментированные продукты и соусы» и даёт жареный, умами, ферментированный. Вероятный молекулярный мост: пиразины, фураны.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1" s="28" t="str">
        <x:v>запекание усиливает карамельность и ореховые ноты; пюре удерживает ароматику. Для сладко-жареного профиля удалить поверхностную влагу и использовать запекание или обжаривание.</x:v>
      </x:c>
      <x:c r="H481" s="28" t="str">
        <x:v>водянистые сорта размывают вкус; сильная сладость требует кислоты, соли или горечи</x:v>
      </x:c>
      <x:c r="I481" s="28" t="str">
        <x:v>пюре, суп, запекание, крем, гарнир, соус или десертная разработка с соевый соус</x:v>
      </x:c>
      <x:c r="J481" s="28" t="str">
        <x:v>Средняя</x:v>
      </x:c>
      <x:c r="K481" s="28" t="str">
        <x:v>The Art &amp; Science of Foodpairing.pdf</x:v>
      </x:c>
      <x:c r="L481" s="28" t="str">
        <x:v>The Art &amp; Science of Foodpairing.pdf: 300</x:v>
      </x:c>
    </x:row>
    <x:row r="482" ht="66" customHeight="1">
      <x:c r="A482" s="28" t="str">
        <x:v>VEG-0942</x:v>
      </x:c>
      <x:c r="B482" s="28" t="str">
        <x:v>тыква баттернат</x:v>
      </x:c>
      <x:c r="C482" s="28" t="str">
        <x:v>бекон</x:v>
      </x:c>
      <x:c r="D482" s="28" t="str">
        <x:v>Мясо и птица</x:v>
      </x:c>
      <x:c r="E482" s="28" t="str">
        <x:v>умами и солёный контраст</x:v>
      </x:c>
      <x:c r="F482" s="28" t="str">
        <x:v>Тыква баттернат имеет профиль «сладкий, сливочный, ореховый и карамельный». Партнёр «бекон» относится к группе «Мясо и птица» и даёт дымный, жареный,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2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2" s="28" t="str">
        <x:v>может стать приторной и тяжёлой без кислоты или специй; не использовать недозрелый плод</x:v>
      </x:c>
      <x:c r="I482" s="28" t="str">
        <x:v>пюре, суп, запекание, крем, гарнир, соус или десертная разработка с бекон</x:v>
      </x:c>
      <x:c r="J482" s="28" t="str">
        <x:v>Средняя</x:v>
      </x:c>
      <x:c r="K482" s="28" t="str">
        <x:v>Тезариус вкусов (Ники Сегнит)(1).pdf</x:v>
      </x:c>
      <x:c r="L482" s="28" t="str">
        <x:v>Тезариус вкусов (Ники Сегнит)(1).pdf: 449, 609</x:v>
      </x:c>
    </x:row>
    <x:row r="483" ht="66" customHeight="1">
      <x:c r="A483" s="28" t="str">
        <x:v>VEG-0956</x:v>
      </x:c>
      <x:c r="B483" s="28" t="str">
        <x:v>тыква баттернат</x:v>
      </x:c>
      <x:c r="C483" s="28" t="str">
        <x:v>моллюски</x:v>
      </x:c>
      <x:c r="D483" s="28" t="str">
        <x:v>Рыба и морепродукты</x:v>
      </x:c>
      <x:c r="E483" s="28" t="str">
        <x:v>умами и солёный контраст</x:v>
      </x:c>
      <x:c r="F483" s="28" t="str">
        <x:v>Тыква баттернат имеет профиль «сладкий, сливочный, ореховый и карамельный».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3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3" s="28" t="str">
        <x:v>может стать приторной и тяжёлой без кислоты или специй; не использовать недозрелый плод</x:v>
      </x:c>
      <x:c r="I483" s="28" t="str">
        <x:v>пюре, суп, запекание, крем, гарнир, соус или десертная разработка с моллюски</x:v>
      </x:c>
      <x:c r="J483" s="28" t="str">
        <x:v>Средняя</x:v>
      </x:c>
      <x:c r="K483" s="28" t="str">
        <x:v>Тезариус вкусов (Ники Сегнит)(1).pdf</x:v>
      </x:c>
      <x:c r="L483" s="28" t="str">
        <x:v>Тезариус вкусов (Ники Сегнит)(1).pdf: 377, 612</x:v>
      </x:c>
    </x:row>
    <x:row r="484" ht="66" customHeight="1">
      <x:c r="A484" s="28" t="str">
        <x:v>VEG-0957</x:v>
      </x:c>
      <x:c r="B484" s="28" t="str">
        <x:v>тыква баттернат</x:v>
      </x:c>
      <x:c r="C484" s="28" t="str">
        <x:v>мускатный орех</x:v>
      </x:c>
      <x:c r="D484" s="28" t="str">
        <x:v>Рыба и морепродукты</x:v>
      </x:c>
      <x:c r="E484" s="28" t="str">
        <x:v>пересечение ароматических семейств; умами и солёный контраст</x:v>
      </x:c>
      <x:c r="F484" s="28" t="str">
        <x:v>Тыква баттернат имеет профиль «сладкий, сливочный, ореховый и карамельный».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4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4" s="28" t="str">
        <x:v>может стать приторной и тяжёлой без кислоты или специй; не использовать недозрелый плод</x:v>
      </x:c>
      <x:c r="I484" s="28" t="str">
        <x:v>пюре, суп, запекание, крем, гарнир, соус или десертная разработка с мускатный орех</x:v>
      </x:c>
      <x:c r="J484" s="28" t="str">
        <x:v>Средняя</x:v>
      </x:c>
      <x:c r="K484" s="28" t="str">
        <x:v>Тезариус вкусов (Ники Сегнит)(1).pdf</x:v>
      </x:c>
      <x:c r="L484" s="28" t="str">
        <x:v>Тезариус вкусов (Ники Сегнит)(1).pdf: 591, 612</x:v>
      </x:c>
    </x:row>
    <x:row r="485" ht="66" customHeight="1">
      <x:c r="A485" s="28" t="str">
        <x:v>VEG-0959</x:v>
      </x:c>
      <x:c r="B485" s="28" t="str">
        <x:v>тыква баттернат</x:v>
      </x:c>
      <x:c r="C485" s="28" t="str">
        <x:v>свинина</x:v>
      </x:c>
      <x:c r="D485" s="28" t="str">
        <x:v>Мясо и птица</x:v>
      </x:c>
      <x:c r="E485" s="28" t="str">
        <x:v>умами и солёный контраст</x:v>
      </x:c>
      <x:c r="F485" s="28" t="str">
        <x:v>Тыква баттернат имеет профиль «сладкий, сливочный, ореховый и карамельный». Партнёр «свинина»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5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5" s="28" t="str">
        <x:v>может стать приторной и тяжёлой без кислоты или специй; не использовать недозрелый плод</x:v>
      </x:c>
      <x:c r="I485" s="28" t="str">
        <x:v>пюре, суп, запекание, крем, гарнир, соус или десертная разработка с свинина</x:v>
      </x:c>
      <x:c r="J485" s="28" t="str">
        <x:v>Средняя</x:v>
      </x:c>
      <x:c r="K485" s="28" t="str">
        <x:v>Тезариус вкусов (Ники Сегнит)(1).pdf</x:v>
      </x:c>
      <x:c r="L485" s="28" t="str">
        <x:v>Тезариус вкусов (Ники Сегнит)(1).pdf: 88, 613</x:v>
      </x:c>
    </x:row>
    <x:row r="486" ht="66" customHeight="1">
      <x:c r="A486" s="28" t="str">
        <x:v>VEG-0961</x:v>
      </x:c>
      <x:c r="B486" s="28" t="str">
        <x:v>тыква баттернат</x:v>
      </x:c>
      <x:c r="C486" s="28" t="str">
        <x:v>трюфель</x:v>
      </x:c>
      <x:c r="D486" s="28" t="str">
        <x:v>Грибы</x:v>
      </x:c>
      <x:c r="E486" s="28" t="str">
        <x:v>умами и солёный контраст</x:v>
      </x:c>
      <x:c r="F486" s="28" t="str">
        <x:v>Тыква баттернат имеет профиль «сладкий, сливочный, ореховый и карамельный».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6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6" s="28" t="str">
        <x:v>может стать приторной и тяжёлой без кислоты или специй; не использовать недозрелый плод</x:v>
      </x:c>
      <x:c r="I486" s="28" t="str">
        <x:v>пюре, суп, запекание, крем, гарнир, соус или десертная разработка с трюфель</x:v>
      </x:c>
      <x:c r="J486" s="28" t="str">
        <x:v>Средняя</x:v>
      </x:c>
      <x:c r="K486" s="28" t="str">
        <x:v>The Art &amp; Science of Foodpairing.pdf</x:v>
      </x:c>
      <x:c r="L486" s="28" t="str">
        <x:v>The Art &amp; Science of Foodpairing.pdf: 192</x:v>
      </x:c>
    </x:row>
    <x:row r="487" ht="66" customHeight="1">
      <x:c r="A487" s="28" t="str">
        <x:v>VEG-0963</x:v>
      </x:c>
      <x:c r="B487" s="28" t="str">
        <x:v>тыква баттернат</x:v>
      </x:c>
      <x:c r="C487" s="28" t="str">
        <x:v>хамон иберико</x:v>
      </x:c>
      <x:c r="D487" s="28" t="str">
        <x:v>Мясо и птица</x:v>
      </x:c>
      <x:c r="E487" s="28" t="str">
        <x:v>умами и солёный контраст</x:v>
      </x:c>
      <x:c r="F487" s="28" t="str">
        <x:v>Тыква баттернат имеет профиль «сладкий, сливочный, ореховый и карамельный». Партнёр «хамон иберико» относится к группе «Мясо и птица» и даёт жареный, мясной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Нагрев концентрирует природные сахара и смещает профиль от сырого землисто-зелёного к сладко-жареному.</x:v>
      </x:c>
      <x:c r="G487" s="28" t="str">
        <x:v>запекание усиливает ореховые и карамельные ноты; жир раскрывает лактоны. Для сладко-жареного профиля удалить поверхностную влагу и использовать запекание или обжаривание.</x:v>
      </x:c>
      <x:c r="H487" s="28" t="str">
        <x:v>может стать приторной и тяжёлой без кислоты или специй; не использовать недозрелый плод</x:v>
      </x:c>
      <x:c r="I487" s="28" t="str">
        <x:v>пюре, суп, запекание, крем, гарнир, соус или десертная разработка с хамон иберико</x:v>
      </x:c>
      <x:c r="J487" s="28" t="str">
        <x:v>Средняя</x:v>
      </x:c>
      <x:c r="K487" s="28" t="str">
        <x:v>The Art &amp; Science of Foodpairing.pdf</x:v>
      </x:c>
      <x:c r="L487" s="28" t="str">
        <x:v>The Art &amp; Science of Foodpairing.pdf: 278</x:v>
      </x:c>
    </x:row>
    <x:row r="488" ht="66" customHeight="1">
      <x:c r="A488" s="28" t="str">
        <x:v>VEG-0981</x:v>
      </x:c>
      <x:c r="B488" s="28" t="str">
        <x:v>фенхель</x:v>
      </x:c>
      <x:c r="C488" s="28" t="str">
        <x:v>рыба</x:v>
      </x:c>
      <x:c r="D488" s="28" t="str">
        <x:v>Рыба и морепродукты</x:v>
      </x:c>
      <x:c r="E488" s="28" t="str">
        <x:v>умами и солёный контраст</x:v>
      </x:c>
      <x:c r="F488" s="28" t="str">
        <x:v>Фенхель имеет профиль «анисовый, зелёный, свежий и сладковатый». Партнёр «рыба» относится к группе «Рыба и морепродукты» и даёт жирный, морской,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</x:v>
      </x:c>
      <x:c r="G488" s="28" t="str">
        <x:v>сырой сохраняет свежий анис; запекание смягчает аромат и усиливает сладость. </x:v>
      </x:c>
      <x:c r="H488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I488" s="28" t="str">
        <x:v>салат, гарнир, суп, соус, маринад, ферментация или напиток с рыба</x:v>
      </x:c>
      <x:c r="J488" s="28" t="str">
        <x:v>Средняя</x:v>
      </x:c>
      <x:c r="K488" s="28" t="str">
        <x:v>The Art &amp; Science of Foodpairing.pdf</x:v>
      </x:c>
      <x:c r="L488" s="28" t="str">
        <x:v>The Art &amp; Science of Foodpairing.pdf: 104</x:v>
      </x:c>
    </x:row>
    <x:row r="489" ht="66" customHeight="1">
      <x:c r="A489" s="28" t="str">
        <x:v>VEG-0985</x:v>
      </x:c>
      <x:c r="B489" s="28" t="str">
        <x:v>цветная капуста</x:v>
      </x:c>
      <x:c r="C489" s="28" t="str">
        <x:v>анчоусы</x:v>
      </x:c>
      <x:c r="D489" s="28" t="str">
        <x:v>Рыба и морепродукты</x:v>
      </x:c>
      <x:c r="E489" s="28" t="str">
        <x:v>умами и солёный контраст; сернистая или горчичная комплементарность</x:v>
      </x:c>
      <x:c r="F489" s="28" t="str">
        <x:v>Цветная капуста имеет профиль «мягко капустный, ореховый, сернистый и сливочный после запекания». Партнёр «анчоусы»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8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89" s="28" t="str">
        <x:v>не переваривать; избыток воды делает вкус плоским; сернистость усиливается при хранении</x:v>
      </x:c>
      <x:c r="I489" s="28" t="str">
        <x:v>горячее блюдо, бульон, соус, пюре, ферментация или гарнир с анчоусы</x:v>
      </x:c>
      <x:c r="J489" s="28" t="str">
        <x:v>Средняя</x:v>
      </x:c>
      <x:c r="K489" s="28" t="str">
        <x:v>Тезариус вкусов (Ники Сегнит)(1).pdf</x:v>
      </x:c>
      <x:c r="L489" s="28" t="str">
        <x:v>Тезариус вкусов (Ники Сегнит)(1).pdf: 321, 431</x:v>
      </x:c>
    </x:row>
    <x:row r="490" ht="66" customHeight="1">
      <x:c r="A490" s="28" t="str">
        <x:v>VEG-0986</x:v>
      </x:c>
      <x:c r="B490" s="28" t="str">
        <x:v>цветная капуста</x:v>
      </x:c>
      <x:c r="C490" s="28" t="str">
        <x:v>брокколи</x:v>
      </x:c>
      <x:c r="D490" s="28" t="str">
        <x:v>Крестоцветные</x:v>
      </x:c>
      <x:c r="E490" s="28" t="str">
        <x:v>общие характерные молекулы; пересечение ароматических семейств; сернистая или горчичная комплементарность</x:v>
      </x:c>
      <x:c r="F490" s="28" t="str">
        <x:v>Цветная капуста имеет профиль «мягко капустный, ореховый, сернистый и сливочный после запекания». Партнёр «брокколи» относится к группе «Крестоцветные» и даёт зелёный, капустный, сернистый и ореховый после жарки. Вероятный молекулярный мост: диметилсульфид, изотиоцианаты, пиразины.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0" s="28" t="str">
        <x:v>не переваривать; избыток воды делает вкус плоским; сернистость усиливается при хранении</x:v>
      </x:c>
      <x:c r="I490" s="28" t="str">
        <x:v>горячее блюдо, бульон, соус, пюре, ферментация или гарнир с брокколи</x:v>
      </x:c>
      <x:c r="J490" s="28" t="str">
        <x:v>Средняя</x:v>
      </x:c>
      <x:c r="K490" s="28" t="str">
        <x:v>Тезариус вкусов (Ники Сегнит)(1).pdf</x:v>
      </x:c>
      <x:c r="L490" s="28" t="str">
        <x:v>Тезариус вкусов (Ники Сегнит)(1).pdf: 321, 332</x:v>
      </x:c>
    </x:row>
    <x:row r="491" ht="66" customHeight="1">
      <x:c r="A491" s="28" t="str">
        <x:v>VEG-0987</x:v>
      </x:c>
      <x:c r="B491" s="28" t="str">
        <x:v>цветная капуста</x:v>
      </x:c>
      <x:c r="C491" s="28" t="str">
        <x:v>виноград</x:v>
      </x:c>
      <x:c r="D491" s="28" t="str">
        <x:v>Фрукты и ягоды</x:v>
      </x:c>
      <x:c r="E491" s="28" t="str">
        <x:v>кислотно-сладкий баланс; сернистая или горчичная комплементарность</x:v>
      </x:c>
      <x:c r="F491" s="28" t="str">
        <x:v>Цветная капуста имеет профиль «мягко капустный, ореховый, сернистый и сливочный после запекания».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1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491" s="28" t="str">
        <x:v>горячее блюдо, бульон, соус, пюре, ферментация или гарнир с виноград</x:v>
      </x:c>
      <x:c r="J491" s="28" t="str">
        <x:v>Высокая</x:v>
      </x:c>
      <x:c r="K491" s="28" t="str">
        <x:v>The Art &amp; Science of Foodpairing.pdf</x:v>
      </x:c>
      <x:c r="L491" s="28" t="str">
        <x:v>The Art &amp; Science of Foodpairing.pdf: 66</x:v>
      </x:c>
    </x:row>
    <x:row r="492" ht="66" customHeight="1">
      <x:c r="A492" s="28" t="str">
        <x:v>VEG-0988</x:v>
      </x:c>
      <x:c r="B492" s="28" t="str">
        <x:v>цветная капуста</x:v>
      </x:c>
      <x:c r="C492" s="28" t="str">
        <x:v>гибискус</x:v>
      </x:c>
      <x:c r="D492" s="28" t="str">
        <x:v>Прочее</x:v>
      </x:c>
      <x:c r="E492" s="28" t="str">
        <x:v>сернистая или горчичная комплементарность</x:v>
      </x:c>
      <x:c r="F492" s="28" t="str">
        <x:v>Цветная капуста имеет профиль «мягко капустный, ореховый, сернистый и сливочный после запекания». Партнёр «гибискус»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2" s="28" t="str">
        <x:v>не переваривать; избыток воды делает вкус плоским; сернистость усиливается при хранении</x:v>
      </x:c>
      <x:c r="I492" s="28" t="str">
        <x:v>горячее блюдо, бульон, соус, пюре, ферментация или гарнир с гибискус</x:v>
      </x:c>
      <x:c r="J492" s="28" t="str">
        <x:v>Средняя</x:v>
      </x:c>
      <x:c r="K492" s="28" t="str">
        <x:v>The Art &amp; Science of Foodpairing.pdf</x:v>
      </x:c>
      <x:c r="L492" s="28" t="str">
        <x:v>The Art &amp; Science of Foodpairing.pdf: 67</x:v>
      </x:c>
    </x:row>
    <x:row r="493" ht="66" customHeight="1">
      <x:c r="A493" s="28" t="str">
        <x:v>VEG-0989</x:v>
      </x:c>
      <x:c r="B493" s="28" t="str">
        <x:v>цветная капуста</x:v>
      </x:c>
      <x:c r="C493" s="28" t="str">
        <x:v>грецкий орех</x:v>
      </x:c>
      <x:c r="D493" s="28" t="str">
        <x:v>Орехи и семена</x:v>
      </x:c>
      <x:c r="E493" s="28" t="str">
        <x:v>общие характерные молекулы; пересечение ароматических семейств; сернистая или горчичная комплементарность</x:v>
      </x:c>
      <x:c r="F493" s="28" t="str">
        <x:v>Цветная капуста имеет профиль «мягко капустный, ореховый, сернистый и сливочный после запекания». Партнёр «грецкий орех» относится к группе «Орехи и семена» и даёт древесный, землистый,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3" s="28" t="str">
        <x:v>не переваривать; избыток воды делает вкус плоским; сернистость усиливается при хранении</x:v>
      </x:c>
      <x:c r="I493" s="28" t="str">
        <x:v>горячее блюдо, бульон, соус, пюре, ферментация или гарнир с грецкий орех</x:v>
      </x:c>
      <x:c r="J493" s="28" t="str">
        <x:v>Средняя</x:v>
      </x:c>
      <x:c r="K493" s="28" t="str">
        <x:v>Тезариус вкусов (Ники Сегнит)(1).pdf</x:v>
      </x:c>
      <x:c r="L493" s="28" t="str">
        <x:v>Тезариус вкусов (Ники Сегнит)(1).pdf: 321, 629</x:v>
      </x:c>
    </x:row>
    <x:row r="494" ht="66" customHeight="1">
      <x:c r="A494" s="28" t="str">
        <x:v>VEG-0990</x:v>
      </x:c>
      <x:c r="B494" s="28" t="str">
        <x:v>цветная капуста</x:v>
      </x:c>
      <x:c r="C494" s="28" t="str">
        <x:v>зира</x:v>
      </x:c>
      <x:c r="D494" s="28" t="str">
        <x:v>Специи</x:v>
      </x:c>
      <x:c r="E494" s="28" t="str">
        <x:v>сернистая или горчичная комплементарность</x:v>
      </x:c>
      <x:c r="F494" s="28" t="str">
        <x:v>Цветная капуста имеет профиль «мягко капустный, ореховый, сернистый и сливочный после запекания». Партнёр «зира» относится к группе «Специи» и даёт жареный, землистый, пряный.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4" s="28" t="str">
        <x:v>не переваривать; избыток воды делает вкус плоским; сернистость усиливается при хранении</x:v>
      </x:c>
      <x:c r="I494" s="28" t="str">
        <x:v>горячее блюдо, бульон, соус, пюре, ферментация или гарнир с зира</x:v>
      </x:c>
      <x:c r="J494" s="28" t="str">
        <x:v>Средняя</x:v>
      </x:c>
      <x:c r="K494" s="28" t="str">
        <x:v>Тезариус вкусов (Ники Сегнит)(1).pdf</x:v>
      </x:c>
      <x:c r="L494" s="28" t="str">
        <x:v>Тезариус вкусов (Ники Сегнит)(1).pdf: 220, 322</x:v>
      </x:c>
    </x:row>
    <x:row r="495" ht="66" customHeight="1">
      <x:c r="A495" s="28" t="str">
        <x:v>VEG-0991</x:v>
      </x:c>
      <x:c r="B495" s="28" t="str">
        <x:v>цветная капуста</x:v>
      </x:c>
      <x:c r="C495" s="28" t="str">
        <x:v>каперсы</x:v>
      </x:c>
      <x:c r="D495" s="28" t="str">
        <x:v>Прочее</x:v>
      </x:c>
      <x:c r="E495" s="28" t="str">
        <x:v>сернистая или горчичная комплементарность</x:v>
      </x:c>
      <x:c r="F495" s="28" t="str">
        <x:v>Цветная капуста имеет профиль «мягко капустный, ореховый, сернистый и сливочный после запекания». Партнёр «каперсы»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5" s="28" t="str">
        <x:v>не переваривать; избыток воды делает вкус плоским; сернистость усиливается при хранении</x:v>
      </x:c>
      <x:c r="I495" s="28" t="str">
        <x:v>горячее блюдо, бульон, соус, пюре, ферментация или гарнир с каперсы</x:v>
      </x:c>
      <x:c r="J495" s="28" t="str">
        <x:v>Средняя</x:v>
      </x:c>
      <x:c r="K495" s="28" t="str">
        <x:v>Тезариус вкусов (Ники Сегнит)(1).pdf</x:v>
      </x:c>
      <x:c r="L495" s="28" t="str">
        <x:v>Тезариус вкусов (Ники Сегнит)(1).pdf: 271, 322</x:v>
      </x:c>
    </x:row>
    <x:row r="496" ht="66" customHeight="1">
      <x:c r="A496" s="28" t="str">
        <x:v>VEG-0992</x:v>
      </x:c>
      <x:c r="B496" s="28" t="str">
        <x:v>цветная капуста</x:v>
      </x:c>
      <x:c r="C496" s="28" t="str">
        <x:v>кимчи</x:v>
      </x:c>
      <x:c r="D496" s="28" t="str">
        <x:v>Ферментированные продукты и соусы</x:v>
      </x:c>
      <x:c r="E496" s="28" t="str">
        <x:v>общие характерные молекулы; умами и солёный контраст; сернистая или горчичная комплементарность</x:v>
      </x:c>
      <x:c r="F496" s="28" t="str">
        <x:v>Цветная капуста имеет профиль «мягко капустный, ореховый, сернистый и сливочный после запекания». Партнёр «кимчи» относится к группе «Ферментированные продукты и соусы» и даёт ферментированный, умами и сложный. Вероятный молекулярный мост: пиразины.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6" s="28" t="str">
        <x:v>не переваривать; избыток воды делает вкус плоским; сернистость усиливается при хранении</x:v>
      </x:c>
      <x:c r="I496" s="28" t="str">
        <x:v>горячее блюдо, бульон, соус, пюре, ферментация или гарнир с кимчи</x:v>
      </x:c>
      <x:c r="J496" s="28" t="str">
        <x:v>Средняя</x:v>
      </x:c>
      <x:c r="K496" s="28" t="str">
        <x:v>The Art &amp; Science of Foodpairing.pdf</x:v>
      </x:c>
      <x:c r="L496" s="28" t="str">
        <x:v>The Art &amp; Science of Foodpairing.pdf: 305</x:v>
      </x:c>
    </x:row>
    <x:row r="497" ht="66" customHeight="1">
      <x:c r="A497" s="28" t="str">
        <x:v>VEG-0993</x:v>
      </x:c>
      <x:c r="B497" s="28" t="str">
        <x:v>цветная капуста</x:v>
      </x:c>
      <x:c r="C497" s="28" t="str">
        <x:v>клубника</x:v>
      </x:c>
      <x:c r="D497" s="28" t="str">
        <x:v>Фрукты и ягоды</x:v>
      </x:c>
      <x:c r="E497" s="28" t="str">
        <x:v>кислотно-сладкий баланс; сернистая или горчичная комплементарность</x:v>
      </x:c>
      <x:c r="F497" s="28" t="str">
        <x:v>Цветная капуста имеет профиль «мягко капустный, ореховый, сернистый и сливочный после запекания».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7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497" s="28" t="str">
        <x:v>горячее блюдо, бульон, соус, пюре, ферментация или гарнир с клубника</x:v>
      </x:c>
      <x:c r="J497" s="28" t="str">
        <x:v>Высокая</x:v>
      </x:c>
      <x:c r="K497" s="28" t="str">
        <x:v>The Art &amp; Science of Foodpairing.pdf</x:v>
      </x:c>
      <x:c r="L497" s="28" t="str">
        <x:v>The Art &amp; Science of Foodpairing.pdf: 67</x:v>
      </x:c>
    </x:row>
    <x:row r="498" ht="66" customHeight="1">
      <x:c r="A498" s="28" t="str">
        <x:v>VEG-0994</x:v>
      </x:c>
      <x:c r="B498" s="28" t="str">
        <x:v>цветная капуста</x:v>
      </x:c>
      <x:c r="C498" s="28" t="str">
        <x:v>корица</x:v>
      </x:c>
      <x:c r="D498" s="28" t="str">
        <x:v>Специи</x:v>
      </x:c>
      <x:c r="E498" s="28" t="str">
        <x:v>сернистая или горчичная комплементарность</x:v>
      </x:c>
      <x:c r="F498" s="28" t="str">
        <x:v>Цветная капуста имеет профиль «мягко капустный, ореховый, сернистый и сливочный после запекания».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8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8" s="28" t="str">
        <x:v>не переваривать; избыток воды делает вкус плоским; сернистость усиливается при хранении</x:v>
      </x:c>
      <x:c r="I498" s="28" t="str">
        <x:v>горячее блюдо, бульон, соус, пюре, ферментация или гарнир с корица</x:v>
      </x:c>
      <x:c r="J498" s="28" t="str">
        <x:v>Средняя</x:v>
      </x:c>
      <x:c r="K498" s="28" t="str">
        <x:v>The Art &amp; Science of Foodpairing.pdf</x:v>
      </x:c>
      <x:c r="L498" s="28" t="str">
        <x:v>The Art &amp; Science of Foodpairing.pdf: 67</x:v>
      </x:c>
    </x:row>
    <x:row r="499" ht="66" customHeight="1">
      <x:c r="A499" s="28" t="str">
        <x:v>VEG-0995</x:v>
      </x:c>
      <x:c r="B499" s="28" t="str">
        <x:v>цветная капуста</x:v>
      </x:c>
      <x:c r="C499" s="28" t="str">
        <x:v>кофе</x:v>
      </x:c>
      <x:c r="D499" s="28" t="str">
        <x:v>Кофе</x:v>
      </x:c>
      <x:c r="E499" s="28" t="str">
        <x:v>общие характерные молекулы; пересечение ароматических семейств; сернистая или горчичная комплементарность</x:v>
      </x:c>
      <x:c r="F499" s="28" t="str">
        <x:v>Цветная капуста имеет профиль «мягко капустный, ореховый, сернистый и сливочный после запекания». Партнёр «кофе» относится к группе «Кофе» и даёт жареный, карамельный,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49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499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I499" s="28" t="str">
        <x:v>горячее блюдо, бульон, соус, пюре, ферментация или гарнир с кофе</x:v>
      </x:c>
      <x:c r="J499" s="28" t="str">
        <x:v>Средняя</x:v>
      </x:c>
      <x:c r="K499" s="28" t="str">
        <x:v>The Art &amp; Science of Foodpairing.pdf</x:v>
      </x:c>
      <x:c r="L499" s="28" t="str">
        <x:v>The Art &amp; Science of Foodpairing.pdf: 297</x:v>
      </x:c>
    </x:row>
    <x:row r="500" ht="66" customHeight="1">
      <x:c r="A500" s="28" t="str">
        <x:v>VEG-0996</x:v>
      </x:c>
      <x:c r="B500" s="28" t="str">
        <x:v>цветная капуста</x:v>
      </x:c>
      <x:c r="C500" s="28" t="str">
        <x:v>миндаль</x:v>
      </x:c>
      <x:c r="D500" s="28" t="str">
        <x:v>Орехи и семена</x:v>
      </x:c>
      <x:c r="E500" s="28" t="str">
        <x:v>общие характерные молекулы; пересечение ароматических семейств; сернистая или горчичная комплементарность</x:v>
      </x:c>
      <x:c r="F500" s="28" t="str">
        <x:v>Цветная капуста имеет профиль «мягко капустный, ореховый, сернистый и сливочный после запекания». Партнёр «миндаль» относится к группе «Орехи и семена» и даёт жареный, миндальный, ореховый.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0" s="28" t="str">
        <x:v>не переваривать; избыток воды делает вкус плоским; сернистость усиливается при хранении</x:v>
      </x:c>
      <x:c r="I500" s="28" t="str">
        <x:v>горячее блюдо, бульон, соус, пюре, ферментация или гарнир с миндаль</x:v>
      </x:c>
      <x:c r="J500" s="28" t="str">
        <x:v>Средняя</x:v>
      </x:c>
      <x:c r="K500" s="28" t="str">
        <x:v>Тезариус вкусов (Ники Сегнит)(1).pdf</x:v>
      </x:c>
      <x:c r="L500" s="28" t="str">
        <x:v>Тезариус вкусов (Ники Сегнит)(1).pdf: 324, 648</x:v>
      </x:c>
    </x:row>
    <x:row r="501" ht="66" customHeight="1">
      <x:c r="A501" s="28" t="str">
        <x:v>VEG-0997</x:v>
      </x:c>
      <x:c r="B501" s="28" t="str">
        <x:v>цветная капуста</x:v>
      </x:c>
      <x:c r="C501" s="28" t="str">
        <x:v>моллюски</x:v>
      </x:c>
      <x:c r="D501" s="28" t="str">
        <x:v>Рыба и морепродукты</x:v>
      </x:c>
      <x:c r="E501" s="28" t="str">
        <x:v>умами и солёный контраст; сернистая или горчичная комплементарность</x:v>
      </x:c>
      <x:c r="F501" s="28" t="str">
        <x:v>Цветная капуста имеет профиль «мягко капустный, ореховый, сернистый и сливочный после запекания». Партнёр «моллюски»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1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1" s="28" t="str">
        <x:v>не переваривать; избыток воды делает вкус плоским; сернистость усиливается при хранении</x:v>
      </x:c>
      <x:c r="I501" s="28" t="str">
        <x:v>горячее блюдо, бульон, соус, пюре, ферментация или гарнир с моллюски</x:v>
      </x:c>
      <x:c r="J501" s="28" t="str">
        <x:v>Средняя</x:v>
      </x:c>
      <x:c r="K501" s="28" t="str">
        <x:v>Тезариус вкусов (Ники Сегнит)(1).pdf</x:v>
      </x:c>
      <x:c r="L501" s="28" t="str">
        <x:v>Тезариус вкусов (Ники Сегнит)(1).pdf: 324, 377</x:v>
      </x:c>
    </x:row>
    <x:row r="502" ht="66" customHeight="1">
      <x:c r="A502" s="28" t="str">
        <x:v>VEG-0998</x:v>
      </x:c>
      <x:c r="B502" s="28" t="str">
        <x:v>цветная капуста</x:v>
      </x:c>
      <x:c r="C502" s="28" t="str">
        <x:v>мускатный орех</x:v>
      </x:c>
      <x:c r="D502" s="28" t="str">
        <x:v>Рыба и морепродукты</x:v>
      </x:c>
      <x:c r="E502" s="28" t="str">
        <x:v>пересечение ароматических семейств; умами и солёный контраст; сернистая или горчичная комплементарность</x:v>
      </x:c>
      <x:c r="F502" s="28" t="str">
        <x:v>Цветная капуста имеет профиль «мягко капустный, ореховый, сернистый и сливочный после запекания». Партнёр «мускатный орех» относится к группе «Рыба и морепродукты» и даёт камфорный, ореховый, пряный. Профили пересекаются в семействах: ореховый.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2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2" s="28" t="str">
        <x:v>не переваривать; избыток воды делает вкус плоским; сернистость усиливается при хранении</x:v>
      </x:c>
      <x:c r="I502" s="28" t="str">
        <x:v>горячее блюдо, бульон, соус, пюре, ферментация или гарнир с мускатный орех</x:v>
      </x:c>
      <x:c r="J502" s="28" t="str">
        <x:v>Средняя</x:v>
      </x:c>
      <x:c r="K502" s="28" t="str">
        <x:v>Тезариус вкусов (Ники Сегнит)(1).pdf</x:v>
      </x:c>
      <x:c r="L502" s="28" t="str">
        <x:v>Тезариус вкусов (Ники Сегнит)(1).pdf: 325, 592</x:v>
      </x:c>
    </x:row>
    <x:row r="503" ht="66" customHeight="1">
      <x:c r="A503" s="28" t="str">
        <x:v>VEG-0999</x:v>
      </x:c>
      <x:c r="B503" s="28" t="str">
        <x:v>цветная капуста</x:v>
      </x:c>
      <x:c r="C503" s="28" t="str">
        <x:v>сливочное масло</x:v>
      </x:c>
      <x:c r="D503" s="28" t="str">
        <x:v>Фрукты и ягоды</x:v>
      </x:c>
      <x:c r="E503" s="28" t="str">
        <x:v>пересечение ароматических семейств; кислотно-сладкий баланс; сернистая или горчичная комплементарность</x:v>
      </x:c>
      <x:c r="F503" s="28" t="str">
        <x:v>Цветная капуста имеет профиль «мягко капустный, ореховый, сернистый и сливочный после запекания». Партнёр «сливочное масло» относится к группе «Фрукты и ягоды» и даёт жирный, сливочный. Профили пересекаются в семействах: сливочный.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3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3" s="28" t="str">
        <x:v>не переваривать; избыток воды делает вкус плоским; сернистость усиливается при хранении; избыток кислоты или воды может сделать овощной вкус тонким и разрушить сливочную эмульсию</x:v>
      </x:c>
      <x:c r="I503" s="28" t="str">
        <x:v>горячее блюдо, бульон, соус, пюре, ферментация или гарнир с сливочное масло</x:v>
      </x:c>
      <x:c r="J503" s="28" t="str">
        <x:v>Средняя</x:v>
      </x:c>
      <x:c r="K503" s="28" t="str">
        <x:v>The Art &amp; Science of Foodpairing.pdf</x:v>
      </x:c>
      <x:c r="L503" s="28" t="str">
        <x:v>The Art &amp; Science of Foodpairing.pdf: 67</x:v>
      </x:c>
    </x:row>
    <x:row r="504" ht="66" customHeight="1">
      <x:c r="A504" s="28" t="str">
        <x:v>VEG-1000</x:v>
      </x:c>
      <x:c r="B504" s="28" t="str">
        <x:v>цветная капуста</x:v>
      </x:c>
      <x:c r="C504" s="28" t="str">
        <x:v>твердый сыр</x:v>
      </x:c>
      <x:c r="D504" s="28" t="str">
        <x:v>Молочные продукты и сыры</x:v>
      </x:c>
      <x:c r="E504" s="28" t="str">
        <x:v>жировая матрица; сернистая или горчичная комплементарность</x:v>
      </x:c>
      <x:c r="F504" s="28" t="str">
        <x:v>Цветная капуста имеет профиль «мягко капустный, ореховый, сернистый и сливочный после запекания». Партнёр «твердый сыр» относится к группе «Молочные продукты и сыры» и даёт молочный, умами, ферментированный.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4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4" s="28" t="str">
        <x:v>не переваривать; избыток воды делает вкус плоским; сернистость усиливается при хранении; жир способен приглушить свежую зелёную ароматику</x:v>
      </x:c>
      <x:c r="I504" s="28" t="str">
        <x:v>горячее блюдо, бульон, соус, пюре, ферментация или гарнир с твердый сыр</x:v>
      </x:c>
      <x:c r="J504" s="28" t="str">
        <x:v>Средняя</x:v>
      </x:c>
      <x:c r="K504" s="28" t="str">
        <x:v>Тезариус вкусов (Ники Сегнит)(1).pdf</x:v>
      </x:c>
      <x:c r="L504" s="28" t="str">
        <x:v>Тезариус вкусов (Ники Сегнит)(1).pdf: 177, 325</x:v>
      </x:c>
    </x:row>
    <x:row r="505" ht="66" customHeight="1">
      <x:c r="A505" s="28" t="str">
        <x:v>VEG-1001</x:v>
      </x:c>
      <x:c r="B505" s="28" t="str">
        <x:v>цветная капуста</x:v>
      </x:c>
      <x:c r="C505" s="28" t="str">
        <x:v>трюфель</x:v>
      </x:c>
      <x:c r="D505" s="28" t="str">
        <x:v>Грибы</x:v>
      </x:c>
      <x:c r="E505" s="28" t="str">
        <x:v>умами и солёный контраст; сернистая или горчичная комплементарность</x:v>
      </x:c>
      <x:c r="F505" s="28" t="str">
        <x:v>Цветная капуста имеет профиль «мягко капустный, ореховый, сернистый и сливочный после запекания». Партнёр «трюфель» относится к группе «Грибы» и даёт землистый, грибной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5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5" s="28" t="str">
        <x:v>не переваривать; избыток воды делает вкус плоским; сернистость усиливается при хранении</x:v>
      </x:c>
      <x:c r="I505" s="28" t="str">
        <x:v>горячее блюдо, бульон, соус, пюре, ферментация или гарнир с трюфель</x:v>
      </x:c>
      <x:c r="J505" s="28" t="str">
        <x:v>Средняя</x:v>
      </x:c>
      <x:c r="K505" s="28" t="str">
        <x:v>Тезариус вкусов (Ники Сегнит)(1).pdf</x:v>
      </x:c>
      <x:c r="L505" s="28" t="str">
        <x:v>Тезариус вкусов (Ники Сегнит)(1).pdf: 306, 326</x:v>
      </x:c>
    </x:row>
    <x:row r="506" ht="66" customHeight="1">
      <x:c r="A506" s="28" t="str">
        <x:v>VEG-1002</x:v>
      </x:c>
      <x:c r="B506" s="28" t="str">
        <x:v>цветная капуста</x:v>
      </x:c>
      <x:c r="C506" s="28" t="str">
        <x:v>тюрбо</x:v>
      </x:c>
      <x:c r="D506" s="28" t="str">
        <x:v>Прочее</x:v>
      </x:c>
      <x:c r="E506" s="28" t="str">
        <x:v>сернистая или горчичная комплементарность</x:v>
      </x:c>
      <x:c r="F506" s="28" t="str">
        <x:v>Цветная капуста имеет профиль «мягко капустный, ореховый, сернистый и сливочный после запекания». Партнёр «тюрбо»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6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6" s="28" t="str">
        <x:v>не переваривать; избыток воды делает вкус плоским; сернистость усиливается при хранении</x:v>
      </x:c>
      <x:c r="I506" s="28" t="str">
        <x:v>горячее блюдо, бульон, соус, пюре, ферментация или гарнир с тюрбо</x:v>
      </x:c>
      <x:c r="J506" s="28" t="str">
        <x:v>Высокая</x:v>
      </x:c>
      <x:c r="K506" s="28" t="str">
        <x:v>The Art &amp; Science of Foodpairing.pdf</x:v>
      </x:c>
      <x:c r="L506" s="28" t="str">
        <x:v>The Art &amp; Science of Foodpairing.pdf: 66</x:v>
      </x:c>
    </x:row>
    <x:row r="507" ht="66" customHeight="1">
      <x:c r="A507" s="28" t="str">
        <x:v>VEG-1003</x:v>
      </x:c>
      <x:c r="B507" s="28" t="str">
        <x:v>цветная капуста</x:v>
      </x:c>
      <x:c r="C507" s="28" t="str">
        <x:v>черная икра</x:v>
      </x:c>
      <x:c r="D507" s="28" t="str">
        <x:v>Рыба и морепродукты</x:v>
      </x:c>
      <x:c r="E507" s="28" t="str">
        <x:v>умами и солёный контраст; сернистая или горчичная комплементарность</x:v>
      </x:c>
      <x:c r="F507" s="28" t="str">
        <x:v>Цветная капуста имеет профиль «мягко капустный, ореховый, сернистый и сливочный после запекания». Партнёр «черная икра» относится к группе «Рыба и морепродукты» и даёт морской, солоноватый и умами. Прямое совпадение одной ключевой молекулы по рабочим профилям не подтверждено; механизм не следует сводить к одной молекуле.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7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7" s="28" t="str">
        <x:v>не переваривать; избыток воды делает вкус плоским; сернистость усиливается при хранении</x:v>
      </x:c>
      <x:c r="I507" s="28" t="str">
        <x:v>горячее блюдо, бульон, соус, пюре, ферментация или гарнир с черная икра</x:v>
      </x:c>
      <x:c r="J507" s="28" t="str">
        <x:v>Средняя</x:v>
      </x:c>
      <x:c r="K507" s="28" t="str">
        <x:v>Тезариус вкусов (Ники Сегнит)(1).pdf</x:v>
      </x:c>
      <x:c r="L507" s="28" t="str">
        <x:v>Тезариус вкусов (Ники Сегнит)(1).pdf: 326, 408</x:v>
      </x:c>
    </x:row>
    <x:row r="508" ht="66" customHeight="1">
      <x:c r="A508" s="28" t="str">
        <x:v>VEG-1004</x:v>
      </x:c>
      <x:c r="B508" s="28" t="str">
        <x:v>цветная капуста</x:v>
      </x:c>
      <x:c r="C508" s="28" t="str">
        <x:v>чили</x:v>
      </x:c>
      <x:c r="D508" s="28" t="str">
        <x:v>Специи</x:v>
      </x:c>
      <x:c r="E508" s="28" t="str">
        <x:v>сернистая или горчичная комплементарность</x:v>
      </x:c>
      <x:c r="F508" s="28" t="str">
        <x:v>Цветная капуста имеет профиль «мягко капустный, ореховый, сернистый и сливочный после запекания».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8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8" s="28" t="str">
        <x:v>не переваривать; избыток воды делает вкус плоским; сернистость усиливается при хранении</x:v>
      </x:c>
      <x:c r="I508" s="28" t="str">
        <x:v>горячее блюдо, бульон, соус, пюре, ферментация или гарнир с чили</x:v>
      </x:c>
      <x:c r="J508" s="28" t="str">
        <x:v>Средняя</x:v>
      </x:c>
      <x:c r="K508" s="28" t="str">
        <x:v>Тезариус вкусов (Ники Сегнит)(1).pdf</x:v>
      </x:c>
      <x:c r="L508" s="28" t="str">
        <x:v>Тезариус вкусов (Ники Сегнит)(1).pdf: 327, 560</x:v>
      </x:c>
    </x:row>
    <x:row r="509" ht="66" customHeight="1">
      <x:c r="A509" s="28" t="str">
        <x:v>VEG-1005</x:v>
      </x:c>
      <x:c r="B509" s="28" t="str">
        <x:v>цветная капуста</x:v>
      </x:c>
      <x:c r="C509" s="28" t="str">
        <x:v>шафран</x:v>
      </x:c>
      <x:c r="D509" s="28" t="str">
        <x:v>Специи</x:v>
      </x:c>
      <x:c r="E509" s="28" t="str">
        <x:v>сернистая или горчичная комплементарность</x:v>
      </x:c>
      <x:c r="F509" s="28" t="str">
        <x:v>Цветная капуста имеет профиль «мягко капустный, ореховый, сернистый и сливочный после запекания».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09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09" s="28" t="str">
        <x:v>не переваривать; избыток воды делает вкус плоским; сернистость усиливается при хранении</x:v>
      </x:c>
      <x:c r="I509" s="28" t="str">
        <x:v>горячее блюдо, бульон, соус, пюре, ферментация или гарнир с шафран</x:v>
      </x:c>
      <x:c r="J509" s="28" t="str">
        <x:v>Средняя</x:v>
      </x:c>
      <x:c r="K509" s="28" t="str">
        <x:v>Тезариус вкусов (Ники Сегнит)(1).pdf</x:v>
      </x:c>
      <x:c r="L509" s="28" t="str">
        <x:v>Тезариус вкусов (Ники Сегнит)(1).pdf: 327, 477</x:v>
      </x:c>
    </x:row>
    <x:row r="510" ht="66" customHeight="1">
      <x:c r="A510" s="28" t="str">
        <x:v>VEG-1006</x:v>
      </x:c>
      <x:c r="B510" s="28" t="str">
        <x:v>цветная капуста</x:v>
      </x:c>
      <x:c r="C510" s="28" t="str">
        <x:v>шоколад</x:v>
      </x:c>
      <x:c r="D510" s="28" t="str">
        <x:v>Какао и шоколад</x:v>
      </x:c>
      <x:c r="E510" s="28" t="str">
        <x:v>общие характерные молекулы; сернистая или горчичная комплементарность</x:v>
      </x:c>
      <x:c r="F510" s="28" t="str">
        <x:v>Цветная капуста имеет профиль «мягко капустный, ореховый, сернистый и сливочный после запекания». Партнёр «шоколад» относится к группе «Какао и шоколад» и даёт жареный, какаовый, карамельный. Вероятный молекулярный мост: пиразины.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0" s="28" t="str">
        <x:v>запекание создаёт ореховые и жареные ноты; длительная варка усиливает сернистость. Контролировать время: переваривание усиливает сернистость и разрушает текстуру.</x:v>
      </x:c>
      <x:c r="H510" s="28" t="str">
        <x:v>не переваривать; избыток воды делает вкус плоским; сернистость усиливается при хранении; жареная горечь легко маскирует нежный овощной аромат</x:v>
      </x:c>
      <x:c r="I510" s="28" t="str">
        <x:v>горячее блюдо, бульон, соус, пюре, ферментация или гарнир с шоколад</x:v>
      </x:c>
      <x:c r="J510" s="28" t="str">
        <x:v>Высокая</x:v>
      </x:c>
      <x:c r="K510" s="28" t="str">
        <x:v>The Art &amp; Science of Foodpairing.pdf | Тезариус вкусов (Ники Сегнит)(1).pdf</x:v>
      </x:c>
      <x:c r="L510" s="28" t="str">
        <x:v>Тезариус вкусов (Ники Сегнит)(1).pdf: 37, 327; The Art &amp; Science of Foodpairing.pdf: 61, 63</x:v>
      </x:c>
    </x:row>
    <x:row r="511" ht="66" customHeight="1">
      <x:c r="A511" s="28" t="str">
        <x:v>VEG-1007</x:v>
      </x:c>
      <x:c r="B511" s="28" t="str">
        <x:v>чеснок</x:v>
      </x:c>
      <x:c r="C511" s="28" t="str">
        <x:v>айва</x:v>
      </x:c>
      <x:c r="D511" s="28" t="str">
        <x:v>Прочее</x:v>
      </x:c>
      <x:c r="E511" s="28" t="str">
        <x:v>сернистая или горчичная комплементарность</x:v>
      </x:c>
      <x:c r="F511" s="28" t="str">
        <x:v>Чеснок имеет профиль «резкий сернистый, зелёный и мясной; после запекания — сладкий и ореховый». Партнёр «айва»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1" s="28" t="str">
        <x:v>сырой чеснок быстро доминирует; пережжённый чеснок очень горький; хранить и обрабатывать по пищевым нормам</x:v>
      </x:c>
      <x:c r="I511" s="28" t="str">
        <x:v>горячее блюдо, бульон, соус, пюре, ферментация или гарнир с айва</x:v>
      </x:c>
      <x:c r="J511" s="28" t="str">
        <x:v>Средняя</x:v>
      </x:c>
      <x:c r="K511" s="28" t="str">
        <x:v>The Art &amp; Science of Foodpairing.pdf</x:v>
      </x:c>
      <x:c r="L511" s="28" t="str">
        <x:v>The Art &amp; Science of Foodpairing.pdf: 114</x:v>
      </x:c>
    </x:row>
    <x:row r="512" ht="66" customHeight="1">
      <x:c r="A512" s="28" t="str">
        <x:v>VEG-1008</x:v>
      </x:c>
      <x:c r="B512" s="28" t="str">
        <x:v>чеснок</x:v>
      </x:c>
      <x:c r="C512" s="28" t="str">
        <x:v>анчоусы</x:v>
      </x:c>
      <x:c r="D512" s="28" t="str">
        <x:v>Рыба и морепродукты</x:v>
      </x:c>
      <x:c r="E512" s="28" t="str">
        <x:v>пересечение ароматических семейств; умами и солёный контраст; сернистая или горчичная комплементарность</x:v>
      </x:c>
      <x:c r="F512" s="28" t="str">
        <x:v>Чеснок имеет профиль «резкий сернистый, зелёный и мясной; после запекания — сладкий и ореховый». Партнёр «анчоусы»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2" s="28" t="str">
        <x:v>сырой чеснок быстро доминирует; пережжённый чеснок очень горький; хранить и обрабатывать по пищевым нормам</x:v>
      </x:c>
      <x:c r="I512" s="28" t="str">
        <x:v>горячее блюдо, бульон, соус, пюре, ферментация или гарнир с анчоусы</x:v>
      </x:c>
      <x:c r="J512" s="28" t="str">
        <x:v>Средняя</x:v>
      </x:c>
      <x:c r="K512" s="28" t="str">
        <x:v>Тезариус вкусов (Ники Сегнит)(1).pdf</x:v>
      </x:c>
      <x:c r="L512" s="28" t="str">
        <x:v>Тезариус вкусов (Ники Сегнит)(1).pdf: 291, 431</x:v>
      </x:c>
    </x:row>
    <x:row r="513" ht="66" customHeight="1">
      <x:c r="A513" s="28" t="str">
        <x:v>VEG-1009</x:v>
      </x:c>
      <x:c r="B513" s="28" t="str">
        <x:v>чеснок</x:v>
      </x:c>
      <x:c r="C513" s="28" t="str">
        <x:v>арахис</x:v>
      </x:c>
      <x:c r="D513" s="28" t="str">
        <x:v>Орехи и семена</x:v>
      </x:c>
      <x:c r="E513" s="28" t="str">
        <x:v>пересечение ароматических семейств; сернистая или горчичная комплементарность</x:v>
      </x:c>
      <x:c r="F513" s="28" t="str">
        <x:v>Чеснок имеет профиль «резкий сернистый, зелёный и мясной; после запекания — сладкий и ореховый». Партнёр «арахис»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3" s="28" t="str">
        <x:v>сырой чеснок быстро доминирует; пережжённый чеснок очень горький; хранить и обрабатывать по пищевым нормам</x:v>
      </x:c>
      <x:c r="I513" s="28" t="str">
        <x:v>горячее блюдо, бульон, соус, пюре, ферментация или гарнир с арахис</x:v>
      </x:c>
      <x:c r="J513" s="28" t="str">
        <x:v>Средняя</x:v>
      </x:c>
      <x:c r="K513" s="28" t="str">
        <x:v>The Art &amp; Science of Foodpairing.pdf</x:v>
      </x:c>
      <x:c r="L513" s="28" t="str">
        <x:v>The Art &amp; Science of Foodpairing.pdf: 113, 114</x:v>
      </x:c>
    </x:row>
    <x:row r="514" ht="66" customHeight="1">
      <x:c r="A514" s="28" t="str">
        <x:v>VEG-1010</x:v>
      </x:c>
      <x:c r="B514" s="28" t="str">
        <x:v>чеснок</x:v>
      </x:c>
      <x:c r="C514" s="28" t="str">
        <x:v>арахисовая паста</x:v>
      </x:c>
      <x:c r="D514" s="28" t="str">
        <x:v>Орехи и семена</x:v>
      </x:c>
      <x:c r="E514" s="28" t="str">
        <x:v>пересечение ароматических семейств; сернистая или горчичная комплементарность</x:v>
      </x:c>
      <x:c r="F514" s="28" t="str">
        <x:v>Чеснок имеет профиль «резкий сернистый, зелёный и мясной; после запекания — сладкий и ореховый». Партнёр «арахисовая паста» относится к группе «Орехи и семена» и даёт ореховый, жареный и жирный.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4" s="28" t="str">
        <x:v>сырой чеснок быстро доминирует; пережжённый чеснок очень горький; хранить и обрабатывать по пищевым нормам</x:v>
      </x:c>
      <x:c r="I514" s="28" t="str">
        <x:v>горячее блюдо, бульон, соус, пюре, ферментация или гарнир с арахисовая паста</x:v>
      </x:c>
      <x:c r="J514" s="28" t="str">
        <x:v>Средняя</x:v>
      </x:c>
      <x:c r="K514" s="28" t="str">
        <x:v>The Art &amp; Science of Foodpairing.pdf</x:v>
      </x:c>
      <x:c r="L514" s="28" t="str">
        <x:v>The Art &amp; Science of Foodpairing.pdf: 114</x:v>
      </x:c>
    </x:row>
    <x:row r="515" ht="66" customHeight="1">
      <x:c r="A515" s="28" t="str">
        <x:v>VEG-1011</x:v>
      </x:c>
      <x:c r="B515" s="28" t="str">
        <x:v>чеснок</x:v>
      </x:c>
      <x:c r="C515" s="28" t="str">
        <x:v>артишок</x:v>
      </x:c>
      <x:c r="D515" s="28" t="str">
        <x:v>Соцветия и стеблевые овощи</x:v>
      </x:c>
      <x:c r="E515" s="28" t="str">
        <x:v>сернистая или горчичная комплементарность</x:v>
      </x:c>
      <x:c r="F515" s="28" t="str">
        <x:v>Чеснок имеет профиль «резкий сернистый, зелёный и мясной; после запекания — сладкий и ореховый». Партнёр «артишок» относится к группе «Соцветия и стеблевые овощи» и даёт зелёный, ореховый, травянистый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5" s="28" t="str">
        <x:v>сырой чеснок быстро доминирует; пережжённый чеснок очень горький; хранить и обрабатывать по пищевым нормам</x:v>
      </x:c>
      <x:c r="I515" s="28" t="str">
        <x:v>горячее блюдо, бульон, соус, пюре, ферментация или гарнир с артишок</x:v>
      </x:c>
      <x:c r="J515" s="28" t="str">
        <x:v>Средняя</x:v>
      </x:c>
      <x:c r="K515" s="28" t="str">
        <x:v>The Art &amp; Science of Foodpairing.pdf</x:v>
      </x:c>
      <x:c r="L515" s="28" t="str">
        <x:v>The Art &amp; Science of Foodpairing.pdf: 114</x:v>
      </x:c>
    </x:row>
    <x:row r="516" ht="66" customHeight="1">
      <x:c r="A516" s="28" t="str">
        <x:v>VEG-1012</x:v>
      </x:c>
      <x:c r="B516" s="28" t="str">
        <x:v>чеснок</x:v>
      </x:c>
      <x:c r="C516" s="28" t="str">
        <x:v>базилик</x:v>
      </x:c>
      <x:c r="D516" s="28" t="str">
        <x:v>Травы, цветы и листья</x:v>
      </x:c>
      <x:c r="E516" s="28" t="str">
        <x:v>сернистая или горчичная комплементарность</x:v>
      </x:c>
      <x:c r="F516" s="28" t="str">
        <x:v>Чеснок имеет профиль «резкий сернистый, зелёный и мясной; после запекания — сладкий и ореховый». Партнёр «базилик» относится к группе «Травы, цветы и листья» и даёт зелёный, пряный, цветочный.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6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16" s="28" t="str">
        <x:v>горячее блюдо, бульон, соус, пюре, ферментация или гарнир с базилик</x:v>
      </x:c>
      <x:c r="J516" s="28" t="str">
        <x:v>Средняя</x:v>
      </x:c>
      <x:c r="K516" s="28" t="str">
        <x:v>Тезариус вкусов (Ники Сегнит)(1).pdf</x:v>
      </x:c>
      <x:c r="L516" s="28" t="str">
        <x:v>Тезариус вкусов (Ники Сегнит)(1).pdf: 291, 570</x:v>
      </x:c>
    </x:row>
    <x:row r="517" ht="66" customHeight="1">
      <x:c r="A517" s="28" t="str">
        <x:v>VEG-1013</x:v>
      </x:c>
      <x:c r="B517" s="28" t="str">
        <x:v>чеснок</x:v>
      </x:c>
      <x:c r="C517" s="28" t="str">
        <x:v>баранина</x:v>
      </x:c>
      <x:c r="D517" s="28" t="str">
        <x:v>Мясо и птица</x:v>
      </x:c>
      <x:c r="E517" s="28" t="str">
        <x:v>пересечение ароматических семейств; умами и солёный контраст; сернистая или горчичная комплементарность</x:v>
      </x:c>
      <x:c r="F517" s="28" t="str">
        <x:v>Чеснок имеет профиль «резкий сернистый, зелёный и мясной; после запекания — сладкий и ореховый». Партнёр «баранина»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7" s="28" t="str">
        <x:v>сырой чеснок быстро доминирует; пережжённый чеснок очень горький; хранить и обрабатывать по пищевым нормам</x:v>
      </x:c>
      <x:c r="I517" s="28" t="str">
        <x:v>горячее блюдо, бульон, соус, пюре, ферментация или гарнир с баранина</x:v>
      </x:c>
      <x:c r="J517" s="28" t="str">
        <x:v>Высокая</x:v>
      </x:c>
      <x:c r="K517" s="28" t="str">
        <x:v>The Art &amp; Science of Foodpairing.pdf | Тезариус вкусов (Ники Сегнит)(1).pdf</x:v>
      </x:c>
      <x:c r="L517" s="28" t="str">
        <x:v>Тезариус вкусов (Ники Сегнит)(1).pdf: 133, 292; The Art &amp; Science of Foodpairing.pdf: 113, 114</x:v>
      </x:c>
    </x:row>
    <x:row r="518" ht="66" customHeight="1">
      <x:c r="A518" s="28" t="str">
        <x:v>VEG-1014</x:v>
      </x:c>
      <x:c r="B518" s="28" t="str">
        <x:v>чеснок</x:v>
      </x:c>
      <x:c r="C518" s="28" t="str">
        <x:v>бекон</x:v>
      </x:c>
      <x:c r="D518" s="28" t="str">
        <x:v>Мясо и птица</x:v>
      </x:c>
      <x:c r="E518" s="28" t="str">
        <x:v>пересечение ароматических семейств; умами и солёный контраст; сернистая или горчичная комплементарность</x:v>
      </x:c>
      <x:c r="F518" s="28" t="str">
        <x:v>Чеснок имеет профиль «резкий сернистый, зелёный и мясной; после запекания — сладкий и ореховый». Партнёр «бекон» относится к группе «Мясо и птица» и даёт дымный, жареный,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8" s="28" t="str">
        <x:v>сырой чеснок быстро доминирует; пережжённый чеснок очень горький; хранить и обрабатывать по пищевым нормам</x:v>
      </x:c>
      <x:c r="I518" s="28" t="str">
        <x:v>горячее блюдо, бульон, соус, пюре, ферментация или гарнир с бекон</x:v>
      </x:c>
      <x:c r="J518" s="28" t="str">
        <x:v>Средняя</x:v>
      </x:c>
      <x:c r="K518" s="28" t="str">
        <x:v>The Art &amp; Science of Foodpairing.pdf</x:v>
      </x:c>
      <x:c r="L518" s="28" t="str">
        <x:v>The Art &amp; Science of Foodpairing.pdf: 113</x:v>
      </x:c>
    </x:row>
    <x:row r="519" ht="66" customHeight="1">
      <x:c r="A519" s="28" t="str">
        <x:v>VEG-1015</x:v>
      </x:c>
      <x:c r="B519" s="28" t="str">
        <x:v>чеснок</x:v>
      </x:c>
      <x:c r="C519" s="28" t="str">
        <x:v>белая рыба</x:v>
      </x:c>
      <x:c r="D519" s="28" t="str">
        <x:v>Рыба и морепродукты</x:v>
      </x:c>
      <x:c r="E519" s="28" t="str">
        <x:v>пересечение ароматических семейств; умами и солёный контраст; сернистая или горчичная комплементарность</x:v>
      </x:c>
      <x:c r="F519" s="28" t="str">
        <x:v>Чеснок имеет профиль «резкий сернистый, зелёный и мясной; после запекания — сладкий и ореховый». Партнёр «белая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1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19" s="28" t="str">
        <x:v>сырой чеснок быстро доминирует; пережжённый чеснок очень горький; хранить и обрабатывать по пищевым нормам</x:v>
      </x:c>
      <x:c r="I519" s="28" t="str">
        <x:v>горячее блюдо, бульон, соус, пюре, ферментация или гарнир с белая рыба</x:v>
      </x:c>
      <x:c r="J519" s="28" t="str">
        <x:v>Средняя</x:v>
      </x:c>
      <x:c r="K519" s="28" t="str">
        <x:v>Тезариус вкусов (Ники Сегнит)(1).pdf</x:v>
      </x:c>
      <x:c r="L519" s="28" t="str">
        <x:v>Тезариус вкусов (Ники Сегнит)(1).pdf: 293, 393</x:v>
      </x:c>
    </x:row>
    <x:row r="520" ht="66" customHeight="1">
      <x:c r="A520" s="28" t="str">
        <x:v>VEG-1016</x:v>
      </x:c>
      <x:c r="B520" s="28" t="str">
        <x:v>чеснок</x:v>
      </x:c>
      <x:c r="C520" s="28" t="str">
        <x:v>болгарский перец</x:v>
      </x:c>
      <x:c r="D520" s="28" t="str">
        <x:v>Плодовые овощи</x:v>
      </x:c>
      <x:c r="E520" s="28" t="str">
        <x:v>сернистая или горчичная комплементарность</x:v>
      </x:c>
      <x:c r="F520" s="28" t="str">
        <x:v>Чеснок имеет профиль «резкий сернистый, зелёный и мясной; после запекания — сладкий и ореховый». Партнёр «болгарский перец» относится к группе «Плодовые овощи» и даёт зелёный, травянистый, фруктовый; у красного — сладкий и жареный.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0" s="28" t="str">
        <x:v>сырой чеснок быстро доминирует; пережжённый чеснок очень горький; хранить и обрабатывать по пищевым нормам</x:v>
      </x:c>
      <x:c r="I520" s="28" t="str">
        <x:v>горячее блюдо, бульон, соус, пюре, ферментация или гарнир с болгарский перец</x:v>
      </x:c>
      <x:c r="J520" s="28" t="str">
        <x:v>Высокая</x:v>
      </x:c>
      <x:c r="K520" s="28" t="str">
        <x:v>The Art &amp; Science of Foodpairing.pdf</x:v>
      </x:c>
      <x:c r="L520" s="28" t="str">
        <x:v>The Art &amp; Science of Foodpairing.pdf: 109, 113</x:v>
      </x:c>
    </x:row>
    <x:row r="521" ht="66" customHeight="1">
      <x:c r="A521" s="28" t="str">
        <x:v>VEG-1017</x:v>
      </x:c>
      <x:c r="B521" s="28" t="str">
        <x:v>чеснок</x:v>
      </x:c>
      <x:c r="C521" s="28" t="str">
        <x:v>брокколи</x:v>
      </x:c>
      <x:c r="D521" s="28" t="str">
        <x:v>Крестоцветные</x:v>
      </x:c>
      <x:c r="E521" s="28" t="str">
        <x:v>пересечение ароматических семейств; сернистая или горчичная комплементарность</x:v>
      </x:c>
      <x:c r="F521" s="28" t="str">
        <x:v>Чеснок имеет профиль «резкий сернистый, зелёный и мясной; после запекания — сладкий и ореховый». Партнёр «брокколи» относится к группе «Крестоцветные» и даёт зелёный, капустный, сернистый и ореховый после жарки.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1" s="28" t="str">
        <x:v>сырой чеснок быстро доминирует; пережжённый чеснок очень горький; хранить и обрабатывать по пищевым нормам</x:v>
      </x:c>
      <x:c r="I521" s="28" t="str">
        <x:v>горячее блюдо, бульон, соус, пюре, ферментация или гарнир с брокколи</x:v>
      </x:c>
      <x:c r="J521" s="28" t="str">
        <x:v>Высокая</x:v>
      </x:c>
      <x:c r="K521" s="28" t="str">
        <x:v>The Art &amp; Science of Foodpairing.pdf | Тезариус вкусов (Ники Сегнит)(1).pdf</x:v>
      </x:c>
      <x:c r="L521" s="28" t="str">
        <x:v>Тезариус вкусов (Ники Сегнит)(1).pdf: 293, 333; The Art &amp; Science of Foodpairing.pdf: 114</x:v>
      </x:c>
    </x:row>
    <x:row r="522" ht="66" customHeight="1">
      <x:c r="A522" s="28" t="str">
        <x:v>VEG-1018</x:v>
      </x:c>
      <x:c r="B522" s="28" t="str">
        <x:v>чеснок</x:v>
      </x:c>
      <x:c r="C522" s="28" t="str">
        <x:v>виноград</x:v>
      </x:c>
      <x:c r="D522" s="28" t="str">
        <x:v>Фрукты и ягоды</x:v>
      </x:c>
      <x:c r="E522" s="28" t="str">
        <x:v>кислотно-сладкий баланс; сернистая или горчичная комплементарность</x:v>
      </x:c>
      <x:c r="F522" s="28" t="str">
        <x:v>Чеснок имеет профиль «резкий сернистый, зелёный и мясной; после запекания — сладкий и ореховый». Партнёр «виноград»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2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22" s="28" t="str">
        <x:v>горячее блюдо, бульон, соус, пюре, ферментация или гарнир с виноград</x:v>
      </x:c>
      <x:c r="J522" s="28" t="str">
        <x:v>Средняя</x:v>
      </x:c>
      <x:c r="K522" s="28" t="str">
        <x:v>The Art &amp; Science of Foodpairing.pdf</x:v>
      </x:c>
      <x:c r="L522" s="28" t="str">
        <x:v>The Art &amp; Science of Foodpairing.pdf: 113</x:v>
      </x:c>
    </x:row>
    <x:row r="523" ht="66" customHeight="1">
      <x:c r="A523" s="28" t="str">
        <x:v>VEG-1019</x:v>
      </x:c>
      <x:c r="B523" s="28" t="str">
        <x:v>чеснок</x:v>
      </x:c>
      <x:c r="C523" s="28" t="str">
        <x:v>водоросль кодиум</x:v>
      </x:c>
      <x:c r="D523" s="28" t="str">
        <x:v>Прочее</x:v>
      </x:c>
      <x:c r="E523" s="28" t="str">
        <x:v>сернистая или горчичная комплементарность</x:v>
      </x:c>
      <x:c r="F523" s="28" t="str">
        <x:v>Чеснок имеет профиль «резкий сернистый, зелёный и мясной; после запекания — сладкий и ореховый». Партнёр «водоросль кодиум»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3" s="28" t="str">
        <x:v>сырой чеснок быстро доминирует; пережжённый чеснок очень горький; хранить и обрабатывать по пищевым нормам</x:v>
      </x:c>
      <x:c r="I523" s="28" t="str">
        <x:v>горячее блюдо, бульон, соус, пюре, ферментация или гарнир с водоросль кодиум</x:v>
      </x:c>
      <x:c r="J523" s="28" t="str">
        <x:v>Средняя</x:v>
      </x:c>
      <x:c r="K523" s="28" t="str">
        <x:v>The Art &amp; Science of Foodpairing.pdf</x:v>
      </x:c>
      <x:c r="L523" s="28" t="str">
        <x:v>The Art &amp; Science of Foodpairing.pdf: 113, 114</x:v>
      </x:c>
    </x:row>
    <x:row r="524" ht="66" customHeight="1">
      <x:c r="A524" s="28" t="str">
        <x:v>VEG-1020</x:v>
      </x:c>
      <x:c r="B524" s="28" t="str">
        <x:v>чеснок</x:v>
      </x:c>
      <x:c r="C524" s="28" t="str">
        <x:v>вьетнамский рыбный соус</x:v>
      </x:c>
      <x:c r="D524" s="28" t="str">
        <x:v>Рыба и морепродукты</x:v>
      </x:c>
      <x:c r="E524" s="28" t="str">
        <x:v>пересечение ароматических семейств; умами и солёный контраст; сернистая или горчичная комплементарность</x:v>
      </x:c>
      <x:c r="F524" s="28" t="str">
        <x:v>Чеснок имеет профиль «резкий сернистый, зелёный и мясной; после запекания — сладкий и ореховый». Партнёр «вьетнамский рыбный соус»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4" s="28" t="str">
        <x:v>сырой чеснок быстро доминирует; пережжённый чеснок очень горький; хранить и обрабатывать по пищевым нормам</x:v>
      </x:c>
      <x:c r="I524" s="28" t="str">
        <x:v>горячее блюдо, бульон, соус, пюре, ферментация или гарнир с вьетнамский рыбный соус</x:v>
      </x:c>
      <x:c r="J524" s="28" t="str">
        <x:v>Средняя</x:v>
      </x:c>
      <x:c r="K524" s="28" t="str">
        <x:v>The Art &amp; Science of Foodpairing.pdf</x:v>
      </x:c>
      <x:c r="L524" s="28" t="str">
        <x:v>The Art &amp; Science of Foodpairing.pdf: 114</x:v>
      </x:c>
    </x:row>
    <x:row r="525" ht="66" customHeight="1">
      <x:c r="A525" s="28" t="str">
        <x:v>VEG-1021</x:v>
      </x:c>
      <x:c r="B525" s="28" t="str">
        <x:v>чеснок</x:v>
      </x:c>
      <x:c r="C525" s="28" t="str">
        <x:v>говядина</x:v>
      </x:c>
      <x:c r="D525" s="28" t="str">
        <x:v>Мясо и птица</x:v>
      </x:c>
      <x:c r="E525" s="28" t="str">
        <x:v>пересечение ароматических семейств; умами и солёный контраст; сернистая или горчичная комплементарность</x:v>
      </x:c>
      <x:c r="F525" s="28" t="str">
        <x:v>Чеснок имеет профиль «резкий сернистый, зелёный и мясной; после запекания — сладкий и ореховый». Партнёр «говядина»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5" s="28" t="str">
        <x:v>сырой чеснок быстро доминирует; пережжённый чеснок очень горький; хранить и обрабатывать по пищевым нормам</x:v>
      </x:c>
      <x:c r="I525" s="28" t="str">
        <x:v>горячее блюдо, бульон, соус, пюре, ферментация или гарнир с говядина</x:v>
      </x:c>
      <x:c r="J525" s="28" t="str">
        <x:v>Высокая</x:v>
      </x:c>
      <x:c r="K525" s="28" t="str">
        <x:v>The Art &amp; Science of Foodpairing.pdf | Тезариус вкусов (Ники Сегнит)(1).pdf</x:v>
      </x:c>
      <x:c r="L525" s="28" t="str">
        <x:v>Тезариус вкусов (Ники Сегнит)(1).pdf: 120, 293; The Art &amp; Science of Foodpairing.pdf: 113</x:v>
      </x:c>
    </x:row>
    <x:row r="526" ht="66" customHeight="1">
      <x:c r="A526" s="28" t="str">
        <x:v>VEG-1022</x:v>
      </x:c>
      <x:c r="B526" s="28" t="str">
        <x:v>чеснок</x:v>
      </x:c>
      <x:c r="C526" s="28" t="str">
        <x:v>говяжья вырезка</x:v>
      </x:c>
      <x:c r="D526" s="28" t="str">
        <x:v>Прочее</x:v>
      </x:c>
      <x:c r="E526" s="28" t="str">
        <x:v>сернистая или горчичная комплементарность</x:v>
      </x:c>
      <x:c r="F526" s="28" t="str">
        <x:v>Чеснок имеет профиль «резкий сернистый, зелёный и мясной; после запекания — сладкий и ореховый». Партнёр «говяжья вырезка»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6" s="28" t="str">
        <x:v>сырой чеснок быстро доминирует; пережжённый чеснок очень горький; хранить и обрабатывать по пищевым нормам</x:v>
      </x:c>
      <x:c r="I526" s="28" t="str">
        <x:v>горячее блюдо, бульон, соус, пюре, ферментация или гарнир с говяжья вырезка</x:v>
      </x:c>
      <x:c r="J526" s="28" t="str">
        <x:v>Средняя</x:v>
      </x:c>
      <x:c r="K526" s="28" t="str">
        <x:v>The Art &amp; Science of Foodpairing.pdf</x:v>
      </x:c>
      <x:c r="L526" s="28" t="str">
        <x:v>The Art &amp; Science of Foodpairing.pdf: 114</x:v>
      </x:c>
    </x:row>
    <x:row r="527" ht="66" customHeight="1">
      <x:c r="A527" s="28" t="str">
        <x:v>VEG-1023</x:v>
      </x:c>
      <x:c r="B527" s="28" t="str">
        <x:v>чеснок</x:v>
      </x:c>
      <x:c r="C527" s="28" t="str">
        <x:v>горох</x:v>
      </x:c>
      <x:c r="D527" s="28" t="str">
        <x:v>Бобовые</x:v>
      </x:c>
      <x:c r="E527" s="28" t="str">
        <x:v>сернистая или горчичная комплементарность</x:v>
      </x:c>
      <x:c r="F527" s="28" t="str">
        <x:v>Чеснок имеет профиль «резкий сернистый, зелёный и мясной; после запекания — сладкий и ореховый». Партнёр «горох» относится к группе «Бобовые» и даёт зелёный, сладкий, бобовый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7" s="28" t="str">
        <x:v>сырой чеснок быстро доминирует; пережжённый чеснок очень горький; хранить и обрабатывать по пищевым нормам</x:v>
      </x:c>
      <x:c r="I527" s="28" t="str">
        <x:v>горячее блюдо, бульон, соус, пюре, ферментация или гарнир с горох</x:v>
      </x:c>
      <x:c r="J527" s="28" t="str">
        <x:v>Средняя</x:v>
      </x:c>
      <x:c r="K527" s="28" t="str">
        <x:v>The Art &amp; Science of Foodpairing.pdf</x:v>
      </x:c>
      <x:c r="L527" s="28" t="str">
        <x:v>The Art &amp; Science of Foodpairing.pdf: 114</x:v>
      </x:c>
    </x:row>
    <x:row r="528" ht="66" customHeight="1">
      <x:c r="A528" s="28" t="str">
        <x:v>VEG-1024</x:v>
      </x:c>
      <x:c r="B528" s="28" t="str">
        <x:v>чеснок</x:v>
      </x:c>
      <x:c r="C528" s="28" t="str">
        <x:v>горчичная зелень</x:v>
      </x:c>
      <x:c r="D528" s="28" t="str">
        <x:v>Прочее</x:v>
      </x:c>
      <x:c r="E528" s="28" t="str">
        <x:v>сернистая или горчичная комплементарность</x:v>
      </x:c>
      <x:c r="F528" s="28" t="str">
        <x:v>Чеснок имеет профиль «резкий сернистый, зелёный и мясной; после запекания — сладкий и ореховый». Партнёр «горчичная зелень»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8" s="28" t="str">
        <x:v>сырой чеснок быстро доминирует; пережжённый чеснок очень горький; хранить и обрабатывать по пищевым нормам</x:v>
      </x:c>
      <x:c r="I528" s="28" t="str">
        <x:v>горячее блюдо, бульон, соус, пюре, ферментация или гарнир с горчичная зелень</x:v>
      </x:c>
      <x:c r="J528" s="28" t="str">
        <x:v>Средняя</x:v>
      </x:c>
      <x:c r="K528" s="28" t="str">
        <x:v>The Art &amp; Science of Foodpairing.pdf</x:v>
      </x:c>
      <x:c r="L528" s="28" t="str">
        <x:v>The Art &amp; Science of Foodpairing.pdf: 114</x:v>
      </x:c>
    </x:row>
    <x:row r="529" ht="66" customHeight="1">
      <x:c r="A529" s="28" t="str">
        <x:v>VEG-1025</x:v>
      </x:c>
      <x:c r="B529" s="28" t="str">
        <x:v>чеснок</x:v>
      </x:c>
      <x:c r="C529" s="28" t="str">
        <x:v>грана падано</x:v>
      </x:c>
      <x:c r="D529" s="28" t="str">
        <x:v>Прочее</x:v>
      </x:c>
      <x:c r="E529" s="28" t="str">
        <x:v>сернистая или горчичная комплементарность</x:v>
      </x:c>
      <x:c r="F529" s="28" t="str">
        <x:v>Чеснок имеет профиль «резкий сернистый, зелёный и мясной; после запекания — сладкий и ореховый». Партнёр «грана падано»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2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29" s="28" t="str">
        <x:v>сырой чеснок быстро доминирует; пережжённый чеснок очень горький; хранить и обрабатывать по пищевым нормам</x:v>
      </x:c>
      <x:c r="I529" s="28" t="str">
        <x:v>горячее блюдо, бульон, соус, пюре, ферментация или гарнир с грана падано</x:v>
      </x:c>
      <x:c r="J529" s="28" t="str">
        <x:v>Средняя</x:v>
      </x:c>
      <x:c r="K529" s="28" t="str">
        <x:v>The Art &amp; Science of Foodpairing.pdf</x:v>
      </x:c>
      <x:c r="L529" s="28" t="str">
        <x:v>The Art &amp; Science of Foodpairing.pdf: 114</x:v>
      </x:c>
    </x:row>
    <x:row r="530" ht="66" customHeight="1">
      <x:c r="A530" s="28" t="str">
        <x:v>VEG-1026</x:v>
      </x:c>
      <x:c r="B530" s="28" t="str">
        <x:v>чеснок</x:v>
      </x:c>
      <x:c r="C530" s="28" t="str">
        <x:v>гранатовый сок</x:v>
      </x:c>
      <x:c r="D530" s="28" t="str">
        <x:v>Прочее</x:v>
      </x:c>
      <x:c r="E530" s="28" t="str">
        <x:v>сернистая или горчичная комплементарность</x:v>
      </x:c>
      <x:c r="F530" s="28" t="str">
        <x:v>Чеснок имеет профиль «резкий сернистый, зелёный и мясной; после запекания — сладкий и ореховый». Партнёр «гранатовый сок»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0" s="28" t="str">
        <x:v>сырой чеснок быстро доминирует; пережжённый чеснок очень горький; хранить и обрабатывать по пищевым нормам</x:v>
      </x:c>
      <x:c r="I530" s="28" t="str">
        <x:v>горячее блюдо, бульон, соус, пюре, ферментация или гарнир с гранатовый сок</x:v>
      </x:c>
      <x:c r="J530" s="28" t="str">
        <x:v>Средняя</x:v>
      </x:c>
      <x:c r="K530" s="28" t="str">
        <x:v>The Art &amp; Science of Foodpairing.pdf</x:v>
      </x:c>
      <x:c r="L530" s="28" t="str">
        <x:v>The Art &amp; Science of Foodpairing.pdf: 113</x:v>
      </x:c>
    </x:row>
    <x:row r="531" ht="66" customHeight="1">
      <x:c r="A531" s="28" t="str">
        <x:v>VEG-1027</x:v>
      </x:c>
      <x:c r="B531" s="28" t="str">
        <x:v>чеснок</x:v>
      </x:c>
      <x:c r="C531" s="28" t="str">
        <x:v>грецкий орех</x:v>
      </x:c>
      <x:c r="D531" s="28" t="str">
        <x:v>Орехи и семена</x:v>
      </x:c>
      <x:c r="E531" s="28" t="str">
        <x:v>сернистая или горчичная комплементарность</x:v>
      </x:c>
      <x:c r="F531" s="28" t="str">
        <x:v>Чеснок имеет профиль «резкий сернистый, зелёный и мясной; после запекания — сладкий и ореховый». Партнёр «грецкий орех» относится к группе «Орехи и семена» и даёт древесный, землистый, ореховый. Прямое совпадение одной ключевой молекулы по рабочим профилям не подтверждено; механизм не следует сводить к одной молекуле.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1" s="28" t="str">
        <x:v>сырой чеснок быстро доминирует; пережжённый чеснок очень горький; хранить и обрабатывать по пищевым нормам</x:v>
      </x:c>
      <x:c r="I531" s="28" t="str">
        <x:v>горячее блюдо, бульон, соус, пюре, ферментация или гарнир с грецкий орех</x:v>
      </x:c>
      <x:c r="J531" s="28" t="str">
        <x:v>Средняя</x:v>
      </x:c>
      <x:c r="K531" s="28" t="str">
        <x:v>Тезариус вкусов (Ники Сегнит)(1).pdf</x:v>
      </x:c>
      <x:c r="L531" s="28" t="str">
        <x:v>Тезариус вкусов (Ники Сегнит)(1).pdf: 293, 630</x:v>
      </x:c>
    </x:row>
    <x:row r="532" ht="66" customHeight="1">
      <x:c r="A532" s="28" t="str">
        <x:v>VEG-1028</x:v>
      </x:c>
      <x:c r="B532" s="28" t="str">
        <x:v>чеснок</x:v>
      </x:c>
      <x:c r="C532" s="28" t="str">
        <x:v>груша</x:v>
      </x:c>
      <x:c r="D532" s="28" t="str">
        <x:v>Фрукты и ягоды</x:v>
      </x:c>
      <x:c r="E532" s="28" t="str">
        <x:v>кислотно-сладкий баланс; сернистая или горчичная комплементарность</x:v>
      </x:c>
      <x:c r="F532" s="28" t="str">
        <x:v>Чеснок имеет профиль «резкий сернистый, зелёный и мясной; после запекания — сладкий и ореховый». Партнёр «груша» относится к группе «Фрукты и ягоды» и даёт сладкий, фруктовый, цветочный.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2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32" s="28" t="str">
        <x:v>горячее блюдо, бульон, соус, пюре, ферментация или гарнир с груша</x:v>
      </x:c>
      <x:c r="J532" s="28" t="str">
        <x:v>Средняя</x:v>
      </x:c>
      <x:c r="K532" s="28" t="str">
        <x:v>The Art &amp; Science of Foodpairing.pdf</x:v>
      </x:c>
      <x:c r="L532" s="28" t="str">
        <x:v>The Art &amp; Science of Foodpairing.pdf: 114</x:v>
      </x:c>
    </x:row>
    <x:row r="533" ht="66" customHeight="1">
      <x:c r="A533" s="28" t="str">
        <x:v>VEG-1029</x:v>
      </x:c>
      <x:c r="B533" s="28" t="str">
        <x:v>чеснок</x:v>
      </x:c>
      <x:c r="C533" s="28" t="str">
        <x:v>гуава</x:v>
      </x:c>
      <x:c r="D533" s="28" t="str">
        <x:v>Фрукты и ягоды</x:v>
      </x:c>
      <x:c r="E533" s="28" t="str">
        <x:v>кислотно-сладкий баланс; сернистая или горчичная комплементарность</x:v>
      </x:c>
      <x:c r="F533" s="28" t="str">
        <x:v>Чеснок имеет профиль «резкий сернистый, зелёный и мясной; после запекания — сладкий и ореховый». Партнёр «гуава»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3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33" s="28" t="str">
        <x:v>горячее блюдо, бульон, соус, пюре, ферментация или гарнир с гуава</x:v>
      </x:c>
      <x:c r="J533" s="28" t="str">
        <x:v>Средняя</x:v>
      </x:c>
      <x:c r="K533" s="28" t="str">
        <x:v>The Art &amp; Science of Foodpairing.pdf</x:v>
      </x:c>
      <x:c r="L533" s="28" t="str">
        <x:v>The Art &amp; Science of Foodpairing.pdf: 114</x:v>
      </x:c>
    </x:row>
    <x:row r="534" ht="66" customHeight="1">
      <x:c r="A534" s="28" t="str">
        <x:v>VEG-1030</x:v>
      </x:c>
      <x:c r="B534" s="28" t="str">
        <x:v>чеснок</x:v>
      </x:c>
      <x:c r="C534" s="28" t="str">
        <x:v>дикий рис</x:v>
      </x:c>
      <x:c r="D534" s="28" t="str">
        <x:v>Выпечка, крупы, сахара и десерты</x:v>
      </x:c>
      <x:c r="E534" s="28" t="str">
        <x:v>пересечение ароматических семейств; сернистая или горчичная комплементарность</x:v>
      </x:c>
      <x:c r="F534" s="28" t="str">
        <x:v>Чеснок имеет профиль «резкий сернистый, зелёный и мясной; после запекания — сладкий и ореховый». Партнёр «дикий рис»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4" s="28" t="str">
        <x:v>сырой чеснок быстро доминирует; пережжённый чеснок очень горький; хранить и обрабатывать по пищевым нормам</x:v>
      </x:c>
      <x:c r="I534" s="28" t="str">
        <x:v>горячее блюдо, бульон, соус, пюре, ферментация или гарнир с дикий рис</x:v>
      </x:c>
      <x:c r="J534" s="28" t="str">
        <x:v>Средняя</x:v>
      </x:c>
      <x:c r="K534" s="28" t="str">
        <x:v>The Art &amp; Science of Foodpairing.pdf</x:v>
      </x:c>
      <x:c r="L534" s="28" t="str">
        <x:v>The Art &amp; Science of Foodpairing.pdf: 114</x:v>
      </x:c>
    </x:row>
    <x:row r="535" ht="66" customHeight="1">
      <x:c r="A535" s="28" t="str">
        <x:v>VEG-1031</x:v>
      </x:c>
      <x:c r="B535" s="28" t="str">
        <x:v>чеснок</x:v>
      </x:c>
      <x:c r="C535" s="28" t="str">
        <x:v>длинный перец</x:v>
      </x:c>
      <x:c r="D535" s="28" t="str">
        <x:v>Прочее</x:v>
      </x:c>
      <x:c r="E535" s="28" t="str">
        <x:v>сернистая или горчичная комплементарность</x:v>
      </x:c>
      <x:c r="F535" s="28" t="str">
        <x:v>Чеснок имеет профиль «резкий сернистый, зелёный и мясной; после запекания — сладкий и ореховый». Партнёр «длинный перец»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5" s="28" t="str">
        <x:v>сырой чеснок быстро доминирует; пережжённый чеснок очень горький; хранить и обрабатывать по пищевым нормам</x:v>
      </x:c>
      <x:c r="I535" s="28" t="str">
        <x:v>горячее блюдо, бульон, соус, пюре, ферментация или гарнир с длинный перец</x:v>
      </x:c>
      <x:c r="J535" s="28" t="str">
        <x:v>Средняя</x:v>
      </x:c>
      <x:c r="K535" s="28" t="str">
        <x:v>The Art &amp; Science of Foodpairing.pdf</x:v>
      </x:c>
      <x:c r="L535" s="28" t="str">
        <x:v>The Art &amp; Science of Foodpairing.pdf: 114</x:v>
      </x:c>
    </x:row>
    <x:row r="536" ht="66" customHeight="1">
      <x:c r="A536" s="28" t="str">
        <x:v>VEG-1032</x:v>
      </x:c>
      <x:c r="B536" s="28" t="str">
        <x:v>чеснок</x:v>
      </x:c>
      <x:c r="C536" s="28" t="str">
        <x:v>дыня</x:v>
      </x:c>
      <x:c r="D536" s="28" t="str">
        <x:v>Фрукты и ягоды</x:v>
      </x:c>
      <x:c r="E536" s="28" t="str">
        <x:v>кислотно-сладкий баланс; сернистая или горчичная комплементарность</x:v>
      </x:c>
      <x:c r="F536" s="28" t="str">
        <x:v>Чеснок имеет профиль «резкий сернистый, зелёный и мясной; после запекания — сладкий и ореховый». Партнёр «дыня»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6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36" s="28" t="str">
        <x:v>горячее блюдо, бульон, соус, пюре, ферментация или гарнир с дыня</x:v>
      </x:c>
      <x:c r="J536" s="28" t="str">
        <x:v>Средняя</x:v>
      </x:c>
      <x:c r="K536" s="28" t="str">
        <x:v>The Art &amp; Science of Foodpairing.pdf</x:v>
      </x:c>
      <x:c r="L536" s="28" t="str">
        <x:v>The Art &amp; Science of Foodpairing.pdf: 113</x:v>
      </x:c>
    </x:row>
    <x:row r="537" ht="66" customHeight="1">
      <x:c r="A537" s="28" t="str">
        <x:v>VEG-1033</x:v>
      </x:c>
      <x:c r="B537" s="28" t="str">
        <x:v>чеснок</x:v>
      </x:c>
      <x:c r="C537" s="28" t="str">
        <x:v>жаботикаба</x:v>
      </x:c>
      <x:c r="D537" s="28" t="str">
        <x:v>Прочее</x:v>
      </x:c>
      <x:c r="E537" s="28" t="str">
        <x:v>сернистая или горчичная комплементарность</x:v>
      </x:c>
      <x:c r="F537" s="28" t="str">
        <x:v>Чеснок имеет профиль «резкий сернистый, зелёный и мясной; после запекания — сладкий и ореховый». Партнёр «жаботикаба»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7" s="28" t="str">
        <x:v>сырой чеснок быстро доминирует; пережжённый чеснок очень горький; хранить и обрабатывать по пищевым нормам</x:v>
      </x:c>
      <x:c r="I537" s="28" t="str">
        <x:v>горячее блюдо, бульон, соус, пюре, ферментация или гарнир с жаботикаба</x:v>
      </x:c>
      <x:c r="J537" s="28" t="str">
        <x:v>Средняя</x:v>
      </x:c>
      <x:c r="K537" s="28" t="str">
        <x:v>The Art &amp; Science of Foodpairing.pdf</x:v>
      </x:c>
      <x:c r="L537" s="28" t="str">
        <x:v>The Art &amp; Science of Foodpairing.pdf: 114</x:v>
      </x:c>
    </x:row>
    <x:row r="538" ht="66" customHeight="1">
      <x:c r="A538" s="28" t="str">
        <x:v>VEG-1034</x:v>
      </x:c>
      <x:c r="B538" s="28" t="str">
        <x:v>чеснок</x:v>
      </x:c>
      <x:c r="C538" s="28" t="str">
        <x:v>жареная индейка</x:v>
      </x:c>
      <x:c r="D538" s="28" t="str">
        <x:v>Мясо и птица</x:v>
      </x:c>
      <x:c r="E538" s="28" t="str">
        <x:v>пересечение ароматических семейств; умами и солёный контраст; сернистая или горчичная комплементарность</x:v>
      </x:c>
      <x:c r="F538" s="28" t="str">
        <x:v>Чеснок имеет профиль «резкий сернистый, зелёный и мясной; после запекания — сладкий и ореховый». Партнёр «жареная индейка»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8" s="28" t="str">
        <x:v>сырой чеснок быстро доминирует; пережжённый чеснок очень горький; хранить и обрабатывать по пищевым нормам</x:v>
      </x:c>
      <x:c r="I538" s="28" t="str">
        <x:v>горячее блюдо, бульон, соус, пюре, ферментация или гарнир с жареная индейка</x:v>
      </x:c>
      <x:c r="J538" s="28" t="str">
        <x:v>Средняя</x:v>
      </x:c>
      <x:c r="K538" s="28" t="str">
        <x:v>The Art &amp; Science of Foodpairing.pdf</x:v>
      </x:c>
      <x:c r="L538" s="28" t="str">
        <x:v>The Art &amp; Science of Foodpairing.pdf: 114</x:v>
      </x:c>
    </x:row>
    <x:row r="539" ht="66" customHeight="1">
      <x:c r="A539" s="28" t="str">
        <x:v>VEG-1035</x:v>
      </x:c>
      <x:c r="B539" s="28" t="str">
        <x:v>чеснок</x:v>
      </x:c>
      <x:c r="C539" s="28" t="str">
        <x:v>жирная рыба</x:v>
      </x:c>
      <x:c r="D539" s="28" t="str">
        <x:v>Рыба и морепродукты</x:v>
      </x:c>
      <x:c r="E539" s="28" t="str">
        <x:v>пересечение ароматических семейств; умами и солёный контраст; сернистая или горчичная комплементарность</x:v>
      </x:c>
      <x:c r="F539" s="28" t="str">
        <x:v>Чеснок имеет профиль «резкий сернистый, зелёный и мясной; после запекания — сладкий и ореховый». Партнёр «жирная рыба» относится к группе «Рыба и морепродукты» и даёт жирный, морской,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3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39" s="28" t="str">
        <x:v>сырой чеснок быстро доминирует; пережжённый чеснок очень горький; хранить и обрабатывать по пищевым нормам</x:v>
      </x:c>
      <x:c r="I539" s="28" t="str">
        <x:v>горячее блюдо, бульон, соус, пюре, ферментация или гарнир с жирная рыба</x:v>
      </x:c>
      <x:c r="J539" s="28" t="str">
        <x:v>Средняя</x:v>
      </x:c>
      <x:c r="K539" s="28" t="str">
        <x:v>Тезариус вкусов (Ники Сегнит)(1).pdf</x:v>
      </x:c>
      <x:c r="L539" s="28" t="str">
        <x:v>Тезариус вкусов (Ники Сегнит)(1).pdf: 293, 419</x:v>
      </x:c>
    </x:row>
    <x:row r="540" ht="66" customHeight="1">
      <x:c r="A540" s="28" t="str">
        <x:v>VEG-1036</x:v>
      </x:c>
      <x:c r="B540" s="28" t="str">
        <x:v>чеснок</x:v>
      </x:c>
      <x:c r="C540" s="28" t="str">
        <x:v>зелёные водоросли</x:v>
      </x:c>
      <x:c r="D540" s="28" t="str">
        <x:v>Прочее</x:v>
      </x:c>
      <x:c r="E540" s="28" t="str">
        <x:v>сернистая или горчичная комплементарность</x:v>
      </x:c>
      <x:c r="F540" s="28" t="str">
        <x:v>Чеснок имеет профиль «резкий сернистый, зелёный и мясной; после запекания — сладкий и ореховый». Партнёр «зелёные водоросли»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0" s="28" t="str">
        <x:v>сырой чеснок быстро доминирует; пережжённый чеснок очень горький; хранить и обрабатывать по пищевым нормам</x:v>
      </x:c>
      <x:c r="I540" s="28" t="str">
        <x:v>горячее блюдо, бульон, соус, пюре, ферментация или гарнир с зелёные водоросли</x:v>
      </x:c>
      <x:c r="J540" s="28" t="str">
        <x:v>Средняя</x:v>
      </x:c>
      <x:c r="K540" s="28" t="str">
        <x:v>The Art &amp; Science of Foodpairing.pdf</x:v>
      </x:c>
      <x:c r="L540" s="28" t="str">
        <x:v>The Art &amp; Science of Foodpairing.pdf: 114</x:v>
      </x:c>
    </x:row>
    <x:row r="541" ht="66" customHeight="1">
      <x:c r="A541" s="28" t="str">
        <x:v>VEG-1037</x:v>
      </x:c>
      <x:c r="B541" s="28" t="str">
        <x:v>чеснок</x:v>
      </x:c>
      <x:c r="C541" s="28" t="str">
        <x:v>зелёный чай</x:v>
      </x:c>
      <x:c r="D541" s="28" t="str">
        <x:v>Чай</x:v>
      </x:c>
      <x:c r="E541" s="28" t="str">
        <x:v>сернистая или горчичная комплементарность</x:v>
      </x:c>
      <x:c r="F541" s="28" t="str">
        <x:v>Чеснок имеет профиль «резкий сернистый, зелёный и мясной; после запекания — сладкий и ореховый». Партнёр «зелёный 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1" s="28" t="str">
        <x:v>сырой чеснок быстро доминирует; пережжённый чеснок очень горький; хранить и обрабатывать по пищевым нормам</x:v>
      </x:c>
      <x:c r="I541" s="28" t="str">
        <x:v>горячее блюдо, бульон, соус, пюре, ферментация или гарнир с зелёный чай</x:v>
      </x:c>
      <x:c r="J541" s="28" t="str">
        <x:v>Средняя</x:v>
      </x:c>
      <x:c r="K541" s="28" t="str">
        <x:v>The Art &amp; Science of Foodpairing.pdf</x:v>
      </x:c>
      <x:c r="L541" s="28" t="str">
        <x:v>The Art &amp; Science of Foodpairing.pdf: 113</x:v>
      </x:c>
    </x:row>
    <x:row r="542" ht="66" customHeight="1">
      <x:c r="A542" s="28" t="str">
        <x:v>VEG-1038</x:v>
      </x:c>
      <x:c r="B542" s="28" t="str">
        <x:v>чеснок</x:v>
      </x:c>
      <x:c r="C542" s="28" t="str">
        <x:v>зира</x:v>
      </x:c>
      <x:c r="D542" s="28" t="str">
        <x:v>Специи</x:v>
      </x:c>
      <x:c r="E542" s="28" t="str">
        <x:v>пересечение ароматических семейств; сернистая или горчичная комплементарность</x:v>
      </x:c>
      <x:c r="F542" s="28" t="str">
        <x:v>Чеснок имеет профиль «резкий сернистый, зелёный и мясной; после запекания — сладкий и ореховый». Партнёр «зира» относится к группе «Специи» и даёт жареный, землистый, пряный. Профили пересекаются в семействах: жареный.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2" s="28" t="str">
        <x:v>сырой чеснок быстро доминирует; пережжённый чеснок очень горький; хранить и обрабатывать по пищевым нормам</x:v>
      </x:c>
      <x:c r="I542" s="28" t="str">
        <x:v>горячее блюдо, бульон, соус, пюре, ферментация или гарнир с зира</x:v>
      </x:c>
      <x:c r="J542" s="28" t="str">
        <x:v>Средняя</x:v>
      </x:c>
      <x:c r="K542" s="28" t="str">
        <x:v>The Art &amp; Science of Foodpairing.pdf</x:v>
      </x:c>
      <x:c r="L542" s="28" t="str">
        <x:v>The Art &amp; Science of Foodpairing.pdf: 228</x:v>
      </x:c>
    </x:row>
    <x:row r="543" ht="66" customHeight="1">
      <x:c r="A543" s="28" t="str">
        <x:v>VEG-1039</x:v>
      </x:c>
      <x:c r="B543" s="28" t="str">
        <x:v>чеснок</x:v>
      </x:c>
      <x:c r="C543" s="28" t="str">
        <x:v>имбирь</x:v>
      </x:c>
      <x:c r="D543" s="28" t="str">
        <x:v>Специи</x:v>
      </x:c>
      <x:c r="E543" s="28" t="str">
        <x:v>сернистая или горчичная комплементарность</x:v>
      </x:c>
      <x:c r="F543" s="28" t="str">
        <x:v>Чеснок имеет профиль «резкий сернистый, зелёный и мясной; после запекания — сладкий и ореховый». Партнёр «имбирь» относится к группе «Специи» и даёт пряный, тёплый,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3" s="28" t="str">
        <x:v>сырой чеснок быстро доминирует; пережжённый чеснок очень горький; хранить и обрабатывать по пищевым нормам</x:v>
      </x:c>
      <x:c r="I543" s="28" t="str">
        <x:v>горячее блюдо, бульон, соус, пюре, ферментация или гарнир с имбирь</x:v>
      </x:c>
      <x:c r="J543" s="28" t="str">
        <x:v>Средняя</x:v>
      </x:c>
      <x:c r="K543" s="28" t="str">
        <x:v>Тезариус вкусов (Ники Сегнит)(1).pdf</x:v>
      </x:c>
      <x:c r="L543" s="28" t="str">
        <x:v>Тезариус вкусов (Ники Сегнит)(1).pdf: 293, 821</x:v>
      </x:c>
    </x:row>
    <x:row r="544" ht="66" customHeight="1">
      <x:c r="A544" s="28" t="str">
        <x:v>VEG-1040</x:v>
      </x:c>
      <x:c r="B544" s="28" t="str">
        <x:v>чеснок</x:v>
      </x:c>
      <x:c r="C544" s="28" t="str">
        <x:v>индейка</x:v>
      </x:c>
      <x:c r="D544" s="28" t="str">
        <x:v>Мясо и птица</x:v>
      </x:c>
      <x:c r="E544" s="28" t="str">
        <x:v>пересечение ароматических семейств; умами и солёный контраст; сернистая или горчичная комплементарность</x:v>
      </x:c>
      <x:c r="F544" s="28" t="str">
        <x:v>Чеснок имеет профиль «резкий сернистый, зелёный и мясной; после запекания — сладкий и ореховый». Партнёр «индейка»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4" s="28" t="str">
        <x:v>сырой чеснок быстро доминирует; пережжённый чеснок очень горький; хранить и обрабатывать по пищевым нормам</x:v>
      </x:c>
      <x:c r="I544" s="28" t="str">
        <x:v>горячее блюдо, бульон, соус, пюре, ферментация или гарнир с индейка</x:v>
      </x:c>
      <x:c r="J544" s="28" t="str">
        <x:v>Средняя</x:v>
      </x:c>
      <x:c r="K544" s="28" t="str">
        <x:v>The Art &amp; Science of Foodpairing.pdf</x:v>
      </x:c>
      <x:c r="L544" s="28" t="str">
        <x:v>The Art &amp; Science of Foodpairing.pdf: 113</x:v>
      </x:c>
    </x:row>
    <x:row r="545" ht="66" customHeight="1">
      <x:c r="A545" s="28" t="str">
        <x:v>VEG-1041</x:v>
      </x:c>
      <x:c r="B545" s="28" t="str">
        <x:v>чеснок</x:v>
      </x:c>
      <x:c r="C545" s="28" t="str">
        <x:v>испанский чоризо</x:v>
      </x:c>
      <x:c r="D545" s="28" t="str">
        <x:v>Прочее</x:v>
      </x:c>
      <x:c r="E545" s="28" t="str">
        <x:v>сернистая или горчичная комплементарность</x:v>
      </x:c>
      <x:c r="F545" s="28" t="str">
        <x:v>Чеснок имеет профиль «резкий сернистый, зелёный и мясной; после запекания — сладкий и ореховый». Партнёр «испанский 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5" s="28" t="str">
        <x:v>сырой чеснок быстро доминирует; пережжённый чеснок очень горький; хранить и обрабатывать по пищевым нормам</x:v>
      </x:c>
      <x:c r="I545" s="28" t="str">
        <x:v>горячее блюдо, бульон, соус, пюре, ферментация или гарнир с испанский чоризо</x:v>
      </x:c>
      <x:c r="J545" s="28" t="str">
        <x:v>Средняя</x:v>
      </x:c>
      <x:c r="K545" s="28" t="str">
        <x:v>The Art &amp; Science of Foodpairing.pdf</x:v>
      </x:c>
      <x:c r="L545" s="28" t="str">
        <x:v>The Art &amp; Science of Foodpairing.pdf: 114</x:v>
      </x:c>
    </x:row>
    <x:row r="546" ht="66" customHeight="1">
      <x:c r="A546" s="28" t="str">
        <x:v>VEG-1042</x:v>
      </x:c>
      <x:c r="B546" s="28" t="str">
        <x:v>чеснок</x:v>
      </x:c>
      <x:c r="C546" s="28" t="str">
        <x:v>какао-крупка</x:v>
      </x:c>
      <x:c r="D546" s="28" t="str">
        <x:v>Какао и шоколад</x:v>
      </x:c>
      <x:c r="E546" s="28" t="str">
        <x:v>пересечение ароматических семейств; сернистая или горчичная комплементарность</x:v>
      </x:c>
      <x:c r="F546" s="28" t="str">
        <x:v>Чеснок имеет профиль «резкий сернистый, зелёный и мясной; после запекания — сладкий и ореховый». Партнёр «какао-крупка» относится к группе «Какао и шоколад» и даёт какаовый, жареный и горько-сладкий.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6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546" s="28" t="str">
        <x:v>горячее блюдо, бульон, соус, пюре, ферментация или гарнир с какао-крупка</x:v>
      </x:c>
      <x:c r="J546" s="28" t="str">
        <x:v>Средняя</x:v>
      </x:c>
      <x:c r="K546" s="28" t="str">
        <x:v>The Art &amp; Science of Foodpairing.pdf</x:v>
      </x:c>
      <x:c r="L546" s="28" t="str">
        <x:v>The Art &amp; Science of Foodpairing.pdf: 113</x:v>
      </x:c>
    </x:row>
    <x:row r="547" ht="66" customHeight="1">
      <x:c r="A547" s="28" t="str">
        <x:v>VEG-1043</x:v>
      </x:c>
      <x:c r="B547" s="28" t="str">
        <x:v>чеснок</x:v>
      </x:c>
      <x:c r="C547" s="28" t="str">
        <x:v>канталупа</x:v>
      </x:c>
      <x:c r="D547" s="28" t="str">
        <x:v>Прочее</x:v>
      </x:c>
      <x:c r="E547" s="28" t="str">
        <x:v>сернистая или горчичная комплементарность</x:v>
      </x:c>
      <x:c r="F547" s="28" t="str">
        <x:v>Чеснок имеет профиль «резкий сернистый, зелёный и мясной; после запекания — сладкий и ореховый». Партнёр «канталупа»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7" s="28" t="str">
        <x:v>сырой чеснок быстро доминирует; пережжённый чеснок очень горький; хранить и обрабатывать по пищевым нормам</x:v>
      </x:c>
      <x:c r="I547" s="28" t="str">
        <x:v>горячее блюдо, бульон, соус, пюре, ферментация или гарнир с канталупа</x:v>
      </x:c>
      <x:c r="J547" s="28" t="str">
        <x:v>Средняя</x:v>
      </x:c>
      <x:c r="K547" s="28" t="str">
        <x:v>The Art &amp; Science of Foodpairing.pdf</x:v>
      </x:c>
      <x:c r="L547" s="28" t="str">
        <x:v>The Art &amp; Science of Foodpairing.pdf: 114</x:v>
      </x:c>
    </x:row>
    <x:row r="548" ht="66" customHeight="1">
      <x:c r="A548" s="28" t="str">
        <x:v>VEG-1044</x:v>
      </x:c>
      <x:c r="B548" s="28" t="str">
        <x:v>чеснок</x:v>
      </x:c>
      <x:c r="C548" s="28" t="str">
        <x:v>капуста</x:v>
      </x:c>
      <x:c r="D548" s="28" t="str">
        <x:v>Крестоцветные</x:v>
      </x:c>
      <x:c r="E548" s="28" t="str">
        <x:v>общие характерные молекулы; пересечение ароматических семейств; сернистая или горчичная комплементарность</x:v>
      </x:c>
      <x:c r="F548" s="28" t="str">
        <x:v>Чеснок имеет профиль «резкий сернистый, зелёный и мясной; после запекания — сладкий и ореховый». Партнёр «капуста» относится к группе «Крестоцветные» и даёт зелёный, горчичный, сернистый и сладковатый после приготовления.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8" s="28" t="str">
        <x:v>сырой чеснок быстро доминирует; пережжённый чеснок очень горький; хранить и обрабатывать по пищевым нормам</x:v>
      </x:c>
      <x:c r="I548" s="28" t="str">
        <x:v>горячее блюдо, бульон, соус, пюре, ферментация или гарнир с капуста</x:v>
      </x:c>
      <x:c r="J548" s="28" t="str">
        <x:v>Высокая</x:v>
      </x:c>
      <x:c r="K548" s="28" t="str">
        <x:v>The Art &amp; Science of Foodpairing.pdf | Тезариус вкусов (Ники Сегнит)(1).pdf</x:v>
      </x:c>
      <x:c r="L548" s="28" t="str">
        <x:v>Тезариус вкусов (Ники Сегнит)(1).pdf: 294, 316; The Art &amp; Science of Foodpairing.pdf: 114</x:v>
      </x:c>
    </x:row>
    <x:row r="549" ht="66" customHeight="1">
      <x:c r="A549" s="28" t="str">
        <x:v>VEG-1045</x:v>
      </x:c>
      <x:c r="B549" s="28" t="str">
        <x:v>чеснок</x:v>
      </x:c>
      <x:c r="C549" s="28" t="str">
        <x:v>кефаль</x:v>
      </x:c>
      <x:c r="D549" s="28" t="str">
        <x:v>Рыба и морепродукты</x:v>
      </x:c>
      <x:c r="E549" s="28" t="str">
        <x:v>пересечение ароматических семейств; умами и солёный контраст; сернистая или горчичная комплементарность</x:v>
      </x:c>
      <x:c r="F549" s="28" t="str">
        <x:v>Чеснок имеет профиль «резкий сернистый, зелёный и мясной; после запекания — сладкий и ореховый». Партнёр «кефаль»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4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49" s="28" t="str">
        <x:v>сырой чеснок быстро доминирует; пережжённый чеснок очень горький; хранить и обрабатывать по пищевым нормам</x:v>
      </x:c>
      <x:c r="I549" s="28" t="str">
        <x:v>горячее блюдо, бульон, соус, пюре, ферментация или гарнир с кефаль</x:v>
      </x:c>
      <x:c r="J549" s="28" t="str">
        <x:v>Средняя</x:v>
      </x:c>
      <x:c r="K549" s="28" t="str">
        <x:v>The Art &amp; Science of Foodpairing.pdf</x:v>
      </x:c>
      <x:c r="L549" s="28" t="str">
        <x:v>The Art &amp; Science of Foodpairing.pdf: 114</x:v>
      </x:c>
    </x:row>
    <x:row r="550" ht="66" customHeight="1">
      <x:c r="A550" s="28" t="str">
        <x:v>VEG-1046</x:v>
      </x:c>
      <x:c r="B550" s="28" t="str">
        <x:v>чеснок</x:v>
      </x:c>
      <x:c r="C550" s="28" t="str">
        <x:v>кимчи</x:v>
      </x:c>
      <x:c r="D550" s="28" t="str">
        <x:v>Ферментированные продукты и соусы</x:v>
      </x:c>
      <x:c r="E550" s="28" t="str">
        <x:v>пересечение ароматических семейств; умами и солёный контраст; сернистая или горчичная комплементарность</x:v>
      </x:c>
      <x:c r="F550" s="28" t="str">
        <x:v>Чеснок имеет профиль «резкий сернистый, зелёный и мясной; после запекания — сладкий и ореховый». Партнёр «кимчи» относится к группе «Ферментированные продукты и соусы» и даёт ферментированный, умами и сложный.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0" s="28" t="str">
        <x:v>сырой чеснок быстро доминирует; пережжённый чеснок очень горький; хранить и обрабатывать по пищевым нормам</x:v>
      </x:c>
      <x:c r="I550" s="28" t="str">
        <x:v>горячее блюдо, бульон, соус, пюре, ферментация или гарнир с кимчи</x:v>
      </x:c>
      <x:c r="J550" s="28" t="str">
        <x:v>Средняя</x:v>
      </x:c>
      <x:c r="K550" s="28" t="str">
        <x:v>The Art &amp; Science of Foodpairing.pdf</x:v>
      </x:c>
      <x:c r="L550" s="28" t="str">
        <x:v>The Art &amp; Science of Foodpairing.pdf: 114, 305</x:v>
      </x:c>
    </x:row>
    <x:row r="551" ht="66" customHeight="1">
      <x:c r="A551" s="28" t="str">
        <x:v>VEG-1047</x:v>
      </x:c>
      <x:c r="B551" s="28" t="str">
        <x:v>чеснок</x:v>
      </x:c>
      <x:c r="C551" s="28" t="str">
        <x:v>клубника</x:v>
      </x:c>
      <x:c r="D551" s="28" t="str">
        <x:v>Фрукты и ягоды</x:v>
      </x:c>
      <x:c r="E551" s="28" t="str">
        <x:v>кислотно-сладкий баланс; сернистая или горчичная комплементарность</x:v>
      </x:c>
      <x:c r="F551" s="28" t="str">
        <x:v>Чеснок имеет профиль «резкий сернистый, зелёный и мясной; после запекания — сладкий и ореховый». Партнёр «клубника» относится к группе «Фрукты и ягоды» и даёт зелёный, карамельный,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1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51" s="28" t="str">
        <x:v>горячее блюдо, бульон, соус, пюре, ферментация или гарнир с клубника</x:v>
      </x:c>
      <x:c r="J551" s="28" t="str">
        <x:v>Высокая</x:v>
      </x:c>
      <x:c r="K551" s="28" t="str">
        <x:v>The Art &amp; Science of Foodpairing.pdf</x:v>
      </x:c>
      <x:c r="L551" s="28" t="str">
        <x:v>The Art &amp; Science of Foodpairing.pdf: 112, 113</x:v>
      </x:c>
    </x:row>
    <x:row r="552" ht="66" customHeight="1">
      <x:c r="A552" s="28" t="str">
        <x:v>VEG-1048</x:v>
      </x:c>
      <x:c r="B552" s="28" t="str">
        <x:v>чеснок</x:v>
      </x:c>
      <x:c r="C552" s="28" t="str">
        <x:v>козий сыр</x:v>
      </x:c>
      <x:c r="D552" s="28" t="str">
        <x:v>Молочные продукты и сыры</x:v>
      </x:c>
      <x:c r="E552" s="28" t="str">
        <x:v>пересечение ароматических семейств; жировая матрица; сернистая или горчичная комплементарность</x:v>
      </x:c>
      <x:c r="F552" s="28" t="str">
        <x:v>Чеснок имеет профиль «резкий сернистый, зелёный и мясной; после запекания — сладкий и ореховый». Партнёр «козий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2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52" s="28" t="str">
        <x:v>горячее блюдо, бульон, соус, пюре, ферментация или гарнир с козий сыр</x:v>
      </x:c>
      <x:c r="J552" s="28" t="str">
        <x:v>Средняя</x:v>
      </x:c>
      <x:c r="K552" s="28" t="str">
        <x:v>Тезариус вкусов (Ники Сегнит)(1).pdf</x:v>
      </x:c>
      <x:c r="L552" s="28" t="str">
        <x:v>Тезариус вкусов (Ники Сегнит)(1).pdf: 143, 294</x:v>
      </x:c>
    </x:row>
    <x:row r="553" ht="66" customHeight="1">
      <x:c r="A553" s="28" t="str">
        <x:v>VEG-1049</x:v>
      </x:c>
      <x:c r="B553" s="28" t="str">
        <x:v>чеснок</x:v>
      </x:c>
      <x:c r="C553" s="28" t="str">
        <x:v>кольраби</x:v>
      </x:c>
      <x:c r="D553" s="28" t="str">
        <x:v>Прочее</x:v>
      </x:c>
      <x:c r="E553" s="28" t="str">
        <x:v>сернистая или горчичная комплементарность</x:v>
      </x:c>
      <x:c r="F553" s="28" t="str">
        <x:v>Чеснок имеет профиль «резкий сернистый, зелёный и мясной; после запекания — сладкий и ореховый». Партнёр «кольраби»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3" s="28" t="str">
        <x:v>сырой чеснок быстро доминирует; пережжённый чеснок очень горький; хранить и обрабатывать по пищевым нормам</x:v>
      </x:c>
      <x:c r="I553" s="28" t="str">
        <x:v>горячее блюдо, бульон, соус, пюре, ферментация или гарнир с кольраби</x:v>
      </x:c>
      <x:c r="J553" s="28" t="str">
        <x:v>Средняя</x:v>
      </x:c>
      <x:c r="K553" s="28" t="str">
        <x:v>The Art &amp; Science of Foodpairing.pdf</x:v>
      </x:c>
      <x:c r="L553" s="28" t="str">
        <x:v>The Art &amp; Science of Foodpairing.pdf: 114</x:v>
      </x:c>
    </x:row>
    <x:row r="554" ht="66" customHeight="1">
      <x:c r="A554" s="28" t="str">
        <x:v>VEG-1050</x:v>
      </x:c>
      <x:c r="B554" s="28" t="str">
        <x:v>чеснок</x:v>
      </x:c>
      <x:c r="C554" s="28" t="str">
        <x:v>коньяк</x:v>
      </x:c>
      <x:c r="D554" s="28" t="str">
        <x:v>Алкогольные напитки</x:v>
      </x:c>
      <x:c r="E554" s="28" t="str">
        <x:v>сернистая или горчичная комплементарность</x:v>
      </x:c>
      <x:c r="F554" s="28" t="str">
        <x:v>Чеснок имеет профиль «резкий сернистый, зелёный и мясной; после запекания — сладкий и ореховый». Партнёр «коньяк» относится к группе «Алкогольные напитки» и даёт спиртовой, фруктовый или древесный.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4" s="28" t="str">
        <x:v>сырой чеснок быстро доминирует; пережжённый чеснок очень горький; хранить и обрабатывать по пищевым нормам</x:v>
      </x:c>
      <x:c r="I554" s="28" t="str">
        <x:v>горячее блюдо, бульон, соус, пюре, ферментация или гарнир с коньяк</x:v>
      </x:c>
      <x:c r="J554" s="28" t="str">
        <x:v>Средняя</x:v>
      </x:c>
      <x:c r="K554" s="28" t="str">
        <x:v>The Art &amp; Science of Foodpairing.pdf</x:v>
      </x:c>
      <x:c r="L554" s="28" t="str">
        <x:v>The Art &amp; Science of Foodpairing.pdf: 123</x:v>
      </x:c>
    </x:row>
    <x:row r="555" ht="66" customHeight="1">
      <x:c r="A555" s="28" t="str">
        <x:v>VEG-1051</x:v>
      </x:c>
      <x:c r="B555" s="28" t="str">
        <x:v>чеснок</x:v>
      </x:c>
      <x:c r="C555" s="28" t="str">
        <x:v>копчёный лосось</x:v>
      </x:c>
      <x:c r="D555" s="28" t="str">
        <x:v>Рыба и морепродукты</x:v>
      </x:c>
      <x:c r="E555" s="28" t="str">
        <x:v>пересечение ароматических семейств; умами и солёный контраст; сернистая или горчичная комплементарность</x:v>
      </x:c>
      <x:c r="F555" s="28" t="str">
        <x:v>Чеснок имеет профиль «резкий сернистый, зелёный и мясной; после запекания — сладкий и ореховый». Партнёр «копчёный лосось»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5" s="28" t="str">
        <x:v>сырой чеснок быстро доминирует; пережжённый чеснок очень горький; хранить и обрабатывать по пищевым нормам</x:v>
      </x:c>
      <x:c r="I555" s="28" t="str">
        <x:v>горячее блюдо, бульон, соус, пюре, ферментация или гарнир с копчёный лосось</x:v>
      </x:c>
      <x:c r="J555" s="28" t="str">
        <x:v>Средняя</x:v>
      </x:c>
      <x:c r="K555" s="28" t="str">
        <x:v>The Art &amp; Science of Foodpairing.pdf</x:v>
      </x:c>
      <x:c r="L555" s="28" t="str">
        <x:v>The Art &amp; Science of Foodpairing.pdf: 113</x:v>
      </x:c>
    </x:row>
    <x:row r="556" ht="66" customHeight="1">
      <x:c r="A556" s="28" t="str">
        <x:v>VEG-1052</x:v>
      </x:c>
      <x:c r="B556" s="28" t="str">
        <x:v>чеснок</x:v>
      </x:c>
      <x:c r="C556" s="28" t="str">
        <x:v>корица</x:v>
      </x:c>
      <x:c r="D556" s="28" t="str">
        <x:v>Специи</x:v>
      </x:c>
      <x:c r="E556" s="28" t="str">
        <x:v>сернистая или горчичная комплементарность</x:v>
      </x:c>
      <x:c r="F556" s="28" t="str">
        <x:v>Чеснок имеет профиль «резкий сернистый, зелёный и мясной; после запекания — сладкий и ореховый». Партнёр «корица» относится к группе «Специи» и даёт древесный, пряный, сладкий.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6" s="28" t="str">
        <x:v>сырой чеснок быстро доминирует; пережжённый чеснок очень горький; хранить и обрабатывать по пищевым нормам</x:v>
      </x:c>
      <x:c r="I556" s="28" t="str">
        <x:v>горячее блюдо, бульон, соус, пюре, ферментация или гарнир с корица</x:v>
      </x:c>
      <x:c r="J556" s="28" t="str">
        <x:v>Средняя</x:v>
      </x:c>
      <x:c r="K556" s="28" t="str">
        <x:v>The Art &amp; Science of Foodpairing.pdf</x:v>
      </x:c>
      <x:c r="L556" s="28" t="str">
        <x:v>The Art &amp; Science of Foodpairing.pdf: 113</x:v>
      </x:c>
    </x:row>
    <x:row r="557" ht="66" customHeight="1">
      <x:c r="A557" s="28" t="str">
        <x:v>VEG-1053</x:v>
      </x:c>
      <x:c r="B557" s="28" t="str">
        <x:v>чеснок</x:v>
      </x:c>
      <x:c r="C557" s="28" t="str">
        <x:v>кофе</x:v>
      </x:c>
      <x:c r="D557" s="28" t="str">
        <x:v>Кофе</x:v>
      </x:c>
      <x:c r="E557" s="28" t="str">
        <x:v>пересечение ароматических семейств; сернистая или горчичная комплементарность</x:v>
      </x:c>
      <x:c r="F557" s="28" t="str">
        <x:v>Чеснок имеет профиль «резкий сернистый, зелёный и мясной; после запекания — сладкий и ореховый». Партнёр «кофе» относится к группе «Кофе» и даёт жареный, карамельный,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7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557" s="28" t="str">
        <x:v>горячее блюдо, бульон, соус, пюре, ферментация или гарнир с кофе</x:v>
      </x:c>
      <x:c r="J557" s="28" t="str">
        <x:v>Средняя</x:v>
      </x:c>
      <x:c r="K557" s="28" t="str">
        <x:v>The Art &amp; Science of Foodpairing.pdf</x:v>
      </x:c>
      <x:c r="L557" s="28" t="str">
        <x:v>The Art &amp; Science of Foodpairing.pdf: 113</x:v>
      </x:c>
    </x:row>
    <x:row r="558" ht="66" customHeight="1">
      <x:c r="A558" s="28" t="str">
        <x:v>VEG-1054</x:v>
      </x:c>
      <x:c r="B558" s="28" t="str">
        <x:v>чеснок</x:v>
      </x:c>
      <x:c r="C558" s="28" t="str">
        <x:v>креветки</x:v>
      </x:c>
      <x:c r="D558" s="28" t="str">
        <x:v>Рыба и морепродукты</x:v>
      </x:c>
      <x:c r="E558" s="28" t="str">
        <x:v>пересечение ароматических семейств; умами и солёный контраст; сернистая или горчичная комплементарность</x:v>
      </x:c>
      <x:c r="F558" s="28" t="str">
        <x:v>Чеснок имеет профиль «резкий сернистый, зелёный и мясной; после запекания — сладкий и ореховый». Партнёр «креветки»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8" s="28" t="str">
        <x:v>сырой чеснок быстро доминирует; пережжённый чеснок очень горький; хранить и обрабатывать по пищевым нормам</x:v>
      </x:c>
      <x:c r="I558" s="28" t="str">
        <x:v>горячее блюдо, бульон, соус, пюре, ферментация или гарнир с креветки</x:v>
      </x:c>
      <x:c r="J558" s="28" t="str">
        <x:v>Средняя</x:v>
      </x:c>
      <x:c r="K558" s="28" t="str">
        <x:v>The Art &amp; Science of Foodpairing.pdf</x:v>
      </x:c>
      <x:c r="L558" s="28" t="str">
        <x:v>The Art &amp; Science of Foodpairing.pdf: 113, 114</x:v>
      </x:c>
    </x:row>
    <x:row r="559" ht="66" customHeight="1">
      <x:c r="A559" s="28" t="str">
        <x:v>VEG-1055</x:v>
      </x:c>
      <x:c r="B559" s="28" t="str">
        <x:v>чеснок</x:v>
      </x:c>
      <x:c r="C559" s="28" t="str">
        <x:v>кумкват</x:v>
      </x:c>
      <x:c r="D559" s="28" t="str">
        <x:v>Прочее</x:v>
      </x:c>
      <x:c r="E559" s="28" t="str">
        <x:v>сернистая или горчичная комплементарность</x:v>
      </x:c>
      <x:c r="F559" s="28" t="str">
        <x:v>Чеснок имеет профиль «резкий сернистый, зелёный и мясной; после запекания — сладкий и ореховый». Партнёр «кумкват»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5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59" s="28" t="str">
        <x:v>сырой чеснок быстро доминирует; пережжённый чеснок очень горький; хранить и обрабатывать по пищевым нормам</x:v>
      </x:c>
      <x:c r="I559" s="28" t="str">
        <x:v>горячее блюдо, бульон, соус, пюре, ферментация или гарнир с кумкват</x:v>
      </x:c>
      <x:c r="J559" s="28" t="str">
        <x:v>Средняя</x:v>
      </x:c>
      <x:c r="K559" s="28" t="str">
        <x:v>The Art &amp; Science of Foodpairing.pdf</x:v>
      </x:c>
      <x:c r="L559" s="28" t="str">
        <x:v>The Art &amp; Science of Foodpairing.pdf: 113</x:v>
      </x:c>
    </x:row>
    <x:row r="560" ht="66" customHeight="1">
      <x:c r="A560" s="28" t="str">
        <x:v>VEG-1056</x:v>
      </x:c>
      <x:c r="B560" s="28" t="str">
        <x:v>чеснок</x:v>
      </x:c>
      <x:c r="C560" s="28" t="str">
        <x:v>курица</x:v>
      </x:c>
      <x:c r="D560" s="28" t="str">
        <x:v>Мясо и птица</x:v>
      </x:c>
      <x:c r="E560" s="28" t="str">
        <x:v>пересечение ароматических семейств; умами и солёный контраст; сернистая или горчичная комплементарность</x:v>
      </x:c>
      <x:c r="F560" s="28" t="str">
        <x:v>Чеснок имеет профиль «резкий сернистый, зелёный и мясной; после запекания — сладкий и ореховый». Партнёр «курица»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0" s="28" t="str">
        <x:v>сырой чеснок быстро доминирует; пережжённый чеснок очень горький; хранить и обрабатывать по пищевым нормам</x:v>
      </x:c>
      <x:c r="I560" s="28" t="str">
        <x:v>горячее блюдо, бульон, соус, пюре, ферментация или гарнир с курица</x:v>
      </x:c>
      <x:c r="J560" s="28" t="str">
        <x:v>Средняя</x:v>
      </x:c>
      <x:c r="K560" s="28" t="str">
        <x:v>The Art &amp; Science of Foodpairing.pdf</x:v>
      </x:c>
      <x:c r="L560" s="28" t="str">
        <x:v>The Art &amp; Science of Foodpairing.pdf: 113</x:v>
      </x:c>
    </x:row>
    <x:row r="561" ht="66" customHeight="1">
      <x:c r="A561" s="28" t="str">
        <x:v>VEG-1057</x:v>
      </x:c>
      <x:c r="B561" s="28" t="str">
        <x:v>чеснок</x:v>
      </x:c>
      <x:c r="C561" s="28" t="str">
        <x:v>куркума</x:v>
      </x:c>
      <x:c r="D561" s="28" t="str">
        <x:v>Прочее</x:v>
      </x:c>
      <x:c r="E561" s="28" t="str">
        <x:v>сернистая или горчичная комплементарность</x:v>
      </x:c>
      <x:c r="F561" s="28" t="str">
        <x:v>Чеснок имеет профиль «резкий сернистый, зелёный и мясной; после запекания — сладкий и ореховый». Партнёр «куркума»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1" s="28" t="str">
        <x:v>сырой чеснок быстро доминирует; пережжённый чеснок очень горький; хранить и обрабатывать по пищевым нормам</x:v>
      </x:c>
      <x:c r="I561" s="28" t="str">
        <x:v>горячее блюдо, бульон, соус, пюре, ферментация или гарнир с куркума</x:v>
      </x:c>
      <x:c r="J561" s="28" t="str">
        <x:v>Средняя</x:v>
      </x:c>
      <x:c r="K561" s="28" t="str">
        <x:v>The Art &amp; Science of Foodpairing.pdf</x:v>
      </x:c>
      <x:c r="L561" s="28" t="str">
        <x:v>The Art &amp; Science of Foodpairing.pdf: 113</x:v>
      </x:c>
    </x:row>
    <x:row r="562" ht="66" customHeight="1">
      <x:c r="A562" s="28" t="str">
        <x:v>VEG-1058</x:v>
      </x:c>
      <x:c r="B562" s="28" t="str">
        <x:v>чеснок</x:v>
      </x:c>
      <x:c r="C562" s="28" t="str">
        <x:v>лемонграсс</x:v>
      </x:c>
      <x:c r="D562" s="28" t="str">
        <x:v>Травы, цветы и листья</x:v>
      </x:c>
      <x:c r="E562" s="28" t="str">
        <x:v>сернистая или горчичная комплементарность</x:v>
      </x:c>
      <x:c r="F562" s="28" t="str">
        <x:v>Чеснок имеет профиль «резкий сернистый, зелёный и мясной; после запекания — сладкий и ореховый». Партнёр «лемонграсс»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2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62" s="28" t="str">
        <x:v>горячее блюдо, бульон, соус, пюре, ферментация или гарнир с лемонграсс</x:v>
      </x:c>
      <x:c r="J562" s="28" t="str">
        <x:v>Средняя</x:v>
      </x:c>
      <x:c r="K562" s="28" t="str">
        <x:v>The Art &amp; Science of Foodpairing.pdf</x:v>
      </x:c>
      <x:c r="L562" s="28" t="str">
        <x:v>The Art &amp; Science of Foodpairing.pdf: 113, 114</x:v>
      </x:c>
    </x:row>
    <x:row r="563" ht="66" customHeight="1">
      <x:c r="A563" s="28" t="str">
        <x:v>VEG-1059</x:v>
      </x:c>
      <x:c r="B563" s="28" t="str">
        <x:v>чеснок</x:v>
      </x:c>
      <x:c r="C563" s="28" t="str">
        <x:v>лепестки розы</x:v>
      </x:c>
      <x:c r="D563" s="28" t="str">
        <x:v>Прочее</x:v>
      </x:c>
      <x:c r="E563" s="28" t="str">
        <x:v>сернистая или горчичная комплементарность</x:v>
      </x:c>
      <x:c r="F563" s="28" t="str">
        <x:v>Чеснок имеет профиль «резкий сернистый, зелёный и мясной; после запекания — сладкий и ореховый». Партнёр «лепестки розы»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3" s="28" t="str">
        <x:v>сырой чеснок быстро доминирует; пережжённый чеснок очень горький; хранить и обрабатывать по пищевым нормам</x:v>
      </x:c>
      <x:c r="I563" s="28" t="str">
        <x:v>горячее блюдо, бульон, соус, пюре, ферментация или гарнир с лепестки розы</x:v>
      </x:c>
      <x:c r="J563" s="28" t="str">
        <x:v>Средняя</x:v>
      </x:c>
      <x:c r="K563" s="28" t="str">
        <x:v>The Art &amp; Science of Foodpairing.pdf</x:v>
      </x:c>
      <x:c r="L563" s="28" t="str">
        <x:v>The Art &amp; Science of Foodpairing.pdf: 113</x:v>
      </x:c>
    </x:row>
    <x:row r="564" ht="66" customHeight="1">
      <x:c r="A564" s="28" t="str">
        <x:v>VEG-1060</x:v>
      </x:c>
      <x:c r="B564" s="28" t="str">
        <x:v>чеснок</x:v>
      </x:c>
      <x:c r="C564" s="28" t="str">
        <x:v>лимонная вербена</x:v>
      </x:c>
      <x:c r="D564" s="28" t="str">
        <x:v>Фрукты и ягоды</x:v>
      </x:c>
      <x:c r="E564" s="28" t="str">
        <x:v>кислотно-сладкий баланс; сернистая или горчичная комплементарность</x:v>
      </x:c>
      <x:c r="F564" s="28" t="str">
        <x:v>Чеснок имеет профиль «резкий сернистый, зелёный и мясной; после запекания — сладкий и ореховый». Партнёр «лимонная вербена» относится к группе «Фрукты и ягоды» и даёт кислый, свежий, цитрусовый.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4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64" s="28" t="str">
        <x:v>горячее блюдо, бульон, соус, пюре, ферментация или гарнир с лимонная вербена</x:v>
      </x:c>
      <x:c r="J564" s="28" t="str">
        <x:v>Средняя</x:v>
      </x:c>
      <x:c r="K564" s="28" t="str">
        <x:v>The Art &amp; Science of Foodpairing.pdf</x:v>
      </x:c>
      <x:c r="L564" s="28" t="str">
        <x:v>The Art &amp; Science of Foodpairing.pdf: 113</x:v>
      </x:c>
    </x:row>
    <x:row r="565" ht="66" customHeight="1">
      <x:c r="A565" s="28" t="str">
        <x:v>VEG-1061</x:v>
      </x:c>
      <x:c r="B565" s="28" t="str">
        <x:v>чеснок</x:v>
      </x:c>
      <x:c r="C565" s="28" t="str">
        <x:v>листья кориандра</x:v>
      </x:c>
      <x:c r="D565" s="28" t="str">
        <x:v>Травы, цветы и листья</x:v>
      </x:c>
      <x:c r="E565" s="28" t="str">
        <x:v>сернистая или горчичная комплементарность</x:v>
      </x:c>
      <x:c r="F565" s="28" t="str">
        <x:v>Чеснок имеет профиль «резкий сернистый, зелёный и мясной; после запекания — сладкий и ореховый». Партнёр «листья кориандра» относится к группе «Травы, цветы и листья» и даёт зелёный, цветочный и терпеновый.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5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65" s="28" t="str">
        <x:v>горячее блюдо, бульон, соус, пюре, ферментация или гарнир с листья кориандра</x:v>
      </x:c>
      <x:c r="J565" s="28" t="str">
        <x:v>Средняя</x:v>
      </x:c>
      <x:c r="K565" s="28" t="str">
        <x:v>Тезариус вкусов (Ники Сегнит)(1).pdf</x:v>
      </x:c>
      <x:c r="L565" s="28" t="str">
        <x:v>Тезариус вкусов (Ники Сегнит)(1).pdf: 294, 523</x:v>
      </x:c>
    </x:row>
    <x:row r="566" ht="66" customHeight="1">
      <x:c r="A566" s="28" t="str">
        <x:v>VEG-1062</x:v>
      </x:c>
      <x:c r="B566" s="28" t="str">
        <x:v>чеснок</x:v>
      </x:c>
      <x:c r="C566" s="28" t="str">
        <x:v>листья тмина</x:v>
      </x:c>
      <x:c r="D566" s="28" t="str">
        <x:v>Прочее</x:v>
      </x:c>
      <x:c r="E566" s="28" t="str">
        <x:v>сернистая или горчичная комплементарность</x:v>
      </x:c>
      <x:c r="F566" s="28" t="str">
        <x:v>Чеснок имеет профиль «резкий сернистый, зелёный и мясной; после запекания — сладкий и ореховый». Партнёр «листья тмина»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6" s="28" t="str">
        <x:v>сырой чеснок быстро доминирует; пережжённый чеснок очень горький; хранить и обрабатывать по пищевым нормам</x:v>
      </x:c>
      <x:c r="I566" s="28" t="str">
        <x:v>горячее блюдо, бульон, соус, пюре, ферментация или гарнир с листья тмина</x:v>
      </x:c>
      <x:c r="J566" s="28" t="str">
        <x:v>Средняя</x:v>
      </x:c>
      <x:c r="K566" s="28" t="str">
        <x:v>The Art &amp; Science of Foodpairing.pdf</x:v>
      </x:c>
      <x:c r="L566" s="28" t="str">
        <x:v>The Art &amp; Science of Foodpairing.pdf: 113</x:v>
      </x:c>
    </x:row>
    <x:row r="567" ht="66" customHeight="1">
      <x:c r="A567" s="28" t="str">
        <x:v>VEG-1063</x:v>
      </x:c>
      <x:c r="B567" s="28" t="str">
        <x:v>чеснок</x:v>
      </x:c>
      <x:c r="C567" s="28" t="str">
        <x:v>лобстер</x:v>
      </x:c>
      <x:c r="D567" s="28" t="str">
        <x:v>Прочее</x:v>
      </x:c>
      <x:c r="E567" s="28" t="str">
        <x:v>сернистая или горчичная комплементарность</x:v>
      </x:c>
      <x:c r="F567" s="28" t="str">
        <x:v>Чеснок имеет профиль «резкий сернистый, зелёный и мясной; после запекания — сладкий и ореховый». Партнёр «лобстер»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7" s="28" t="str">
        <x:v>сырой чеснок быстро доминирует; пережжённый чеснок очень горький; хранить и обрабатывать по пищевым нормам</x:v>
      </x:c>
      <x:c r="I567" s="28" t="str">
        <x:v>горячее блюдо, бульон, соус, пюре, ферментация или гарнир с лобстер</x:v>
      </x:c>
      <x:c r="J567" s="28" t="str">
        <x:v>Средняя</x:v>
      </x:c>
      <x:c r="K567" s="28" t="str">
        <x:v>The Art &amp; Science of Foodpairing.pdf</x:v>
      </x:c>
      <x:c r="L567" s="28" t="str">
        <x:v>The Art &amp; Science of Foodpairing.pdf: 113, 114</x:v>
      </x:c>
    </x:row>
    <x:row r="568" ht="66" customHeight="1">
      <x:c r="A568" s="28" t="str">
        <x:v>VEG-1064</x:v>
      </x:c>
      <x:c r="B568" s="28" t="str">
        <x:v>чеснок</x:v>
      </x:c>
      <x:c r="C568" s="28" t="str">
        <x:v>лосось</x:v>
      </x:c>
      <x:c r="D568" s="28" t="str">
        <x:v>Рыба и морепродукты</x:v>
      </x:c>
      <x:c r="E568" s="28" t="str">
        <x:v>пересечение ароматических семейств; умами и солёный контраст; сернистая или горчичная комплементарность</x:v>
      </x:c>
      <x:c r="F568" s="28" t="str">
        <x:v>Чеснок имеет профиль «резкий сернистый, зелёный и мясной; после запекания — сладкий и ореховый». Партнёр «лосось»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8" s="28" t="str">
        <x:v>сырой чеснок быстро доминирует; пережжённый чеснок очень горький; хранить и обрабатывать по пищевым нормам</x:v>
      </x:c>
      <x:c r="I568" s="28" t="str">
        <x:v>горячее блюдо, бульон, соус, пюре, ферментация или гарнир с лосось</x:v>
      </x:c>
      <x:c r="J568" s="28" t="str">
        <x:v>Средняя</x:v>
      </x:c>
      <x:c r="K568" s="28" t="str">
        <x:v>The Art &amp; Science of Foodpairing.pdf</x:v>
      </x:c>
      <x:c r="L568" s="28" t="str">
        <x:v>The Art &amp; Science of Foodpairing.pdf: 114</x:v>
      </x:c>
    </x:row>
    <x:row r="569" ht="66" customHeight="1">
      <x:c r="A569" s="28" t="str">
        <x:v>VEG-1065</x:v>
      </x:c>
      <x:c r="B569" s="28" t="str">
        <x:v>чеснок</x:v>
      </x:c>
      <x:c r="C569" s="28" t="str">
        <x:v>манго</x:v>
      </x:c>
      <x:c r="D569" s="28" t="str">
        <x:v>Фрукты и ягоды</x:v>
      </x:c>
      <x:c r="E569" s="28" t="str">
        <x:v>кислотно-сладкий баланс; сернистая или горчичная комплементарность</x:v>
      </x:c>
      <x:c r="F569" s="28" t="str">
        <x:v>Чеснок имеет профиль «резкий сернистый, зелёный и мясной; после запекания — сладкий и ореховый». Партнёр «манго»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6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69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69" s="28" t="str">
        <x:v>горячее блюдо, бульон, соус, пюре, ферментация или гарнир с манго</x:v>
      </x:c>
      <x:c r="J569" s="28" t="str">
        <x:v>Средняя</x:v>
      </x:c>
      <x:c r="K569" s="28" t="str">
        <x:v>The Art &amp; Science of Foodpairing.pdf</x:v>
      </x:c>
      <x:c r="L569" s="28" t="str">
        <x:v>The Art &amp; Science of Foodpairing.pdf: 113</x:v>
      </x:c>
    </x:row>
    <x:row r="570" ht="66" customHeight="1">
      <x:c r="A570" s="28" t="str">
        <x:v>VEG-1066</x:v>
      </x:c>
      <x:c r="B570" s="28" t="str">
        <x:v>чеснок</x:v>
      </x:c>
      <x:c r="C570" s="28" t="str">
        <x:v>мандариновая цедра</x:v>
      </x:c>
      <x:c r="D570" s="28" t="str">
        <x:v>Прочее</x:v>
      </x:c>
      <x:c r="E570" s="28" t="str">
        <x:v>сернистая или горчичная комплементарность</x:v>
      </x:c>
      <x:c r="F570" s="28" t="str">
        <x:v>Чеснок имеет профиль «резкий сернистый, зелёный и мясной; после запекания — сладкий и ореховый». Партнёр «мандариновая цедра»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0" s="28" t="str">
        <x:v>сырой чеснок быстро доминирует; пережжённый чеснок очень горький; хранить и обрабатывать по пищевым нормам</x:v>
      </x:c>
      <x:c r="I570" s="28" t="str">
        <x:v>горячее блюдо, бульон, соус, пюре, ферментация или гарнир с мандариновая цедра</x:v>
      </x:c>
      <x:c r="J570" s="28" t="str">
        <x:v>Средняя</x:v>
      </x:c>
      <x:c r="K570" s="28" t="str">
        <x:v>The Art &amp; Science of Foodpairing.pdf</x:v>
      </x:c>
      <x:c r="L570" s="28" t="str">
        <x:v>The Art &amp; Science of Foodpairing.pdf: 113</x:v>
      </x:c>
    </x:row>
    <x:row r="571" ht="66" customHeight="1">
      <x:c r="A571" s="28" t="str">
        <x:v>VEG-1067</x:v>
      </x:c>
      <x:c r="B571" s="28" t="str">
        <x:v>чеснок</x:v>
      </x:c>
      <x:c r="C571" s="28" t="str">
        <x:v>матча</x:v>
      </x:c>
      <x:c r="D571" s="28" t="str">
        <x:v>Чай</x:v>
      </x:c>
      <x:c r="E571" s="28" t="str">
        <x:v>сернистая или горчичная комплементарность</x:v>
      </x:c>
      <x:c r="F571" s="28" t="str">
        <x:v>Чеснок имеет профиль «резкий сернистый, зелёный и мясной; после запекания — сладкий и ореховый». Партнёр «матча»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1" s="28" t="str">
        <x:v>сырой чеснок быстро доминирует; пережжённый чеснок очень горький; хранить и обрабатывать по пищевым нормам</x:v>
      </x:c>
      <x:c r="I571" s="28" t="str">
        <x:v>горячее блюдо, бульон, соус, пюре, ферментация или гарнир с матча</x:v>
      </x:c>
      <x:c r="J571" s="28" t="str">
        <x:v>Средняя</x:v>
      </x:c>
      <x:c r="K571" s="28" t="str">
        <x:v>The Art &amp; Science of Foodpairing.pdf</x:v>
      </x:c>
      <x:c r="L571" s="28" t="str">
        <x:v>The Art &amp; Science of Foodpairing.pdf: 113</x:v>
      </x:c>
    </x:row>
    <x:row r="572" ht="66" customHeight="1">
      <x:c r="A572" s="28" t="str">
        <x:v>VEG-1068</x:v>
      </x:c>
      <x:c r="B572" s="28" t="str">
        <x:v>чеснок</x:v>
      </x:c>
      <x:c r="C572" s="28" t="str">
        <x:v>мерланг</x:v>
      </x:c>
      <x:c r="D572" s="28" t="str">
        <x:v>Прочее</x:v>
      </x:c>
      <x:c r="E572" s="28" t="str">
        <x:v>сернистая или горчичная комплементарность</x:v>
      </x:c>
      <x:c r="F572" s="28" t="str">
        <x:v>Чеснок имеет профиль «резкий сернистый, зелёный и мясной; после запекания — сладкий и ореховый». Партнёр «мерланг»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2" s="28" t="str">
        <x:v>сырой чеснок быстро доминирует; пережжённый чеснок очень горький; хранить и обрабатывать по пищевым нормам</x:v>
      </x:c>
      <x:c r="I572" s="28" t="str">
        <x:v>горячее блюдо, бульон, соус, пюре, ферментация или гарнир с мерланг</x:v>
      </x:c>
      <x:c r="J572" s="28" t="str">
        <x:v>Средняя</x:v>
      </x:c>
      <x:c r="K572" s="28" t="str">
        <x:v>The Art &amp; Science of Foodpairing.pdf</x:v>
      </x:c>
      <x:c r="L572" s="28" t="str">
        <x:v>The Art &amp; Science of Foodpairing.pdf: 114</x:v>
      </x:c>
    </x:row>
    <x:row r="573" ht="66" customHeight="1">
      <x:c r="A573" s="28" t="str">
        <x:v>VEG-1069</x:v>
      </x:c>
      <x:c r="B573" s="28" t="str">
        <x:v>чеснок</x:v>
      </x:c>
      <x:c r="C573" s="28" t="str">
        <x:v>миндаль</x:v>
      </x:c>
      <x:c r="D573" s="28" t="str">
        <x:v>Орехи и семена</x:v>
      </x:c>
      <x:c r="E573" s="28" t="str">
        <x:v>пересечение ароматических семейств; сернистая или горчичная комплементарность</x:v>
      </x:c>
      <x:c r="F573" s="28" t="str">
        <x:v>Чеснок имеет профиль «резкий сернистый, зелёный и мясной; после запекания — сладкий и ореховый». Партнёр «миндаль» относится к группе «Орехи и семена» и даёт жареный, миндальный,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3" s="28" t="str">
        <x:v>сырой чеснок быстро доминирует; пережжённый чеснок очень горький; хранить и обрабатывать по пищевым нормам</x:v>
      </x:c>
      <x:c r="I573" s="28" t="str">
        <x:v>горячее блюдо, бульон, соус, пюре, ферментация или гарнир с миндаль</x:v>
      </x:c>
      <x:c r="J573" s="28" t="str">
        <x:v>Средняя</x:v>
      </x:c>
      <x:c r="K573" s="28" t="str">
        <x:v>Тезариус вкусов (Ники Сегнит)(1).pdf</x:v>
      </x:c>
      <x:c r="L573" s="28" t="str">
        <x:v>Тезариус вкусов (Ники Сегнит)(1).pdf: 295, 650</x:v>
      </x:c>
    </x:row>
    <x:row r="574" ht="66" customHeight="1">
      <x:c r="A574" s="28" t="str">
        <x:v>VEG-1070</x:v>
      </x:c>
      <x:c r="B574" s="28" t="str">
        <x:v>чеснок</x:v>
      </x:c>
      <x:c r="C574" s="28" t="str">
        <x:v>моллюски</x:v>
      </x:c>
      <x:c r="D574" s="28" t="str">
        <x:v>Рыба и морепродукты</x:v>
      </x:c>
      <x:c r="E574" s="28" t="str">
        <x:v>пересечение ароматических семейств; умами и солёный контраст; сернистая или горчичная комплементарность</x:v>
      </x:c>
      <x:c r="F574" s="28" t="str">
        <x:v>Чеснок имеет профиль «резкий сернистый, зелёный и мясной; после запекания — сладкий и ореховый». Партнёр «моллюски»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4" s="28" t="str">
        <x:v>сырой чеснок быстро доминирует; пережжённый чеснок очень горький; хранить и обрабатывать по пищевым нормам</x:v>
      </x:c>
      <x:c r="I574" s="28" t="str">
        <x:v>горячее блюдо, бульон, соус, пюре, ферментация или гарнир с моллюски</x:v>
      </x:c>
      <x:c r="J574" s="28" t="str">
        <x:v>Высокая</x:v>
      </x:c>
      <x:c r="K574" s="28" t="str">
        <x:v>The Art &amp; Science of Foodpairing.pdf | Тезариус вкусов (Ники Сегнит)(1).pdf</x:v>
      </x:c>
      <x:c r="L574" s="28" t="str">
        <x:v>Тезариус вкусов (Ники Сегнит)(1).pdf: 296, 378; The Art &amp; Science of Foodpairing.pdf: 114</x:v>
      </x:c>
    </x:row>
    <x:row r="575" ht="66" customHeight="1">
      <x:c r="A575" s="28" t="str">
        <x:v>VEG-1071</x:v>
      </x:c>
      <x:c r="B575" s="28" t="str">
        <x:v>чеснок</x:v>
      </x:c>
      <x:c r="C575" s="28" t="str">
        <x:v>морской угорь</x:v>
      </x:c>
      <x:c r="D575" s="28" t="str">
        <x:v>Прочее</x:v>
      </x:c>
      <x:c r="E575" s="28" t="str">
        <x:v>сернистая или горчичная комплементарность</x:v>
      </x:c>
      <x:c r="F575" s="28" t="str">
        <x:v>Чеснок имеет профиль «резкий сернистый, зелёный и мясной; после запекания — сладкий и ореховый». Партнёр «морской угорь»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5" s="28" t="str">
        <x:v>сырой чеснок быстро доминирует; пережжённый чеснок очень горький; хранить и обрабатывать по пищевым нормам</x:v>
      </x:c>
      <x:c r="I575" s="28" t="str">
        <x:v>горячее блюдо, бульон, соус, пюре, ферментация или гарнир с морской угорь</x:v>
      </x:c>
      <x:c r="J575" s="28" t="str">
        <x:v>Средняя</x:v>
      </x:c>
      <x:c r="K575" s="28" t="str">
        <x:v>The Art &amp; Science of Foodpairing.pdf</x:v>
      </x:c>
      <x:c r="L575" s="28" t="str">
        <x:v>The Art &amp; Science of Foodpairing.pdf: 114</x:v>
      </x:c>
    </x:row>
    <x:row r="576" ht="66" customHeight="1">
      <x:c r="A576" s="28" t="str">
        <x:v>VEG-1072</x:v>
      </x:c>
      <x:c r="B576" s="28" t="str">
        <x:v>чеснок</x:v>
      </x:c>
      <x:c r="C576" s="28" t="str">
        <x:v>мягкий сыр</x:v>
      </x:c>
      <x:c r="D576" s="28" t="str">
        <x:v>Молочные продукты и сыры</x:v>
      </x:c>
      <x:c r="E576" s="28" t="str">
        <x:v>пересечение ароматических семейств; жировая матрица; сернистая или горчичная комплементарность</x:v>
      </x:c>
      <x:c r="F576" s="28" t="str">
        <x:v>Чеснок имеет профиль «резкий сернистый, зелёный и мясной; после запекания — сладкий и ореховый». Партнёр «мягкий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6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76" s="28" t="str">
        <x:v>горячее блюдо, бульон, соус, пюре, ферментация или гарнир с мягкий сыр</x:v>
      </x:c>
      <x:c r="J576" s="28" t="str">
        <x:v>Средняя</x:v>
      </x:c>
      <x:c r="K576" s="28" t="str">
        <x:v>Тезариус вкусов (Ники Сегнит)(1).pdf</x:v>
      </x:c>
      <x:c r="L576" s="28" t="str">
        <x:v>Тезариус вкусов (Ники Сегнит)(1).pdf: 188, 296</x:v>
      </x:c>
    </x:row>
    <x:row r="577" ht="66" customHeight="1">
      <x:c r="A577" s="28" t="str">
        <x:v>VEG-1073</x:v>
      </x:c>
      <x:c r="B577" s="28" t="str">
        <x:v>чеснок</x:v>
      </x:c>
      <x:c r="C577" s="28" t="str">
        <x:v>мята</x:v>
      </x:c>
      <x:c r="D577" s="28" t="str">
        <x:v>Травы, цветы и листья</x:v>
      </x:c>
      <x:c r="E577" s="28" t="str">
        <x:v>сернистая или горчичная комплементарность</x:v>
      </x:c>
      <x:c r="F577" s="28" t="str">
        <x:v>Чеснок имеет профиль «резкий сернистый, зелёный и мясной; после запекания — сладкий и ореховый». Партнёр «мята» относится к группе «Травы, цветы и листья» и даёт зелёный, холодящий.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7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77" s="28" t="str">
        <x:v>горячее блюдо, бульон, соус, пюре, ферментация или гарнир с мята</x:v>
      </x:c>
      <x:c r="J577" s="28" t="str">
        <x:v>Средняя</x:v>
      </x:c>
      <x:c r="K577" s="28" t="str">
        <x:v>Тезариус вкусов (Ники Сегнит)(1).pdf</x:v>
      </x:c>
      <x:c r="L577" s="28" t="str">
        <x:v>Тезариус вкусов (Ники Сегнит)(1).pdf: 296, 870</x:v>
      </x:c>
    </x:row>
    <x:row r="578" ht="66" customHeight="1">
      <x:c r="A578" s="28" t="str">
        <x:v>VEG-1074</x:v>
      </x:c>
      <x:c r="B578" s="28" t="str">
        <x:v>чеснок</x:v>
      </x:c>
      <x:c r="C578" s="28" t="str">
        <x:v>нори</x:v>
      </x:c>
      <x:c r="D578" s="28" t="str">
        <x:v>Прочее</x:v>
      </x:c>
      <x:c r="E578" s="28" t="str">
        <x:v>сернистая или горчичная комплементарность</x:v>
      </x:c>
      <x:c r="F578" s="28" t="str">
        <x:v>Чеснок имеет профиль «резкий сернистый, зелёный и мясной; после запекания — сладкий и ореховый». Партнёр «нори»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8" s="28" t="str">
        <x:v>сырой чеснок быстро доминирует; пережжённый чеснок очень горький; хранить и обрабатывать по пищевым нормам</x:v>
      </x:c>
      <x:c r="I578" s="28" t="str">
        <x:v>горячее блюдо, бульон, соус, пюре, ферментация или гарнир с нори</x:v>
      </x:c>
      <x:c r="J578" s="28" t="str">
        <x:v>Средняя</x:v>
      </x:c>
      <x:c r="K578" s="28" t="str">
        <x:v>The Art &amp; Science of Foodpairing.pdf</x:v>
      </x:c>
      <x:c r="L578" s="28" t="str">
        <x:v>The Art &amp; Science of Foodpairing.pdf: 113</x:v>
      </x:c>
    </x:row>
    <x:row r="579" ht="66" customHeight="1">
      <x:c r="A579" s="28" t="str">
        <x:v>VEG-1075</x:v>
      </x:c>
      <x:c r="B579" s="28" t="str">
        <x:v>чеснок</x:v>
      </x:c>
      <x:c r="C579" s="28" t="str">
        <x:v>огурец</x:v>
      </x:c>
      <x:c r="D579" s="28" t="str">
        <x:v>Тыквенные</x:v>
      </x:c>
      <x:c r="E579" s="28" t="str">
        <x:v>сернистая или горчичная комплементарность</x:v>
      </x:c>
      <x:c r="F579" s="28" t="str">
        <x:v>Чеснок имеет профиль «резкий сернистый, зелёный и мясной; после запекания — сладкий и ореховый». Партнёр «огурец» относится к группе «Тыквенные» и даёт зелёный, водянистый, свежий и дынный.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7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79" s="28" t="str">
        <x:v>сырой чеснок быстро доминирует; пережжённый чеснок очень горький; хранить и обрабатывать по пищевым нормам</x:v>
      </x:c>
      <x:c r="I579" s="28" t="str">
        <x:v>горячее блюдо, бульон, соус, пюре, ферментация или гарнир с огурец</x:v>
      </x:c>
      <x:c r="J579" s="28" t="str">
        <x:v>Средняя</x:v>
      </x:c>
      <x:c r="K579" s="28" t="str">
        <x:v>Тезариус вкусов (Ники Сегнит)(1).pdf</x:v>
      </x:c>
      <x:c r="L579" s="28" t="str">
        <x:v>Тезариус вкусов (Ники Сегнит)(1).pdf: 296, 498</x:v>
      </x:c>
    </x:row>
    <x:row r="580" ht="66" customHeight="1">
      <x:c r="A580" s="28" t="str">
        <x:v>VEG-1076</x:v>
      </x:c>
      <x:c r="B580" s="28" t="str">
        <x:v>чеснок</x:v>
      </x:c>
      <x:c r="C580" s="28" t="str">
        <x:v>оленина</x:v>
      </x:c>
      <x:c r="D580" s="28" t="str">
        <x:v>Прочее</x:v>
      </x:c>
      <x:c r="E580" s="28" t="str">
        <x:v>сернистая или горчичная комплементарность</x:v>
      </x:c>
      <x:c r="F580" s="28" t="str">
        <x:v>Чеснок имеет профиль «резкий сернистый, зелёный и мясной; после запекания — сладкий и ореховый». Партнёр «оленина»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0" s="28" t="str">
        <x:v>сырой чеснок быстро доминирует; пережжённый чеснок очень горький; хранить и обрабатывать по пищевым нормам</x:v>
      </x:c>
      <x:c r="I580" s="28" t="str">
        <x:v>горячее блюдо, бульон, соус, пюре, ферментация или гарнир с оленина</x:v>
      </x:c>
      <x:c r="J580" s="28" t="str">
        <x:v>Средняя</x:v>
      </x:c>
      <x:c r="K580" s="28" t="str">
        <x:v>The Art &amp; Science of Foodpairing.pdf</x:v>
      </x:c>
      <x:c r="L580" s="28" t="str">
        <x:v>The Art &amp; Science of Foodpairing.pdf: 113</x:v>
      </x:c>
    </x:row>
    <x:row r="581" ht="66" customHeight="1">
      <x:c r="A581" s="28" t="str">
        <x:v>VEG-1077</x:v>
      </x:c>
      <x:c r="B581" s="28" t="str">
        <x:v>чеснок</x:v>
      </x:c>
      <x:c r="C581" s="28" t="str">
        <x:v>оливки</x:v>
      </x:c>
      <x:c r="D581" s="28" t="str">
        <x:v>Прочее</x:v>
      </x:c>
      <x:c r="E581" s="28" t="str">
        <x:v>сернистая или горчичная комплементарность</x:v>
      </x:c>
      <x:c r="F581" s="28" t="str">
        <x:v>Чеснок имеет профиль «резкий сернистый, зелёный и мясной; после запекания — сладкий и ореховый». Партнёр «оливки»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1" s="28" t="str">
        <x:v>сырой чеснок быстро доминирует; пережжённый чеснок очень горький; хранить и обрабатывать по пищевым нормам</x:v>
      </x:c>
      <x:c r="I581" s="28" t="str">
        <x:v>горячее блюдо, бульон, соус, пюре, ферментация или гарнир с оливки</x:v>
      </x:c>
      <x:c r="J581" s="28" t="str">
        <x:v>Средняя</x:v>
      </x:c>
      <x:c r="K581" s="28" t="str">
        <x:v>Тезариус вкусов (Ники Сегнит)(1).pdf</x:v>
      </x:c>
      <x:c r="L581" s="28" t="str">
        <x:v>Тезариус вкусов (Ники Сегнит)(1).pdf: 297, 471</x:v>
      </x:c>
    </x:row>
    <x:row r="582" ht="66" customHeight="1">
      <x:c r="A582" s="28" t="str">
        <x:v>VEG-1078</x:v>
      </x:c>
      <x:c r="B582" s="28" t="str">
        <x:v>чеснок</x:v>
      </x:c>
      <x:c r="C582" s="28" t="str">
        <x:v>оливковое масло пикваль</x:v>
      </x:c>
      <x:c r="D582" s="28" t="str">
        <x:v>Масла и жиры</x:v>
      </x:c>
      <x:c r="E582" s="28" t="str">
        <x:v>жировая матрица; сернистая или горчичная комплементарность</x:v>
      </x:c>
      <x:c r="F582" s="28" t="str">
        <x:v>Чеснок имеет профиль «резкий сернистый, зелёный и мясной; после запекания — сладкий и ореховый». Партнёр «оливковое масло пикваль» относится к группе «Масла и жиры» и даёт жирный и мягкий. Прямое совпадение одной ключевой молекулы по рабочим профилям не подтверждено; механизм не следует сводить к одной молекуле.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2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82" s="28" t="str">
        <x:v>горячее блюдо, бульон, соус, пюре, ферментация или гарнир с оливковое масло пикваль</x:v>
      </x:c>
      <x:c r="J582" s="28" t="str">
        <x:v>Средняя</x:v>
      </x:c>
      <x:c r="K582" s="28" t="str">
        <x:v>The Art &amp; Science of Foodpairing.pdf</x:v>
      </x:c>
      <x:c r="L582" s="28" t="str">
        <x:v>The Art &amp; Science of Foodpairing.pdf: 113</x:v>
      </x:c>
    </x:row>
    <x:row r="583" ht="66" customHeight="1">
      <x:c r="A583" s="28" t="str">
        <x:v>VEG-1079</x:v>
      </x:c>
      <x:c r="B583" s="28" t="str">
        <x:v>чеснок</x:v>
      </x:c>
      <x:c r="C583" s="28" t="str">
        <x:v>паста тикка масала</x:v>
      </x:c>
      <x:c r="D583" s="28" t="str">
        <x:v>Выпечка, крупы, сахара и десерты</x:v>
      </x:c>
      <x:c r="E583" s="28" t="str">
        <x:v>пересечение ароматических семейств; сернистая или горчичная комплементарность</x:v>
      </x:c>
      <x:c r="F583" s="28" t="str">
        <x:v>Чеснок имеет профиль «резкий сернистый, зелёный и мясной; после запекания — сладкий и ореховый». Партнёр «паста тикка масала» относится к группе «Выпечка, крупы, сахара и десерты» и даёт сладкий, карамельный и жареный.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3" s="28" t="str">
        <x:v>сырой чеснок быстро доминирует; пережжённый чеснок очень горький; хранить и обрабатывать по пищевым нормам</x:v>
      </x:c>
      <x:c r="I583" s="28" t="str">
        <x:v>горячее блюдо, бульон, соус, пюре, ферментация или гарнир с паста тикка масала</x:v>
      </x:c>
      <x:c r="J583" s="28" t="str">
        <x:v>Средняя</x:v>
      </x:c>
      <x:c r="K583" s="28" t="str">
        <x:v>The Art &amp; Science of Foodpairing.pdf</x:v>
      </x:c>
      <x:c r="L583" s="28" t="str">
        <x:v>The Art &amp; Science of Foodpairing.pdf: 114</x:v>
      </x:c>
    </x:row>
    <x:row r="584" ht="66" customHeight="1">
      <x:c r="A584" s="28" t="str">
        <x:v>VEG-1080</x:v>
      </x:c>
      <x:c r="B584" s="28" t="str">
        <x:v>чеснок</x:v>
      </x:c>
      <x:c r="C584" s="28" t="str">
        <x:v>пастернак</x:v>
      </x:c>
      <x:c r="D584" s="28" t="str">
        <x:v>Корнеплоды</x:v>
      </x:c>
      <x:c r="E584" s="28" t="str">
        <x:v>сернистая или горчичная комплементарность</x:v>
      </x:c>
      <x:c r="F584" s="28" t="str">
        <x:v>Чеснок имеет профиль «резкий сернистый, зелёный и мясной; после запекания — сладкий и ореховый». Партнёр «пастернак» относится к группе «Корнеплоды» и даёт сладкий, пряный, древесный и слегка анисовый.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4" s="28" t="str">
        <x:v>сырой чеснок быстро доминирует; пережжённый чеснок очень горький; хранить и обрабатывать по пищевым нормам</x:v>
      </x:c>
      <x:c r="I584" s="28" t="str">
        <x:v>горячее блюдо, бульон, соус, пюре, ферментация или гарнир с пастернак</x:v>
      </x:c>
      <x:c r="J584" s="28" t="str">
        <x:v>Средняя</x:v>
      </x:c>
      <x:c r="K584" s="28" t="str">
        <x:v>The Art &amp; Science of Foodpairing.pdf</x:v>
      </x:c>
      <x:c r="L584" s="28" t="str">
        <x:v>The Art &amp; Science of Foodpairing.pdf: 113, 114</x:v>
      </x:c>
    </x:row>
    <x:row r="585" ht="66" customHeight="1">
      <x:c r="A585" s="28" t="str">
        <x:v>VEG-1081</x:v>
      </x:c>
      <x:c r="B585" s="28" t="str">
        <x:v>чеснок</x:v>
      </x:c>
      <x:c r="C585" s="28" t="str">
        <x:v>пекинская утка</x:v>
      </x:c>
      <x:c r="D585" s="28" t="str">
        <x:v>Мясо и птица</x:v>
      </x:c>
      <x:c r="E585" s="28" t="str">
        <x:v>пересечение ароматических семейств; умами и солёный контраст; сернистая или горчичная комплементарность</x:v>
      </x:c>
      <x:c r="F585" s="28" t="str">
        <x:v>Чеснок имеет профиль «резкий сернистый, зелёный и мясной; после запекания — сладкий и ореховый». Партнёр «пекинская утка»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5" s="28" t="str">
        <x:v>сырой чеснок быстро доминирует; пережжённый чеснок очень горький; хранить и обрабатывать по пищевым нормам</x:v>
      </x:c>
      <x:c r="I585" s="28" t="str">
        <x:v>горячее блюдо, бульон, соус, пюре, ферментация или гарнир с пекинская утка</x:v>
      </x:c>
      <x:c r="J585" s="28" t="str">
        <x:v>Средняя</x:v>
      </x:c>
      <x:c r="K585" s="28" t="str">
        <x:v>The Art &amp; Science of Foodpairing.pdf</x:v>
      </x:c>
      <x:c r="L585" s="28" t="str">
        <x:v>The Art &amp; Science of Foodpairing.pdf: 114</x:v>
      </x:c>
    </x:row>
    <x:row r="586" ht="66" customHeight="1">
      <x:c r="A586" s="28" t="str">
        <x:v>VEG-1082</x:v>
      </x:c>
      <x:c r="B586" s="28" t="str">
        <x:v>чеснок</x:v>
      </x:c>
      <x:c r="C586" s="28" t="str">
        <x:v>пепперони</x:v>
      </x:c>
      <x:c r="D586" s="28" t="str">
        <x:v>Прочее</x:v>
      </x:c>
      <x:c r="E586" s="28" t="str">
        <x:v>сернистая или горчичная комплементарность</x:v>
      </x:c>
      <x:c r="F586" s="28" t="str">
        <x:v>Чеснок имеет профиль «резкий сернистый, зелёный и мясной; после запекания — сладкий и ореховый». Партнёр «пепперони»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6" s="28" t="str">
        <x:v>сырой чеснок быстро доминирует; пережжённый чеснок очень горький; хранить и обрабатывать по пищевым нормам</x:v>
      </x:c>
      <x:c r="I586" s="28" t="str">
        <x:v>горячее блюдо, бульон, соус, пюре, ферментация или гарнир с пепперони</x:v>
      </x:c>
      <x:c r="J586" s="28" t="str">
        <x:v>Средняя</x:v>
      </x:c>
      <x:c r="K586" s="28" t="str">
        <x:v>The Art &amp; Science of Foodpairing.pdf</x:v>
      </x:c>
      <x:c r="L586" s="28" t="str">
        <x:v>The Art &amp; Science of Foodpairing.pdf: 113</x:v>
      </x:c>
    </x:row>
    <x:row r="587" ht="66" customHeight="1">
      <x:c r="A587" s="28" t="str">
        <x:v>VEG-1083</x:v>
      </x:c>
      <x:c r="B587" s="28" t="str">
        <x:v>чеснок</x:v>
      </x:c>
      <x:c r="C587" s="28" t="str">
        <x:v>петрушка</x:v>
      </x:c>
      <x:c r="D587" s="28" t="str">
        <x:v>Травы, цветы и листья</x:v>
      </x:c>
      <x:c r="E587" s="28" t="str">
        <x:v>сернистая или горчичная комплементарность</x:v>
      </x:c>
      <x:c r="F587" s="28" t="str">
        <x:v>Чеснок имеет профиль «резкий сернистый, зелёный и мясной; после запекания — сладкий и ореховый». Партнёр «петрушка» относится к группе «Травы, цветы и листья» и даёт зелёный, травянистый.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7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87" s="28" t="str">
        <x:v>горячее блюдо, бульон, соус, пюре, ферментация или гарнир с петрушка</x:v>
      </x:c>
      <x:c r="J587" s="28" t="str">
        <x:v>Средняя</x:v>
      </x:c>
      <x:c r="K587" s="28" t="str">
        <x:v>Тезариус вкусов (Ники Сегнит)(1).pdf</x:v>
      </x:c>
      <x:c r="L587" s="28" t="str">
        <x:v>Тезариус вкусов (Ники Сегнит)(1).pdf: 297, 511, 806</x:v>
      </x:c>
    </x:row>
    <x:row r="588" ht="66" customHeight="1">
      <x:c r="A588" s="28" t="str">
        <x:v>VEG-1084</x:v>
      </x:c>
      <x:c r="B588" s="28" t="str">
        <x:v>чеснок</x:v>
      </x:c>
      <x:c r="C588" s="28" t="str">
        <x:v>печень</x:v>
      </x:c>
      <x:c r="D588" s="28" t="str">
        <x:v>Мясо и птица</x:v>
      </x:c>
      <x:c r="E588" s="28" t="str">
        <x:v>пересечение ароматических семейств; умами и солёный контраст; сернистая или горчичная комплементарность</x:v>
      </x:c>
      <x:c r="F588" s="28" t="str">
        <x:v>Чеснок имеет профиль «резкий сернистый, зелёный и мясной; после запекания — сладкий и ореховый». Партнёр «печень»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8" s="28" t="str">
        <x:v>сырой чеснок быстро доминирует; пережжённый чеснок очень горький; хранить и обрабатывать по пищевым нормам</x:v>
      </x:c>
      <x:c r="I588" s="28" t="str">
        <x:v>горячее блюдо, бульон, соус, пюре, ферментация или гарнир с печень</x:v>
      </x:c>
      <x:c r="J588" s="28" t="str">
        <x:v>Средняя</x:v>
      </x:c>
      <x:c r="K588" s="28" t="str">
        <x:v>Тезариус вкусов (Ники Сегнит)(1).pdf</x:v>
      </x:c>
      <x:c r="L588" s="28" t="str">
        <x:v>Тезариус вкусов (Ники Сегнит)(1).pdf: 102, 297</x:v>
      </x:c>
    </x:row>
    <x:row r="589" ht="66" customHeight="1">
      <x:c r="A589" s="28" t="str">
        <x:v>VEG-1085</x:v>
      </x:c>
      <x:c r="B589" s="28" t="str">
        <x:v>чеснок</x:v>
      </x:c>
      <x:c r="C589" s="28" t="str">
        <x:v>пралине из миндаля и фундука</x:v>
      </x:c>
      <x:c r="D589" s="28" t="str">
        <x:v>Орехи и семена</x:v>
      </x:c>
      <x:c r="E589" s="28" t="str">
        <x:v>пересечение ароматических семейств; сернистая или горчичная комплементарность</x:v>
      </x:c>
      <x:c r="F589" s="28" t="str">
        <x:v>Чеснок имеет профиль «резкий сернистый, зелёный и мясной; после запекания — сладкий и ореховый». Партнёр «пралине из миндаля и фундука»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8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89" s="28" t="str">
        <x:v>сырой чеснок быстро доминирует; пережжённый чеснок очень горький; хранить и обрабатывать по пищевым нормам</x:v>
      </x:c>
      <x:c r="I589" s="28" t="str">
        <x:v>горячее блюдо, бульон, соус, пюре, ферментация или гарнир с пралине из миндаля и фундука</x:v>
      </x:c>
      <x:c r="J589" s="28" t="str">
        <x:v>Средняя</x:v>
      </x:c>
      <x:c r="K589" s="28" t="str">
        <x:v>The Art &amp; Science of Foodpairing.pdf</x:v>
      </x:c>
      <x:c r="L589" s="28" t="str">
        <x:v>The Art &amp; Science of Foodpairing.pdf: 113</x:v>
      </x:c>
    </x:row>
    <x:row r="590" ht="66" customHeight="1">
      <x:c r="A590" s="28" t="str">
        <x:v>VEG-1086</x:v>
      </x:c>
      <x:c r="B590" s="28" t="str">
        <x:v>чеснок</x:v>
      </x:c>
      <x:c r="C590" s="28" t="str">
        <x:v>рассольный сыр</x:v>
      </x:c>
      <x:c r="D590" s="28" t="str">
        <x:v>Молочные продукты и сыры</x:v>
      </x:c>
      <x:c r="E590" s="28" t="str">
        <x:v>пересечение ароматических семейств; жировая матрица; сернистая или горчичная комплементарность</x:v>
      </x:c>
      <x:c r="F590" s="28" t="str">
        <x:v>Чеснок имеет профиль «резкий сернистый, зелёный и мясной; после запекания — сладкий и ореховый». Партнёр «рассольный 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0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90" s="28" t="str">
        <x:v>горячее блюдо, бульон, соус, пюре, ферментация или гарнир с рассольный сыр</x:v>
      </x:c>
      <x:c r="J590" s="28" t="str">
        <x:v>Средняя</x:v>
      </x:c>
      <x:c r="K590" s="28" t="str">
        <x:v>Тезариус вкусов (Ники Сегнит)(1).pdf</x:v>
      </x:c>
      <x:c r="L590" s="28" t="str">
        <x:v>Тезариус вкусов (Ники Сегнит)(1).pdf: 150, 297</x:v>
      </x:c>
    </x:row>
    <x:row r="591" ht="66" customHeight="1">
      <x:c r="A591" s="28" t="str">
        <x:v>VEG-1087</x:v>
      </x:c>
      <x:c r="B591" s="28" t="str">
        <x:v>чеснок</x:v>
      </x:c>
      <x:c r="C591" s="28" t="str">
        <x:v>редис</x:v>
      </x:c>
      <x:c r="D591" s="28" t="str">
        <x:v>Корнеплоды и крестоцветные</x:v>
      </x:c>
      <x:c r="E591" s="28" t="str">
        <x:v>общие характерные молекулы; сернистая или горчичная комплементарность</x:v>
      </x:c>
      <x:c r="F591" s="28" t="str">
        <x:v>Чеснок имеет профиль «резкий сернистый, зелёный и мясной; после запекания — сладкий и ореховый». Партнёр «редис» относится к группе «Корнеплоды и крестоцветные» и даёт горчичный, зелёный, перечный и водянистый.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1" s="28" t="str">
        <x:v>сырой чеснок быстро доминирует; пережжённый чеснок очень горький; хранить и обрабатывать по пищевым нормам</x:v>
      </x:c>
      <x:c r="I591" s="28" t="str">
        <x:v>горячее блюдо, бульон, соус, пюре, ферментация или гарнир с редис</x:v>
      </x:c>
      <x:c r="J591" s="28" t="str">
        <x:v>Средняя</x:v>
      </x:c>
      <x:c r="K591" s="28" t="str">
        <x:v>The Art &amp; Science of Foodpairing.pdf</x:v>
      </x:c>
      <x:c r="L591" s="28" t="str">
        <x:v>The Art &amp; Science of Foodpairing.pdf: 113</x:v>
      </x:c>
    </x:row>
    <x:row r="592" ht="66" customHeight="1">
      <x:c r="A592" s="28" t="str">
        <x:v>VEG-1088</x:v>
      </x:c>
      <x:c r="B592" s="28" t="str">
        <x:v>чеснок</x:v>
      </x:c>
      <x:c r="C592" s="28" t="str">
        <x:v>розмарин</x:v>
      </x:c>
      <x:c r="D592" s="28" t="str">
        <x:v>Травы, цветы и листья</x:v>
      </x:c>
      <x:c r="E592" s="28" t="str">
        <x:v>сернистая или горчичная комплементарность</x:v>
      </x:c>
      <x:c r="F592" s="28" t="str">
        <x:v>Чеснок имеет профиль «резкий сернистый, зелёный и мясной; после запекания — сладкий и ореховый». Партнёр «розмарин» относится к группе «Травы, цветы и листья» и даёт древесный, камфорный, хвойный.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2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592" s="28" t="str">
        <x:v>горячее блюдо, бульон, соус, пюре, ферментация или гарнир с розмарин</x:v>
      </x:c>
      <x:c r="J592" s="28" t="str">
        <x:v>Высокая</x:v>
      </x:c>
      <x:c r="K592" s="28" t="str">
        <x:v>The Art &amp; Science of Foodpairing.pdf | Тезариус вкусов (Ники Сегнит)(1).pdf</x:v>
      </x:c>
      <x:c r="L592" s="28" t="str">
        <x:v>Тезариус вкусов (Ники Сегнит)(1).pdf: 297, 840; The Art &amp; Science of Foodpairing.pdf: 113</x:v>
      </x:c>
    </x:row>
    <x:row r="593" ht="66" customHeight="1">
      <x:c r="A593" s="28" t="str">
        <x:v>VEG-1089</x:v>
      </x:c>
      <x:c r="B593" s="28" t="str">
        <x:v>чеснок</x:v>
      </x:c>
      <x:c r="C593" s="28" t="str">
        <x:v>свинина</x:v>
      </x:c>
      <x:c r="D593" s="28" t="str">
        <x:v>Мясо и птица</x:v>
      </x:c>
      <x:c r="E593" s="28" t="str">
        <x:v>пересечение ароматических семейств; умами и солёный контраст; сернистая или горчичная комплементарность</x:v>
      </x:c>
      <x:c r="F593" s="28" t="str">
        <x:v>Чеснок имеет профиль «резкий сернистый, зелёный и мясной; после запекания — сладкий и ореховый». Партнёр «свинина»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3" s="28" t="str">
        <x:v>сырой чеснок быстро доминирует; пережжённый чеснок очень горький; хранить и обрабатывать по пищевым нормам</x:v>
      </x:c>
      <x:c r="I593" s="28" t="str">
        <x:v>горячее блюдо, бульон, соус, пюре, ферментация или гарнир с свинина</x:v>
      </x:c>
      <x:c r="J593" s="28" t="str">
        <x:v>Средняя</x:v>
      </x:c>
      <x:c r="K593" s="28" t="str">
        <x:v>Тезариус вкусов (Ники Сегнит)(1).pdf</x:v>
      </x:c>
      <x:c r="L593" s="28" t="str">
        <x:v>Тезариус вкусов (Ники Сегнит)(1).pdf: 89, 298</x:v>
      </x:c>
    </x:row>
    <x:row r="594" ht="66" customHeight="1">
      <x:c r="A594" s="28" t="str">
        <x:v>VEG-1090</x:v>
      </x:c>
      <x:c r="B594" s="28" t="str">
        <x:v>чеснок</x:v>
      </x:c>
      <x:c r="C594" s="28" t="str">
        <x:v>семена кориандра</x:v>
      </x:c>
      <x:c r="D594" s="28" t="str">
        <x:v>Специи</x:v>
      </x:c>
      <x:c r="E594" s="28" t="str">
        <x:v>сернистая или горчичная комплементарность</x:v>
      </x:c>
      <x:c r="F594" s="28" t="str">
        <x:v>Чеснок имеет профиль «резкий сернистый, зелёный и мясной; после запекания — сладкий и ореховый». Партнёр «семена кориандра» относится к группе «Специи» и даёт пряный, цветочный, цитрусовый.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4" s="28" t="str">
        <x:v>сырой чеснок быстро доминирует; пережжённый чеснок очень горький; хранить и обрабатывать по пищевым нормам</x:v>
      </x:c>
      <x:c r="I594" s="28" t="str">
        <x:v>горячее блюдо, бульон, соус, пюре, ферментация или гарнир с семена кориандра</x:v>
      </x:c>
      <x:c r="J594" s="28" t="str">
        <x:v>Средняя</x:v>
      </x:c>
      <x:c r="K594" s="28" t="str">
        <x:v>Тезариус вкусов (Ники Сегнит)(1).pdf</x:v>
      </x:c>
      <x:c r="L594" s="28" t="str">
        <x:v>Тезариус вкусов (Ники Сегнит)(1).pdf: 298, 910</x:v>
      </x:c>
    </x:row>
    <x:row r="595" ht="66" customHeight="1">
      <x:c r="A595" s="28" t="str">
        <x:v>VEG-1091</x:v>
      </x:c>
      <x:c r="B595" s="28" t="str">
        <x:v>чеснок</x:v>
      </x:c>
      <x:c r="C595" s="28" t="str">
        <x:v>скорцонера</x:v>
      </x:c>
      <x:c r="D595" s="28" t="str">
        <x:v>Прочее</x:v>
      </x:c>
      <x:c r="E595" s="28" t="str">
        <x:v>сернистая или горчичная комплементарность</x:v>
      </x:c>
      <x:c r="F595" s="28" t="str">
        <x:v>Чеснок имеет профиль «резкий сернистый, зелёный и мясной; после запекания — сладкий и ореховый». Партнёр «скорцонера»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5" s="28" t="str">
        <x:v>сырой чеснок быстро доминирует; пережжённый чеснок очень горький; хранить и обрабатывать по пищевым нормам</x:v>
      </x:c>
      <x:c r="I595" s="28" t="str">
        <x:v>горячее блюдо, бульон, соус, пюре, ферментация или гарнир с скорцонера</x:v>
      </x:c>
      <x:c r="J595" s="28" t="str">
        <x:v>Средняя</x:v>
      </x:c>
      <x:c r="K595" s="28" t="str">
        <x:v>The Art &amp; Science of Foodpairing.pdf</x:v>
      </x:c>
      <x:c r="L595" s="28" t="str">
        <x:v>The Art &amp; Science of Foodpairing.pdf: 113</x:v>
      </x:c>
    </x:row>
    <x:row r="596" ht="66" customHeight="1">
      <x:c r="A596" s="28" t="str">
        <x:v>VEG-1092</x:v>
      </x:c>
      <x:c r="B596" s="28" t="str">
        <x:v>чеснок</x:v>
      </x:c>
      <x:c r="C596" s="28" t="str">
        <x:v>сливовый бренди</x:v>
      </x:c>
      <x:c r="D596" s="28" t="str">
        <x:v>Фрукты и ягоды</x:v>
      </x:c>
      <x:c r="E596" s="28" t="str">
        <x:v>кислотно-сладкий баланс; сернистая или горчичная комплементарность</x:v>
      </x:c>
      <x:c r="F596" s="28" t="str">
        <x:v>Чеснок имеет профиль «резкий сернистый, зелёный и мясной; после запекания — сладкий и ореховый». Партнёр «сливовый бренди»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6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596" s="28" t="str">
        <x:v>горячее блюдо, бульон, соус, пюре, ферментация или гарнир с сливовый бренди</x:v>
      </x:c>
      <x:c r="J596" s="28" t="str">
        <x:v>Средняя</x:v>
      </x:c>
      <x:c r="K596" s="28" t="str">
        <x:v>The Art &amp; Science of Foodpairing.pdf</x:v>
      </x:c>
      <x:c r="L596" s="28" t="str">
        <x:v>The Art &amp; Science of Foodpairing.pdf: 113</x:v>
      </x:c>
    </x:row>
    <x:row r="597" ht="66" customHeight="1">
      <x:c r="A597" s="28" t="str">
        <x:v>VEG-1093</x:v>
      </x:c>
      <x:c r="B597" s="28" t="str">
        <x:v>чеснок</x:v>
      </x:c>
      <x:c r="C597" s="28" t="str">
        <x:v>сметана</x:v>
      </x:c>
      <x:c r="D597" s="28" t="str">
        <x:v>Молочные продукты и сыры</x:v>
      </x:c>
      <x:c r="E597" s="28" t="str">
        <x:v>пересечение ароматических семейств; жировая матрица; сернистая или горчичная комплементарность</x:v>
      </x:c>
      <x:c r="F597" s="28" t="str">
        <x:v>Чеснок имеет профиль «резкий сернистый, зелёный и мясной; после запекания — сладкий и ореховый». Партнёр «сметана» относится к группе «Молочные продукты и сыры» и даёт молочный, сливочный и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7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597" s="28" t="str">
        <x:v>горячее блюдо, бульон, соус, пюре, ферментация или гарнир с сметана</x:v>
      </x:c>
      <x:c r="J597" s="28" t="str">
        <x:v>Средняя</x:v>
      </x:c>
      <x:c r="K597" s="28" t="str">
        <x:v>The Art &amp; Science of Foodpairing.pdf</x:v>
      </x:c>
      <x:c r="L597" s="28" t="str">
        <x:v>The Art &amp; Science of Foodpairing.pdf: 114</x:v>
      </x:c>
    </x:row>
    <x:row r="598" ht="66" customHeight="1">
      <x:c r="A598" s="28" t="str">
        <x:v>VEG-1094</x:v>
      </x:c>
      <x:c r="B598" s="28" t="str">
        <x:v>чеснок</x:v>
      </x:c>
      <x:c r="C598" s="28" t="str">
        <x:v>соевый напиток</x:v>
      </x:c>
      <x:c r="D598" s="28" t="str">
        <x:v>Прочее</x:v>
      </x:c>
      <x:c r="E598" s="28" t="str">
        <x:v>сернистая или горчичная комплементарность</x:v>
      </x:c>
      <x:c r="F598" s="28" t="str">
        <x:v>Чеснок имеет профиль «резкий сернистый, зелёный и мясной; после запекания — сладкий и ореховый». Партнёр «соевый напиток»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8" s="28" t="str">
        <x:v>сырой чеснок быстро доминирует; пережжённый чеснок очень горький; хранить и обрабатывать по пищевым нормам</x:v>
      </x:c>
      <x:c r="I598" s="28" t="str">
        <x:v>горячее блюдо, бульон, соус, пюре, ферментация или гарнир с соевый напиток</x:v>
      </x:c>
      <x:c r="J598" s="28" t="str">
        <x:v>Средняя</x:v>
      </x:c>
      <x:c r="K598" s="28" t="str">
        <x:v>The Art &amp; Science of Foodpairing.pdf</x:v>
      </x:c>
      <x:c r="L598" s="28" t="str">
        <x:v>The Art &amp; Science of Foodpairing.pdf: 113</x:v>
      </x:c>
    </x:row>
    <x:row r="599" ht="66" customHeight="1">
      <x:c r="A599" s="28" t="str">
        <x:v>VEG-1095</x:v>
      </x:c>
      <x:c r="B599" s="28" t="str">
        <x:v>чеснок</x:v>
      </x:c>
      <x:c r="C599" s="28" t="str">
        <x:v>солёные анчоусы</x:v>
      </x:c>
      <x:c r="D599" s="28" t="str">
        <x:v>Рыба и морепродукты</x:v>
      </x:c>
      <x:c r="E599" s="28" t="str">
        <x:v>пересечение ароматических семейств; умами и солёный контраст; сернистая или горчичная комплементарность</x:v>
      </x:c>
      <x:c r="F599" s="28" t="str">
        <x:v>Чеснок имеет профиль «резкий сернистый, зелёный и мясной; после запекания — сладкий и ореховый». Партнёр «солёные анчоусы»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59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599" s="28" t="str">
        <x:v>сырой чеснок быстро доминирует; пережжённый чеснок очень горький; хранить и обрабатывать по пищевым нормам</x:v>
      </x:c>
      <x:c r="I599" s="28" t="str">
        <x:v>горячее блюдо, бульон, соус, пюре, ферментация или гарнир с солёные анчоусы</x:v>
      </x:c>
      <x:c r="J599" s="28" t="str">
        <x:v>Средняя</x:v>
      </x:c>
      <x:c r="K599" s="28" t="str">
        <x:v>The Art &amp; Science of Foodpairing.pdf</x:v>
      </x:c>
      <x:c r="L599" s="28" t="str">
        <x:v>The Art &amp; Science of Foodpairing.pdf: 113</x:v>
      </x:c>
    </x:row>
    <x:row r="600" ht="66" customHeight="1">
      <x:c r="A600" s="28" t="str">
        <x:v>VEG-1096</x:v>
      </x:c>
      <x:c r="B600" s="28" t="str">
        <x:v>чеснок</x:v>
      </x:c>
      <x:c r="C600" s="28" t="str">
        <x:v>спаржа</x:v>
      </x:c>
      <x:c r="D600" s="28" t="str">
        <x:v>Побеговые овощи</x:v>
      </x:c>
      <x:c r="E600" s="28" t="str">
        <x:v>общие характерные молекулы; пересечение ароматических семейств; сернистая или горчичная комплементарность</x:v>
      </x:c>
      <x:c r="F600" s="28" t="str">
        <x:v>Чеснок имеет профиль «резкий сернистый, зелёный и мясной; после запекания — сладкий и ореховый». Партнёр «спаржа» относится к группе «Побеговые овощи» и даёт зелёный, сернистый, ореховый и слегка сладкий.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0" s="28" t="str">
        <x:v>сырой чеснок быстро доминирует; пережжённый чеснок очень горький; хранить и обрабатывать по пищевым нормам</x:v>
      </x:c>
      <x:c r="I600" s="28" t="str">
        <x:v>горячее блюдо, бульон, соус, пюре, ферментация или гарнир с спаржа</x:v>
      </x:c>
      <x:c r="J600" s="28" t="str">
        <x:v>Средняя</x:v>
      </x:c>
      <x:c r="K600" s="28" t="str">
        <x:v>The Art &amp; Science of Foodpairing.pdf</x:v>
      </x:c>
      <x:c r="L600" s="28" t="str">
        <x:v>The Art &amp; Science of Foodpairing.pdf: 114</x:v>
      </x:c>
    </x:row>
    <x:row r="601" ht="66" customHeight="1">
      <x:c r="A601" s="28" t="str">
        <x:v>VEG-1097</x:v>
      </x:c>
      <x:c r="B601" s="28" t="str">
        <x:v>чеснок</x:v>
      </x:c>
      <x:c r="C601" s="28" t="str">
        <x:v>стилтон</x:v>
      </x:c>
      <x:c r="D601" s="28" t="str">
        <x:v>Прочее</x:v>
      </x:c>
      <x:c r="E601" s="28" t="str">
        <x:v>сернистая или горчичная комплементарность</x:v>
      </x:c>
      <x:c r="F601" s="28" t="str">
        <x:v>Чеснок имеет профиль «резкий сернистый, зелёный и мясной; после запекания — сладкий и ореховый». Партнёр «стилтон»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1" s="28" t="str">
        <x:v>сырой чеснок быстро доминирует; пережжённый чеснок очень горький; хранить и обрабатывать по пищевым нормам</x:v>
      </x:c>
      <x:c r="I601" s="28" t="str">
        <x:v>горячее блюдо, бульон, соус, пюре, ферментация или гарнир с стилтон</x:v>
      </x:c>
      <x:c r="J601" s="28" t="str">
        <x:v>Средняя</x:v>
      </x:c>
      <x:c r="K601" s="28" t="str">
        <x:v>The Art &amp; Science of Foodpairing.pdf</x:v>
      </x:c>
      <x:c r="L601" s="28" t="str">
        <x:v>The Art &amp; Science of Foodpairing.pdf: 114</x:v>
      </x:c>
    </x:row>
    <x:row r="602" ht="66" customHeight="1">
      <x:c r="A602" s="28" t="str">
        <x:v>VEG-1098</x:v>
      </x:c>
      <x:c r="B602" s="28" t="str">
        <x:v>чеснок</x:v>
      </x:c>
      <x:c r="C602" s="28" t="str">
        <x:v>сыр</x:v>
      </x:c>
      <x:c r="D602" s="28" t="str">
        <x:v>Молочные продукты и сыры</x:v>
      </x:c>
      <x:c r="E602" s="28" t="str">
        <x:v>пересечение ароматических семейств; жировая матрица; сернистая или горчичная комплементарность</x:v>
      </x:c>
      <x:c r="F602" s="28" t="str">
        <x:v>Чеснок имеет профиль «резкий сернистый, зелёный и мясной; после запекания — сладкий и ореховый». Партнёр «сыр» относится к группе «Молочные продукты и сыры» и даёт молочный, умами, ферментированный. Профили пересекаются в семействах: умами. Жир растворяет гидрофобные терпены, лактоны и сернистые одоранты, смягчает горечь и создаёт более длительное высвобождение аромата.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2" s="28" t="str">
        <x:v>сырой чеснок быстро доминирует; пережжённый чеснок очень горький; хранить и обрабатывать по пищевым нормам; жир способен приглушить свежую зелёную ароматику</x:v>
      </x:c>
      <x:c r="I602" s="28" t="str">
        <x:v>горячее блюдо, бульон, соус, пюре, ферментация или гарнир с сыр</x:v>
      </x:c>
      <x:c r="J602" s="28" t="str">
        <x:v>Средняя</x:v>
      </x:c>
      <x:c r="K602" s="28" t="str">
        <x:v>The Art &amp; Science of Foodpairing.pdf</x:v>
      </x:c>
      <x:c r="L602" s="28" t="str">
        <x:v>The Art &amp; Science of Foodpairing.pdf: 113, 114</x:v>
      </x:c>
    </x:row>
    <x:row r="603" ht="66" customHeight="1">
      <x:c r="A603" s="28" t="str">
        <x:v>VEG-1099</x:v>
      </x:c>
      <x:c r="B603" s="28" t="str">
        <x:v>чеснок</x:v>
      </x:c>
      <x:c r="C603" s="28" t="str">
        <x:v>таитянская ваниль</x:v>
      </x:c>
      <x:c r="D603" s="28" t="str">
        <x:v>Специи</x:v>
      </x:c>
      <x:c r="E603" s="28" t="str">
        <x:v>сернистая или горчичная комплементарность</x:v>
      </x:c>
      <x:c r="F603" s="28" t="str">
        <x:v>Чеснок имеет профиль «резкий сернистый, зелёный и мясной; после запекания — сладкий и ореховый». Партнёр «таитянская ваниль» относится к группе «Специи» и даёт ванильный, древесный, цветочный.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3" s="28" t="str">
        <x:v>сырой чеснок быстро доминирует; пережжённый чеснок очень горький; хранить и обрабатывать по пищевым нормам</x:v>
      </x:c>
      <x:c r="I603" s="28" t="str">
        <x:v>горячее блюдо, бульон, соус, пюре, ферментация или гарнир с таитянская ваниль</x:v>
      </x:c>
      <x:c r="J603" s="28" t="str">
        <x:v>Средняя</x:v>
      </x:c>
      <x:c r="K603" s="28" t="str">
        <x:v>The Art &amp; Science of Foodpairing.pdf</x:v>
      </x:c>
      <x:c r="L603" s="28" t="str">
        <x:v>The Art &amp; Science of Foodpairing.pdf: 114</x:v>
      </x:c>
    </x:row>
    <x:row r="604" ht="66" customHeight="1">
      <x:c r="A604" s="28" t="str">
        <x:v>VEG-1100</x:v>
      </x:c>
      <x:c r="B604" s="28" t="str">
        <x:v>чеснок</x:v>
      </x:c>
      <x:c r="C604" s="28" t="str">
        <x:v>тамаринд</x:v>
      </x:c>
      <x:c r="D604" s="28" t="str">
        <x:v>Прочее</x:v>
      </x:c>
      <x:c r="E604" s="28" t="str">
        <x:v>сернистая или горчичная комплементарность</x:v>
      </x:c>
      <x:c r="F604" s="28" t="str">
        <x:v>Чеснок имеет профиль «резкий сернистый, зелёный и мясной; после запекания — сладкий и ореховый». Партнёр «тамаринд»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4" s="28" t="str">
        <x:v>сырой чеснок быстро доминирует; пережжённый чеснок очень горький; хранить и обрабатывать по пищевым нормам</x:v>
      </x:c>
      <x:c r="I604" s="28" t="str">
        <x:v>горячее блюдо, бульон, соус, пюре, ферментация или гарнир с тамаринд</x:v>
      </x:c>
      <x:c r="J604" s="28" t="str">
        <x:v>Высокая</x:v>
      </x:c>
      <x:c r="K604" s="28" t="str">
        <x:v>The Art &amp; Science of Foodpairing.pdf</x:v>
      </x:c>
      <x:c r="L604" s="28" t="str">
        <x:v>The Art &amp; Science of Foodpairing.pdf: 114</x:v>
      </x:c>
    </x:row>
    <x:row r="605" ht="66" customHeight="1">
      <x:c r="A605" s="28" t="str">
        <x:v>VEG-1101</x:v>
      </x:c>
      <x:c r="B605" s="28" t="str">
        <x:v>чеснок</x:v>
      </x:c>
      <x:c r="C605" s="28" t="str">
        <x:v>тимьян</x:v>
      </x:c>
      <x:c r="D605" s="28" t="str">
        <x:v>Травы, цветы и листья</x:v>
      </x:c>
      <x:c r="E605" s="28" t="str">
        <x:v>сернистая или горчичная комплементарность</x:v>
      </x:c>
      <x:c r="F605" s="28" t="str">
        <x:v>Чеснок имеет профиль «резкий сернистый, зелёный и мясной; после запекания — сладкий и ореховый». Партнёр «тимьян» относится к группе «Травы, цветы и листья» и даёт древесный, зелёный, фенольный. Прямое совпадение одной ключевой молекулы по рабочим профилям не подтверждено; механизм не следует сводить к одной молекуле. Зелёные альдегиды и терпены дают свежий верхний слой, который компенсирует крахмалистость, землистость или сернистость основы.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5" s="28" t="str">
        <x:v>сырой чеснок быстро доминирует; пережжённый чеснок очень горький; хранить и обрабатывать по пищевым нормам; длительный нагрев уносит свежие терпены и зелёные альдегиды</x:v>
      </x:c>
      <x:c r="I605" s="28" t="str">
        <x:v>горячее блюдо, бульон, соус, пюре, ферментация или гарнир с тимьян</x:v>
      </x:c>
      <x:c r="J605" s="28" t="str">
        <x:v>Высокая</x:v>
      </x:c>
      <x:c r="K605" s="28" t="str">
        <x:v>The Art &amp; Science of Foodpairing.pdf | Тезариус вкусов (Ники Сегнит)(1).pdf</x:v>
      </x:c>
      <x:c r="L605" s="28" t="str">
        <x:v>Тезариус вкусов (Ники Сегнит)(1).pdf: 210, 298, 862; The Art &amp; Science of Foodpairing.pdf: 114</x:v>
      </x:c>
    </x:row>
    <x:row r="606" ht="66" customHeight="1">
      <x:c r="A606" s="28" t="str">
        <x:v>VEG-1102</x:v>
      </x:c>
      <x:c r="B606" s="28" t="str">
        <x:v>чеснок</x:v>
      </x:c>
      <x:c r="C606" s="28" t="str">
        <x:v>томат</x:v>
      </x:c>
      <x:c r="D606" s="28" t="str">
        <x:v>Плодовые овощи</x:v>
      </x:c>
      <x:c r="E606" s="28" t="str">
        <x:v>пересечение ароматических семейств; сернистая или горчичная комплементарность</x:v>
      </x:c>
      <x:c r="F606" s="28" t="str">
        <x:v>Чеснок имеет профиль «резкий сернистый, зелёный и мясной; после запекания — сладкий и ореховый». Партнёр «томат» относится к группе «Плодовые овощи» и даёт зелёный, фруктовый, листовой, сернистый и умами. Профили пересекаются в семействах: сернистый, умами.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6" s="28" t="str">
        <x:v>сырой чеснок быстро доминирует; пережжённый чеснок очень горький; хранить и обрабатывать по пищевым нормам</x:v>
      </x:c>
      <x:c r="I606" s="28" t="str">
        <x:v>горячее блюдо, бульон, соус, пюре, ферментация или гарнир с томат</x:v>
      </x:c>
      <x:c r="J606" s="28" t="str">
        <x:v>Высокая</x:v>
      </x:c>
      <x:c r="K606" s="28" t="str">
        <x:v>The Art &amp; Science of Foodpairing.pdf | Тезариус вкусов (Ники Сегнит)(1).pdf</x:v>
      </x:c>
      <x:c r="L606" s="28" t="str">
        <x:v>Тезариус вкусов (Ники Сегнит)(1).pdf: 299, 690; The Art &amp; Science of Foodpairing.pdf: 114, 161</x:v>
      </x:c>
    </x:row>
    <x:row r="607" ht="66" customHeight="1">
      <x:c r="A607" s="28" t="str">
        <x:v>VEG-1103</x:v>
      </x:c>
      <x:c r="B607" s="28" t="str">
        <x:v>чеснок</x:v>
      </x:c>
      <x:c r="C607" s="28" t="str">
        <x:v>трюфель</x:v>
      </x:c>
      <x:c r="D607" s="28" t="str">
        <x:v>Грибы</x:v>
      </x:c>
      <x:c r="E607" s="28" t="str">
        <x:v>пересечение ароматических семейств; умами и солёный контраст; сернистая или горчичная комплементарность</x:v>
      </x:c>
      <x:c r="F607" s="28" t="str">
        <x:v>Чеснок имеет профиль «резкий сернистый, зелёный и мясной; после запекания — сладкий и ореховый». Партнёр «трюфель» относится к группе «Грибы» и даёт землистый, грибной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7" s="28" t="str">
        <x:v>сырой чеснок быстро доминирует; пережжённый чеснок очень горький; хранить и обрабатывать по пищевым нормам</x:v>
      </x:c>
      <x:c r="I607" s="28" t="str">
        <x:v>горячее блюдо, бульон, соус, пюре, ферментация или гарнир с трюфель</x:v>
      </x:c>
      <x:c r="J607" s="28" t="str">
        <x:v>Средняя</x:v>
      </x:c>
      <x:c r="K607" s="28" t="str">
        <x:v>Тезариус вкусов (Ники Сегнит)(1).pdf</x:v>
      </x:c>
      <x:c r="L607" s="28" t="str">
        <x:v>Тезариус вкусов (Ники Сегнит)(1).pdf: 299, 307</x:v>
      </x:c>
    </x:row>
    <x:row r="608" ht="66" customHeight="1">
      <x:c r="A608" s="28" t="str">
        <x:v>VEG-1104</x:v>
      </x:c>
      <x:c r="B608" s="28" t="str">
        <x:v>чеснок</x:v>
      </x:c>
      <x:c r="C608" s="28" t="str">
        <x:v>тыква</x:v>
      </x:c>
      <x:c r="D608" s="28" t="str">
        <x:v>Тыквенные</x:v>
      </x:c>
      <x:c r="E608" s="28" t="str">
        <x:v>сернистая или горчичная комплементарность</x:v>
      </x:c>
      <x:c r="F608" s="28" t="str">
        <x:v>Чеснок имеет профиль «резкий сернистый, зелёный и мясной; после запекания — сладкий и ореховый». Партнёр «тыква» относится к группе «Тыквенные» и даёт сладкий, крахмалистый, ореховый и слегка цветочный.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8" s="28" t="str">
        <x:v>сырой чеснок быстро доминирует; пережжённый чеснок очень горький; хранить и обрабатывать по пищевым нормам</x:v>
      </x:c>
      <x:c r="I608" s="28" t="str">
        <x:v>горячее блюдо, бульон, соус, пюре, ферментация или гарнир с тыква</x:v>
      </x:c>
      <x:c r="J608" s="28" t="str">
        <x:v>Средняя</x:v>
      </x:c>
      <x:c r="K608" s="28" t="str">
        <x:v>The Art &amp; Science of Foodpairing.pdf</x:v>
      </x:c>
      <x:c r="L608" s="28" t="str">
        <x:v>The Art &amp; Science of Foodpairing.pdf: 113</x:v>
      </x:c>
    </x:row>
    <x:row r="609" ht="66" customHeight="1">
      <x:c r="A609" s="28" t="str">
        <x:v>VEG-1105</x:v>
      </x:c>
      <x:c r="B609" s="28" t="str">
        <x:v>чеснок</x:v>
      </x:c>
      <x:c r="C609" s="28" t="str">
        <x:v>тыква баттернат</x:v>
      </x:c>
      <x:c r="D609" s="28" t="str">
        <x:v>Тыквенные</x:v>
      </x:c>
      <x:c r="E609" s="28" t="str">
        <x:v>сернистая или горчичная комплементарность</x:v>
      </x:c>
      <x:c r="F609" s="28" t="str">
        <x:v>Чеснок имеет профиль «резкий сернистый, зелёный и мясной; после запекания — сладкий и ореховый». Партнёр «тыква баттернат» относится к группе «Тыквенные» и даёт сладкий, сливочный, ореховый и карамельный.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0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09" s="28" t="str">
        <x:v>сырой чеснок быстро доминирует; пережжённый чеснок очень горький; хранить и обрабатывать по пищевым нормам</x:v>
      </x:c>
      <x:c r="I609" s="28" t="str">
        <x:v>горячее блюдо, бульон, соус, пюре, ферментация или гарнир с тыква баттернат</x:v>
      </x:c>
      <x:c r="J609" s="28" t="str">
        <x:v>Средняя</x:v>
      </x:c>
      <x:c r="K609" s="28" t="str">
        <x:v>The Art &amp; Science of Foodpairing.pdf</x:v>
      </x:c>
      <x:c r="L609" s="28" t="str">
        <x:v>The Art &amp; Science of Foodpairing.pdf: 114</x:v>
      </x:c>
    </x:row>
    <x:row r="610" ht="66" customHeight="1">
      <x:c r="A610" s="28" t="str">
        <x:v>VEG-1106</x:v>
      </x:c>
      <x:c r="B610" s="28" t="str">
        <x:v>чеснок</x:v>
      </x:c>
      <x:c r="C610" s="28" t="str">
        <x:v>тюрбо</x:v>
      </x:c>
      <x:c r="D610" s="28" t="str">
        <x:v>Прочее</x:v>
      </x:c>
      <x:c r="E610" s="28" t="str">
        <x:v>сернистая или горчичная комплементарность</x:v>
      </x:c>
      <x:c r="F610" s="28" t="str">
        <x:v>Чеснок имеет профиль «резкий сернистый, зелёный и мясной; после запекания — сладкий и ореховый». Партнёр «тюрбо»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0" s="28" t="str">
        <x:v>сырой чеснок быстро доминирует; пережжённый чеснок очень горький; хранить и обрабатывать по пищевым нормам</x:v>
      </x:c>
      <x:c r="I610" s="28" t="str">
        <x:v>горячее блюдо, бульон, соус, пюре, ферментация или гарнир с тюрбо</x:v>
      </x:c>
      <x:c r="J610" s="28" t="str">
        <x:v>Средняя</x:v>
      </x:c>
      <x:c r="K610" s="28" t="str">
        <x:v>The Art &amp; Science of Foodpairing.pdf</x:v>
      </x:c>
      <x:c r="L610" s="28" t="str">
        <x:v>The Art &amp; Science of Foodpairing.pdf: 113</x:v>
      </x:c>
    </x:row>
    <x:row r="611" ht="66" customHeight="1">
      <x:c r="A611" s="28" t="str">
        <x:v>VEG-1107</x:v>
      </x:c>
      <x:c r="B611" s="28" t="str">
        <x:v>чеснок</x:v>
      </x:c>
      <x:c r="C611" s="28" t="str">
        <x:v>устрица</x:v>
      </x:c>
      <x:c r="D611" s="28" t="str">
        <x:v>Рыба и морепродукты</x:v>
      </x:c>
      <x:c r="E611" s="28" t="str">
        <x:v>пересечение ароматических семейств; умами и солёный контраст; сернистая или горчичная комплементарность</x:v>
      </x:c>
      <x:c r="F611" s="28" t="str">
        <x:v>Чеснок имеет профиль «резкий сернистый, зелёный и мясной; после запекания — сладкий и ореховый». Партнёр «устрица» относится к группе «Рыба и морепродукты» и даёт морской, солоноватый и умами. Профили пересекаются в семействах: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1" s="28" t="str">
        <x:v>сырой чеснок быстро доминирует; пережжённый чеснок очень горький; хранить и обрабатывать по пищевым нормам</x:v>
      </x:c>
      <x:c r="I611" s="28" t="str">
        <x:v>горячее блюдо, бульон, соус, пюре, ферментация или гарнир с устрица</x:v>
      </x:c>
      <x:c r="J611" s="28" t="str">
        <x:v>Средняя</x:v>
      </x:c>
      <x:c r="K611" s="28" t="str">
        <x:v>The Art &amp; Science of Foodpairing.pdf</x:v>
      </x:c>
      <x:c r="L611" s="28" t="str">
        <x:v>The Art &amp; Science of Foodpairing.pdf: 113, 114</x:v>
      </x:c>
    </x:row>
    <x:row r="612" ht="66" customHeight="1">
      <x:c r="A612" s="28" t="str">
        <x:v>VEG-1108</x:v>
      </x:c>
      <x:c r="B612" s="28" t="str">
        <x:v>чеснок</x:v>
      </x:c>
      <x:c r="C612" s="28" t="str">
        <x:v>утиная грудка</x:v>
      </x:c>
      <x:c r="D612" s="28" t="str">
        <x:v>Прочее</x:v>
      </x:c>
      <x:c r="E612" s="28" t="str">
        <x:v>сернистая или горчичная комплементарность</x:v>
      </x:c>
      <x:c r="F612" s="28" t="str">
        <x:v>Чеснок имеет профиль «резкий сернистый, зелёный и мясной; после запекания — сладкий и ореховый». Партнёр «утиная грудка»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2" s="28" t="str">
        <x:v>сырой чеснок быстро доминирует; пережжённый чеснок очень горький; хранить и обрабатывать по пищевым нормам</x:v>
      </x:c>
      <x:c r="I612" s="28" t="str">
        <x:v>горячее блюдо, бульон, соус, пюре, ферментация или гарнир с утиная грудка</x:v>
      </x:c>
      <x:c r="J612" s="28" t="str">
        <x:v>Средняя</x:v>
      </x:c>
      <x:c r="K612" s="28" t="str">
        <x:v>The Art &amp; Science of Foodpairing.pdf</x:v>
      </x:c>
      <x:c r="L612" s="28" t="str">
        <x:v>The Art &amp; Science of Foodpairing.pdf: 113</x:v>
      </x:c>
    </x:row>
    <x:row r="613" ht="66" customHeight="1">
      <x:c r="A613" s="28" t="str">
        <x:v>VEG-1109</x:v>
      </x:c>
      <x:c r="B613" s="28" t="str">
        <x:v>чеснок</x:v>
      </x:c>
      <x:c r="C613" s="28" t="str">
        <x:v>фундук</x:v>
      </x:c>
      <x:c r="D613" s="28" t="str">
        <x:v>Орехи и семена</x:v>
      </x:c>
      <x:c r="E613" s="28" t="str">
        <x:v>пересечение ароматических семейств; сернистая или горчичная комплементарность</x:v>
      </x:c>
      <x:c r="F613" s="28" t="str">
        <x:v>Чеснок имеет профиль «резкий сернистый, зелёный и мясной; после запекания — сладкий и ореховый». Партнёр «фундук» относится к группе «Орехи и семена» и даёт жареный, какаовый, ореховый.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3" s="28" t="str">
        <x:v>сырой чеснок быстро доминирует; пережжённый чеснок очень горький; хранить и обрабатывать по пищевым нормам</x:v>
      </x:c>
      <x:c r="I613" s="28" t="str">
        <x:v>горячее блюдо, бульон, соус, пюре, ферментация или гарнир с фундук</x:v>
      </x:c>
      <x:c r="J613" s="28" t="str">
        <x:v>Средняя</x:v>
      </x:c>
      <x:c r="K613" s="28" t="str">
        <x:v>Тезариус вкусов (Ники Сегнит)(1).pdf</x:v>
      </x:c>
      <x:c r="L613" s="28" t="str">
        <x:v>Тезариус вкусов (Ники Сегнит)(1).pdf: 299, 377, 638</x:v>
      </x:c>
    </x:row>
    <x:row r="614" ht="66" customHeight="1">
      <x:c r="A614" s="28" t="str">
        <x:v>VEG-1110</x:v>
      </x:c>
      <x:c r="B614" s="28" t="str">
        <x:v>чеснок</x:v>
      </x:c>
      <x:c r="C614" s="28" t="str">
        <x:v>хамон иберико</x:v>
      </x:c>
      <x:c r="D614" s="28" t="str">
        <x:v>Мясо и птица</x:v>
      </x:c>
      <x:c r="E614" s="28" t="str">
        <x:v>пересечение ароматических семейств; умами и солёный контраст; сернистая или горчичная комплементарность</x:v>
      </x:c>
      <x:c r="F614" s="28" t="str">
        <x:v>Чеснок имеет профиль «резкий сернистый, зелёный и мясной; после запекания — сладкий и ореховый». Партнёр «хамон иберико» относится к группе «Мясо и птица» и даёт жареный, мясной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4" s="28" t="str">
        <x:v>сырой чеснок быстро доминирует; пережжённый чеснок очень горький; хранить и обрабатывать по пищевым нормам</x:v>
      </x:c>
      <x:c r="I614" s="28" t="str">
        <x:v>горячее блюдо, бульон, соус, пюре, ферментация или гарнир с хамон иберико</x:v>
      </x:c>
      <x:c r="J614" s="28" t="str">
        <x:v>Средняя</x:v>
      </x:c>
      <x:c r="K614" s="28" t="str">
        <x:v>The Art &amp; Science of Foodpairing.pdf</x:v>
      </x:c>
      <x:c r="L614" s="28" t="str">
        <x:v>The Art &amp; Science of Foodpairing.pdf: 278</x:v>
      </x:c>
    </x:row>
    <x:row r="615" ht="66" customHeight="1">
      <x:c r="A615" s="28" t="str">
        <x:v>VEG-1111</x:v>
      </x:c>
      <x:c r="B615" s="28" t="str">
        <x:v>чеснок</x:v>
      </x:c>
      <x:c r="C615" s="28" t="str">
        <x:v>хлеб</x:v>
      </x:c>
      <x:c r="D615" s="28" t="str">
        <x:v>Выпечка, крупы, сахара и десерты</x:v>
      </x:c>
      <x:c r="E615" s="28" t="str">
        <x:v>пересечение ароматических семейств; сернистая или горчичная комплементарность</x:v>
      </x:c>
      <x:c r="F615" s="28" t="str">
        <x:v>Чеснок имеет профиль «резкий сернистый, зелёный и мясной; после запекания — сладкий и ореховый». Партнёр «хлеб» относится к группе «Выпечка, крупы, сахара и десерты» и даёт жареный, зерновой.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5" s="28" t="str">
        <x:v>сырой чеснок быстро доминирует; пережжённый чеснок очень горький; хранить и обрабатывать по пищевым нормам</x:v>
      </x:c>
      <x:c r="I615" s="28" t="str">
        <x:v>горячее блюдо, бульон, соус, пюре, ферментация или гарнир с хлеб</x:v>
      </x:c>
      <x:c r="J615" s="28" t="str">
        <x:v>Высокая</x:v>
      </x:c>
      <x:c r="K615" s="28" t="str">
        <x:v>The Art &amp; Science of Foodpairing.pdf</x:v>
      </x:c>
      <x:c r="L615" s="28" t="str">
        <x:v>The Art &amp; Science of Foodpairing.pdf: 112, 114</x:v>
      </x:c>
    </x:row>
    <x:row r="616" ht="66" customHeight="1">
      <x:c r="A616" s="28" t="str">
        <x:v>VEG-1112</x:v>
      </x:c>
      <x:c r="B616" s="28" t="str">
        <x:v>чеснок</x:v>
      </x:c>
      <x:c r="C616" s="28" t="str">
        <x:v>цветная капуста</x:v>
      </x:c>
      <x:c r="D616" s="28" t="str">
        <x:v>Крестоцветные</x:v>
      </x:c>
      <x:c r="E616" s="28" t="str">
        <x:v>общие характерные молекулы; пересечение ароматических семейств; сернистая или горчичная комплементарность</x:v>
      </x:c>
      <x:c r="F616" s="28" t="str">
        <x:v>Чеснок имеет профиль «резкий сернистый, зелёный и мясной; после запекания — сладкий и ореховый». Партнёр «цветная капуста» относится к группе «Крестоцветные» и даёт мягко капустный, ореховый, сернистый и сливочный после запекания. Вероятный молекулярный мост: метантиол.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6" s="28" t="str">
        <x:v>сырой чеснок быстро доминирует; пережжённый чеснок очень горький; хранить и обрабатывать по пищевым нормам</x:v>
      </x:c>
      <x:c r="I616" s="28" t="str">
        <x:v>горячее блюдо, бульон, соус, пюре, ферментация или гарнир с цветная капуста</x:v>
      </x:c>
      <x:c r="J616" s="28" t="str">
        <x:v>Высокая</x:v>
      </x:c>
      <x:c r="K616" s="28" t="str">
        <x:v>The Art &amp; Science of Foodpairing.pdf | Тезариус вкусов (Ники Сегнит)(1).pdf</x:v>
      </x:c>
      <x:c r="L616" s="28" t="str">
        <x:v>Тезариус вкусов (Ники Сегнит)(1).pdf: 299, 326; The Art &amp; Science of Foodpairing.pdf: 113</x:v>
      </x:c>
    </x:row>
    <x:row r="617" ht="66" customHeight="1">
      <x:c r="A617" s="28" t="str">
        <x:v>VEG-1113</x:v>
      </x:c>
      <x:c r="B617" s="28" t="str">
        <x:v>чеснок</x:v>
      </x:c>
      <x:c r="C617" s="28" t="str">
        <x:v>цветок акмеллы</x:v>
      </x:c>
      <x:c r="D617" s="28" t="str">
        <x:v>Прочее</x:v>
      </x:c>
      <x:c r="E617" s="28" t="str">
        <x:v>сернистая или горчичная комплементарность</x:v>
      </x:c>
      <x:c r="F617" s="28" t="str">
        <x:v>Чеснок имеет профиль «резкий сернистый, зелёный и мясной; после запекания — сладкий и ореховый». Партнёр «цветок акмеллы»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7" s="28" t="str">
        <x:v>сырой чеснок быстро доминирует; пережжённый чеснок очень горький; хранить и обрабатывать по пищевым нормам</x:v>
      </x:c>
      <x:c r="I617" s="28" t="str">
        <x:v>горячее блюдо, бульон, соус, пюре, ферментация или гарнир с цветок акмеллы</x:v>
      </x:c>
      <x:c r="J617" s="28" t="str">
        <x:v>Высокая</x:v>
      </x:c>
      <x:c r="K617" s="28" t="str">
        <x:v>The Art &amp; Science of Foodpairing.pdf</x:v>
      </x:c>
      <x:c r="L617" s="28" t="str">
        <x:v>The Art &amp; Science of Foodpairing.pdf: 113</x:v>
      </x:c>
    </x:row>
    <x:row r="618" ht="66" customHeight="1">
      <x:c r="A618" s="28" t="str">
        <x:v>VEG-1114</x:v>
      </x:c>
      <x:c r="B618" s="28" t="str">
        <x:v>чеснок</x:v>
      </x:c>
      <x:c r="C618" s="28" t="str">
        <x:v>цесарка</x:v>
      </x:c>
      <x:c r="D618" s="28" t="str">
        <x:v>Прочее</x:v>
      </x:c>
      <x:c r="E618" s="28" t="str">
        <x:v>сернистая или горчичная комплементарность</x:v>
      </x:c>
      <x:c r="F618" s="28" t="str">
        <x:v>Чеснок имеет профиль «резкий сернистый, зелёный и мясной; после запекания — сладкий и ореховый». Партнёр «цесарка»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8" s="28" t="str">
        <x:v>сырой чеснок быстро доминирует; пережжённый чеснок очень горький; хранить и обрабатывать по пищевым нормам</x:v>
      </x:c>
      <x:c r="I618" s="28" t="str">
        <x:v>горячее блюдо, бульон, соус, пюре, ферментация или гарнир с цесарка</x:v>
      </x:c>
      <x:c r="J618" s="28" t="str">
        <x:v>Средняя</x:v>
      </x:c>
      <x:c r="K618" s="28" t="str">
        <x:v>The Art &amp; Science of Foodpairing.pdf</x:v>
      </x:c>
      <x:c r="L618" s="28" t="str">
        <x:v>The Art &amp; Science of Foodpairing.pdf: 114</x:v>
      </x:c>
    </x:row>
    <x:row r="619" ht="66" customHeight="1">
      <x:c r="A619" s="28" t="str">
        <x:v>VEG-1115</x:v>
      </x:c>
      <x:c r="B619" s="28" t="str">
        <x:v>чеснок</x:v>
      </x:c>
      <x:c r="C619" s="28" t="str">
        <x:v>цыпленок</x:v>
      </x:c>
      <x:c r="D619" s="28" t="str">
        <x:v>Прочее</x:v>
      </x:c>
      <x:c r="E619" s="28" t="str">
        <x:v>сернистая или горчичная комплементарность</x:v>
      </x:c>
      <x:c r="F619" s="28" t="str">
        <x:v>Чеснок имеет профиль «резкий сернистый, зелёный и мясной; после запекания — сладкий и ореховый». Партнёр «цыпленок»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1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19" s="28" t="str">
        <x:v>сырой чеснок быстро доминирует; пережжённый чеснок очень горький; хранить и обрабатывать по пищевым нормам</x:v>
      </x:c>
      <x:c r="I619" s="28" t="str">
        <x:v>горячее блюдо, бульон, соус, пюре, ферментация или гарнир с цыпленок</x:v>
      </x:c>
      <x:c r="J619" s="28" t="str">
        <x:v>Средняя</x:v>
      </x:c>
      <x:c r="K619" s="28" t="str">
        <x:v>Тезариус вкусов (Ники Сегнит)(1).pdf</x:v>
      </x:c>
      <x:c r="L619" s="28" t="str">
        <x:v>Тезариус вкусов (Ники Сегнит)(1).pdf: 75, 299</x:v>
      </x:c>
    </x:row>
    <x:row r="620" ht="66" customHeight="1">
      <x:c r="A620" s="28" t="str">
        <x:v>VEG-1116</x:v>
      </x:c>
      <x:c r="B620" s="28" t="str">
        <x:v>чеснок</x:v>
      </x:c>
      <x:c r="C620" s="28" t="str">
        <x:v>чай</x:v>
      </x:c>
      <x:c r="D620" s="28" t="str">
        <x:v>Чай</x:v>
      </x:c>
      <x:c r="E620" s="28" t="str">
        <x:v>сернистая или горчичная комплементарность</x:v>
      </x:c>
      <x:c r="F620" s="28" t="str">
        <x:v>Чеснок имеет профиль «резкий сернистый, зелёный и мясной; после запекания — сладкий и ореховый». Партнёр «чай» относится к группе «Чай» и даёт цветочный, древесный или зелёный.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0" s="28" t="str">
        <x:v>сырой чеснок быстро доминирует; пережжённый чеснок очень горький; хранить и обрабатывать по пищевым нормам</x:v>
      </x:c>
      <x:c r="I620" s="28" t="str">
        <x:v>горячее блюдо, бульон, соус, пюре, ферментация или гарнир с чай</x:v>
      </x:c>
      <x:c r="J620" s="28" t="str">
        <x:v>Средняя</x:v>
      </x:c>
      <x:c r="K620" s="28" t="str">
        <x:v>The Art &amp; Science of Foodpairing.pdf</x:v>
      </x:c>
      <x:c r="L620" s="28" t="str">
        <x:v>The Art &amp; Science of Foodpairing.pdf: 113</x:v>
      </x:c>
    </x:row>
    <x:row r="621" ht="66" customHeight="1">
      <x:c r="A621" s="28" t="str">
        <x:v>VEG-1117</x:v>
      </x:c>
      <x:c r="B621" s="28" t="str">
        <x:v>чеснок</x:v>
      </x:c>
      <x:c r="C621" s="28" t="str">
        <x:v>чиабатта</x:v>
      </x:c>
      <x:c r="D621" s="28" t="str">
        <x:v>Прочее</x:v>
      </x:c>
      <x:c r="E621" s="28" t="str">
        <x:v>сернистая или горчичная комплементарность</x:v>
      </x:c>
      <x:c r="F621" s="28" t="str">
        <x:v>Чеснок имеет профиль «резкий сернистый, зелёный и мясной; после запекания — сладкий и ореховый». Партнёр «чиабатта»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1" s="28" t="str">
        <x:v>сырой чеснок быстро доминирует; пережжённый чеснок очень горький; хранить и обрабатывать по пищевым нормам</x:v>
      </x:c>
      <x:c r="I621" s="28" t="str">
        <x:v>горячее блюдо, бульон, соус, пюре, ферментация или гарнир с чиабатта</x:v>
      </x:c>
      <x:c r="J621" s="28" t="str">
        <x:v>Средняя</x:v>
      </x:c>
      <x:c r="K621" s="28" t="str">
        <x:v>The Art &amp; Science of Foodpairing.pdf</x:v>
      </x:c>
      <x:c r="L621" s="28" t="str">
        <x:v>The Art &amp; Science of Foodpairing.pdf: 114</x:v>
      </x:c>
    </x:row>
    <x:row r="622" ht="66" customHeight="1">
      <x:c r="A622" s="28" t="str">
        <x:v>VEG-1118</x:v>
      </x:c>
      <x:c r="B622" s="28" t="str">
        <x:v>чеснок</x:v>
      </x:c>
      <x:c r="C622" s="28" t="str">
        <x:v>чили</x:v>
      </x:c>
      <x:c r="D622" s="28" t="str">
        <x:v>Специи</x:v>
      </x:c>
      <x:c r="E622" s="28" t="str">
        <x:v>сернистая или горчичная комплементарность</x:v>
      </x:c>
      <x:c r="F622" s="28" t="str">
        <x:v>Чеснок имеет профиль «резкий сернистый, зелёный и мясной; после запекания — сладкий и ореховый». Партнёр «чили»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2" s="28" t="str">
        <x:v>сырой чеснок быстро доминирует; пережжённый чеснок очень горький; хранить и обрабатывать по пищевым нормам</x:v>
      </x:c>
      <x:c r="I622" s="28" t="str">
        <x:v>горячее блюдо, бульон, соус, пюре, ферментация или гарнир с чили</x:v>
      </x:c>
      <x:c r="J622" s="28" t="str">
        <x:v>Средняя</x:v>
      </x:c>
      <x:c r="K622" s="28" t="str">
        <x:v>Тезариус вкусов (Ники Сегнит)(1).pdf</x:v>
      </x:c>
      <x:c r="L622" s="28" t="str">
        <x:v>Тезариус вкусов (Ники Сегнит)(1).pdf: 300, 560</x:v>
      </x:c>
    </x:row>
    <x:row r="623" ht="66" customHeight="1">
      <x:c r="A623" s="28" t="str">
        <x:v>VEG-1119</x:v>
      </x:c>
      <x:c r="B623" s="28" t="str">
        <x:v>чеснок</x:v>
      </x:c>
      <x:c r="C623" s="28" t="str">
        <x:v>чоризо</x:v>
      </x:c>
      <x:c r="D623" s="28" t="str">
        <x:v>Прочее</x:v>
      </x:c>
      <x:c r="E623" s="28" t="str">
        <x:v>сернистая или горчичная комплементарность</x:v>
      </x:c>
      <x:c r="F623" s="28" t="str">
        <x:v>Чеснок имеет профиль «резкий сернистый, зелёный и мясной; после запекания — сладкий и ореховый». Партнёр «чоризо»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3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3" s="28" t="str">
        <x:v>сырой чеснок быстро доминирует; пережжённый чеснок очень горький; хранить и обрабатывать по пищевым нормам</x:v>
      </x:c>
      <x:c r="I623" s="28" t="str">
        <x:v>горячее блюдо, бульон, соус, пюре, ферментация или гарнир с чоризо</x:v>
      </x:c>
      <x:c r="J623" s="28" t="str">
        <x:v>Средняя</x:v>
      </x:c>
      <x:c r="K623" s="28" t="str">
        <x:v>The Art &amp; Science of Foodpairing.pdf</x:v>
      </x:c>
      <x:c r="L623" s="28" t="str">
        <x:v>The Art &amp; Science of Foodpairing.pdf: 288</x:v>
      </x:c>
    </x:row>
    <x:row r="624" ht="66" customHeight="1">
      <x:c r="A624" s="28" t="str">
        <x:v>VEG-1120</x:v>
      </x:c>
      <x:c r="B624" s="28" t="str">
        <x:v>чеснок</x:v>
      </x:c>
      <x:c r="C624" s="28" t="str">
        <x:v>чёрная смородина</x:v>
      </x:c>
      <x:c r="D624" s="28" t="str">
        <x:v>Фрукты и ягоды</x:v>
      </x:c>
      <x:c r="E624" s="28" t="str">
        <x:v>кислотно-сладкий баланс; сернистая или горчичная комплементарность</x:v>
      </x:c>
      <x:c r="F624" s="28" t="str">
        <x:v>Чеснок имеет профиль «резкий сернистый, зелёный и мясной; после запекания — сладкий и ореховый». Партнёр «чёрная смородина» относится к группе «Фрукты и ягоды» и даёт фруктовый, цветочный и свежий.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4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4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624" s="28" t="str">
        <x:v>горячее блюдо, бульон, соус, пюре, ферментация или гарнир с чёрная смородина</x:v>
      </x:c>
      <x:c r="J624" s="28" t="str">
        <x:v>Средняя</x:v>
      </x:c>
      <x:c r="K624" s="28" t="str">
        <x:v>The Art &amp; Science of Foodpairing.pdf</x:v>
      </x:c>
      <x:c r="L624" s="28" t="str">
        <x:v>The Art &amp; Science of Foodpairing.pdf: 113</x:v>
      </x:c>
    </x:row>
    <x:row r="625" ht="66" customHeight="1">
      <x:c r="A625" s="28" t="str">
        <x:v>VEG-1121</x:v>
      </x:c>
      <x:c r="B625" s="28" t="str">
        <x:v>чеснок</x:v>
      </x:c>
      <x:c r="C625" s="28" t="str">
        <x:v>чёрные оливки</x:v>
      </x:c>
      <x:c r="D625" s="28" t="str">
        <x:v>Прочее</x:v>
      </x:c>
      <x:c r="E625" s="28" t="str">
        <x:v>сернистая или горчичная комплементарность</x:v>
      </x:c>
      <x:c r="F625" s="28" t="str">
        <x:v>Чеснок имеет профиль «резкий сернистый, зелёный и мясной; после запекания — сладкий и ореховый». Партнёр «чёрные оливки»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5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5" s="28" t="str">
        <x:v>сырой чеснок быстро доминирует; пережжённый чеснок очень горький; хранить и обрабатывать по пищевым нормам</x:v>
      </x:c>
      <x:c r="I625" s="28" t="str">
        <x:v>горячее блюдо, бульон, соус, пюре, ферментация или гарнир с чёрные оливки</x:v>
      </x:c>
      <x:c r="J625" s="28" t="str">
        <x:v>Средняя</x:v>
      </x:c>
      <x:c r="K625" s="28" t="str">
        <x:v>The Art &amp; Science of Foodpairing.pdf</x:v>
      </x:c>
      <x:c r="L625" s="28" t="str">
        <x:v>The Art &amp; Science of Foodpairing.pdf: 113</x:v>
      </x:c>
    </x:row>
    <x:row r="626" ht="66" customHeight="1">
      <x:c r="A626" s="28" t="str">
        <x:v>VEG-1122</x:v>
      </x:c>
      <x:c r="B626" s="28" t="str">
        <x:v>чеснок</x:v>
      </x:c>
      <x:c r="C626" s="28" t="str">
        <x:v>чёрный трюфель</x:v>
      </x:c>
      <x:c r="D626" s="28" t="str">
        <x:v>Грибы</x:v>
      </x:c>
      <x:c r="E626" s="28" t="str">
        <x:v>пересечение ароматических семейств; умами и солёный контраст; сернистая или горчичная комплементарность</x:v>
      </x:c>
      <x:c r="F626" s="28" t="str">
        <x:v>Чеснок имеет профиль «резкий сернистый, зелёный и мясной; после запекания — сладкий и ореховый». Партнёр «чёрный трюфель» относится к группе «Грибы» и даёт землистый, грибной и умами. Профили пересекаются в семействах: жареный, умами. Умами, соль и нуклеотиды усиливают savoury-профиль, а жарка формирует общую систему пиразинов, фуранов и сернистых молекул.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6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6" s="28" t="str">
        <x:v>сырой чеснок быстро доминирует; пережжённый чеснок очень горький; хранить и обрабатывать по пищевым нормам</x:v>
      </x:c>
      <x:c r="I626" s="28" t="str">
        <x:v>горячее блюдо, бульон, соус, пюре, ферментация или гарнир с чёрный трюфель</x:v>
      </x:c>
      <x:c r="J626" s="28" t="str">
        <x:v>Средняя</x:v>
      </x:c>
      <x:c r="K626" s="28" t="str">
        <x:v>The Art &amp; Science of Foodpairing.pdf</x:v>
      </x:c>
      <x:c r="L626" s="28" t="str">
        <x:v>The Art &amp; Science of Foodpairing.pdf: 114</x:v>
      </x:c>
    </x:row>
    <x:row r="627" ht="66" customHeight="1">
      <x:c r="A627" s="28" t="str">
        <x:v>VEG-1123</x:v>
      </x:c>
      <x:c r="B627" s="28" t="str">
        <x:v>чеснок</x:v>
      </x:c>
      <x:c r="C627" s="28" t="str">
        <x:v>чёрный чеснок</x:v>
      </x:c>
      <x:c r="D627" s="28" t="str">
        <x:v>Луковые овощи</x:v>
      </x:c>
      <x:c r="E627" s="28" t="str">
        <x:v>пересечение ароматических семейств; сернистая или горчичная комплементарность</x:v>
      </x:c>
      <x:c r="F627" s="28" t="str">
        <x:v>Чеснок имеет профиль «резкий сернистый, зелёный и мясной; после запекания — сладкий и ореховый». Партнёр «чёрный чеснок» относится к группе «Луковые овощи» и даёт сернистый, сладкий и жареный.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7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7" s="28" t="str">
        <x:v>сырой чеснок быстро доминирует; пережжённый чеснок очень горький; хранить и обрабатывать по пищевым нормам</x:v>
      </x:c>
      <x:c r="I627" s="28" t="str">
        <x:v>горячее блюдо, бульон, соус, пюре, ферментация или гарнир с чёрный чеснок</x:v>
      </x:c>
      <x:c r="J627" s="28" t="str">
        <x:v>Средняя</x:v>
      </x:c>
      <x:c r="K627" s="28" t="str">
        <x:v>The Art &amp; Science of Foodpairing.pdf</x:v>
      </x:c>
      <x:c r="L627" s="28" t="str">
        <x:v>The Art &amp; Science of Foodpairing.pdf: 114</x:v>
      </x:c>
    </x:row>
    <x:row r="628" ht="66" customHeight="1">
      <x:c r="A628" s="28" t="str">
        <x:v>VEG-1124</x:v>
      </x:c>
      <x:c r="B628" s="28" t="str">
        <x:v>чеснок</x:v>
      </x:c>
      <x:c r="C628" s="28" t="str">
        <x:v>шафран</x:v>
      </x:c>
      <x:c r="D628" s="28" t="str">
        <x:v>Специи</x:v>
      </x:c>
      <x:c r="E628" s="28" t="str">
        <x:v>сернистая или горчичная комплементарность</x:v>
      </x:c>
      <x:c r="F628" s="28" t="str">
        <x:v>Чеснок имеет профиль «резкий сернистый, зелёный и мясной; после запекания — сладкий и ореховый». Партнёр «шафран» относится к группе «Специи» и даёт пряный и древесный. Прямое совпадение одной ключевой молекулы по рабочим профилям не подтверждено; механизм не следует сводить к одной молекуле. Терпены и фенилпропаноиды добавляют высокоинтенсивный ароматический слой; тепло, покалывание или камфорность относятся к тройничному восприятию и требуют отдельного контроля.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8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8" s="28" t="str">
        <x:v>сырой чеснок быстро доминирует; пережжённый чеснок очень горький; хранить и обрабатывать по пищевым нормам</x:v>
      </x:c>
      <x:c r="I628" s="28" t="str">
        <x:v>горячее блюдо, бульон, соус, пюре, ферментация или гарнир с шафран</x:v>
      </x:c>
      <x:c r="J628" s="28" t="str">
        <x:v>Средняя</x:v>
      </x:c>
      <x:c r="K628" s="28" t="str">
        <x:v>The Art &amp; Science of Foodpairing.pdf</x:v>
      </x:c>
      <x:c r="L628" s="28" t="str">
        <x:v>The Art &amp; Science of Foodpairing.pdf: 114</x:v>
      </x:c>
    </x:row>
    <x:row r="629" ht="66" customHeight="1">
      <x:c r="A629" s="28" t="str">
        <x:v>VEG-1125</x:v>
      </x:c>
      <x:c r="B629" s="28" t="str">
        <x:v>чеснок</x:v>
      </x:c>
      <x:c r="C629" s="28" t="str">
        <x:v>шнитт-лук</x:v>
      </x:c>
      <x:c r="D629" s="28" t="str">
        <x:v>Луковые овощи</x:v>
      </x:c>
      <x:c r="E629" s="28" t="str">
        <x:v>пересечение ароматических семейств; сернистая или горчичная комплементарность</x:v>
      </x:c>
      <x:c r="F629" s="28" t="str">
        <x:v>Чеснок имеет профиль «резкий сернистый, зелёный и мясной; после запекания — сладкий и ореховый». Партнёр «шнитт-лук» относится к группе «Луковые овощи» и даёт сернистый, сладкий и жареный. Профили пересекаются в семействах: жареный, сернистый.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29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29" s="28" t="str">
        <x:v>сырой чеснок быстро доминирует; пережжённый чеснок очень горький; хранить и обрабатывать по пищевым нормам</x:v>
      </x:c>
      <x:c r="I629" s="28" t="str">
        <x:v>горячее блюдо, бульон, соус, пюре, ферментация или гарнир с шнитт-лук</x:v>
      </x:c>
      <x:c r="J629" s="28" t="str">
        <x:v>Средняя</x:v>
      </x:c>
      <x:c r="K629" s="28" t="str">
        <x:v>The Art &amp; Science of Foodpairing.pdf</x:v>
      </x:c>
      <x:c r="L629" s="28" t="str">
        <x:v>The Art &amp; Science of Foodpairing.pdf: 114</x:v>
      </x:c>
    </x:row>
    <x:row r="630" ht="66" customHeight="1">
      <x:c r="A630" s="28" t="str">
        <x:v>VEG-1126</x:v>
      </x:c>
      <x:c r="B630" s="28" t="str">
        <x:v>чеснок</x:v>
      </x:c>
      <x:c r="C630" s="28" t="str">
        <x:v>шоколад</x:v>
      </x:c>
      <x:c r="D630" s="28" t="str">
        <x:v>Какао и шоколад</x:v>
      </x:c>
      <x:c r="E630" s="28" t="str">
        <x:v>пересечение ароматических семейств; сернистая или горчичная комплементарность</x:v>
      </x:c>
      <x:c r="F630" s="28" t="str">
        <x:v>Чеснок имеет профиль «резкий сернистый, зелёный и мясной; после запекания — сладкий и ореховый». Партнёр «шоколад» относится к группе «Какао и шоколад» и даёт жареный, какаовый, карамельный. Профили пересекаются в семействах: жареный. Обжаренные партнёры добавляют пиразины и фураны; это особенно эффективно после запекания, гриля или карамелизации овоща.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30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30" s="28" t="str">
        <x:v>сырой чеснок быстро доминирует; пережжённый чеснок очень горький; хранить и обрабатывать по пищевым нормам; жареная горечь легко маскирует нежный овощной аромат</x:v>
      </x:c>
      <x:c r="I630" s="28" t="str">
        <x:v>горячее блюдо, бульон, соус, пюре, ферментация или гарнир с шоколад</x:v>
      </x:c>
      <x:c r="J630" s="28" t="str">
        <x:v>Высокая</x:v>
      </x:c>
      <x:c r="K630" s="28" t="str">
        <x:v>The Art &amp; Science of Foodpairing.pdf</x:v>
      </x:c>
      <x:c r="L630" s="28" t="str">
        <x:v>The Art &amp; Science of Foodpairing.pdf: 113</x:v>
      </x:c>
    </x:row>
    <x:row r="631" ht="66" customHeight="1">
      <x:c r="A631" s="28" t="str">
        <x:v>VEG-1127</x:v>
      </x:c>
      <x:c r="B631" s="28" t="str">
        <x:v>чеснок</x:v>
      </x:c>
      <x:c r="C631" s="28" t="str">
        <x:v>эмменталь</x:v>
      </x:c>
      <x:c r="D631" s="28" t="str">
        <x:v>Прочее</x:v>
      </x:c>
      <x:c r="E631" s="28" t="str">
        <x:v>сернистая или горчичная комплементарность</x:v>
      </x:c>
      <x:c r="F631" s="28" t="str">
        <x:v>Чеснок имеет профиль «резкий сернистый, зелёный и мясной; после запекания — сладкий и ореховый». Партнёр «эмменталь» относится к группе «Прочее» и даёт профиль зависит от конкретного продукта. Прямое совпадение одной ключевой молекулы по рабочим профилям не подтверждено; механизм не следует сводить к одной молекуле. Совместимость формируется за счёт баланса сладости, кислотности, горечи, умами и текстуры.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31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31" s="28" t="str">
        <x:v>сырой чеснок быстро доминирует; пережжённый чеснок очень горький; хранить и обрабатывать по пищевым нормам</x:v>
      </x:c>
      <x:c r="I631" s="28" t="str">
        <x:v>горячее блюдо, бульон, соус, пюре, ферментация или гарнир с эмменталь</x:v>
      </x:c>
      <x:c r="J631" s="28" t="str">
        <x:v>Средняя</x:v>
      </x:c>
      <x:c r="K631" s="28" t="str">
        <x:v>The Art &amp; Science of Foodpairing.pdf</x:v>
      </x:c>
      <x:c r="L631" s="28" t="str">
        <x:v>The Art &amp; Science of Foodpairing.pdf: 113</x:v>
      </x:c>
    </x:row>
    <x:row r="632" ht="66" customHeight="1">
      <x:c r="A632" s="28" t="str">
        <x:v>VEG-1128</x:v>
      </x:c>
      <x:c r="B632" s="28" t="str">
        <x:v>чеснок</x:v>
      </x:c>
      <x:c r="C632" s="28" t="str">
        <x:v>яблоко</x:v>
      </x:c>
      <x:c r="D632" s="28" t="str">
        <x:v>Фрукты и ягоды</x:v>
      </x:c>
      <x:c r="E632" s="28" t="str">
        <x:v>кислотно-сладкий баланс; сернистая или горчичная комплементарность</x:v>
      </x:c>
      <x:c r="F632" s="28" t="str">
        <x:v>Чеснок имеет профиль «резкий сернистый, зелёный и мясной; после запекания — сладкий и ореховый». Партнёр «яблоко» относится к группе «Фрукты и ягоды» и даёт зелёный, свежий, фруктовый. Прямое совпадение одной ключевой молекулы по рабочим профилям не подтверждено; механизм не следует сводить к одной молекуле. Фруктовая кислота и летучие эфиры освежают овощную сладость или землистость; сахар партнёра поддерживает карамелизацию после нагрева. Сернистые и горчичные соединения сильно зависят от разрушения тканей и времени нагрева: короткая обработка сохраняет свежесть, длительная усиливает варёно-сернистые ноты.</x:v>
      </x:c>
      <x:c r="G632" s="28" t="str">
        <x:v>раздавливание образует аллицин; нагрев смягчает остроту и создаёт сладко-ореховый профиль. Разделять свежую острую и приготовленную сладкую форму как разные ингредиенты.</x:v>
      </x:c>
      <x:c r="H632" s="28" t="str">
        <x:v>сырой чеснок быстро доминирует; пережжённый чеснок очень горький; хранить и обрабатывать по пищевым нормам; избыток кислоты или воды может сделать овощной вкус тонким и разрушить сливочную эмульсию</x:v>
      </x:c>
      <x:c r="I632" s="28" t="str">
        <x:v>горячее блюдо, бульон, соус, пюре, ферментация или гарнир с яблоко</x:v>
      </x:c>
      <x:c r="J632" s="28" t="str">
        <x:v>Средняя</x:v>
      </x:c>
      <x:c r="K632" s="28" t="str">
        <x:v>The Art &amp; Science of Foodpairing.pdf</x:v>
      </x:c>
      <x:c r="L632" s="28" t="str">
        <x:v>The Art &amp; Science of Foodpairing.pdf: 114</x:v>
      </x:c>
    </x:row>
  </x:sheetData>
  <x:conditionalFormatting sqref="J2:J632">
    <x:cfRule type="expression" dxfId="30" priority="1">
      <x:formula>J2="Высокая"</x:formula>
    </x:cfRule>
    <x:cfRule type="expression" dxfId="31" priority="2">
      <x:formula>J2="Средняя"</x:formula>
    </x:cfRule>
    <x:cfRule type="expression" dxfId="32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8e49e250cc4d6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3" hidden="0" customWidth="1"/>
    <x:col min="3" max="3" width="43" hidden="0" customWidth="1"/>
    <x:col min="4" max="4" width="49" hidden="0" customWidth="1"/>
    <x:col min="5" max="5" width="39" hidden="0" customWidth="1"/>
    <x:col min="6" max="6" width="46" hidden="0" customWidth="1"/>
    <x:col min="7" max="7" width="54" hidden="0" customWidth="1"/>
    <x:col min="8" max="8" width="57" hidden="0" customWidth="1"/>
    <x:col min="9" max="9" width="56" hidden="0" customWidth="1"/>
    <x:col min="10" max="10" width="59" hidden="0" customWidth="1"/>
    <x:col min="11" max="11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Ароматический профиль</x:v>
      </x:c>
      <x:c r="D1" s="20" t="str">
        <x:v>Характерные соединения</x:v>
      </x:c>
      <x:c r="E1" s="20" t="str">
        <x:v>Вкус и баланс</x:v>
      </x:c>
      <x:c r="F1" s="20" t="str">
        <x:v>Тройничный эффект</x:v>
      </x:c>
      <x:c r="G1" s="20" t="str">
        <x:v>Матрица</x:v>
      </x:c>
      <x:c r="H1" s="20" t="str">
        <x:v>Изменение при обработке</x:v>
      </x:c>
      <x:c r="I1" s="20" t="str">
        <x:v>Рекомендуемые технологии</x:v>
      </x:c>
      <x:c r="J1" s="20" t="str">
        <x:v>Критические точки</x:v>
      </x:c>
      <x:c r="K1" s="20" t="str">
        <x:v>Количество пар</x:v>
      </x:c>
    </x:row>
    <x:row r="2" ht="84" customHeight="1">
      <x:c r="A2" s="28" t="str">
        <x:v>грибы</x:v>
      </x:c>
      <x:c r="B2" s="28" t="str">
        <x:v>Грибы</x:v>
      </x:c>
      <x:c r="C2" s="28" t="str">
        <x:v>землистый, лесной, жареный, мясной и слегка сернистый</x:v>
      </x:c>
      <x:c r="D2" s="28" t="str">
        <x:v>1-октен-3-ол, 1-октен-3-он, метиональ, глутамат, пиразины</x:v>
      </x:c>
      <x:c r="E2" s="28" t="str">
        <x:v>умами, мягкая сладость и лёгкая горечь</x:v>
      </x:c>
      <x:c r="F2" s="28" t="str">
        <x:v>минимальный</x:v>
      </x:c>
      <x:c r="G2" s="28" t="str">
        <x:v>высокая влажность, хитиновая клеточная структура и природные нуклеотиды; хорошо впитывает жир</x:v>
      </x:c>
      <x:c r="H2" s="28" t="str">
        <x:v>обжарка удаляет воду и усиливает жареные и мясные ноты; сушка концентрирует умами</x:v>
      </x:c>
      <x:c r="I2" s="28" t="str">
        <x:v>сушка поверхности, интенсивная обжарка, дегидрация, бульон, ферментация или экстракция умами</x:v>
      </x:c>
      <x:c r="J2" s="28" t="str">
        <x:v>не перегружать сковороду; сырые или плохо хранившиеся грибы быстро теряют качество; использовать только надёжно идентифицированные пищевые виды</x:v>
      </x:c>
      <x:c r="K2" s="28" t="n">
        <x:v>53</x:v>
      </x:c>
    </x:row>
    <x:row r="3" ht="84" customHeight="1">
      <x:c r="A3" s="28" t="str">
        <x:v>баклажан</x:v>
      </x:c>
      <x:c r="B3" s="28" t="str">
        <x:v>Плодовые овощи</x:v>
      </x:c>
      <x:c r="C3" s="28" t="str">
        <x:v>зелёный, землистый, слегка грибной и дымный после жарки</x:v>
      </x:c>
      <x:c r="D3" s="28" t="str">
        <x:v>гексаналь, 1-гексен-3-ол, пиразины, фенольные соединения</x:v>
      </x:c>
      <x:c r="E3" s="28" t="str">
        <x:v>мягкая горечь, слабая сладость и губчатая текстура</x:v>
      </x:c>
      <x:c r="F3" s="28" t="str">
        <x:v>минимальный</x:v>
      </x:c>
      <x:c r="G3" s="28" t="str">
        <x:v>водная пористая мякоть, быстро впитывающая масло и соусы</x:v>
      </x:c>
      <x:c r="H3" s="28" t="str">
        <x:v>гриль и жарка формируют дымные и жареные ноты; соль и нагрев смягчают горечь</x:v>
      </x:c>
      <x:c r="I3" s="28" t="str">
        <x:v>гриль, запекание, пюре, салат, маринование или ферментация</x:v>
      </x:c>
      <x:c r="J3" s="28" t="str">
        <x:v>избыток масла делает продукт тяжёлым; недоготовленная мякоть остаётся губчатой</x:v>
      </x:c>
      <x:c r="K3" s="28" t="n">
        <x:v>22</x:v>
      </x:c>
    </x:row>
    <x:row r="4" ht="84" customHeight="1">
      <x:c r="A4" s="28" t="str">
        <x:v>свёкла</x:v>
      </x:c>
      <x:c r="B4" s="28" t="str">
        <x:v>Корнеплоды</x:v>
      </x:c>
      <x:c r="C4" s="28" t="str">
        <x:v>землистый, сладкий, минеральный и слегка зелёный</x:v>
      </x:c>
      <x:c r="D4" s="28" t="str">
        <x:v>геосмин, метоксипиразины, альдегиды, бетаин</x:v>
      </x:c>
      <x:c r="E4" s="28" t="str">
        <x:v>сладость, землистость и умеренная терпкость</x:v>
      </x:c>
      <x:c r="F4" s="28" t="str">
        <x:v>минимальный</x:v>
      </x:c>
      <x:c r="G4" s="28" t="str">
        <x:v>водная сахаристая матрица с пигментами беталаинами</x:v>
      </x:c>
      <x:c r="H4" s="28" t="str">
        <x:v>запекание концентрирует сладость; кислота снижает ощущение землистости; ферментация добавляет молочную кислоту</x:v>
      </x:c>
      <x:c r="I4" s="28" t="str">
        <x:v>запекание, гриль, пюре, вакуумная обработка, ферментация или контролируемая экстракция в жире</x:v>
      </x:c>
      <x:c r="J4" s="28" t="str">
        <x:v>геосмин легко доминирует; беталаины отвечают за цвет, а не за запах; сильный нагрев снижает яркость цвета</x:v>
      </x:c>
      <x:c r="K4" s="28" t="n">
        <x:v>89</x:v>
      </x:c>
    </x:row>
    <x:row r="5" ht="84" customHeight="1">
      <x:c r="A5" s="28" t="str">
        <x:v>картофель</x:v>
      </x:c>
      <x:c r="B5" s="28" t="str">
        <x:v>Корнеплоды и клубни</x:v>
      </x:c>
      <x:c r="C5" s="28" t="str">
        <x:v>крахмалистый, землистый, ореховый и жареный после нагрева</x:v>
      </x:c>
      <x:c r="D5" s="28" t="str">
        <x:v>метиональ, 2-ацетил-1-пирролин, пиразины, альдегиды</x:v>
      </x:c>
      <x:c r="E5" s="28" t="str">
        <x:v>нейтральный, крахмалистый, мягко сладкий и солеподдерживающий</x:v>
      </x:c>
      <x:c r="F5" s="28" t="str">
        <x:v>минимальный</x:v>
      </x:c>
      <x:c r="G5" s="28" t="str">
        <x:v>крахмальная водная матрица; структура зависит от сорта и желатинизации крахмала</x:v>
      </x:c>
      <x:c r="H5" s="28" t="str">
        <x:v>варка даёт мягкие сернисто-крахмальные ноты; жарка и запекание создают Майяр и хруст</x:v>
      </x:c>
      <x:c r="I5" s="28" t="str">
        <x:v>запекание, гриль, пюре, вакуумная обработка, ферментация или контролируемая экстракция в жире</x:v>
      </x:c>
      <x:c r="J5" s="28" t="str">
        <x:v>зелёные или проросшие клубни не использовать; пережаривание даёт горечь и чрезмерно тёмную корку</x:v>
      </x:c>
      <x:c r="K5" s="28" t="n">
        <x:v>108</x:v>
      </x:c>
    </x:row>
    <x:row r="6" ht="84" customHeight="1">
      <x:c r="A6" s="28" t="str">
        <x:v>батат</x:v>
      </x:c>
      <x:c r="B6" s="28" t="str">
        <x:v>Корнеплоды и клубни</x:v>
      </x:c>
      <x:c r="C6" s="28" t="str">
        <x:v>сладкий, крахмалистый, цветочный, карамельный и ореховый после запекания</x:v>
      </x:c>
      <x:c r="D6" s="28" t="str">
        <x:v>мальтол, фураны, норизопреноиды, пиразины</x:v>
      </x:c>
      <x:c r="E6" s="28" t="str">
        <x:v>заметная сладость, мягкая крахмалистость</x:v>
      </x:c>
      <x:c r="F6" s="28" t="str">
        <x:v>минимальный</x:v>
      </x:c>
      <x:c r="G6" s="28" t="str">
        <x:v>крахмальная матрица с сахарами и каротиноидами</x:v>
      </x:c>
      <x:c r="H6" s="28" t="str">
        <x:v>запекание усиливает мальтол, карамельность и жареные ноты; пюре удерживает жир и специи</x:v>
      </x:c>
      <x:c r="I6" s="28" t="str">
        <x:v>запекание, гриль, пюре, вакуумная обработка, ферментация или контролируемая экстракция в жире</x:v>
      </x:c>
      <x:c r="J6" s="28" t="str">
        <x:v>водянистое пюре размывает аромат; сильная сладость требует кислоты, соли или горечи</x:v>
      </x:c>
      <x:c r="K6" s="28" t="n">
        <x:v>64</x:v>
      </x:c>
    </x:row>
    <x:row r="7" ht="84" customHeight="1">
      <x:c r="A7" s="28" t="str">
        <x:v>сельдерей</x:v>
      </x:c>
      <x:c r="B7" s="28" t="str">
        <x:v>Стеблевые овощи</x:v>
      </x:c>
      <x:c r="C7" s="28" t="str">
        <x:v>зелёный, травянистый, пряный, слегка анисовый</x:v>
      </x:c>
      <x:c r="D7" s="28" t="str">
        <x:v>фталиды, лимонен, селинен, 3-н-бутилфталид</x:v>
      </x:c>
      <x:c r="E7" s="28" t="str">
        <x:v>солоноватый, зелёный, горьковатый</x:v>
      </x:c>
      <x:c r="F7" s="28" t="str">
        <x:v>свежее прохладно-зелёное ощущение</x:v>
      </x:c>
      <x:c r="G7" s="28" t="str">
        <x:v>водная волокнистая матрица с ароматическим маслом</x:v>
      </x:c>
      <x:c r="H7" s="28" t="str">
        <x:v>свежий сок сохраняет зелёность; тушение смягчает горечь и переводит профиль в бульонный</x:v>
      </x:c>
      <x:c r="I7" s="28" t="str">
        <x:v>холодная обработка, бланширование или короткий нагрев; для напитков — сок, осветление и быстрая стабилизация</x:v>
      </x:c>
      <x:c r="J7" s="28" t="str">
        <x:v>быстро становится доминирующим и горьким; волокна требуют фильтрации в напитках</x:v>
      </x:c>
      <x:c r="K7" s="28" t="n">
        <x:v>25</x:v>
      </x:c>
    </x:row>
    <x:row r="8" ht="84" customHeight="1">
      <x:c r="A8" s="28" t="str">
        <x:v>сельдерей корневой</x:v>
      </x:c>
      <x:c r="B8" s="28" t="str">
        <x:v>Корнеплоды</x:v>
      </x:c>
      <x:c r="C8" s="28" t="str">
        <x:v>землистый, ореховый, сельдерейно-пряный и слегка грибной</x:v>
      </x:c>
      <x:c r="D8" s="28" t="str">
        <x:v>фталиды, селинен, лимонен, метиональ</x:v>
      </x:c>
      <x:c r="E8" s="28" t="str">
        <x:v>умеренная сладость, землистость и лёгкая горечь</x:v>
      </x:c>
      <x:c r="F8" s="28" t="str">
        <x:v>минимальный</x:v>
      </x:c>
      <x:c r="G8" s="28" t="str">
        <x:v>плотная крахмалисто-волокнистая матрица</x:v>
      </x:c>
      <x:c r="H8" s="28" t="str">
        <x:v>запекание усиливает сладость и ореховые ноты; пюре хорошо переносит сливочный жир</x:v>
      </x:c>
      <x:c r="I8" s="28" t="str">
        <x:v>запекание, гриль, пюре, вакуумная обработка, ферментация или контролируемая экстракция в жире</x:v>
      </x:c>
      <x:c r="J8" s="28" t="str">
        <x:v>быстро окисляется после нарезки; избыток сельдерейных фталидов даёт аптечную ноту</x:v>
      </x:c>
      <x:c r="K8" s="28" t="n">
        <x:v>60</x:v>
      </x:c>
    </x:row>
    <x:row r="9" ht="84" customHeight="1">
      <x:c r="A9" s="28" t="str">
        <x:v>лук</x:v>
      </x:c>
      <x:c r="B9" s="28" t="str">
        <x:v>Луковые овощи</x:v>
      </x:c>
      <x:c r="C9" s="28" t="str">
        <x:v>сернистый, сладкий, зелёный; после жарки — карамельный и мясной</x:v>
      </x:c>
      <x:c r="D9" s="28" t="str">
        <x:v>тиосульфинаты, пропантиаль-S-оксид, диаллилдисульфид, фураны</x:v>
      </x:c>
      <x:c r="E9" s="28" t="str">
        <x:v>жгучесть в сыром виде, сладость после приготовления, умами-поддержка</x:v>
      </x:c>
      <x:c r="F9" s="28" t="str">
        <x:v>слезоточивое и жгучее воздействие сернистых соединений</x:v>
      </x:c>
      <x:c r="G9" s="28" t="str">
        <x:v>водная клеточная матрица с сахарами и серосодержащими предшественниками</x:v>
      </x:c>
      <x:c r="H9" s="28" t="str">
        <x:v>нарезка запускает ферментативные реакции; медленная жарка создаёт карамельные и Майяр-ноты</x:v>
      </x:c>
      <x:c r="I9" s="28" t="str">
        <x:v>раздельная работа со свежей и приготовленной формой; медленная карамелизация, запекание, ферментация</x:v>
      </x:c>
      <x:c r="J9" s="28" t="str">
        <x:v>сырой лук легко перекрывает деликатные ароматы; подгорание создаёт устойчивую горечь</x:v>
      </x:c>
      <x:c r="K9" s="28" t="n">
        <x:v>30</x:v>
      </x:c>
    </x:row>
    <x:row r="10" ht="84" customHeight="1">
      <x:c r="A10" s="28" t="str">
        <x:v>чеснок</x:v>
      </x:c>
      <x:c r="B10" s="28" t="str">
        <x:v>Луковые овощи</x:v>
      </x:c>
      <x:c r="C10" s="28" t="str">
        <x:v>резкий сернистый, зелёный и мясной; после запекания — сладкий и ореховый</x:v>
      </x:c>
      <x:c r="D10" s="28" t="str">
        <x:v>аллицин, диаллилдисульфид, диаллилтрисульфид, метантиол</x:v>
      </x:c>
      <x:c r="E10" s="28" t="str">
        <x:v>жгучий в сыром виде, сладкий и умами-поддерживающий после нагрева</x:v>
      </x:c>
      <x:c r="F10" s="28" t="str">
        <x:v>сильное жжение и раздражение тройничного нерва</x:v>
      </x:c>
      <x:c r="G10" s="28" t="str">
        <x:v>водная луковичная матрица; реакция начинается после повреждения клеток</x:v>
      </x:c>
      <x:c r="H10" s="28" t="str">
        <x:v>раздавливание образует аллицин; нагрев смягчает остроту и создаёт сладко-ореховый профиль</x:v>
      </x:c>
      <x:c r="I10" s="28" t="str">
        <x:v>раздельная работа со свежей и приготовленной формой; медленная карамелизация, запекание, ферментация</x:v>
      </x:c>
      <x:c r="J10" s="28" t="str">
        <x:v>сырой чеснок быстро доминирует; пережжённый чеснок очень горький; хранить и обрабатывать по пищевым нормам</x:v>
      </x:c>
      <x:c r="K10" s="28" t="n">
        <x:v>122</x:v>
      </x:c>
    </x:row>
    <x:row r="11" ht="84" customHeight="1">
      <x:c r="A11" s="28" t="str">
        <x:v>капуста</x:v>
      </x:c>
      <x:c r="B11" s="28" t="str">
        <x:v>Крестоцветные</x:v>
      </x:c>
      <x:c r="C11" s="28" t="str">
        <x:v>зелёный, горчичный, сернистый и сладковатый после приготовления</x:v>
      </x:c>
      <x:c r="D11" s="28" t="str">
        <x:v>изотиоцианаты, диметилсульфид, метантиол, глюкозинолаты</x:v>
      </x:c>
      <x:c r="E11" s="28" t="str">
        <x:v>сладость, лёгкая горечь и сернистость</x:v>
      </x:c>
      <x:c r="F11" s="28" t="str">
        <x:v>горчичное покалывание у сырой капусты</x:v>
      </x:c>
      <x:c r="G11" s="28" t="str">
        <x:v>водная волокнистая матрица; антоцианы у красной капусты влияют на цвет</x:v>
      </x:c>
      <x:c r="H11" s="28" t="str">
        <x:v>короткая жарка сохраняет зелёность; длительная варка усиливает сернистый запах; ферментация создаёт кислоту</x:v>
      </x:c>
      <x:c r="I11" s="28" t="str">
        <x:v>короткое бланширование, гриль, запекание или ферментация с контролем сернистости</x:v>
      </x:c>
      <x:c r="J11" s="28" t="str">
        <x:v>не переваривать; красная капуста меняет цвет с pH; сернистые ноты могут конфликтовать с тонкими цветами</x:v>
      </x:c>
      <x:c r="K11" s="28" t="n">
        <x:v>28</x:v>
      </x:c>
    </x:row>
    <x:row r="12" ht="84" customHeight="1">
      <x:c r="A12" s="28" t="str">
        <x:v>брюква</x:v>
      </x:c>
      <x:c r="B12" s="28" t="str">
        <x:v>Корнеплоды и крестоцветные</x:v>
      </x:c>
      <x:c r="C12" s="28" t="str">
        <x:v>землистый, капустный, сладкий и слегка горчичный</x:v>
      </x:c>
      <x:c r="D12" s="28" t="str">
        <x:v>глюкозинолаты, изотиоцианаты, диметилсульфид, фураны</x:v>
      </x:c>
      <x:c r="E12" s="28" t="str">
        <x:v>сладость, лёгкая горечь и крахмалистость</x:v>
      </x:c>
      <x:c r="F12" s="28" t="str">
        <x:v>умеренное горчичное покалывание</x:v>
      </x:c>
      <x:c r="G12" s="28" t="str">
        <x:v>плотная водно-углеводная матрица</x:v>
      </x:c>
      <x:c r="H12" s="28" t="str">
        <x:v>запекание усиливает сладость и ореховые ноты; варка смягчает горчичность</x:v>
      </x:c>
      <x:c r="I12" s="28" t="str">
        <x:v>короткое бланширование, гриль, запекание или ферментация с контролем сернистости</x:v>
      </x:c>
      <x:c r="J12" s="28" t="str">
        <x:v>переваривание усиливает сернистость; крупные старые корнеплоды могут быть волокнистыми</x:v>
      </x:c>
      <x:c r="K12" s="28" t="n">
        <x:v>8</x:v>
      </x:c>
    </x:row>
    <x:row r="13" ht="84" customHeight="1">
      <x:c r="A13" s="28" t="str">
        <x:v>репа</x:v>
      </x:c>
      <x:c r="B13" s="28" t="str">
        <x:v>Корнеплоды и крестоцветные</x:v>
      </x:c>
      <x:c r="C13" s="28" t="str">
        <x:v>горчичный, зелёный, землистый и мягко сладкий</x:v>
      </x:c>
      <x:c r="D13" s="28" t="str">
        <x:v>изотиоцианаты, глюкозинолаты, сернистые соединения</x:v>
      </x:c>
      <x:c r="E13" s="28" t="str">
        <x:v>умеренная сладость, горечь и перечность</x:v>
      </x:c>
      <x:c r="F13" s="28" t="str">
        <x:v>горчичное покалывание</x:v>
      </x:c>
      <x:c r="G13" s="28" t="str">
        <x:v>водная хрустящая матрица, после нагрева становится мягкой</x:v>
      </x:c>
      <x:c r="H13" s="28" t="str">
        <x:v>молодая репа подходит для сырого применения; запекание смягчает остроту и усиливает сладость</x:v>
      </x:c>
      <x:c r="I13" s="28" t="str">
        <x:v>короткое бланширование, гриль, запекание или ферментация с контролем сернистости</x:v>
      </x:c>
      <x:c r="J13" s="28" t="str">
        <x:v>старая репа может быть древесной и горькой; передозировка горчичных нот</x:v>
      </x:c>
      <x:c r="K13" s="28" t="n">
        <x:v>6</x:v>
      </x:c>
    </x:row>
    <x:row r="14" ht="84" customHeight="1">
      <x:c r="A14" s="28" t="str">
        <x:v>редис</x:v>
      </x:c>
      <x:c r="B14" s="28" t="str">
        <x:v>Корнеплоды и крестоцветные</x:v>
      </x:c>
      <x:c r="C14" s="28" t="str">
        <x:v>горчичный, зелёный, перечный и водянистый</x:v>
      </x:c>
      <x:c r="D14" s="28" t="str">
        <x:v>изотиоцианаты, метантиол, зелёные альдегиды</x:v>
      </x:c>
      <x:c r="E14" s="28" t="str">
        <x:v>хруст, водянистость и острая горечь</x:v>
      </x:c>
      <x:c r="F14" s="28" t="str">
        <x:v>выраженное горчичное покалывание</x:v>
      </x:c>
      <x:c r="G14" s="28" t="str">
        <x:v>водная хрустящая матрица с низкой сладостью</x:v>
      </x:c>
      <x:c r="H14" s="28" t="str">
        <x:v>соль, кислота и маринование смягчают остроту; нагрев снижает изотиоцианаты</x:v>
      </x:c>
      <x:c r="I14" s="28" t="str">
        <x:v>короткое бланширование, гриль, запекание или ферментация с контролем сернистости</x:v>
      </x:c>
      <x:c r="J14" s="28" t="str">
        <x:v>вялая текстура и чрезмерная острота; некоторые сорта значительно сильнее других</x:v>
      </x:c>
      <x:c r="K14" s="28" t="n">
        <x:v>7</x:v>
      </x:c>
    </x:row>
    <x:row r="15" ht="84" customHeight="1">
      <x:c r="A15" s="28" t="str">
        <x:v>цветная капуста</x:v>
      </x:c>
      <x:c r="B15" s="28" t="str">
        <x:v>Крестоцветные</x:v>
      </x:c>
      <x:c r="C15" s="28" t="str">
        <x:v>мягко капустный, ореховый, сернистый и сливочный после запекания</x:v>
      </x:c>
      <x:c r="D15" s="28" t="str">
        <x:v>диметилсульфид, метантиол, изотиоцианаты, пиразины</x:v>
      </x:c>
      <x:c r="E15" s="28" t="str">
        <x:v>мягкая сладость, умами и лёгкая горечь</x:v>
      </x:c>
      <x:c r="F15" s="28" t="str">
        <x:v>минимальный</x:v>
      </x:c>
      <x:c r="G15" s="28" t="str">
        <x:v>водная соцветная матрица, хорошо удерживающая жир и соус</x:v>
      </x:c>
      <x:c r="H15" s="28" t="str">
        <x:v>запекание создаёт ореховые и жареные ноты; длительная варка усиливает сернистость</x:v>
      </x:c>
      <x:c r="I15" s="28" t="str">
        <x:v>короткое бланширование, гриль, запекание или ферментация с контролем сернистости</x:v>
      </x:c>
      <x:c r="J15" s="28" t="str">
        <x:v>не переваривать; избыток воды делает вкус плоским; сернистость усиливается при хранении</x:v>
      </x:c>
      <x:c r="K15" s="28" t="n">
        <x:v>22</x:v>
      </x:c>
    </x:row>
    <x:row r="16" ht="84" customHeight="1">
      <x:c r="A16" s="28" t="str">
        <x:v>брокколи</x:v>
      </x:c>
      <x:c r="B16" s="28" t="str">
        <x:v>Крестоцветные</x:v>
      </x:c>
      <x:c r="C16" s="28" t="str">
        <x:v>зелёный, капустный, сернистый и ореховый после жарки</x:v>
      </x:c>
      <x:c r="D16" s="28" t="str">
        <x:v>диметилсульфид, изотиоцианаты, гексаналь, пиразины</x:v>
      </x:c>
      <x:c r="E16" s="28" t="str">
        <x:v>зелёная горечь, слабая сладость и умами</x:v>
      </x:c>
      <x:c r="F16" s="28" t="str">
        <x:v>слабое горчичное покалывание</x:v>
      </x:c>
      <x:c r="G16" s="28" t="str">
        <x:v>водная волокнистая матрица; соцветия удерживают жир</x:v>
      </x:c>
      <x:c r="H16" s="28" t="str">
        <x:v>бланширование сохраняет цвет; запекание усиливает сладость и жареные ноты</x:v>
      </x:c>
      <x:c r="I16" s="28" t="str">
        <x:v>короткое бланширование, гриль, запекание или ферментация с контролем сернистости</x:v>
      </x:c>
      <x:c r="J16" s="28" t="str">
        <x:v>переваривание даёт сернистый запах и тусклый цвет; толстые стебли требуют отдельной обработки</x:v>
      </x:c>
      <x:c r="K16" s="28" t="n">
        <x:v>15</x:v>
      </x:c>
    </x:row>
    <x:row r="17" ht="84" customHeight="1">
      <x:c r="A17" s="28" t="str">
        <x:v>артишок</x:v>
      </x:c>
      <x:c r="B17" s="28" t="str">
        <x:v>Соцветия и стеблевые овощи</x:v>
      </x:c>
      <x:c r="C17" s="28" t="str">
        <x:v>зелёный, ореховый, травянистый и слегка цветочный</x:v>
      </x:c>
      <x:c r="D17" s="28" t="str">
        <x:v>цинарин, сесквитерпеновые лактоны, зелёные альдегиды</x:v>
      </x:c>
      <x:c r="E17" s="28" t="str">
        <x:v>горечь, сладковатое послевкусие и терпкость</x:v>
      </x:c>
      <x:c r="F17" s="28" t="str">
        <x:v>минимальный</x:v>
      </x:c>
      <x:c r="G17" s="28" t="str">
        <x:v>волокнистые листья и нежное сердце; фенолы быстро окисляются</x:v>
      </x:c>
      <x:c r="H17" s="28" t="str">
        <x:v>кислота ограничивает потемнение; варка и гриль смягчают горечь и усиливают ореховые ноты</x:v>
      </x:c>
      <x:c r="I17" s="28" t="str">
        <x:v>гриль, запекание, пюре, салат, маринование или ферментация</x:v>
      </x:c>
      <x:c r="J17" s="28" t="str">
        <x:v>быстро темнеет; цинарин изменяет восприятие последующей сладости и может мешать винным сочетаниям</x:v>
      </x:c>
      <x:c r="K17" s="28" t="n">
        <x:v>27</x:v>
      </x:c>
    </x:row>
    <x:row r="18" ht="84" customHeight="1">
      <x:c r="A18" s="28" t="str">
        <x:v>спаржа</x:v>
      </x:c>
      <x:c r="B18" s="28" t="str">
        <x:v>Побеговые овощи</x:v>
      </x:c>
      <x:c r="C18" s="28" t="str">
        <x:v>зелёный, сернистый, ореховый и слегка сладкий</x:v>
      </x:c>
      <x:c r="D18" s="28" t="str">
        <x:v>метантиол, диметилсульфид, пиразины, аспарагусовая кислота</x:v>
      </x:c>
      <x:c r="E18" s="28" t="str">
        <x:v>слабая сладость, зелёная горечь и умами</x:v>
      </x:c>
      <x:c r="F18" s="28" t="str">
        <x:v>минимальный</x:v>
      </x:c>
      <x:c r="G18" s="28" t="str">
        <x:v>водная волокнистая матрица; поверхность хорошо покрывается жиром</x:v>
      </x:c>
      <x:c r="H18" s="28" t="str">
        <x:v>гриль и запекание создают ореховые и картофельные ноты; короткая варка сохраняет зелёность</x:v>
      </x:c>
      <x:c r="I18" s="28" t="str">
        <x:v>короткое бланширование, гриль, запекание или ферментация с контролем сернистости</x:v>
      </x:c>
      <x:c r="J18" s="28" t="str">
        <x:v>переваривание усиливает сернистость и разрушает текстуру; толстые основания очищать</x:v>
      </x:c>
      <x:c r="K18" s="28" t="n">
        <x:v>25</x:v>
      </x:c>
    </x:row>
    <x:row r="19" ht="84" customHeight="1">
      <x:c r="A19" s="28" t="str">
        <x:v>горох</x:v>
      </x:c>
      <x:c r="B19" s="28" t="str">
        <x:v>Бобовые</x:v>
      </x:c>
      <x:c r="C19" s="28" t="str">
        <x:v>зелёный, сладкий, бобовый и слегка цветочный</x:v>
      </x:c>
      <x:c r="D19" s="28" t="str">
        <x:v>гексаналь, цис-3-гексенол, метоксипиразины, эфиры</x:v>
      </x:c>
      <x:c r="E19" s="28" t="str">
        <x:v>сладость, зелёность и мягкая крахмалистость</x:v>
      </x:c>
      <x:c r="F19" s="28" t="str">
        <x:v>минимальный</x:v>
      </x:c>
      <x:c r="G19" s="28" t="str">
        <x:v>водная крахмалисто-белковая матрица</x:v>
      </x:c>
      <x:c r="H19" s="28" t="str">
        <x:v>быстрое бланширование сохраняет свежесть; длительный нагрев даёт крахмалисто-бобовый профиль</x:v>
      </x:c>
      <x:c r="I19" s="28" t="str">
        <x:v>холодная обработка, бланширование или короткий нагрев; для напитков — сок, осветление и быстрая стабилизация</x:v>
      </x:c>
      <x:c r="J19" s="28" t="str">
        <x:v>старый горох мучнистый; длительное хранение и нагрев снижают цвет и свежий аромат</x:v>
      </x:c>
      <x:c r="K19" s="28" t="n">
        <x:v>22</x:v>
      </x:c>
    </x:row>
    <x:row r="20" ht="84" customHeight="1">
      <x:c r="A20" s="28" t="str">
        <x:v>зелёная фасоль</x:v>
      </x:c>
      <x:c r="B20" s="28" t="str">
        <x:v>Бобовые</x:v>
      </x:c>
      <x:c r="C20" s="28" t="str">
        <x:v>зелёный, травянистый, бобовый и слегка ореховый</x:v>
      </x:c>
      <x:c r="D20" s="28" t="str">
        <x:v>гексаналь, цис-3-гексенол, метоксипиразины</x:v>
      </x:c>
      <x:c r="E20" s="28" t="str">
        <x:v>зелёность, слабая сладость и хруст</x:v>
      </x:c>
      <x:c r="F20" s="28" t="str">
        <x:v>минимальный</x:v>
      </x:c>
      <x:c r="G20" s="28" t="str">
        <x:v>водная волокнистая бобовая матрица</x:v>
      </x:c>
      <x:c r="H20" s="28" t="str">
        <x:v>бланширование сохраняет хруст; жарка добавляет ореховые ноты</x:v>
      </x:c>
      <x:c r="I20" s="28" t="str">
        <x:v>холодная обработка, бланширование или короткий нагрев; для напитков — сок, осветление и быстрая стабилизация</x:v>
      </x:c>
      <x:c r="J20" s="28" t="str">
        <x:v>недоготовленная груба, переваренная водяниста; использовать пищевые сорта после достаточной тепловой обработки</x:v>
      </x:c>
      <x:c r="K20" s="28" t="n">
        <x:v>9</x:v>
      </x:c>
    </x:row>
    <x:row r="21" ht="84" customHeight="1">
      <x:c r="A21" s="28" t="str">
        <x:v>болгарский перец</x:v>
      </x:c>
      <x:c r="B21" s="28" t="str">
        <x:v>Плодовые овощи</x:v>
      </x:c>
      <x:c r="C21" s="28" t="str">
        <x:v>зелёный, травянистый, фруктовый; у красного — сладкий и жареный</x:v>
      </x:c>
      <x:c r="D21" s="28" t="str">
        <x:v>2-изобутил-3-метоксипиразин, гексаналь, лимонен, эфиры</x:v>
      </x:c>
      <x:c r="E21" s="28" t="str">
        <x:v>хрустящая сладость и лёгкая горечь; зелёный сорт более растительный</x:v>
      </x:c>
      <x:c r="F21" s="28" t="str">
        <x:v>минимальный</x:v>
      </x:c>
      <x:c r="G21" s="28" t="str">
        <x:v>водная плодовая матрица с кожицей и пектинами</x:v>
      </x:c>
      <x:c r="H21" s="28" t="str">
        <x:v>запекание снижает зелёные пиразины и усиливает сладость; снятие кожицы улучшает текстуру</x:v>
      </x:c>
      <x:c r="I21" s="28" t="str">
        <x:v>холодная обработка, бланширование или короткий нагрев; для напитков — сок, осветление и быстрая стабилизация</x:v>
      </x:c>
      <x:c r="J21" s="28" t="str">
        <x:v>зелёный перец может доминировать метоксипиразином; обугленную кожицу удалять</x:v>
      </x:c>
      <x:c r="K21" s="28" t="n">
        <x:v>57</x:v>
      </x:c>
    </x:row>
    <x:row r="22" ht="84" customHeight="1">
      <x:c r="A22" s="28" t="str">
        <x:v>томат</x:v>
      </x:c>
      <x:c r="B22" s="28" t="str">
        <x:v>Плодовые овощи</x:v>
      </x:c>
      <x:c r="C22" s="28" t="str">
        <x:v>зелёный, фруктовый, листовой, сернистый и умами</x:v>
      </x:c>
      <x:c r="D22" s="28" t="str">
        <x:v>цис-3-гексеналь, гексаналь, β-ионон, метиональ, глутамат</x:v>
      </x:c>
      <x:c r="E22" s="28" t="str">
        <x:v>кислотность, сладость, умами и лёгкая горечь кожицы</x:v>
      </x:c>
      <x:c r="F22" s="28" t="str">
        <x:v>минимальный</x:v>
      </x:c>
      <x:c r="G22" s="28" t="str">
        <x:v>водная кислая матрица с пектином и глутаматом</x:v>
      </x:c>
      <x:c r="H22" s="28" t="str">
        <x:v>нагрев концентрирует умами и сладость, снижает зелёные ноты; сушка усиливает фруктово-умами профиль</x:v>
      </x:c>
      <x:c r="I22" s="28" t="str">
        <x:v>холодная обработка, бланширование или короткий нагрев; для напитков — сок, осветление и быстрая стабилизация</x:v>
      </x:c>
      <x:c r="J22" s="28" t="str">
        <x:v>незрелые плоды слишком зелёные; длительное кипячение стирает свежесть; кислота влияет на молочные эмульсии</x:v>
      </x:c>
      <x:c r="K22" s="28" t="n">
        <x:v>92</x:v>
      </x:c>
    </x:row>
    <x:row r="23" ht="84" customHeight="1">
      <x:c r="A23" s="28" t="str">
        <x:v>морковь</x:v>
      </x:c>
      <x:c r="B23" s="28" t="str">
        <x:v>Корнеплоды</x:v>
      </x:c>
      <x:c r="C23" s="28" t="str">
        <x:v>сладкий, землистый, древесный и слегка цитрусовый</x:v>
      </x:c>
      <x:c r="D23" s="28" t="str">
        <x:v>каротол, β-ионон, терпинолен, пинены</x:v>
      </x:c>
      <x:c r="E23" s="28" t="str">
        <x:v>сладость, землистость и слабая горечь</x:v>
      </x:c>
      <x:c r="F23" s="28" t="str">
        <x:v>минимальный</x:v>
      </x:c>
      <x:c r="G23" s="28" t="str">
        <x:v>водно-клетчаточная матрица с сахарами и каротиноидами</x:v>
      </x:c>
      <x:c r="H23" s="28" t="str">
        <x:v>запекание концентрирует сладость и древесно-пряные ноты; сок сохраняет зелёность</x:v>
      </x:c>
      <x:c r="I23" s="28" t="str">
        <x:v>запекание, гриль, пюре, вакуумная обработка, ферментация или контролируемая экстракция в жире</x:v>
      </x:c>
      <x:c r="J23" s="28" t="str">
        <x:v>сырая землистость может доминировать; перегрев делает профиль варёно-сладким</x:v>
      </x:c>
      <x:c r="K23" s="28" t="n">
        <x:v>82</x:v>
      </x:c>
    </x:row>
    <x:row r="24" ht="84" customHeight="1">
      <x:c r="A24" s="28" t="str">
        <x:v>тыква</x:v>
      </x:c>
      <x:c r="B24" s="28" t="str">
        <x:v>Тыквенные</x:v>
      </x:c>
      <x:c r="C24" s="28" t="str">
        <x:v>сладкий, крахмалистый, ореховый и слегка цветочный</x:v>
      </x:c>
      <x:c r="D24" s="28" t="str">
        <x:v>лактоны, норизопреноиды, фураны, пиразины</x:v>
      </x:c>
      <x:c r="E24" s="28" t="str">
        <x:v>сладость, мягкая крахмалистость и слабая горечь</x:v>
      </x:c>
      <x:c r="F24" s="28" t="str">
        <x:v>минимальный</x:v>
      </x:c>
      <x:c r="G24" s="28" t="str">
        <x:v>водно-крахмалистая матрица; хорошо принимает жир и специи</x:v>
      </x:c>
      <x:c r="H24" s="28" t="str">
        <x:v>запекание усиливает карамельность и ореховые ноты; пюре удерживает ароматику</x:v>
      </x:c>
      <x:c r="I24" s="28" t="str">
        <x:v>запекание, гриль, пюре, вакуумная обработка, ферментация или контролируемая экстракция в жире</x:v>
      </x:c>
      <x:c r="J24" s="28" t="str">
        <x:v>водянистые сорта размывают вкус; сильная сладость требует кислоты, соли или горечи</x:v>
      </x:c>
      <x:c r="K24" s="28" t="n">
        <x:v>28</x:v>
      </x:c>
    </x:row>
    <x:row r="25" ht="84" customHeight="1">
      <x:c r="A25" s="28" t="str">
        <x:v>тыква баттернат</x:v>
      </x:c>
      <x:c r="B25" s="28" t="str">
        <x:v>Тыквенные</x:v>
      </x:c>
      <x:c r="C25" s="28" t="str">
        <x:v>сладкий, сливочный, ореховый и карамельный</x:v>
      </x:c>
      <x:c r="D25" s="28" t="str">
        <x:v>лактоны, мальтол, норизопреноиды, фураны</x:v>
      </x:c>
      <x:c r="E25" s="28" t="str">
        <x:v>выраженная сладость и кремовая крахмалистость</x:v>
      </x:c>
      <x:c r="F25" s="28" t="str">
        <x:v>минимальный</x:v>
      </x:c>
      <x:c r="G25" s="28" t="str">
        <x:v>плотная крахмалистая мякоть, образующая стабильное пюре</x:v>
      </x:c>
      <x:c r="H25" s="28" t="str">
        <x:v>запекание усиливает ореховые и карамельные ноты; жир раскрывает лактоны</x:v>
      </x:c>
      <x:c r="I25" s="28" t="str">
        <x:v>запекание, гриль, пюре, вакуумная обработка, ферментация или контролируемая экстракция в жире</x:v>
      </x:c>
      <x:c r="J25" s="28" t="str">
        <x:v>может стать приторной и тяжёлой без кислоты или специй; не использовать недозрелый плод</x:v>
      </x:c>
      <x:c r="K25" s="28" t="n">
        <x:v>25</x:v>
      </x:c>
    </x:row>
    <x:row r="26" ht="84" customHeight="1">
      <x:c r="A26" s="28" t="str">
        <x:v>пастернак</x:v>
      </x:c>
      <x:c r="B26" s="28" t="str">
        <x:v>Корнеплоды</x:v>
      </x:c>
      <x:c r="C26" s="28" t="str">
        <x:v>сладкий, пряный, древесный и слегка анисовый</x:v>
      </x:c>
      <x:c r="D26" s="28" t="str">
        <x:v>терпены, фураны, пинены, фенольные соединения</x:v>
      </x:c>
      <x:c r="E26" s="28" t="str">
        <x:v>заметная сладость, землистость и лёгкая горечь</x:v>
      </x:c>
      <x:c r="F26" s="28" t="str">
        <x:v>минимальный</x:v>
      </x:c>
      <x:c r="G26" s="28" t="str">
        <x:v>крахмалисто-волокнистый корнеплод с ароматическим маслом</x:v>
      </x:c>
      <x:c r="H26" s="28" t="str">
        <x:v>запекание усиливает сладость и ореховые ноты; пюре хорошо принимает сливочный жир</x:v>
      </x:c>
      <x:c r="I26" s="28" t="str">
        <x:v>запекание, гриль, пюре, вакуумная обработка, ферментация или контролируемая экстракция в жире</x:v>
      </x:c>
      <x:c r="J26" s="28" t="str">
        <x:v>старый пастернак может быть волокнистым; сильная сладость требует баланса</x:v>
      </x:c>
      <x:c r="K26" s="28" t="n">
        <x:v>17</x:v>
      </x:c>
    </x:row>
    <x:row r="27" ht="84" customHeight="1">
      <x:c r="A27" s="28" t="str">
        <x:v>огурец</x:v>
      </x:c>
      <x:c r="B27" s="28" t="str">
        <x:v>Тыквенные</x:v>
      </x:c>
      <x:c r="C27" s="28" t="str">
        <x:v>зелёный, водянистый, свежий и дынный</x:v>
      </x:c>
      <x:c r="D27" s="28" t="str">
        <x:v>(E,Z)-2,6-нонадиеналь, (E)-2-ноненаль, гексаналь</x:v>
      </x:c>
      <x:c r="E27" s="28" t="str">
        <x:v>свежесть, водянистость, слабая сладость и иногда горечь кожицы</x:v>
      </x:c>
      <x:c r="F27" s="28" t="str">
        <x:v>прохладно-зелёное ощущение</x:v>
      </x:c>
      <x:c r="G27" s="28" t="str">
        <x:v>почти полностью водная хрустящая матрица; летучие альдегиды быстро теряются</x:v>
      </x:c>
      <x:c r="H27" s="28" t="str">
        <x:v>холодное применение сохраняет свежесть; соль вытягивает воду; нагрев разрушает характерный профиль</x:v>
      </x:c>
      <x:c r="I27" s="28" t="str">
        <x:v>холодная обработка, бланширование или короткий нагрев; для напитков — сок, осветление и быстрая стабилизация</x:v>
      </x:c>
      <x:c r="J27" s="28" t="str">
        <x:v>легко разбавляет вкус; перезрелая кожица и семена дают горечь; сок быстро окисляется</x:v>
      </x:c>
      <x:c r="K27" s="28" t="n">
        <x:v>63</x:v>
      </x:c>
    </x:row>
    <x:row r="28" ht="84" customHeight="1">
      <x:c r="A28" s="28" t="str">
        <x:v>кабачок</x:v>
      </x:c>
      <x:c r="B28" s="28" t="str">
        <x:v>Тыквенные</x:v>
      </x:c>
      <x:c r="C28" s="28" t="str">
        <x:v>мягкий зелёный, водянистый, ореховый после жарки</x:v>
      </x:c>
      <x:c r="D28" s="28" t="str">
        <x:v>гексаналь, цис-3-гексенол, альдегиды, пиразины</x:v>
      </x:c>
      <x:c r="E28" s="28" t="str">
        <x:v>нейтральный, водянистый, слегка сладкий</x:v>
      </x:c>
      <x:c r="F28" s="28" t="str">
        <x:v>минимальный</x:v>
      </x:c>
      <x:c r="G28" s="28" t="str">
        <x:v>водная нежная матрица, легко впитывающая жир и соус</x:v>
      </x:c>
      <x:c r="H28" s="28" t="str">
        <x:v>гриль и жарка концентрируют вкус и создают ореховые ноты; соль выводит лишнюю воду</x:v>
      </x:c>
      <x:c r="I28" s="28" t="str">
        <x:v>гриль, запекание, пюре, салат, маринование или ферментация</x:v>
      </x:c>
      <x:c r="J28" s="28" t="str">
        <x:v>переготовка даёт водянистую кашу; необычно сильная горечь является основанием продукт не использовать</x:v>
      </x:c>
      <x:c r="K28" s="28" t="n">
        <x:v>4</x:v>
      </x:c>
    </x:row>
    <x:row r="29" ht="84" customHeight="1">
      <x:c r="A29" s="28" t="str">
        <x:v>фенхель</x:v>
      </x:c>
      <x:c r="B29" s="28" t="str">
        <x:v>Стеблевые овощи</x:v>
      </x:c>
      <x:c r="C29" s="28" t="str">
        <x:v>анисовый, зелёный, свежий и сладковатый</x:v>
      </x:c>
      <x:c r="D29" s="28" t="str">
        <x:v>транс-анетол, фенхон, лимонен, эстрагол</x:v>
      </x:c>
      <x:c r="E29" s="28" t="str">
        <x:v>сладость, анисовость и лёгкая горечь</x:v>
      </x:c>
      <x:c r="F29" s="28" t="str">
        <x:v>прохладно-анисовое ощущение</x:v>
      </x:c>
      <x:c r="G29" s="28" t="str">
        <x:v>водная волокнистая луковица с гидрофобным эфирным маслом</x:v>
      </x:c>
      <x:c r="H29" s="28" t="str">
        <x:v>сырой сохраняет свежий анис; запекание смягчает аромат и усиливает сладость</x:v>
      </x:c>
      <x:c r="I29" s="28" t="str">
        <x:v>гриль, запекание, пюре, салат, маринование или ферментация</x:v>
      </x:c>
      <x:c r="J29" s="28" t="str">
        <x:v>анетол быстро доминирует; длительная варка стирает свежесть; зелень и семена значительно концентрированнее луковицы</x:v>
      </x:c>
      <x:c r="K29" s="28" t="n">
        <x:v>18</x:v>
      </x:c>
    </x:row>
  </x:sheetData>
  <x:conditionalFormatting sqref="K2:K29">
    <x:cfRule type="dataBar" priority="1">
      <x:dataBar>
        <x:cfvo type="min"/>
        <x:cfvo type="max"/>
        <x:color rgb="FF476D57"/>
      </x:dataBar>
      <x:extLst>
        <x:ext xmlns:x14="http://schemas.microsoft.com/office/spreadsheetml/2009/9/main" uri="{B025F937-C7B1-47D3-B67F-A62EFF666E3E}">
          <x14:id>{88F735A6-DBE6-5AB2-0404-A9B2212C428E}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a7760796116453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8F735A6-DBE6-5AB2-0404-A9B2212C428E}">
            <x14:dataBar gradient="1">
              <x14:cfvo type="min"/>
              <x14:cfvo type="max"/>
              <x14:fillColor rgb="FF476D57"/>
            </x14:dataBar>
          </x14:cfRule>
          <xm:sqref>K2:K29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32" hidden="0" customWidth="1"/>
    <x:col min="4" max="4" width="11" hidden="0" customWidth="1"/>
    <x:col min="5" max="5" width="22" hidden="0" customWidth="1"/>
    <x:col min="6" max="6" width="16" hidden="0" customWidth="1"/>
    <x:col min="7" max="7" width="44" hidden="0" customWidth="1"/>
    <x:col min="8" max="8" width="52" hidden="0" customWidth="1"/>
    <x:col min="9" max="9" width="41" hidden="0" customWidth="1"/>
    <x:col min="10" max="10" width="49" hidden="0" customWidth="1"/>
  </x:cols>
  <x:sheetData>
    <x:row r="1">
      <x:c r="A1" s="20" t="str">
        <x:v>Базовый ингредиент</x:v>
      </x:c>
      <x:c r="B1" s="20" t="str">
        <x:v>Место</x:v>
      </x:c>
      <x:c r="C1" s="20" t="str">
        <x:v>Партнёр</x:v>
      </x:c>
      <x:c r="D1" s="20" t="str">
        <x:v>Балл</x:v>
      </x:c>
      <x:c r="E1" s="20" t="str">
        <x:v>Уверенность</x:v>
      </x:c>
      <x:c r="F1" s="20" t="str">
        <x:v>Число источников</x:v>
      </x:c>
      <x:c r="G1" s="20" t="str">
        <x:v>Тип механизма</x:v>
      </x:c>
      <x:c r="H1" s="20" t="str">
        <x:v>Применение</x:v>
      </x:c>
      <x:c r="I1" s="20" t="str">
        <x:v>Источники</x:v>
      </x:c>
      <x:c r="J1" s="20" t="str">
        <x:v>Страницы</x:v>
      </x:c>
    </x:row>
    <x:row r="2" ht="44" customHeight="1">
      <x:c r="A2" s="28" t="str">
        <x:v>грибы</x:v>
      </x:c>
      <x:c r="B2" s="28" t="n">
        <x:v>1</x:v>
      </x:c>
      <x:c r="C2" s="28" t="str">
        <x:v>абрикос</x:v>
      </x:c>
      <x:c r="D2" s="28" t="n">
        <x:v>10</x:v>
      </x:c>
      <x:c r="E2" s="28" t="str">
        <x:v>Высокая</x:v>
      </x:c>
      <x:c r="F2" s="28" t="n">
        <x:v>2</x:v>
      </x:c>
      <x:c r="G2" s="28" t="str">
        <x:v>кислотно-сладкий баланс</x:v>
      </x:c>
      <x:c r="H2" s="28" t="str">
        <x:v>горячее блюдо, бульон, соус, пюре, ферментация или гарнир с абрикос</x:v>
      </x:c>
      <x:c r="I2" s="28" t="str">
        <x:v>The Art &amp; Science of Foodpairing.pdf | Тезариус вкусов (Ники Сегнит)(1).pdf</x:v>
      </x:c>
      <x:c r="J2" s="28" t="str">
        <x:v>Тезариус вкусов (Ники Сегнит)(1).pdf: 192, 742; The Art &amp; Science of Foodpairing.pdf: 206</x:v>
      </x:c>
    </x:row>
    <x:row r="3" ht="44" customHeight="1">
      <x:c r="A3" s="28" t="str">
        <x:v>грибы</x:v>
      </x:c>
      <x:c r="B3" s="28" t="n">
        <x:v>2</x:v>
      </x:c>
      <x:c r="C3" s="28" t="str">
        <x:v>картофель</x:v>
      </x:c>
      <x:c r="D3" s="28" t="n">
        <x:v>10</x:v>
      </x:c>
      <x:c r="E3" s="28" t="str">
        <x:v>Высокая</x:v>
      </x:c>
      <x:c r="F3" s="28" t="n">
        <x:v>2</x:v>
      </x:c>
      <x:c r="G3" s="28" t="str">
        <x:v>общие характерные молекулы; пересечение ароматических семейств</x:v>
      </x:c>
      <x:c r="H3" s="28" t="str">
        <x:v>горячее блюдо, бульон, соус, пюре, ферментация или гарнир с картофель</x:v>
      </x:c>
      <x:c r="I3" s="28" t="str">
        <x:v>The Art &amp; Science of Foodpairing.pdf | Тезариус вкусов (Ники Сегнит)(1).pdf</x:v>
      </x:c>
      <x:c r="J3" s="28" t="str">
        <x:v>Тезариус вкусов (Ники Сегнит)(1).pdf: 197, 234; The Art &amp; Science of Foodpairing.pdf: 196</x:v>
      </x:c>
    </x:row>
    <x:row r="4" ht="44" customHeight="1">
      <x:c r="A4" s="28" t="str">
        <x:v>грибы</x:v>
      </x:c>
      <x:c r="B4" s="28" t="n">
        <x:v>3</x:v>
      </x:c>
      <x:c r="C4" s="28" t="str">
        <x:v>чеснок</x:v>
      </x:c>
      <x:c r="D4" s="28" t="n">
        <x:v>10</x:v>
      </x:c>
      <x:c r="E4" s="28" t="str">
        <x:v>Высокая</x:v>
      </x:c>
      <x:c r="F4" s="28" t="n">
        <x:v>2</x:v>
      </x:c>
      <x:c r="G4" s="28" t="str">
        <x:v>пересечение ароматических семейств</x:v>
      </x:c>
      <x:c r="H4" s="28" t="str">
        <x:v>горячее блюдо, бульон, соус, пюре, ферментация или гарнир с чеснок</x:v>
      </x:c>
      <x:c r="I4" s="28" t="str">
        <x:v>The Art &amp; Science of Foodpairing.pdf | Тезариус вкусов (Ники Сегнит)(1).pdf</x:v>
      </x:c>
      <x:c r="J4" s="28" t="str">
        <x:v>Тезариус вкусов (Ники Сегнит)(1).pdf: 206, 293; The Art &amp; Science of Foodpairing.pdf: 113</x:v>
      </x:c>
    </x:row>
    <x:row r="5" ht="44" customHeight="1">
      <x:c r="A5" s="28" t="str">
        <x:v>грибы</x:v>
      </x:c>
      <x:c r="B5" s="28" t="n">
        <x:v>4</x:v>
      </x:c>
      <x:c r="C5" s="28" t="str">
        <x:v>оливковое масло</x:v>
      </x:c>
      <x:c r="D5" s="28" t="n">
        <x:v>8</x:v>
      </x:c>
      <x:c r="E5" s="28" t="str">
        <x:v>Высокая</x:v>
      </x:c>
      <x:c r="F5" s="28" t="n">
        <x:v>1</x:v>
      </x:c>
      <x:c r="G5" s="28" t="str">
        <x:v>жировая матрица</x:v>
      </x:c>
      <x:c r="H5" s="28" t="str">
        <x:v>горячее блюдо, бульон, соус, пюре, ферментация или гарнир с оливковое масло</x:v>
      </x:c>
      <x:c r="I5" s="28" t="str">
        <x:v>The Art &amp; Science of Foodpairing.pdf</x:v>
      </x:c>
      <x:c r="J5" s="28" t="str">
        <x:v>The Art &amp; Science of Foodpairing.pdf: 172</x:v>
      </x:c>
    </x:row>
    <x:row r="6" ht="44" customHeight="1">
      <x:c r="A6" s="28" t="str">
        <x:v>грибы</x:v>
      </x:c>
      <x:c r="B6" s="28" t="n">
        <x:v>5</x:v>
      </x:c>
      <x:c r="C6" s="28" t="str">
        <x:v>коньяк</x:v>
      </x:c>
      <x:c r="D6" s="28" t="n">
        <x:v>7</x:v>
      </x:c>
      <x:c r="E6" s="28" t="str">
        <x:v>Высокая</x:v>
      </x:c>
      <x:c r="F6" s="28" t="n">
        <x:v>1</x:v>
      </x:c>
      <x:c r="G6" s="28" t="str">
        <x:v>сенсорная комплементарность</x:v>
      </x:c>
      <x:c r="H6" s="28" t="str">
        <x:v>горячее блюдо, бульон, соус, пюре, ферментация или гарнир с коньяк</x:v>
      </x:c>
      <x:c r="I6" s="28" t="str">
        <x:v>The Art &amp; Science of Foodpairing.pdf</x:v>
      </x:c>
      <x:c r="J6" s="28" t="str">
        <x:v>The Art &amp; Science of Foodpairing.pdf: 123</x:v>
      </x:c>
    </x:row>
    <x:row r="7" ht="44" customHeight="1">
      <x:c r="A7" s="28" t="str">
        <x:v>грибы</x:v>
      </x:c>
      <x:c r="B7" s="28" t="n">
        <x:v>6</x:v>
      </x:c>
      <x:c r="C7" s="28" t="str">
        <x:v>чоризо</x:v>
      </x:c>
      <x:c r="D7" s="28" t="n">
        <x:v>7</x:v>
      </x:c>
      <x:c r="E7" s="28" t="str">
        <x:v>Средняя</x:v>
      </x:c>
      <x:c r="F7" s="28" t="n">
        <x:v>1</x:v>
      </x:c>
      <x:c r="G7" s="28" t="str">
        <x:v>сенсорная комплементарность</x:v>
      </x:c>
      <x:c r="H7" s="28" t="str">
        <x:v>горячее блюдо, бульон, соус, пюре, ферментация или гарнир с чоризо</x:v>
      </x:c>
      <x:c r="I7" s="28" t="str">
        <x:v>The Art &amp; Science of Foodpairing.pdf</x:v>
      </x:c>
      <x:c r="J7" s="28" t="str">
        <x:v>The Art &amp; Science of Foodpairing.pdf: 288</x:v>
      </x:c>
    </x:row>
    <x:row r="8" ht="44" customHeight="1">
      <x:c r="A8" s="28" t="str">
        <x:v>грибы</x:v>
      </x:c>
      <x:c r="B8" s="28" t="n">
        <x:v>7</x:v>
      </x:c>
      <x:c r="C8" s="28" t="str">
        <x:v>анис</x:v>
      </x:c>
      <x:c r="D8" s="28" t="n">
        <x:v>6</x:v>
      </x:c>
      <x:c r="E8" s="28" t="str">
        <x:v>Средняя</x:v>
      </x:c>
      <x:c r="F8" s="28" t="n">
        <x:v>1</x:v>
      </x:c>
      <x:c r="G8" s="28" t="str">
        <x:v>сенсорная комплементарность</x:v>
      </x:c>
      <x:c r="H8" s="28" t="str">
        <x:v>горячее блюдо, бульон, соус, пюре, ферментация или гарнир с анис</x:v>
      </x:c>
      <x:c r="I8" s="28" t="str">
        <x:v>Тезариус вкусов (Ники Сегнит)(1).pdf</x:v>
      </x:c>
      <x:c r="J8" s="28" t="str">
        <x:v>Тезариус вкусов (Ники Сегнит)(1).pdf: 193, 483</x:v>
      </x:c>
    </x:row>
    <x:row r="9" ht="44" customHeight="1">
      <x:c r="A9" s="28" t="str">
        <x:v>грибы</x:v>
      </x:c>
      <x:c r="B9" s="28" t="n">
        <x:v>8</x:v>
      </x:c>
      <x:c r="C9" s="28" t="str">
        <x:v>арбуз</x:v>
      </x:c>
      <x:c r="D9" s="28" t="n">
        <x:v>6</x:v>
      </x:c>
      <x:c r="E9" s="28" t="str">
        <x:v>Средняя</x:v>
      </x:c>
      <x:c r="F9" s="28" t="n">
        <x:v>1</x:v>
      </x:c>
      <x:c r="G9" s="28" t="str">
        <x:v>сенсорная комплементарность</x:v>
      </x:c>
      <x:c r="H9" s="28" t="str">
        <x:v>горячее блюдо, бульон, соус, пюре, ферментация или гарнир с арбуз</x:v>
      </x:c>
      <x:c r="I9" s="28" t="str">
        <x:v>The Art &amp; Science of Foodpairing.pdf</x:v>
      </x:c>
      <x:c r="J9" s="28" t="str">
        <x:v>The Art &amp; Science of Foodpairing.pdf: 78</x:v>
      </x:c>
    </x:row>
    <x:row r="10" ht="44" customHeight="1">
      <x:c r="A10" s="28" t="str">
        <x:v>грибы</x:v>
      </x:c>
      <x:c r="B10" s="28" t="n">
        <x:v>9</x:v>
      </x:c>
      <x:c r="C10" s="28" t="str">
        <x:v>бекон</x:v>
      </x:c>
      <x:c r="D10" s="28" t="n">
        <x:v>6</x:v>
      </x:c>
      <x:c r="E10" s="28" t="str">
        <x:v>Средняя</x:v>
      </x:c>
      <x:c r="F10" s="28" t="n">
        <x:v>1</x:v>
      </x:c>
      <x:c r="G10" s="28" t="str">
        <x:v>общие характерные молекулы; пересечение ароматических семейств; умами и солёный контраст</x:v>
      </x:c>
      <x:c r="H10" s="28" t="str">
        <x:v>горячее блюдо, бульон, соус, пюре, ферментация или гарнир с бекон</x:v>
      </x:c>
      <x:c r="I10" s="28" t="str">
        <x:v>Тезариус вкусов (Ники Сегнит)(1).pdf</x:v>
      </x:c>
      <x:c r="J10" s="28" t="str">
        <x:v>Тезариус вкусов (Ники Сегнит)(1).pdf: 194, 445</x:v>
      </x:c>
    </x:row>
    <x:row r="11" ht="44" customHeight="1">
      <x:c r="A11" s="28" t="str">
        <x:v>грибы</x:v>
      </x:c>
      <x:c r="B11" s="28" t="n">
        <x:v>10</x:v>
      </x:c>
      <x:c r="C11" s="28" t="str">
        <x:v>белая рыба</x:v>
      </x:c>
      <x:c r="D11" s="28" t="n">
        <x:v>6</x:v>
      </x:c>
      <x:c r="E11" s="28" t="str">
        <x:v>Средняя</x:v>
      </x:c>
      <x:c r="F11" s="28" t="n">
        <x:v>1</x:v>
      </x:c>
      <x:c r="G11" s="28" t="str">
        <x:v>пересечение ароматических семейств; умами и солёный контраст</x:v>
      </x:c>
      <x:c r="H11" s="28" t="str">
        <x:v>горячее блюдо, бульон, соус, пюре, ферментация или гарнир с белая рыба</x:v>
      </x:c>
      <x:c r="I11" s="28" t="str">
        <x:v>Тезариус вкусов (Ники Сегнит)(1).pdf</x:v>
      </x:c>
      <x:c r="J11" s="28" t="str">
        <x:v>Тезариус вкусов (Ники Сегнит)(1).pdf: 194, 384</x:v>
      </x:c>
    </x:row>
    <x:row r="12" ht="44" customHeight="1">
      <x:c r="A12" s="28" t="str">
        <x:v>грибы</x:v>
      </x:c>
      <x:c r="B12" s="28" t="n">
        <x:v>11</x:v>
      </x:c>
      <x:c r="C12" s="28" t="str">
        <x:v>гибискус</x:v>
      </x:c>
      <x:c r="D12" s="28" t="n">
        <x:v>6</x:v>
      </x:c>
      <x:c r="E12" s="28" t="str">
        <x:v>Высокая</x:v>
      </x:c>
      <x:c r="F12" s="28" t="n">
        <x:v>1</x:v>
      </x:c>
      <x:c r="G12" s="28" t="str">
        <x:v>сенсорная комплементарность</x:v>
      </x:c>
      <x:c r="H12" s="28" t="str">
        <x:v>горячее блюдо, бульон, соус, пюре, ферментация или гарнир с гибискус</x:v>
      </x:c>
      <x:c r="I12" s="28" t="str">
        <x:v>The Art &amp; Science of Foodpairing.pdf</x:v>
      </x:c>
      <x:c r="J12" s="28" t="str">
        <x:v>The Art &amp; Science of Foodpairing.pdf: 127</x:v>
      </x:c>
    </x:row>
    <x:row r="13" ht="44" customHeight="1">
      <x:c r="A13" s="28" t="str">
        <x:v>грибы</x:v>
      </x:c>
      <x:c r="B13" s="28" t="n">
        <x:v>12</x:v>
      </x:c>
      <x:c r="C13" s="28" t="str">
        <x:v>говядина</x:v>
      </x:c>
      <x:c r="D13" s="28" t="n">
        <x:v>6</x:v>
      </x:c>
      <x:c r="E13" s="28" t="str">
        <x:v>Средняя</x:v>
      </x:c>
      <x:c r="F13" s="28" t="n">
        <x:v>1</x:v>
      </x:c>
      <x:c r="G13" s="28" t="str">
        <x:v>общие характерные молекулы; пересечение ароматических семейств; умами и солёный контраст</x:v>
      </x:c>
      <x:c r="H13" s="28" t="str">
        <x:v>горячее блюдо, бульон, соус, пюре, ферментация или гарнир с говядина</x:v>
      </x:c>
      <x:c r="I13" s="28" t="str">
        <x:v>Тезариус вкусов (Ники Сегнит)(1).pdf</x:v>
      </x:c>
      <x:c r="J13" s="28" t="str">
        <x:v>Тезариус вкусов (Ники Сегнит)(1).pdf: 108, 195</x:v>
      </x:c>
    </x:row>
    <x:row r="14" ht="44" customHeight="1">
      <x:c r="A14" s="28" t="str">
        <x:v>грибы</x:v>
      </x:c>
      <x:c r="B14" s="28" t="n">
        <x:v>13</x:v>
      </x:c>
      <x:c r="C14" s="28" t="str">
        <x:v>голубой сыр</x:v>
      </x:c>
      <x:c r="D14" s="28" t="n">
        <x:v>6</x:v>
      </x:c>
      <x:c r="E14" s="28" t="str">
        <x:v>Средняя</x:v>
      </x:c>
      <x:c r="F14" s="28" t="n">
        <x:v>1</x:v>
      </x:c>
      <x:c r="G14" s="28" t="str">
        <x:v>пересечение ароматических семейств; жировая матрица</x:v>
      </x:c>
      <x:c r="H14" s="28" t="str">
        <x:v>горячее блюдо, бульон, соус, пюре, ферментация или гарнир с голубой сыр</x:v>
      </x:c>
      <x:c r="I14" s="28" t="str">
        <x:v>Тезариус вкусов (Ники Сегнит)(1).pdf</x:v>
      </x:c>
      <x:c r="J14" s="28" t="str">
        <x:v>Тезариус вкусов (Ники Сегнит)(1).pdf: 157, 195</x:v>
      </x:c>
    </x:row>
    <x:row r="15" ht="44" customHeight="1">
      <x:c r="A15" s="28" t="str">
        <x:v>грибы</x:v>
      </x:c>
      <x:c r="B15" s="28" t="n">
        <x:v>14</x:v>
      </x:c>
      <x:c r="C15" s="28" t="str">
        <x:v>грецкий орех</x:v>
      </x:c>
      <x:c r="D15" s="28" t="n">
        <x:v>6</x:v>
      </x:c>
      <x:c r="E15" s="28" t="str">
        <x:v>Средняя</x:v>
      </x:c>
      <x:c r="F15" s="28" t="n">
        <x:v>1</x:v>
      </x:c>
      <x:c r="G15" s="28" t="str">
        <x:v>общие характерные молекулы; пересечение ароматических семейств</x:v>
      </x:c>
      <x:c r="H15" s="28" t="str">
        <x:v>горячее блюдо, бульон, соус, пюре, ферментация или гарнир с грецкий орех</x:v>
      </x:c>
      <x:c r="I15" s="28" t="str">
        <x:v>Тезариус вкусов (Ники Сегнит)(1).pdf</x:v>
      </x:c>
      <x:c r="J15" s="28" t="str">
        <x:v>Тезариус вкусов (Ники Сегнит)(1).pdf: 195, 625</x:v>
      </x:c>
    </x:row>
    <x:row r="16" ht="44" customHeight="1">
      <x:c r="A16" s="28" t="str">
        <x:v>грибы</x:v>
      </x:c>
      <x:c r="B16" s="28" t="n">
        <x:v>15</x:v>
      </x:c>
      <x:c r="C16" s="28" t="str">
        <x:v>жирная рыба</x:v>
      </x:c>
      <x:c r="D16" s="28" t="n">
        <x:v>6</x:v>
      </x:c>
      <x:c r="E16" s="28" t="str">
        <x:v>Средняя</x:v>
      </x:c>
      <x:c r="F16" s="28" t="n">
        <x:v>1</x:v>
      </x:c>
      <x:c r="G16" s="28" t="str">
        <x:v>пересечение ароматических семейств; умами и солёный контраст</x:v>
      </x:c>
      <x:c r="H16" s="28" t="str">
        <x:v>горячее блюдо, бульон, соус, пюре, ферментация или гарнир с жирная рыба</x:v>
      </x:c>
      <x:c r="I16" s="28" t="str">
        <x:v>Тезариус вкусов (Ники Сегнит)(1).pdf</x:v>
      </x:c>
      <x:c r="J16" s="28" t="str">
        <x:v>Тезариус вкусов (Ники Сегнит)(1).pdf: 196, 412</x:v>
      </x:c>
    </x:row>
    <x:row r="17" ht="44" customHeight="1">
      <x:c r="A17" s="28" t="str">
        <x:v>грибы</x:v>
      </x:c>
      <x:c r="B17" s="28" t="n">
        <x:v>16</x:v>
      </x:c>
      <x:c r="C17" s="28" t="str">
        <x:v>каштаны</x:v>
      </x:c>
      <x:c r="D17" s="28" t="n">
        <x:v>6</x:v>
      </x:c>
      <x:c r="E17" s="28" t="str">
        <x:v>Средняя</x:v>
      </x:c>
      <x:c r="F17" s="28" t="n">
        <x:v>1</x:v>
      </x:c>
      <x:c r="G17" s="28" t="str">
        <x:v>общие характерные молекулы; пересечение ароматических семейств</x:v>
      </x:c>
      <x:c r="H17" s="28" t="str">
        <x:v>горячее блюдо, бульон, соус, пюре, ферментация или гарнир с каштаны</x:v>
      </x:c>
      <x:c r="I17" s="28" t="str">
        <x:v>Тезариус вкусов (Ники Сегнит)(1).pdf</x:v>
      </x:c>
      <x:c r="J17" s="28" t="str">
        <x:v>Тезариус вкусов (Ники Сегнит)(1).pdf: 197, 617</x:v>
      </x:c>
    </x:row>
    <x:row r="18" ht="44" customHeight="1">
      <x:c r="A18" s="28" t="str">
        <x:v>грибы</x:v>
      </x:c>
      <x:c r="B18" s="28" t="n">
        <x:v>17</x:v>
      </x:c>
      <x:c r="C18" s="28" t="str">
        <x:v>козий сыр</x:v>
      </x:c>
      <x:c r="D18" s="28" t="n">
        <x:v>6</x:v>
      </x:c>
      <x:c r="E18" s="28" t="str">
        <x:v>Средняя</x:v>
      </x:c>
      <x:c r="F18" s="28" t="n">
        <x:v>1</x:v>
      </x:c>
      <x:c r="G18" s="28" t="str">
        <x:v>пересечение ароматических семейств; жировая матрица</x:v>
      </x:c>
      <x:c r="H18" s="28" t="str">
        <x:v>горячее блюдо, бульон, соус, пюре, ферментация или гарнир с козий сыр</x:v>
      </x:c>
      <x:c r="I18" s="28" t="str">
        <x:v>Тезариус вкусов (Ники Сегнит)(1).pdf</x:v>
      </x:c>
      <x:c r="J18" s="28" t="str">
        <x:v>Тезариус вкусов (Ники Сегнит)(1).pdf: 138, 198</x:v>
      </x:c>
    </x:row>
    <x:row r="19" ht="44" customHeight="1">
      <x:c r="A19" s="28" t="str">
        <x:v>грибы</x:v>
      </x:c>
      <x:c r="B19" s="28" t="n">
        <x:v>18</x:v>
      </x:c>
      <x:c r="C19" s="28" t="str">
        <x:v>козий сыр и молоко</x:v>
      </x:c>
      <x:c r="D19" s="28" t="n">
        <x:v>6</x:v>
      </x:c>
      <x:c r="E19" s="28" t="str">
        <x:v>Средняя</x:v>
      </x:c>
      <x:c r="F19" s="28" t="n">
        <x:v>1</x:v>
      </x:c>
      <x:c r="G19" s="28" t="str">
        <x:v>пересечение ароматических семейств; жировая матрица</x:v>
      </x:c>
      <x:c r="H19" s="28" t="str">
        <x:v>горячее блюдо, бульон, соус, пюре, ферментация или гарнир с козий сыр и молоко</x:v>
      </x:c>
      <x:c r="I19" s="28" t="str">
        <x:v>The Art &amp; Science of Foodpairing.pdf</x:v>
      </x:c>
      <x:c r="J19" s="28" t="str">
        <x:v>The Art &amp; Science of Foodpairing.pdf: 200</x:v>
      </x:c>
    </x:row>
    <x:row r="20" ht="44" customHeight="1">
      <x:c r="A20" s="28" t="str">
        <x:v>грибы</x:v>
      </x:c>
      <x:c r="B20" s="28" t="n">
        <x:v>19</x:v>
      </x:c>
      <x:c r="C20" s="28" t="str">
        <x:v>корица</x:v>
      </x:c>
      <x:c r="D20" s="28" t="n">
        <x:v>6</x:v>
      </x:c>
      <x:c r="E20" s="28" t="str">
        <x:v>Высокая</x:v>
      </x:c>
      <x:c r="F20" s="28" t="n">
        <x:v>1</x:v>
      </x:c>
      <x:c r="G20" s="28" t="str">
        <x:v>сенсорная комплементарность</x:v>
      </x:c>
      <x:c r="H20" s="28" t="str">
        <x:v>горячее блюдо, бульон, соус, пюре, ферментация или гарнир с корица</x:v>
      </x:c>
      <x:c r="I20" s="28" t="str">
        <x:v>The Art &amp; Science of Foodpairing.pdf</x:v>
      </x:c>
      <x:c r="J20" s="28" t="str">
        <x:v>The Art &amp; Science of Foodpairing.pdf: 127</x:v>
      </x:c>
    </x:row>
    <x:row r="21" ht="44" customHeight="1">
      <x:c r="A21" s="28" t="str">
        <x:v>грибы</x:v>
      </x:c>
      <x:c r="B21" s="28" t="n">
        <x:v>20</x:v>
      </x:c>
      <x:c r="C21" s="28" t="str">
        <x:v>лук</x:v>
      </x:c>
      <x:c r="D21" s="28" t="n">
        <x:v>6</x:v>
      </x:c>
      <x:c r="E21" s="28" t="str">
        <x:v>Средняя</x:v>
      </x:c>
      <x:c r="F21" s="28" t="n">
        <x:v>1</x:v>
      </x:c>
      <x:c r="G21" s="28" t="str">
        <x:v>пересечение ароматических семейств</x:v>
      </x:c>
      <x:c r="H21" s="28" t="str">
        <x:v>горячее блюдо, бульон, соус, пюре, ферментация или гарнир с лук</x:v>
      </x:c>
      <x:c r="I21" s="28" t="str">
        <x:v>Тезариус вкусов (Ники Сегнит)(1).pdf</x:v>
      </x:c>
      <x:c r="J21" s="28" t="str">
        <x:v>Тезариус вкусов (Ники Сегнит)(1).pdf: 200, 283</x:v>
      </x:c>
    </x:row>
    <x:row r="22" ht="44" customHeight="1">
      <x:c r="A22" s="28" t="str">
        <x:v>баклажан</x:v>
      </x:c>
      <x:c r="B22" s="28" t="n">
        <x:v>1</x:v>
      </x:c>
      <x:c r="C22" s="28" t="str">
        <x:v>чеснок</x:v>
      </x:c>
      <x:c r="D22" s="28" t="n">
        <x:v>10</x:v>
      </x:c>
      <x:c r="E22" s="28" t="str">
        <x:v>Высокая</x:v>
      </x:c>
      <x:c r="F22" s="28" t="n">
        <x:v>2</x:v>
      </x:c>
      <x:c r="G22" s="28" t="str">
        <x:v>пересечение ароматических семейств</x:v>
      </x:c>
      <x:c r="H22" s="28" t="str">
        <x:v>салат, гарнир, суп, соус, маринад, ферментация или напиток с чеснок</x:v>
      </x:c>
      <x:c r="I22" s="28" t="str">
        <x:v>The Art &amp; Science of Foodpairing.pdf | Тезариус вкусов (Ники Сегнит)(1).pdf</x:v>
      </x:c>
      <x:c r="J22" s="28" t="str">
        <x:v>Тезариус вкусов (Ники Сегнит)(1).pdf: 212, 292; The Art &amp; Science of Foodpairing.pdf: 113</x:v>
      </x:c>
    </x:row>
    <x:row r="23" ht="44" customHeight="1">
      <x:c r="A23" s="28" t="str">
        <x:v>баклажан</x:v>
      </x:c>
      <x:c r="B23" s="28" t="n">
        <x:v>2</x:v>
      </x:c>
      <x:c r="C23" s="28" t="str">
        <x:v>баранина</x:v>
      </x:c>
      <x:c r="D23" s="28" t="n">
        <x:v>6</x:v>
      </x:c>
      <x:c r="E23" s="28" t="str">
        <x:v>Средняя</x:v>
      </x:c>
      <x:c r="F23" s="28" t="n">
        <x:v>1</x:v>
      </x:c>
      <x:c r="G23" s="28" t="str">
        <x:v>общие характерные молекулы; пересечение ароматических семейств; умами и солёный контраст</x:v>
      </x:c>
      <x:c r="H23" s="28" t="str">
        <x:v>салат, гарнир, суп, соус, маринад, ферментация или напиток с баранина</x:v>
      </x:c>
      <x:c r="I23" s="28" t="str">
        <x:v>Тезариус вкусов (Ники Сегнит)(1).pdf</x:v>
      </x:c>
      <x:c r="J23" s="28" t="str">
        <x:v>Тезариус вкусов (Ники Сегнит)(1).pdf: 126, 209</x:v>
      </x:c>
    </x:row>
    <x:row r="24" ht="44" customHeight="1">
      <x:c r="A24" s="28" t="str">
        <x:v>баклажан</x:v>
      </x:c>
      <x:c r="B24" s="28" t="n">
        <x:v>3</x:v>
      </x:c>
      <x:c r="C24" s="28" t="str">
        <x:v>болгарский перец</x:v>
      </x:c>
      <x:c r="D24" s="28" t="n">
        <x:v>6</x:v>
      </x:c>
      <x:c r="E24" s="28" t="str">
        <x:v>Средняя</x:v>
      </x:c>
      <x:c r="F24" s="28" t="n">
        <x:v>1</x:v>
      </x:c>
      <x:c r="G24" s="28" t="str">
        <x:v>общие характерные молекулы; пересечение ароматических семейств</x:v>
      </x:c>
      <x:c r="H24" s="28" t="str">
        <x:v>салат, гарнир, суп, соус, маринад, ферментация или напиток с болгарский перец</x:v>
      </x:c>
      <x:c r="I24" s="28" t="str">
        <x:v>Тезариус вкусов (Ники Сегнит)(1).pdf</x:v>
      </x:c>
      <x:c r="J24" s="28" t="str">
        <x:v>Тезариус вкусов (Ники Сегнит)(1).pdf: 209, 545</x:v>
      </x:c>
    </x:row>
    <x:row r="25" ht="44" customHeight="1">
      <x:c r="A25" s="28" t="str">
        <x:v>баклажан</x:v>
      </x:c>
      <x:c r="B25" s="28" t="n">
        <x:v>4</x:v>
      </x:c>
      <x:c r="C25" s="28" t="str">
        <x:v>грецкий орех</x:v>
      </x:c>
      <x:c r="D25" s="28" t="n">
        <x:v>6</x:v>
      </x:c>
      <x:c r="E25" s="28" t="str">
        <x:v>Средняя</x:v>
      </x:c>
      <x:c r="F25" s="28" t="n">
        <x:v>1</x:v>
      </x:c>
      <x:c r="G25" s="28" t="str">
        <x:v>общие характерные молекулы; пересечение ароматических семейств</x:v>
      </x:c>
      <x:c r="H25" s="28" t="str">
        <x:v>салат, гарнир, суп, соус, маринад, ферментация или напиток с грецкий орех</x:v>
      </x:c>
      <x:c r="I25" s="28" t="str">
        <x:v>Тезариус вкусов (Ники Сегнит)(1).pdf</x:v>
      </x:c>
      <x:c r="J25" s="28" t="str">
        <x:v>Тезариус вкусов (Ники Сегнит)(1).pdf: 210, 623</x:v>
      </x:c>
    </x:row>
    <x:row r="26" ht="44" customHeight="1">
      <x:c r="A26" s="28" t="str">
        <x:v>баклажан</x:v>
      </x:c>
      <x:c r="B26" s="28" t="n">
        <x:v>5</x:v>
      </x:c>
      <x:c r="C26" s="28" t="str">
        <x:v>имбирь</x:v>
      </x:c>
      <x:c r="D26" s="28" t="n">
        <x:v>6</x:v>
      </x:c>
      <x:c r="E26" s="28" t="str">
        <x:v>Средняя</x:v>
      </x:c>
      <x:c r="F26" s="28" t="n">
        <x:v>1</x:v>
      </x:c>
      <x:c r="G26" s="28" t="str">
        <x:v>сенсорная комплементарность</x:v>
      </x:c>
      <x:c r="H26" s="28" t="str">
        <x:v>салат, гарнир, суп, соус, маринад, ферментация или напиток с имбирь</x:v>
      </x:c>
      <x:c r="I26" s="28" t="str">
        <x:v>Тезариус вкусов (Ники Сегнит)(1).pdf</x:v>
      </x:c>
      <x:c r="J26" s="28" t="str">
        <x:v>Тезариус вкусов (Ники Сегнит)(1).pdf: 210, 813</x:v>
      </x:c>
    </x:row>
    <x:row r="27" ht="44" customHeight="1">
      <x:c r="A27" s="28" t="str">
        <x:v>баклажан</x:v>
      </x:c>
      <x:c r="B27" s="28" t="n">
        <x:v>6</x:v>
      </x:c>
      <x:c r="C27" s="28" t="str">
        <x:v>кардамон</x:v>
      </x:c>
      <x:c r="D27" s="28" t="n">
        <x:v>6</x:v>
      </x:c>
      <x:c r="E27" s="28" t="str">
        <x:v>Средняя</x:v>
      </x:c>
      <x:c r="F27" s="28" t="n">
        <x:v>1</x:v>
      </x:c>
      <x:c r="G27" s="28" t="str">
        <x:v>сенсорная комплементарность</x:v>
      </x:c>
      <x:c r="H27" s="28" t="str">
        <x:v>салат, гарнир, суп, соус, маринад, ферментация или напиток с кардамон</x:v>
      </x:c>
      <x:c r="I27" s="28" t="str">
        <x:v>The Art &amp; Science of Foodpairing.pdf</x:v>
      </x:c>
      <x:c r="J27" s="28" t="str">
        <x:v>The Art &amp; Science of Foodpairing.pdf: 256</x:v>
      </x:c>
    </x:row>
    <x:row r="28" ht="44" customHeight="1">
      <x:c r="A28" s="28" t="str">
        <x:v>баклажан</x:v>
      </x:c>
      <x:c r="B28" s="28" t="n">
        <x:v>7</x:v>
      </x:c>
      <x:c r="C28" s="28" t="str">
        <x:v>мускатный орех</x:v>
      </x:c>
      <x:c r="D28" s="28" t="n">
        <x:v>6</x:v>
      </x:c>
      <x:c r="E28" s="28" t="str">
        <x:v>Средняя</x:v>
      </x:c>
      <x:c r="F28" s="28" t="n">
        <x:v>1</x:v>
      </x:c>
      <x:c r="G28" s="28" t="str">
        <x:v>умами и солёный контраст</x:v>
      </x:c>
      <x:c r="H28" s="28" t="str">
        <x:v>салат, гарнир, суп, соус, маринад, ферментация или напиток с мускатный орех</x:v>
      </x:c>
      <x:c r="I28" s="28" t="str">
        <x:v>Тезариус вкусов (Ники Сегнит)(1).pdf</x:v>
      </x:c>
      <x:c r="J28" s="28" t="str">
        <x:v>Тезариус вкусов (Ники Сегнит)(1).pdf: 211, 587</x:v>
      </x:c>
    </x:row>
    <x:row r="29" ht="44" customHeight="1">
      <x:c r="A29" s="28" t="str">
        <x:v>баклажан</x:v>
      </x:c>
      <x:c r="B29" s="28" t="n">
        <x:v>8</x:v>
      </x:c>
      <x:c r="C29" s="28" t="str">
        <x:v>мягкий сыр</x:v>
      </x:c>
      <x:c r="D29" s="28" t="n">
        <x:v>6</x:v>
      </x:c>
      <x:c r="E29" s="28" t="str">
        <x:v>Средняя</x:v>
      </x:c>
      <x:c r="F29" s="28" t="n">
        <x:v>1</x:v>
      </x:c>
      <x:c r="G29" s="28" t="str">
        <x:v>жировая матрица</x:v>
      </x:c>
      <x:c r="H29" s="28" t="str">
        <x:v>салат, гарнир, суп, соус, маринад, ферментация или напиток с мягкий сыр</x:v>
      </x:c>
      <x:c r="I29" s="28" t="str">
        <x:v>Тезариус вкусов (Ники Сегнит)(1).pdf</x:v>
      </x:c>
      <x:c r="J29" s="28" t="str">
        <x:v>Тезариус вкусов (Ники Сегнит)(1).pdf: 181, 211</x:v>
      </x:c>
    </x:row>
    <x:row r="30" ht="44" customHeight="1">
      <x:c r="A30" s="28" t="str">
        <x:v>баклажан</x:v>
      </x:c>
      <x:c r="B30" s="28" t="n">
        <x:v>9</x:v>
      </x:c>
      <x:c r="C30" s="28" t="str">
        <x:v>мясо</x:v>
      </x:c>
      <x:c r="D30" s="28" t="n">
        <x:v>6</x:v>
      </x:c>
      <x:c r="E30" s="28" t="str">
        <x:v>Средняя</x:v>
      </x:c>
      <x:c r="F30" s="28" t="n">
        <x:v>1</x:v>
      </x:c>
      <x:c r="G30" s="28" t="str">
        <x:v>общие характерные молекулы; пересечение ароматических семейств; умами и солёный контраст</x:v>
      </x:c>
      <x:c r="H30" s="28" t="str">
        <x:v>салат, гарнир, суп, соус, маринад, ферментация или напиток с мясо</x:v>
      </x:c>
      <x:c r="I30" s="28" t="str">
        <x:v>The Art &amp; Science of Foodpairing.pdf</x:v>
      </x:c>
      <x:c r="J30" s="28" t="str">
        <x:v>The Art &amp; Science of Foodpairing.pdf: 186</x:v>
      </x:c>
    </x:row>
    <x:row r="31" ht="44" customHeight="1">
      <x:c r="A31" s="28" t="str">
        <x:v>баклажан</x:v>
      </x:c>
      <x:c r="B31" s="28" t="n">
        <x:v>10</x:v>
      </x:c>
      <x:c r="C31" s="28" t="str">
        <x:v>прошутто</x:v>
      </x:c>
      <x:c r="D31" s="28" t="n">
        <x:v>6</x:v>
      </x:c>
      <x:c r="E31" s="28" t="str">
        <x:v>Средняя</x:v>
      </x:c>
      <x:c r="F31" s="28" t="n">
        <x:v>1</x:v>
      </x:c>
      <x:c r="G31" s="28" t="str">
        <x:v>общие характерные молекулы; пересечение ароматических семейств; умами и солёный контраст</x:v>
      </x:c>
      <x:c r="H31" s="28" t="str">
        <x:v>салат, гарнир, суп, соус, маринад, ферментация или напиток с прошутто</x:v>
      </x:c>
      <x:c r="I31" s="28" t="str">
        <x:v>Тезариус вкусов (Ники Сегнит)(1).pdf</x:v>
      </x:c>
      <x:c r="J31" s="28" t="str">
        <x:v>Тезариус вкусов (Ники Сегнит)(1).pdf: 211, 454</x:v>
      </x:c>
    </x:row>
    <x:row r="32" ht="44" customHeight="1">
      <x:c r="A32" s="28" t="str">
        <x:v>баклажан</x:v>
      </x:c>
      <x:c r="B32" s="28" t="n">
        <x:v>11</x:v>
      </x:c>
      <x:c r="C32" s="28" t="str">
        <x:v>рыба</x:v>
      </x:c>
      <x:c r="D32" s="28" t="n">
        <x:v>6</x:v>
      </x:c>
      <x:c r="E32" s="28" t="str">
        <x:v>Средняя</x:v>
      </x:c>
      <x:c r="F32" s="28" t="n">
        <x:v>1</x:v>
      </x:c>
      <x:c r="G32" s="28" t="str">
        <x:v>умами и солёный контраст</x:v>
      </x:c>
      <x:c r="H32" s="28" t="str">
        <x:v>салат, гарнир, суп, соус, маринад, ферментация или напиток с рыба</x:v>
      </x:c>
      <x:c r="I32" s="28" t="str">
        <x:v>The Art &amp; Science of Foodpairing.pdf</x:v>
      </x:c>
      <x:c r="J32" s="28" t="str">
        <x:v>The Art &amp; Science of Foodpairing.pdf: 104</x:v>
      </x:c>
    </x:row>
    <x:row r="33" ht="44" customHeight="1">
      <x:c r="A33" s="28" t="str">
        <x:v>баклажан</x:v>
      </x:c>
      <x:c r="B33" s="28" t="n">
        <x:v>12</x:v>
      </x:c>
      <x:c r="C33" s="28" t="str">
        <x:v>томат</x:v>
      </x:c>
      <x:c r="D33" s="28" t="n">
        <x:v>6</x:v>
      </x:c>
      <x:c r="E33" s="28" t="str">
        <x:v>Средняя</x:v>
      </x:c>
      <x:c r="F33" s="28" t="n">
        <x:v>1</x:v>
      </x:c>
      <x:c r="G33" s="28" t="str">
        <x:v>общие характерные молекулы; пересечение ароматических семейств</x:v>
      </x:c>
      <x:c r="H33" s="28" t="str">
        <x:v>салат, гарнир, суп, соус, маринад, ферментация или напиток с томат</x:v>
      </x:c>
      <x:c r="I33" s="28" t="str">
        <x:v>Тезариус вкусов (Ники Сегнит)(1).pdf</x:v>
      </x:c>
      <x:c r="J33" s="28" t="str">
        <x:v>Тезариус вкусов (Ники Сегнит)(1).pdf: 211, 680</x:v>
      </x:c>
    </x:row>
    <x:row r="34" ht="44" customHeight="1">
      <x:c r="A34" s="28" t="str">
        <x:v>баклажан</x:v>
      </x:c>
      <x:c r="B34" s="28" t="n">
        <x:v>13</x:v>
      </x:c>
      <x:c r="C34" s="28" t="str">
        <x:v>чили</x:v>
      </x:c>
      <x:c r="D34" s="28" t="n">
        <x:v>6</x:v>
      </x:c>
      <x:c r="E34" s="28" t="str">
        <x:v>Средняя</x:v>
      </x:c>
      <x:c r="F34" s="28" t="n">
        <x:v>1</x:v>
      </x:c>
      <x:c r="G34" s="28" t="str">
        <x:v>сенсорная комплементарность</x:v>
      </x:c>
      <x:c r="H34" s="28" t="str">
        <x:v>салат, гарнир, суп, соус, маринад, ферментация или напиток с чили</x:v>
      </x:c>
      <x:c r="I34" s="28" t="str">
        <x:v>Тезариус вкусов (Ники Сегнит)(1).pdf</x:v>
      </x:c>
      <x:c r="J34" s="28" t="str">
        <x:v>Тезариус вкусов (Ники Сегнит)(1).pdf: 212, 552</x:v>
      </x:c>
    </x:row>
    <x:row r="35" ht="44" customHeight="1">
      <x:c r="A35" s="28" t="str">
        <x:v>баклажан</x:v>
      </x:c>
      <x:c r="B35" s="28" t="n">
        <x:v>14</x:v>
      </x:c>
      <x:c r="C35" s="28" t="str">
        <x:v>базилик</x:v>
      </x:c>
      <x:c r="D35" s="28" t="n">
        <x:v>5</x:v>
      </x:c>
      <x:c r="E35" s="28" t="str">
        <x:v>Средняя</x:v>
      </x:c>
      <x:c r="F35" s="28" t="n">
        <x:v>1</x:v>
      </x:c>
      <x:c r="G35" s="28" t="str">
        <x:v>пересечение ароматических семейств</x:v>
      </x:c>
      <x:c r="H35" s="28" t="str">
        <x:v>салат, гарнир, суп, соус, маринад, ферментация или напиток с базилик</x:v>
      </x:c>
      <x:c r="I35" s="28" t="str">
        <x:v>The Art &amp; Science of Foodpairing.pdf</x:v>
      </x:c>
      <x:c r="J35" s="28" t="str">
        <x:v>The Art &amp; Science of Foodpairing.pdf: 74</x:v>
      </x:c>
    </x:row>
    <x:row r="36" ht="44" customHeight="1">
      <x:c r="A36" s="28" t="str">
        <x:v>баклажан</x:v>
      </x:c>
      <x:c r="B36" s="28" t="n">
        <x:v>15</x:v>
      </x:c>
      <x:c r="C36" s="28" t="str">
        <x:v>батат</x:v>
      </x:c>
      <x:c r="D36" s="28" t="n">
        <x:v>5</x:v>
      </x:c>
      <x:c r="E36" s="28" t="str">
        <x:v>Средняя</x:v>
      </x:c>
      <x:c r="F36" s="28" t="n">
        <x:v>1</x:v>
      </x:c>
      <x:c r="G36" s="28" t="str">
        <x:v>общие характерные молекулы; пересечение ароматических семейств</x:v>
      </x:c>
      <x:c r="H36" s="28" t="str">
        <x:v>салат, гарнир, суп, соус, маринад, ферментация или напиток с батат</x:v>
      </x:c>
      <x:c r="I36" s="28" t="str">
        <x:v>The Art &amp; Science of Foodpairing.pdf</x:v>
      </x:c>
      <x:c r="J36" s="28" t="str">
        <x:v>The Art &amp; Science of Foodpairing.pdf: 119</x:v>
      </x:c>
    </x:row>
    <x:row r="37" ht="44" customHeight="1">
      <x:c r="A37" s="28" t="str">
        <x:v>баклажан</x:v>
      </x:c>
      <x:c r="B37" s="28" t="n">
        <x:v>16</x:v>
      </x:c>
      <x:c r="C37" s="28" t="str">
        <x:v>джин</x:v>
      </x:c>
      <x:c r="D37" s="28" t="n">
        <x:v>5</x:v>
      </x:c>
      <x:c r="E37" s="28" t="str">
        <x:v>Средняя</x:v>
      </x:c>
      <x:c r="F37" s="28" t="n">
        <x:v>1</x:v>
      </x:c>
      <x:c r="G37" s="28" t="str">
        <x:v>сенсорная комплементарность</x:v>
      </x:c>
      <x:c r="H37" s="28" t="str">
        <x:v>салат, гарнир, суп, соус, маринад, ферментация или напиток с джин</x:v>
      </x:c>
      <x:c r="I37" s="28" t="str">
        <x:v>The Art &amp; Science of Foodpairing.pdf</x:v>
      </x:c>
      <x:c r="J37" s="28" t="str">
        <x:v>The Art &amp; Science of Foodpairing.pdf: 215</x:v>
      </x:c>
    </x:row>
    <x:row r="38" ht="44" customHeight="1">
      <x:c r="A38" s="28" t="str">
        <x:v>баклажан</x:v>
      </x:c>
      <x:c r="B38" s="28" t="n">
        <x:v>17</x:v>
      </x:c>
      <x:c r="C38" s="28" t="str">
        <x:v>козий сыр и молоко</x:v>
      </x:c>
      <x:c r="D38" s="28" t="n">
        <x:v>5</x:v>
      </x:c>
      <x:c r="E38" s="28" t="str">
        <x:v>Средняя</x:v>
      </x:c>
      <x:c r="F38" s="28" t="n">
        <x:v>1</x:v>
      </x:c>
      <x:c r="G38" s="28" t="str">
        <x:v>жировая матрица</x:v>
      </x:c>
      <x:c r="H38" s="28" t="str">
        <x:v>салат, гарнир, суп, соус, маринад, ферментация или напиток с козий сыр и молоко</x:v>
      </x:c>
      <x:c r="I38" s="28" t="str">
        <x:v>The Art &amp; Science of Foodpairing.pdf</x:v>
      </x:c>
      <x:c r="J38" s="28" t="str">
        <x:v>The Art &amp; Science of Foodpairing.pdf: 200</x:v>
      </x:c>
    </x:row>
    <x:row r="39" ht="44" customHeight="1">
      <x:c r="A39" s="28" t="str">
        <x:v>баклажан</x:v>
      </x:c>
      <x:c r="B39" s="28" t="n">
        <x:v>18</x:v>
      </x:c>
      <x:c r="C39" s="28" t="str">
        <x:v>коньяк</x:v>
      </x:c>
      <x:c r="D39" s="28" t="n">
        <x:v>5</x:v>
      </x:c>
      <x:c r="E39" s="28" t="str">
        <x:v>Средняя</x:v>
      </x:c>
      <x:c r="F39" s="28" t="n">
        <x:v>1</x:v>
      </x:c>
      <x:c r="G39" s="28" t="str">
        <x:v>сенсорная комплементарность</x:v>
      </x:c>
      <x:c r="H39" s="28" t="str">
        <x:v>салат, гарнир, суп, соус, маринад, ферментация или напиток с коньяк</x:v>
      </x:c>
      <x:c r="I39" s="28" t="str">
        <x:v>The Art &amp; Science of Foodpairing.pdf</x:v>
      </x:c>
      <x:c r="J39" s="28" t="str">
        <x:v>The Art &amp; Science of Foodpairing.pdf: 123</x:v>
      </x:c>
    </x:row>
    <x:row r="40" ht="44" customHeight="1">
      <x:c r="A40" s="28" t="str">
        <x:v>баклажан</x:v>
      </x:c>
      <x:c r="B40" s="28" t="n">
        <x:v>19</x:v>
      </x:c>
      <x:c r="C40" s="28" t="str">
        <x:v>кунжут, халва и тахини</x:v>
      </x:c>
      <x:c r="D40" s="28" t="n">
        <x:v>5</x:v>
      </x:c>
      <x:c r="E40" s="28" t="str">
        <x:v>Средняя</x:v>
      </x:c>
      <x:c r="F40" s="28" t="n">
        <x:v>1</x:v>
      </x:c>
      <x:c r="G40" s="28" t="str">
        <x:v>общие характерные молекулы; пересечение ароматических семейств</x:v>
      </x:c>
      <x:c r="H40" s="28" t="str">
        <x:v>салат, гарнир, суп, соус, маринад, ферментация или напиток с кунжут, халва и тахини</x:v>
      </x:c>
      <x:c r="I40" s="28" t="str">
        <x:v>The Art &amp; Science of Foodpairing.pdf</x:v>
      </x:c>
      <x:c r="J40" s="28" t="str">
        <x:v>The Art &amp; Science of Foodpairing.pdf: 308</x:v>
      </x:c>
    </x:row>
    <x:row r="41" ht="44" customHeight="1">
      <x:c r="A41" s="28" t="str">
        <x:v>баклажан</x:v>
      </x:c>
      <x:c r="B41" s="28" t="n">
        <x:v>20</x:v>
      </x:c>
      <x:c r="C41" s="28" t="str">
        <x:v>маниок</x:v>
      </x:c>
      <x:c r="D41" s="28" t="n">
        <x:v>5</x:v>
      </x:c>
      <x:c r="E41" s="28" t="str">
        <x:v>Средняя</x:v>
      </x:c>
      <x:c r="F41" s="28" t="n">
        <x:v>1</x:v>
      </x:c>
      <x:c r="G41" s="28" t="str">
        <x:v>сенсорная комплементарность</x:v>
      </x:c>
      <x:c r="H41" s="28" t="str">
        <x:v>салат, гарнир, суп, соус, маринад, ферментация или напиток с маниок</x:v>
      </x:c>
      <x:c r="I41" s="28" t="str">
        <x:v>The Art &amp; Science of Foodpairing.pdf</x:v>
      </x:c>
      <x:c r="J41" s="28" t="str">
        <x:v>The Art &amp; Science of Foodpairing.pdf: 251</x:v>
      </x:c>
    </x:row>
    <x:row r="42" ht="44" customHeight="1">
      <x:c r="A42" s="28" t="str">
        <x:v>свёкла</x:v>
      </x:c>
      <x:c r="B42" s="28" t="n">
        <x:v>1</x:v>
      </x:c>
      <x:c r="C42" s="28" t="str">
        <x:v>говядина</x:v>
      </x:c>
      <x:c r="D42" s="28" t="n">
        <x:v>10</x:v>
      </x:c>
      <x:c r="E42" s="28" t="str">
        <x:v>Высокая</x:v>
      </x:c>
      <x:c r="F42" s="28" t="n">
        <x:v>2</x:v>
      </x:c>
      <x:c r="G42" s="28" t="str">
        <x:v>умами и солёный контраст</x:v>
      </x:c>
      <x:c r="H42" s="28" t="str">
        <x:v>сок, кордиал, гаспачо, салат, соус, маринад или коктейльный компонент с говядина</x:v>
      </x:c>
      <x:c r="I42" s="28" t="str">
        <x:v>The Art &amp; Science of Foodpairing.pdf | Тезариус вкусов (Ники Сегнит)(1).pdf</x:v>
      </x:c>
      <x:c r="J42" s="28" t="str">
        <x:v>Тезариус вкусов (Ники Сегнит)(1).pdf: 117, 223; The Art &amp; Science of Foodpairing.pdf: 224</x:v>
      </x:c>
    </x:row>
    <x:row r="43" ht="44" customHeight="1">
      <x:c r="A43" s="28" t="str">
        <x:v>свёкла</x:v>
      </x:c>
      <x:c r="B43" s="28" t="n">
        <x:v>2</x:v>
      </x:c>
      <x:c r="C43" s="28" t="str">
        <x:v>кокос</x:v>
      </x:c>
      <x:c r="D43" s="28" t="n">
        <x:v>10</x:v>
      </x:c>
      <x:c r="E43" s="28" t="str">
        <x:v>Высокая</x:v>
      </x:c>
      <x:c r="F43" s="28" t="n">
        <x:v>2</x:v>
      </x:c>
      <x:c r="G43" s="28" t="str">
        <x:v>сенсорная комплементарность</x:v>
      </x:c>
      <x:c r="H43" s="28" t="str">
        <x:v>сок, кордиал, гаспачо, салат, соус, маринад или коктейльный компонент с кокос</x:v>
      </x:c>
      <x:c r="I43" s="28" t="str">
        <x:v>The Art &amp; Science of Foodpairing.pdf | Тезариус вкусов (Ники Сегнит)(1).pdf</x:v>
      </x:c>
      <x:c r="J43" s="28" t="str">
        <x:v>Тезариус вкусов (Ники Сегнит)(1).pdf: 225, 759; The Art &amp; Science of Foodpairing.pdf: 135, 224</x:v>
      </x:c>
    </x:row>
    <x:row r="44" ht="44" customHeight="1">
      <x:c r="A44" s="28" t="str">
        <x:v>свёкла</x:v>
      </x:c>
      <x:c r="B44" s="28" t="n">
        <x:v>3</x:v>
      </x:c>
      <x:c r="C44" s="28" t="str">
        <x:v>шоколад</x:v>
      </x:c>
      <x:c r="D44" s="28" t="n">
        <x:v>10</x:v>
      </x:c>
      <x:c r="E44" s="28" t="str">
        <x:v>Высокая</x:v>
      </x:c>
      <x:c r="F44" s="28" t="n">
        <x:v>2</x:v>
      </x:c>
      <x:c r="G44" s="28" t="str">
        <x:v>сенсорная комплементарность</x:v>
      </x:c>
      <x:c r="H44" s="28" t="str">
        <x:v>сок, кордиал, гаспачо, салат, соус, маринад или коктейльный компонент с шоколад</x:v>
      </x:c>
      <x:c r="I44" s="28" t="str">
        <x:v>The Art &amp; Science of Foodpairing.pdf | Тезариус вкусов (Ники Сегнит)(1).pdf</x:v>
      </x:c>
      <x:c r="J44" s="28" t="str">
        <x:v>Тезариус вкусов (Ники Сегнит)(1).pdf: 35, 227; The Art &amp; Science of Foodpairing.pdf: 62</x:v>
      </x:c>
    </x:row>
    <x:row r="45" ht="44" customHeight="1">
      <x:c r="A45" s="28" t="str">
        <x:v>свёкла</x:v>
      </x:c>
      <x:c r="B45" s="28" t="n">
        <x:v>4</x:v>
      </x:c>
      <x:c r="C45" s="28" t="str">
        <x:v>яблоко</x:v>
      </x:c>
      <x:c r="D45" s="28" t="n">
        <x:v>10</x:v>
      </x:c>
      <x:c r="E45" s="28" t="str">
        <x:v>Высокая</x:v>
      </x:c>
      <x:c r="F45" s="28" t="n">
        <x:v>2</x:v>
      </x:c>
      <x:c r="G45" s="28" t="str">
        <x:v>пересечение ароматических семейств; кислотно-сладкий баланс</x:v>
      </x:c>
      <x:c r="H45" s="28" t="str">
        <x:v>сок, кордиал, гаспачо, салат, соус, маринад или коктейльный компонент с яблоко</x:v>
      </x:c>
      <x:c r="I45" s="28" t="str">
        <x:v>The Art &amp; Science of Foodpairing.pdf | Тезариус вкусов (Ники Сегнит)(1).pdf</x:v>
      </x:c>
      <x:c r="J45" s="28" t="str">
        <x:v>Тезариус вкусов (Ники Сегнит)(1).pdf: 228, 714; The Art &amp; Science of Foodpairing.pdf: 224</x:v>
      </x:c>
    </x:row>
    <x:row r="46" ht="44" customHeight="1">
      <x:c r="A46" s="28" t="str">
        <x:v>свёкла</x:v>
      </x:c>
      <x:c r="B46" s="28" t="n">
        <x:v>5</x:v>
      </x:c>
      <x:c r="C46" s="28" t="str">
        <x:v>грецкий орех</x:v>
      </x:c>
      <x:c r="D46" s="28" t="n">
        <x:v>7</x:v>
      </x:c>
      <x:c r="E46" s="28" t="str">
        <x:v>Средняя</x:v>
      </x:c>
      <x:c r="F46" s="28" t="n">
        <x:v>1</x:v>
      </x:c>
      <x:c r="G46" s="28" t="str">
        <x:v>общие характерные молекулы; пересечение ароматических семейств</x:v>
      </x:c>
      <x:c r="H46" s="28" t="str">
        <x:v>сок, кордиал, гаспачо, салат, соус, маринад или коктейльный компонент с грецкий орех</x:v>
      </x:c>
      <x:c r="I46" s="28" t="str">
        <x:v>Тезариус вкусов (Ники Сегнит)(1).pdf</x:v>
      </x:c>
      <x:c r="J46" s="28" t="str">
        <x:v>Тезариус вкусов (Ники Сегнит)(1).pdf: 223, 225, 628</x:v>
      </x:c>
    </x:row>
    <x:row r="47" ht="44" customHeight="1">
      <x:c r="A47" s="28" t="str">
        <x:v>свёкла</x:v>
      </x:c>
      <x:c r="B47" s="28" t="n">
        <x:v>6</x:v>
      </x:c>
      <x:c r="C47" s="28" t="str">
        <x:v>чеснок</x:v>
      </x:c>
      <x:c r="D47" s="28" t="n">
        <x:v>7</x:v>
      </x:c>
      <x:c r="E47" s="28" t="str">
        <x:v>Средняя</x:v>
      </x:c>
      <x:c r="F47" s="28" t="n">
        <x:v>1</x:v>
      </x:c>
      <x:c r="G47" s="28" t="str">
        <x:v>сенсорная комплементарность</x:v>
      </x:c>
      <x:c r="H47" s="28" t="str">
        <x:v>сок, кордиал, гаспачо, салат, соус, маринад или коктейльный компонент с чеснок</x:v>
      </x:c>
      <x:c r="I47" s="28" t="str">
        <x:v>The Art &amp; Science of Foodpairing.pdf</x:v>
      </x:c>
      <x:c r="J47" s="28" t="str">
        <x:v>The Art &amp; Science of Foodpairing.pdf: 113, 114</x:v>
      </x:c>
    </x:row>
    <x:row r="48" ht="44" customHeight="1">
      <x:c r="A48" s="28" t="str">
        <x:v>свёкла</x:v>
      </x:c>
      <x:c r="B48" s="28" t="n">
        <x:v>7</x:v>
      </x:c>
      <x:c r="C48" s="28" t="str">
        <x:v>абрикос</x:v>
      </x:c>
      <x:c r="D48" s="28" t="n">
        <x:v>6</x:v>
      </x:c>
      <x:c r="E48" s="28" t="str">
        <x:v>Средняя</x:v>
      </x:c>
      <x:c r="F48" s="28" t="n">
        <x:v>1</x:v>
      </x:c>
      <x:c r="G48" s="28" t="str">
        <x:v>общие характерные молекулы; кислотно-сладкий баланс</x:v>
      </x:c>
      <x:c r="H48" s="28" t="str">
        <x:v>сок, кордиал, гаспачо, салат, соус, маринад или коктейльный компонент с абрикос</x:v>
      </x:c>
      <x:c r="I48" s="28" t="str">
        <x:v>The Art &amp; Science of Foodpairing.pdf</x:v>
      </x:c>
      <x:c r="J48" s="28" t="str">
        <x:v>The Art &amp; Science of Foodpairing.pdf: 224</x:v>
      </x:c>
    </x:row>
    <x:row r="49" ht="44" customHeight="1">
      <x:c r="A49" s="28" t="str">
        <x:v>свёкла</x:v>
      </x:c>
      <x:c r="B49" s="28" t="n">
        <x:v>8</x:v>
      </x:c>
      <x:c r="C49" s="28" t="str">
        <x:v>анчоусы</x:v>
      </x:c>
      <x:c r="D49" s="28" t="n">
        <x:v>6</x:v>
      </x:c>
      <x:c r="E49" s="28" t="str">
        <x:v>Средняя</x:v>
      </x:c>
      <x:c r="F49" s="28" t="n">
        <x:v>1</x:v>
      </x:c>
      <x:c r="G49" s="28" t="str">
        <x:v>общие характерные молекулы; умами и солёный контраст</x:v>
      </x:c>
      <x:c r="H49" s="28" t="str">
        <x:v>сок, кордиал, гаспачо, салат, соус, маринад или коктейльный компонент с анчоусы</x:v>
      </x:c>
      <x:c r="I49" s="28" t="str">
        <x:v>Тезариус вкусов (Ники Сегнит)(1).pdf</x:v>
      </x:c>
      <x:c r="J49" s="28" t="str">
        <x:v>Тезариус вкусов (Ники Сегнит)(1).pdf: 222, 429</x:v>
      </x:c>
    </x:row>
    <x:row r="50" ht="44" customHeight="1">
      <x:c r="A50" s="28" t="str">
        <x:v>свёкла</x:v>
      </x:c>
      <x:c r="B50" s="28" t="n">
        <x:v>9</x:v>
      </x:c>
      <x:c r="C50" s="28" t="str">
        <x:v>апельсин</x:v>
      </x:c>
      <x:c r="D50" s="28" t="n">
        <x:v>6</x:v>
      </x:c>
      <x:c r="E50" s="28" t="str">
        <x:v>Средняя</x:v>
      </x:c>
      <x:c r="F50" s="28" t="n">
        <x:v>1</x:v>
      </x:c>
      <x:c r="G50" s="28" t="str">
        <x:v>пересечение ароматических семейств; кислотно-сладкий баланс</x:v>
      </x:c>
      <x:c r="H50" s="28" t="str">
        <x:v>сок, кордиал, гаспачо, салат, соус, маринад или коктейльный компонент с апельсин</x:v>
      </x:c>
      <x:c r="I50" s="28" t="str">
        <x:v>Тезариус вкусов (Ники Сегнит)(1).pdf</x:v>
      </x:c>
      <x:c r="J50" s="28" t="str">
        <x:v>Тезариус вкусов (Ники Сегнит)(1).pdf: 223, 780</x:v>
      </x:c>
    </x:row>
    <x:row r="51" ht="44" customHeight="1">
      <x:c r="A51" s="28" t="str">
        <x:v>свёкла</x:v>
      </x:c>
      <x:c r="B51" s="28" t="n">
        <x:v>10</x:v>
      </x:c>
      <x:c r="C51" s="28" t="str">
        <x:v>арахис</x:v>
      </x:c>
      <x:c r="D51" s="28" t="n">
        <x:v>6</x:v>
      </x:c>
      <x:c r="E51" s="28" t="str">
        <x:v>Средняя</x:v>
      </x:c>
      <x:c r="F51" s="28" t="n">
        <x:v>1</x:v>
      </x:c>
      <x:c r="G51" s="28" t="str">
        <x:v>общие характерные молекулы</x:v>
      </x:c>
      <x:c r="H51" s="28" t="str">
        <x:v>сок, кордиал, гаспачо, салат, соус, маринад или коктейльный компонент с арахис</x:v>
      </x:c>
      <x:c r="I51" s="28" t="str">
        <x:v>The Art &amp; Science of Foodpairing.pdf</x:v>
      </x:c>
      <x:c r="J51" s="28" t="str">
        <x:v>The Art &amp; Science of Foodpairing.pdf: 224</x:v>
      </x:c>
    </x:row>
    <x:row r="52" ht="44" customHeight="1">
      <x:c r="A52" s="28" t="str">
        <x:v>свёкла</x:v>
      </x:c>
      <x:c r="B52" s="28" t="n">
        <x:v>11</x:v>
      </x:c>
      <x:c r="C52" s="28" t="str">
        <x:v>банан</x:v>
      </x:c>
      <x:c r="D52" s="28" t="n">
        <x:v>6</x:v>
      </x:c>
      <x:c r="E52" s="28" t="str">
        <x:v>Средняя</x:v>
      </x:c>
      <x:c r="F52" s="28" t="n">
        <x:v>1</x:v>
      </x:c>
      <x:c r="G52" s="28" t="str">
        <x:v>общие характерные молекулы; кислотно-сладкий баланс</x:v>
      </x:c>
      <x:c r="H52" s="28" t="str">
        <x:v>сок, кордиал, гаспачо, салат, соус, маринад или коктейльный компонент с банан</x:v>
      </x:c>
      <x:c r="I52" s="28" t="str">
        <x:v>The Art &amp; Science of Foodpairing.pdf</x:v>
      </x:c>
      <x:c r="J52" s="28" t="str">
        <x:v>The Art &amp; Science of Foodpairing.pdf: 224</x:v>
      </x:c>
    </x:row>
    <x:row r="53" ht="44" customHeight="1">
      <x:c r="A53" s="28" t="str">
        <x:v>свёкла</x:v>
      </x:c>
      <x:c r="B53" s="28" t="n">
        <x:v>12</x:v>
      </x:c>
      <x:c r="C53" s="28" t="str">
        <x:v>баранина</x:v>
      </x:c>
      <x:c r="D53" s="28" t="n">
        <x:v>6</x:v>
      </x:c>
      <x:c r="E53" s="28" t="str">
        <x:v>Средняя</x:v>
      </x:c>
      <x:c r="F53" s="28" t="n">
        <x:v>1</x:v>
      </x:c>
      <x:c r="G53" s="28" t="str">
        <x:v>умами и солёный контраст</x:v>
      </x:c>
      <x:c r="H53" s="28" t="str">
        <x:v>сок, кордиал, гаспачо, салат, соус, маринад или коктейльный компонент с баранина</x:v>
      </x:c>
      <x:c r="I53" s="28" t="str">
        <x:v>The Art &amp; Science of Foodpairing.pdf</x:v>
      </x:c>
      <x:c r="J53" s="28" t="str">
        <x:v>The Art &amp; Science of Foodpairing.pdf: 224</x:v>
      </x:c>
    </x:row>
    <x:row r="54" ht="44" customHeight="1">
      <x:c r="A54" s="28" t="str">
        <x:v>свёкла</x:v>
      </x:c>
      <x:c r="B54" s="28" t="n">
        <x:v>13</x:v>
      </x:c>
      <x:c r="C54" s="28" t="str">
        <x:v>водка</x:v>
      </x:c>
      <x:c r="D54" s="28" t="n">
        <x:v>6</x:v>
      </x:c>
      <x:c r="E54" s="28" t="str">
        <x:v>Высокая</x:v>
      </x:c>
      <x:c r="F54" s="28" t="n">
        <x:v>1</x:v>
      </x:c>
      <x:c r="G54" s="28" t="str">
        <x:v>общие характерные молекулы</x:v>
      </x:c>
      <x:c r="H54" s="28" t="str">
        <x:v>сок, кордиал, гаспачо, салат, соус, маринад или коктейльный компонент с водка</x:v>
      </x:c>
      <x:c r="I54" s="28" t="str">
        <x:v>The Art &amp; Science of Foodpairing.pdf</x:v>
      </x:c>
      <x:c r="J54" s="28" t="str">
        <x:v>The Art &amp; Science of Foodpairing.pdf: 223</x:v>
      </x:c>
    </x:row>
    <x:row r="55" ht="44" customHeight="1">
      <x:c r="A55" s="28" t="str">
        <x:v>свёкла</x:v>
      </x:c>
      <x:c r="B55" s="28" t="n">
        <x:v>14</x:v>
      </x:c>
      <x:c r="C55" s="28" t="str">
        <x:v>водяной кресс</x:v>
      </x:c>
      <x:c r="D55" s="28" t="n">
        <x:v>6</x:v>
      </x:c>
      <x:c r="E55" s="28" t="str">
        <x:v>Средняя</x:v>
      </x:c>
      <x:c r="F55" s="28" t="n">
        <x:v>1</x:v>
      </x:c>
      <x:c r="G55" s="28" t="str">
        <x:v>сенсорная комплементарность</x:v>
      </x:c>
      <x:c r="H55" s="28" t="str">
        <x:v>сок, кордиал, гаспачо, салат, соус, маринад или коктейльный компонент с водяной кресс</x:v>
      </x:c>
      <x:c r="I55" s="28" t="str">
        <x:v>Тезариус вкусов (Ники Сегнит)(1).pdf</x:v>
      </x:c>
      <x:c r="J55" s="28" t="str">
        <x:v>Тезариус вкусов (Ники Сегнит)(1).pdf: 223, 262</x:v>
      </x:c>
    </x:row>
    <x:row r="56" ht="44" customHeight="1">
      <x:c r="A56" s="28" t="str">
        <x:v>свёкла</x:v>
      </x:c>
      <x:c r="B56" s="28" t="n">
        <x:v>15</x:v>
      </x:c>
      <x:c r="C56" s="28" t="str">
        <x:v>гранат</x:v>
      </x:c>
      <x:c r="D56" s="28" t="n">
        <x:v>6</x:v>
      </x:c>
      <x:c r="E56" s="28" t="str">
        <x:v>Высокая</x:v>
      </x:c>
      <x:c r="F56" s="28" t="n">
        <x:v>1</x:v>
      </x:c>
      <x:c r="G56" s="28" t="str">
        <x:v>сенсорная комплементарность</x:v>
      </x:c>
      <x:c r="H56" s="28" t="str">
        <x:v>сок, кордиал, гаспачо, салат, соус, маринад или коктейльный компонент с гранат</x:v>
      </x:c>
      <x:c r="I56" s="28" t="str">
        <x:v>The Art &amp; Science of Foodpairing.pdf</x:v>
      </x:c>
      <x:c r="J56" s="28" t="str">
        <x:v>The Art &amp; Science of Foodpairing.pdf: 225</x:v>
      </x:c>
    </x:row>
    <x:row r="57" ht="44" customHeight="1">
      <x:c r="A57" s="28" t="str">
        <x:v>свёкла</x:v>
      </x:c>
      <x:c r="B57" s="28" t="n">
        <x:v>16</x:v>
      </x:c>
      <x:c r="C57" s="28" t="str">
        <x:v>жирная рыба</x:v>
      </x:c>
      <x:c r="D57" s="28" t="n">
        <x:v>6</x:v>
      </x:c>
      <x:c r="E57" s="28" t="str">
        <x:v>Средняя</x:v>
      </x:c>
      <x:c r="F57" s="28" t="n">
        <x:v>1</x:v>
      </x:c>
      <x:c r="G57" s="28" t="str">
        <x:v>общие характерные молекулы; умами и солёный контраст</x:v>
      </x:c>
      <x:c r="H57" s="28" t="str">
        <x:v>сок, кордиал, гаспачо, салат, соус, маринад или коктейльный компонент с жирная рыба</x:v>
      </x:c>
      <x:c r="I57" s="28" t="str">
        <x:v>Тезариус вкусов (Ники Сегнит)(1).pdf</x:v>
      </x:c>
      <x:c r="J57" s="28" t="str">
        <x:v>Тезариус вкусов (Ники Сегнит)(1).pdf: 223, 417</x:v>
      </x:c>
    </x:row>
    <x:row r="58" ht="44" customHeight="1">
      <x:c r="A58" s="28" t="str">
        <x:v>свёкла</x:v>
      </x:c>
      <x:c r="B58" s="28" t="n">
        <x:v>17</x:v>
      </x:c>
      <x:c r="C58" s="28" t="str">
        <x:v>зира</x:v>
      </x:c>
      <x:c r="D58" s="28" t="n">
        <x:v>6</x:v>
      </x:c>
      <x:c r="E58" s="28" t="str">
        <x:v>Средняя</x:v>
      </x:c>
      <x:c r="F58" s="28" t="n">
        <x:v>1</x:v>
      </x:c>
      <x:c r="G58" s="28" t="str">
        <x:v>пересечение ароматических семейств</x:v>
      </x:c>
      <x:c r="H58" s="28" t="str">
        <x:v>сок, кордиал, гаспачо, салат, соус, маринад или коктейльный компонент с зира</x:v>
      </x:c>
      <x:c r="I58" s="28" t="str">
        <x:v>Тезариус вкусов (Ники Сегнит)(1).pdf</x:v>
      </x:c>
      <x:c r="J58" s="28" t="str">
        <x:v>Тезариус вкусов (Ники Сегнит)(1).pdf: 219, 223</x:v>
      </x:c>
    </x:row>
    <x:row r="59" ht="44" customHeight="1">
      <x:c r="A59" s="28" t="str">
        <x:v>свёкла</x:v>
      </x:c>
      <x:c r="B59" s="28" t="n">
        <x:v>18</x:v>
      </x:c>
      <x:c r="C59" s="28" t="str">
        <x:v>каперсы</x:v>
      </x:c>
      <x:c r="D59" s="28" t="n">
        <x:v>6</x:v>
      </x:c>
      <x:c r="E59" s="28" t="str">
        <x:v>Средняя</x:v>
      </x:c>
      <x:c r="F59" s="28" t="n">
        <x:v>1</x:v>
      </x:c>
      <x:c r="G59" s="28" t="str">
        <x:v>сенсорная комплементарность</x:v>
      </x:c>
      <x:c r="H59" s="28" t="str">
        <x:v>сок, кордиал, гаспачо, салат, соус, маринад или коктейльный компонент с каперсы</x:v>
      </x:c>
      <x:c r="I59" s="28" t="str">
        <x:v>Тезариус вкусов (Ники Сегнит)(1).pdf</x:v>
      </x:c>
      <x:c r="J59" s="28" t="str">
        <x:v>Тезариус вкусов (Ники Сегнит)(1).pdf: 223, 271</x:v>
      </x:c>
    </x:row>
    <x:row r="60" ht="44" customHeight="1">
      <x:c r="A60" s="28" t="str">
        <x:v>свёкла</x:v>
      </x:c>
      <x:c r="B60" s="28" t="n">
        <x:v>19</x:v>
      </x:c>
      <x:c r="C60" s="28" t="str">
        <x:v>картофель</x:v>
      </x:c>
      <x:c r="D60" s="28" t="n">
        <x:v>6</x:v>
      </x:c>
      <x:c r="E60" s="28" t="str">
        <x:v>Средняя</x:v>
      </x:c>
      <x:c r="F60" s="28" t="n">
        <x:v>1</x:v>
      </x:c>
      <x:c r="G60" s="28" t="str">
        <x:v>общие характерные молекулы; пересечение ароматических семейств</x:v>
      </x:c>
      <x:c r="H60" s="28" t="str">
        <x:v>сок, кордиал, гаспачо, салат, соус, маринад или коктейльный компонент с картофель</x:v>
      </x:c>
      <x:c r="I60" s="28" t="str">
        <x:v>Тезариус вкусов (Ники Сегнит)(1).pdf</x:v>
      </x:c>
      <x:c r="J60" s="28" t="str">
        <x:v>Тезариус вкусов (Ники Сегнит)(1).pdf: 224, 241</x:v>
      </x:c>
    </x:row>
    <x:row r="61" ht="44" customHeight="1">
      <x:c r="A61" s="28" t="str">
        <x:v>свёкла</x:v>
      </x:c>
      <x:c r="B61" s="28" t="n">
        <x:v>20</x:v>
      </x:c>
      <x:c r="C61" s="28" t="str">
        <x:v>козий сыр</x:v>
      </x:c>
      <x:c r="D61" s="28" t="n">
        <x:v>6</x:v>
      </x:c>
      <x:c r="E61" s="28" t="str">
        <x:v>Средняя</x:v>
      </x:c>
      <x:c r="F61" s="28" t="n">
        <x:v>1</x:v>
      </x:c>
      <x:c r="G61" s="28" t="str">
        <x:v>жировая матрица</x:v>
      </x:c>
      <x:c r="H61" s="28" t="str">
        <x:v>сок, кордиал, гаспачо, салат, соус, маринад или коктейльный компонент с козий сыр</x:v>
      </x:c>
      <x:c r="I61" s="28" t="str">
        <x:v>Тезариус вкусов (Ники Сегнит)(1).pdf</x:v>
      </x:c>
      <x:c r="J61" s="28" t="str">
        <x:v>Тезариус вкусов (Ники Сегнит)(1).pdf: 143, 224</x:v>
      </x:c>
    </x:row>
    <x:row r="62" ht="44" customHeight="1">
      <x:c r="A62" s="28" t="str">
        <x:v>картофель</x:v>
      </x:c>
      <x:c r="B62" s="28" t="n">
        <x:v>1</x:v>
      </x:c>
      <x:c r="C62" s="28" t="str">
        <x:v>баранина</x:v>
      </x:c>
      <x:c r="D62" s="28" t="n">
        <x:v>10</x:v>
      </x:c>
      <x:c r="E62" s="28" t="str">
        <x:v>Высокая</x:v>
      </x:c>
      <x:c r="F62" s="28" t="n">
        <x:v>2</x:v>
      </x:c>
      <x:c r="G62" s="28" t="str">
        <x:v>общие характерные молекулы; пересечение ароматических семейств; умами и солёный контраст</x:v>
      </x:c>
      <x:c r="H62" s="28" t="str">
        <x:v>пюре, суп, запекание, крем, гарнир, соус или десертная разработка с баранина</x:v>
      </x:c>
      <x:c r="I62" s="28" t="str">
        <x:v>The Art &amp; Science of Foodpairing.pdf | Тезариус вкусов (Ники Сегнит)(1).pdf</x:v>
      </x:c>
      <x:c r="J62" s="28" t="str">
        <x:v>Тезариус вкусов (Ники Сегнит)(1).pdf: 129, 231; The Art &amp; Science of Foodpairing.pdf: 196</x:v>
      </x:c>
    </x:row>
    <x:row r="63" ht="44" customHeight="1">
      <x:c r="A63" s="28" t="str">
        <x:v>картофель</x:v>
      </x:c>
      <x:c r="B63" s="28" t="n">
        <x:v>2</x:v>
      </x:c>
      <x:c r="C63" s="28" t="str">
        <x:v>лук</x:v>
      </x:c>
      <x:c r="D63" s="28" t="n">
        <x:v>10</x:v>
      </x:c>
      <x:c r="E63" s="28" t="str">
        <x:v>Высокая</x:v>
      </x:c>
      <x:c r="F63" s="28" t="n">
        <x:v>2</x:v>
      </x:c>
      <x:c r="G63" s="28" t="str">
        <x:v>пересечение ароматических семейств</x:v>
      </x:c>
      <x:c r="H63" s="28" t="str">
        <x:v>пюре, суп, запекание, крем, гарнир, соус или десертная разработка с лук</x:v>
      </x:c>
      <x:c r="I63" s="28" t="str">
        <x:v>The Art &amp; Science of Foodpairing.pdf | Тезариус вкусов (Ники Сегнит)(1).pdf</x:v>
      </x:c>
      <x:c r="J63" s="28" t="str">
        <x:v>Тезариус вкусов (Ники Сегнит)(1).pdf: 236, 284; The Art &amp; Science of Foodpairing.pdf: 196</x:v>
      </x:c>
    </x:row>
    <x:row r="64" ht="44" customHeight="1">
      <x:c r="A64" s="28" t="str">
        <x:v>картофель</x:v>
      </x:c>
      <x:c r="B64" s="28" t="n">
        <x:v>3</x:v>
      </x:c>
      <x:c r="C64" s="28" t="str">
        <x:v>сельдерей</x:v>
      </x:c>
      <x:c r="D64" s="28" t="n">
        <x:v>10</x:v>
      </x:c>
      <x:c r="E64" s="28" t="str">
        <x:v>Высокая</x:v>
      </x:c>
      <x:c r="F64" s="28" t="n">
        <x:v>2</x:v>
      </x:c>
      <x:c r="G64" s="28" t="str">
        <x:v>сенсорная комплементарность</x:v>
      </x:c>
      <x:c r="H64" s="28" t="str">
        <x:v>пюре, суп, запекание, крем, гарнир, соус или десертная разработка с сельдерей</x:v>
      </x:c>
      <x:c r="I64" s="28" t="str">
        <x:v>The Art &amp; Science of Foodpairing.pdf | Тезариус вкусов (Ники Сегнит)(1).pdf</x:v>
      </x:c>
      <x:c r="J64" s="28" t="str">
        <x:v>Тезариус вкусов (Ники Сегнит)(1).pdf: 242, 251; The Art &amp; Science of Foodpairing.pdf: 196</x:v>
      </x:c>
    </x:row>
    <x:row r="65" ht="44" customHeight="1">
      <x:c r="A65" s="28" t="str">
        <x:v>картофель</x:v>
      </x:c>
      <x:c r="B65" s="28" t="n">
        <x:v>4</x:v>
      </x:c>
      <x:c r="C65" s="28" t="str">
        <x:v>картофель фри</x:v>
      </x:c>
      <x:c r="D65" s="28" t="n">
        <x:v>7</x:v>
      </x:c>
      <x:c r="E65" s="28" t="str">
        <x:v>Средняя</x:v>
      </x:c>
      <x:c r="F65" s="28" t="n">
        <x:v>1</x:v>
      </x:c>
      <x:c r="G65" s="28" t="str">
        <x:v>общие характерные молекулы; пересечение ароматических семейств</x:v>
      </x:c>
      <x:c r="H65" s="28" t="str">
        <x:v>пюре, суп, запекание, крем, гарнир, соус или десертная разработка с картофель фри</x:v>
      </x:c>
      <x:c r="I65" s="28" t="str">
        <x:v>The Art &amp; Science of Foodpairing.pdf</x:v>
      </x:c>
      <x:c r="J65" s="28" t="str">
        <x:v>The Art &amp; Science of Foodpairing.pdf: 196</x:v>
      </x:c>
    </x:row>
    <x:row r="66" ht="44" customHeight="1">
      <x:c r="A66" s="28" t="str">
        <x:v>картофель</x:v>
      </x:c>
      <x:c r="B66" s="28" t="n">
        <x:v>5</x:v>
      </x:c>
      <x:c r="C66" s="28" t="str">
        <x:v>краб</x:v>
      </x:c>
      <x:c r="D66" s="28" t="n">
        <x:v>7</x:v>
      </x:c>
      <x:c r="E66" s="28" t="str">
        <x:v>Средняя</x:v>
      </x:c>
      <x:c r="F66" s="28" t="n">
        <x:v>1</x:v>
      </x:c>
      <x:c r="G66" s="28" t="str">
        <x:v>общие характерные молекулы; умами и солёный контраст</x:v>
      </x:c>
      <x:c r="H66" s="28" t="str">
        <x:v>пюре, суп, запекание, крем, гарнир, соус или десертная разработка с краб</x:v>
      </x:c>
      <x:c r="I66" s="28" t="str">
        <x:v>The Art &amp; Science of Foodpairing.pdf</x:v>
      </x:c>
      <x:c r="J66" s="28" t="str">
        <x:v>The Art &amp; Science of Foodpairing.pdf: 196</x:v>
      </x:c>
    </x:row>
    <x:row r="67" ht="44" customHeight="1">
      <x:c r="A67" s="28" t="str">
        <x:v>картофель</x:v>
      </x:c>
      <x:c r="B67" s="28" t="n">
        <x:v>6</x:v>
      </x:c>
      <x:c r="C67" s="28" t="str">
        <x:v>ликёр бенедиктин</x:v>
      </x:c>
      <x:c r="D67" s="28" t="n">
        <x:v>7</x:v>
      </x:c>
      <x:c r="E67" s="28" t="str">
        <x:v>Средняя</x:v>
      </x:c>
      <x:c r="F67" s="28" t="n">
        <x:v>1</x:v>
      </x:c>
      <x:c r="G67" s="28" t="str">
        <x:v>сенсорная комплементарность</x:v>
      </x:c>
      <x:c r="H67" s="28" t="str">
        <x:v>пюре, суп, запекание, крем, гарнир, соус или десертная разработка с ликёр бенедиктин</x:v>
      </x:c>
      <x:c r="I67" s="28" t="str">
        <x:v>The Art &amp; Science of Foodpairing.pdf</x:v>
      </x:c>
      <x:c r="J67" s="28" t="str">
        <x:v>The Art &amp; Science of Foodpairing.pdf: 196</x:v>
      </x:c>
    </x:row>
    <x:row r="68" ht="44" customHeight="1">
      <x:c r="A68" s="28" t="str">
        <x:v>картофель</x:v>
      </x:c>
      <x:c r="B68" s="28" t="n">
        <x:v>7</x:v>
      </x:c>
      <x:c r="C68" s="28" t="str">
        <x:v>сыр</x:v>
      </x:c>
      <x:c r="D68" s="28" t="n">
        <x:v>7</x:v>
      </x:c>
      <x:c r="E68" s="28" t="str">
        <x:v>Высокая</x:v>
      </x:c>
      <x:c r="F68" s="28" t="n">
        <x:v>1</x:v>
      </x:c>
      <x:c r="G68" s="28" t="str">
        <x:v>жировая матрица</x:v>
      </x:c>
      <x:c r="H68" s="28" t="str">
        <x:v>пюре, суп, запекание, крем, гарнир, соус или десертная разработка с сыр</x:v>
      </x:c>
      <x:c r="I68" s="28" t="str">
        <x:v>The Art &amp; Science of Foodpairing.pdf</x:v>
      </x:c>
      <x:c r="J68" s="28" t="str">
        <x:v>The Art &amp; Science of Foodpairing.pdf: 196, 197</x:v>
      </x:c>
    </x:row>
    <x:row r="69" ht="44" customHeight="1">
      <x:c r="A69" s="28" t="str">
        <x:v>картофель</x:v>
      </x:c>
      <x:c r="B69" s="28" t="n">
        <x:v>8</x:v>
      </x:c>
      <x:c r="C69" s="28" t="str">
        <x:v>«черный пудинг»</x:v>
      </x:c>
      <x:c r="D69" s="28" t="n">
        <x:v>6</x:v>
      </x:c>
      <x:c r="E69" s="28" t="str">
        <x:v>Средняя</x:v>
      </x:c>
      <x:c r="F69" s="28" t="n">
        <x:v>1</x:v>
      </x:c>
      <x:c r="G69" s="28" t="str">
        <x:v>сенсорная комплементарность</x:v>
      </x:c>
      <x:c r="H69" s="28" t="str">
        <x:v>пюре, суп, запекание, крем, гарнир, соус или десертная разработка с «черный пудинг»</x:v>
      </x:c>
      <x:c r="I69" s="28" t="str">
        <x:v>Тезариус вкусов (Ники Сегнит)(1).pdf</x:v>
      </x:c>
      <x:c r="J69" s="28" t="str">
        <x:v>Тезариус вкусов (Ники Сегнит)(1).pdf: 93, 245</x:v>
      </x:c>
    </x:row>
    <x:row r="70" ht="44" customHeight="1">
      <x:c r="A70" s="28" t="str">
        <x:v>картофель</x:v>
      </x:c>
      <x:c r="B70" s="28" t="n">
        <x:v>9</x:v>
      </x:c>
      <x:c r="C70" s="28" t="str">
        <x:v>абрикос</x:v>
      </x:c>
      <x:c r="D70" s="28" t="n">
        <x:v>6</x:v>
      </x:c>
      <x:c r="E70" s="28" t="str">
        <x:v>Средняя</x:v>
      </x:c>
      <x:c r="F70" s="28" t="n">
        <x:v>1</x:v>
      </x:c>
      <x:c r="G70" s="28" t="str">
        <x:v>общие характерные молекулы; кислотно-сладкий баланс</x:v>
      </x:c>
      <x:c r="H70" s="28" t="str">
        <x:v>пюре, суп, запекание, крем, гарнир, соус или десертная разработка с абрикос</x:v>
      </x:c>
      <x:c r="I70" s="28" t="str">
        <x:v>The Art &amp; Science of Foodpairing.pdf</x:v>
      </x:c>
      <x:c r="J70" s="28" t="str">
        <x:v>The Art &amp; Science of Foodpairing.pdf: 196, 206</x:v>
      </x:c>
    </x:row>
    <x:row r="71" ht="44" customHeight="1">
      <x:c r="A71" s="28" t="str">
        <x:v>картофель</x:v>
      </x:c>
      <x:c r="B71" s="28" t="n">
        <x:v>10</x:v>
      </x:c>
      <x:c r="C71" s="28" t="str">
        <x:v>анчоусы</x:v>
      </x:c>
      <x:c r="D71" s="28" t="n">
        <x:v>6</x:v>
      </x:c>
      <x:c r="E71" s="28" t="str">
        <x:v>Средняя</x:v>
      </x:c>
      <x:c r="F71" s="28" t="n">
        <x:v>1</x:v>
      </x:c>
      <x:c r="G71" s="28" t="str">
        <x:v>общие характерные молекулы; умами и солёный контраст</x:v>
      </x:c>
      <x:c r="H71" s="28" t="str">
        <x:v>пюре, суп, запекание, крем, гарнир, соус или десертная разработка с анчоусы</x:v>
      </x:c>
      <x:c r="I71" s="28" t="str">
        <x:v>Тезариус вкусов (Ники Сегнит)(1).pdf</x:v>
      </x:c>
      <x:c r="J71" s="28" t="str">
        <x:v>Тезариус вкусов (Ники Сегнит)(1).pdf: 230, 427</x:v>
      </x:c>
    </x:row>
    <x:row r="72" ht="44" customHeight="1">
      <x:c r="A72" s="28" t="str">
        <x:v>картофель</x:v>
      </x:c>
      <x:c r="B72" s="28" t="n">
        <x:v>11</x:v>
      </x:c>
      <x:c r="C72" s="28" t="str">
        <x:v>арахис</x:v>
      </x:c>
      <x:c r="D72" s="28" t="n">
        <x:v>6</x:v>
      </x:c>
      <x:c r="E72" s="28" t="str">
        <x:v>Средняя</x:v>
      </x:c>
      <x:c r="F72" s="28" t="n">
        <x:v>1</x:v>
      </x:c>
      <x:c r="G72" s="28" t="str">
        <x:v>общие характерные молекулы; пересечение ароматических семейств</x:v>
      </x:c>
      <x:c r="H72" s="28" t="str">
        <x:v>пюре, суп, запекание, крем, гарнир, соус или десертная разработка с арахис</x:v>
      </x:c>
      <x:c r="I72" s="28" t="str">
        <x:v>Тезариус вкусов (Ники Сегнит)(1).pdf</x:v>
      </x:c>
      <x:c r="J72" s="28" t="str">
        <x:v>Тезариус вкусов (Ники Сегнит)(1).pdf: 53, 230</x:v>
      </x:c>
    </x:row>
    <x:row r="73" ht="44" customHeight="1">
      <x:c r="A73" s="28" t="str">
        <x:v>картофель</x:v>
      </x:c>
      <x:c r="B73" s="28" t="n">
        <x:v>12</x:v>
      </x:c>
      <x:c r="C73" s="28" t="str">
        <x:v>артишок</x:v>
      </x:c>
      <x:c r="D73" s="28" t="n">
        <x:v>6</x:v>
      </x:c>
      <x:c r="E73" s="28" t="str">
        <x:v>Средняя</x:v>
      </x:c>
      <x:c r="F73" s="28" t="n">
        <x:v>1</x:v>
      </x:c>
      <x:c r="G73" s="28" t="str">
        <x:v>сенсорная комплементарность</x:v>
      </x:c>
      <x:c r="H73" s="28" t="str">
        <x:v>пюре, суп, запекание, крем, гарнир, соус или десертная разработка с артишок</x:v>
      </x:c>
      <x:c r="I73" s="28" t="str">
        <x:v>Тезариус вкусов (Ники Сегнит)(1).pdf</x:v>
      </x:c>
      <x:c r="J73" s="28" t="str">
        <x:v>Тезариус вкусов (Ники Сегнит)(1).pdf: 231, 338</x:v>
      </x:c>
    </x:row>
    <x:row r="74" ht="44" customHeight="1">
      <x:c r="A74" s="28" t="str">
        <x:v>картофель</x:v>
      </x:c>
      <x:c r="B74" s="28" t="n">
        <x:v>13</x:v>
      </x:c>
      <x:c r="C74" s="28" t="str">
        <x:v>базилик</x:v>
      </x:c>
      <x:c r="D74" s="28" t="n">
        <x:v>6</x:v>
      </x:c>
      <x:c r="E74" s="28" t="str">
        <x:v>Средняя</x:v>
      </x:c>
      <x:c r="F74" s="28" t="n">
        <x:v>1</x:v>
      </x:c>
      <x:c r="G74" s="28" t="str">
        <x:v>сенсорная комплементарность</x:v>
      </x:c>
      <x:c r="H74" s="28" t="str">
        <x:v>пюре, суп, запекание, крем, гарнир, соус или десертная разработка с базилик</x:v>
      </x:c>
      <x:c r="I74" s="28" t="str">
        <x:v>The Art &amp; Science of Foodpairing.pdf</x:v>
      </x:c>
      <x:c r="J74" s="28" t="str">
        <x:v>The Art &amp; Science of Foodpairing.pdf: 74</x:v>
      </x:c>
    </x:row>
    <x:row r="75" ht="44" customHeight="1">
      <x:c r="A75" s="28" t="str">
        <x:v>картофель</x:v>
      </x:c>
      <x:c r="B75" s="28" t="n">
        <x:v>14</x:v>
      </x:c>
      <x:c r="C75" s="28" t="str">
        <x:v>бекон</x:v>
      </x:c>
      <x:c r="D75" s="28" t="n">
        <x:v>6</x:v>
      </x:c>
      <x:c r="E75" s="28" t="str">
        <x:v>Средняя</x:v>
      </x:c>
      <x:c r="F75" s="28" t="n">
        <x:v>1</x:v>
      </x:c>
      <x:c r="G75" s="28" t="str">
        <x:v>общие характерные молекулы; пересечение ароматических семейств; умами и солёный контраст</x:v>
      </x:c>
      <x:c r="H75" s="28" t="str">
        <x:v>пюре, суп, запекание, крем, гарнир, соус или десертная разработка с бекон</x:v>
      </x:c>
      <x:c r="I75" s="28" t="str">
        <x:v>Тезариус вкусов (Ники Сегнит)(1).pdf</x:v>
      </x:c>
      <x:c r="J75" s="28" t="str">
        <x:v>Тезариус вкусов (Ники Сегнит)(1).pdf: 232, 445</x:v>
      </x:c>
    </x:row>
    <x:row r="76" ht="44" customHeight="1">
      <x:c r="A76" s="28" t="str">
        <x:v>картофель</x:v>
      </x:c>
      <x:c r="B76" s="28" t="n">
        <x:v>15</x:v>
      </x:c>
      <x:c r="C76" s="28" t="str">
        <x:v>белая рыба</x:v>
      </x:c>
      <x:c r="D76" s="28" t="n">
        <x:v>6</x:v>
      </x:c>
      <x:c r="E76" s="28" t="str">
        <x:v>Средняя</x:v>
      </x:c>
      <x:c r="F76" s="28" t="n">
        <x:v>1</x:v>
      </x:c>
      <x:c r="G76" s="28" t="str">
        <x:v>общие характерные молекулы; умами и солёный контраст</x:v>
      </x:c>
      <x:c r="H76" s="28" t="str">
        <x:v>пюре, суп, запекание, крем, гарнир, соус или десертная разработка с белая рыба</x:v>
      </x:c>
      <x:c r="I76" s="28" t="str">
        <x:v>Тезариус вкусов (Ники Сегнит)(1).pdf</x:v>
      </x:c>
      <x:c r="J76" s="28" t="str">
        <x:v>Тезариус вкусов (Ники Сегнит)(1).pdf: 232, 385</x:v>
      </x:c>
    </x:row>
    <x:row r="77" ht="44" customHeight="1">
      <x:c r="A77" s="28" t="str">
        <x:v>картофель</x:v>
      </x:c>
      <x:c r="B77" s="28" t="n">
        <x:v>16</x:v>
      </x:c>
      <x:c r="C77" s="28" t="str">
        <x:v>брюква</x:v>
      </x:c>
      <x:c r="D77" s="28" t="n">
        <x:v>6</x:v>
      </x:c>
      <x:c r="E77" s="28" t="str">
        <x:v>Средняя</x:v>
      </x:c>
      <x:c r="F77" s="28" t="n">
        <x:v>1</x:v>
      </x:c>
      <x:c r="G77" s="28" t="str">
        <x:v>пересечение ароматических семейств</x:v>
      </x:c>
      <x:c r="H77" s="28" t="str">
        <x:v>пюре, суп, запекание, крем, гарнир, соус или десертная разработка с брюква</x:v>
      </x:c>
      <x:c r="I77" s="28" t="str">
        <x:v>Тезариус вкусов (Ники Сегнит)(1).pdf</x:v>
      </x:c>
      <x:c r="J77" s="28" t="str">
        <x:v>Тезариус вкусов (Ники Сегнит)(1).pdf: 232, 318</x:v>
      </x:c>
    </x:row>
    <x:row r="78" ht="44" customHeight="1">
      <x:c r="A78" s="28" t="str">
        <x:v>картофель</x:v>
      </x:c>
      <x:c r="B78" s="28" t="n">
        <x:v>17</x:v>
      </x:c>
      <x:c r="C78" s="28" t="str">
        <x:v>водоросли</x:v>
      </x:c>
      <x:c r="D78" s="28" t="n">
        <x:v>6</x:v>
      </x:c>
      <x:c r="E78" s="28" t="str">
        <x:v>Высокая</x:v>
      </x:c>
      <x:c r="F78" s="28" t="n">
        <x:v>1</x:v>
      </x:c>
      <x:c r="G78" s="28" t="str">
        <x:v>сенсорная комплементарность</x:v>
      </x:c>
      <x:c r="H78" s="28" t="str">
        <x:v>пюре, суп, запекание, крем, гарнир, соус или десертная разработка с водоросли</x:v>
      </x:c>
      <x:c r="I78" s="28" t="str">
        <x:v>The Art &amp; Science of Foodpairing.pdf</x:v>
      </x:c>
      <x:c r="J78" s="28" t="str">
        <x:v>The Art &amp; Science of Foodpairing.pdf: 266</x:v>
      </x:c>
    </x:row>
    <x:row r="79" ht="44" customHeight="1">
      <x:c r="A79" s="28" t="str">
        <x:v>картофель</x:v>
      </x:c>
      <x:c r="B79" s="28" t="n">
        <x:v>18</x:v>
      </x:c>
      <x:c r="C79" s="28" t="str">
        <x:v>водяной кресс</x:v>
      </x:c>
      <x:c r="D79" s="28" t="n">
        <x:v>6</x:v>
      </x:c>
      <x:c r="E79" s="28" t="str">
        <x:v>Средняя</x:v>
      </x:c>
      <x:c r="F79" s="28" t="n">
        <x:v>1</x:v>
      </x:c>
      <x:c r="G79" s="28" t="str">
        <x:v>сенсорная комплементарность</x:v>
      </x:c>
      <x:c r="H79" s="28" t="str">
        <x:v>пюре, суп, запекание, крем, гарнир, соус или десертная разработка с водяной кресс</x:v>
      </x:c>
      <x:c r="I79" s="28" t="str">
        <x:v>Тезариус вкусов (Ники Сегнит)(1).pdf</x:v>
      </x:c>
      <x:c r="J79" s="28" t="str">
        <x:v>Тезариус вкусов (Ники Сегнит)(1).pdf: 233, 260</x:v>
      </x:c>
    </x:row>
    <x:row r="80" ht="44" customHeight="1">
      <x:c r="A80" s="28" t="str">
        <x:v>картофель</x:v>
      </x:c>
      <x:c r="B80" s="28" t="n">
        <x:v>19</x:v>
      </x:c>
      <x:c r="C80" s="28" t="str">
        <x:v>говядина</x:v>
      </x:c>
      <x:c r="D80" s="28" t="n">
        <x:v>6</x:v>
      </x:c>
      <x:c r="E80" s="28" t="str">
        <x:v>Средняя</x:v>
      </x:c>
      <x:c r="F80" s="28" t="n">
        <x:v>1</x:v>
      </x:c>
      <x:c r="G80" s="28" t="str">
        <x:v>общие характерные молекулы; пересечение ароматических семейств; умами и солёный контраст</x:v>
      </x:c>
      <x:c r="H80" s="28" t="str">
        <x:v>пюре, суп, запекание, крем, гарнир, соус или десертная разработка с говядина</x:v>
      </x:c>
      <x:c r="I80" s="28" t="str">
        <x:v>Тезариус вкусов (Ники Сегнит)(1).pdf</x:v>
      </x:c>
      <x:c r="J80" s="28" t="str">
        <x:v>Тезариус вкусов (Ники Сегнит)(1).pdf: 111, 233</x:v>
      </x:c>
    </x:row>
    <x:row r="81" ht="44" customHeight="1">
      <x:c r="A81" s="28" t="str">
        <x:v>картофель</x:v>
      </x:c>
      <x:c r="B81" s="28" t="n">
        <x:v>20</x:v>
      </x:c>
      <x:c r="C81" s="28" t="str">
        <x:v>говядина сухой выдержки</x:v>
      </x:c>
      <x:c r="D81" s="28" t="n">
        <x:v>6</x:v>
      </x:c>
      <x:c r="E81" s="28" t="str">
        <x:v>Средняя</x:v>
      </x:c>
      <x:c r="F81" s="28" t="n">
        <x:v>1</x:v>
      </x:c>
      <x:c r="G81" s="28" t="str">
        <x:v>общие характерные молекулы; пересечение ароматических семейств; умами и солёный контраст</x:v>
      </x:c>
      <x:c r="H81" s="28" t="str">
        <x:v>пюре, суп, запекание, крем, гарнир, соус или десертная разработка с говядина сухой выдержки</x:v>
      </x:c>
      <x:c r="I81" s="28" t="str">
        <x:v>The Art &amp; Science of Foodpairing.pdf</x:v>
      </x:c>
      <x:c r="J81" s="28" t="str">
        <x:v>The Art &amp; Science of Foodpairing.pdf: 196</x:v>
      </x:c>
    </x:row>
    <x:row r="82" ht="44" customHeight="1">
      <x:c r="A82" s="28" t="str">
        <x:v>батат</x:v>
      </x:c>
      <x:c r="B82" s="28" t="n">
        <x:v>1</x:v>
      </x:c>
      <x:c r="C82" s="28" t="str">
        <x:v>дыня</x:v>
      </x:c>
      <x:c r="D82" s="28" t="n">
        <x:v>7</x:v>
      </x:c>
      <x:c r="E82" s="28" t="str">
        <x:v>Средняя</x:v>
      </x:c>
      <x:c r="F82" s="28" t="n">
        <x:v>1</x:v>
      </x:c>
      <x:c r="G82" s="28" t="str">
        <x:v>кислотно-сладкий баланс</x:v>
      </x:c>
      <x:c r="H82" s="28" t="str">
        <x:v>пюре, суп, запекание, крем, гарнир, соус или десертная разработка с дыня</x:v>
      </x:c>
      <x:c r="I82" s="28" t="str">
        <x:v>The Art &amp; Science of Foodpairing.pdf</x:v>
      </x:c>
      <x:c r="J82" s="28" t="str">
        <x:v>The Art &amp; Science of Foodpairing.pdf: 119</x:v>
      </x:c>
    </x:row>
    <x:row r="83" ht="44" customHeight="1">
      <x:c r="A83" s="28" t="str">
        <x:v>батат</x:v>
      </x:c>
      <x:c r="B83" s="28" t="n">
        <x:v>2</x:v>
      </x:c>
      <x:c r="C83" s="28" t="str">
        <x:v>манго</x:v>
      </x:c>
      <x:c r="D83" s="28" t="n">
        <x:v>7</x:v>
      </x:c>
      <x:c r="E83" s="28" t="str">
        <x:v>Высокая</x:v>
      </x:c>
      <x:c r="F83" s="28" t="n">
        <x:v>1</x:v>
      </x:c>
      <x:c r="G83" s="28" t="str">
        <x:v>кислотно-сладкий баланс</x:v>
      </x:c>
      <x:c r="H83" s="28" t="str">
        <x:v>пюре, суп, запекание, крем, гарнир, соус или десертная разработка с манго</x:v>
      </x:c>
      <x:c r="I83" s="28" t="str">
        <x:v>The Art &amp; Science of Foodpairing.pdf</x:v>
      </x:c>
      <x:c r="J83" s="28" t="str">
        <x:v>The Art &amp; Science of Foodpairing.pdf: 118, 119</x:v>
      </x:c>
    </x:row>
    <x:row r="84" ht="44" customHeight="1">
      <x:c r="A84" s="28" t="str">
        <x:v>батат</x:v>
      </x:c>
      <x:c r="B84" s="28" t="n">
        <x:v>3</x:v>
      </x:c>
      <x:c r="C84" s="28" t="str">
        <x:v>бальзамический уксус</x:v>
      </x:c>
      <x:c r="D84" s="28" t="n">
        <x:v>6</x:v>
      </x:c>
      <x:c r="E84" s="28" t="str">
        <x:v>Средняя</x:v>
      </x:c>
      <x:c r="F84" s="28" t="n">
        <x:v>1</x:v>
      </x:c>
      <x:c r="G84" s="28" t="str">
        <x:v>общие характерные молекулы; пересечение ароматических семейств; умами и солёный контраст</x:v>
      </x:c>
      <x:c r="H84" s="28" t="str">
        <x:v>пюре, суп, запекание, крем, гарнир, соус или десертная разработка с бальзамический уксус</x:v>
      </x:c>
      <x:c r="I84" s="28" t="str">
        <x:v>The Art &amp; Science of Foodpairing.pdf</x:v>
      </x:c>
      <x:c r="J84" s="28" t="str">
        <x:v>The Art &amp; Science of Foodpairing.pdf: 316</x:v>
      </x:c>
    </x:row>
    <x:row r="85" ht="44" customHeight="1">
      <x:c r="A85" s="28" t="str">
        <x:v>батат</x:v>
      </x:c>
      <x:c r="B85" s="28" t="n">
        <x:v>4</x:v>
      </x:c>
      <x:c r="C85" s="28" t="str">
        <x:v>барбарис</x:v>
      </x:c>
      <x:c r="D85" s="28" t="n">
        <x:v>6</x:v>
      </x:c>
      <x:c r="E85" s="28" t="str">
        <x:v>Высокая</x:v>
      </x:c>
      <x:c r="F85" s="28" t="n">
        <x:v>1</x:v>
      </x:c>
      <x:c r="G85" s="28" t="str">
        <x:v>общие характерные молекулы; пересечение ароматических семейств</x:v>
      </x:c>
      <x:c r="H85" s="28" t="str">
        <x:v>пюре, суп, запекание, крем, гарнир, соус или десертная разработка с барбарис</x:v>
      </x:c>
      <x:c r="I85" s="28" t="str">
        <x:v>The Art &amp; Science of Foodpairing.pdf</x:v>
      </x:c>
      <x:c r="J85" s="28" t="str">
        <x:v>The Art &amp; Science of Foodpairing.pdf: 118</x:v>
      </x:c>
    </x:row>
    <x:row r="86" ht="44" customHeight="1">
      <x:c r="A86" s="28" t="str">
        <x:v>батат</x:v>
      </x:c>
      <x:c r="B86" s="28" t="n">
        <x:v>5</x:v>
      </x:c>
      <x:c r="C86" s="28" t="str">
        <x:v>индейка</x:v>
      </x:c>
      <x:c r="D86" s="28" t="n">
        <x:v>6</x:v>
      </x:c>
      <x:c r="E86" s="28" t="str">
        <x:v>Высокая</x:v>
      </x:c>
      <x:c r="F86" s="28" t="n">
        <x:v>1</x:v>
      </x:c>
      <x:c r="G86" s="28" t="str">
        <x:v>общие характерные молекулы; пересечение ароматических семейств; умами и солёный контраст</x:v>
      </x:c>
      <x:c r="H86" s="28" t="str">
        <x:v>пюре, суп, запекание, крем, гарнир, соус или десертная разработка с индейка</x:v>
      </x:c>
      <x:c r="I86" s="28" t="str">
        <x:v>The Art &amp; Science of Foodpairing.pdf</x:v>
      </x:c>
      <x:c r="J86" s="28" t="str">
        <x:v>The Art &amp; Science of Foodpairing.pdf: 119</x:v>
      </x:c>
    </x:row>
    <x:row r="87" ht="44" customHeight="1">
      <x:c r="A87" s="28" t="str">
        <x:v>батат</x:v>
      </x:c>
      <x:c r="B87" s="28" t="n">
        <x:v>6</x:v>
      </x:c>
      <x:c r="C87" s="28" t="str">
        <x:v>кефаль</x:v>
      </x:c>
      <x:c r="D87" s="28" t="n">
        <x:v>6</x:v>
      </x:c>
      <x:c r="E87" s="28" t="str">
        <x:v>Средняя</x:v>
      </x:c>
      <x:c r="F87" s="28" t="n">
        <x:v>1</x:v>
      </x:c>
      <x:c r="G87" s="28" t="str">
        <x:v>умами и солёный контраст</x:v>
      </x:c>
      <x:c r="H87" s="28" t="str">
        <x:v>пюре, суп, запекание, крем, гарнир, соус или десертная разработка с кефаль</x:v>
      </x:c>
      <x:c r="I87" s="28" t="str">
        <x:v>The Art &amp; Science of Foodpairing.pdf</x:v>
      </x:c>
      <x:c r="J87" s="28" t="str">
        <x:v>The Art &amp; Science of Foodpairing.pdf: 119</x:v>
      </x:c>
    </x:row>
    <x:row r="88" ht="44" customHeight="1">
      <x:c r="A88" s="28" t="str">
        <x:v>батат</x:v>
      </x:c>
      <x:c r="B88" s="28" t="n">
        <x:v>7</x:v>
      </x:c>
      <x:c r="C88" s="28" t="str">
        <x:v>коньяк</x:v>
      </x:c>
      <x:c r="D88" s="28" t="n">
        <x:v>6</x:v>
      </x:c>
      <x:c r="E88" s="28" t="str">
        <x:v>Высокая</x:v>
      </x:c>
      <x:c r="F88" s="28" t="n">
        <x:v>1</x:v>
      </x:c>
      <x:c r="G88" s="28" t="str">
        <x:v>сенсорная комплементарность</x:v>
      </x:c>
      <x:c r="H88" s="28" t="str">
        <x:v>пюре, суп, запекание, крем, гарнир, соус или десертная разработка с коньяк</x:v>
      </x:c>
      <x:c r="I88" s="28" t="str">
        <x:v>The Art &amp; Science of Foodpairing.pdf</x:v>
      </x:c>
      <x:c r="J88" s="28" t="str">
        <x:v>The Art &amp; Science of Foodpairing.pdf: 119</x:v>
      </x:c>
    </x:row>
    <x:row r="89" ht="44" customHeight="1">
      <x:c r="A89" s="28" t="str">
        <x:v>батат</x:v>
      </x:c>
      <x:c r="B89" s="28" t="n">
        <x:v>8</x:v>
      </x:c>
      <x:c r="C89" s="28" t="str">
        <x:v>сельдерей корневой</x:v>
      </x:c>
      <x:c r="D89" s="28" t="n">
        <x:v>6</x:v>
      </x:c>
      <x:c r="E89" s="28" t="str">
        <x:v>Средняя</x:v>
      </x:c>
      <x:c r="F89" s="28" t="n">
        <x:v>1</x:v>
      </x:c>
      <x:c r="G89" s="28" t="str">
        <x:v>сенсорная комплементарность</x:v>
      </x:c>
      <x:c r="H89" s="28" t="str">
        <x:v>пюре, суп, запекание, крем, гарнир, соус или десертная разработка с сельдерей корневой</x:v>
      </x:c>
      <x:c r="I89" s="28" t="str">
        <x:v>The Art &amp; Science of Foodpairing.pdf</x:v>
      </x:c>
      <x:c r="J89" s="28" t="str">
        <x:v>The Art &amp; Science of Foodpairing.pdf: 52, 119</x:v>
      </x:c>
    </x:row>
    <x:row r="90" ht="44" customHeight="1">
      <x:c r="A90" s="28" t="str">
        <x:v>батат</x:v>
      </x:c>
      <x:c r="B90" s="28" t="n">
        <x:v>9</x:v>
      </x:c>
      <x:c r="C90" s="28" t="str">
        <x:v>соевая паста</x:v>
      </x:c>
      <x:c r="D90" s="28" t="n">
        <x:v>6</x:v>
      </x:c>
      <x:c r="E90" s="28" t="str">
        <x:v>Средняя</x:v>
      </x:c>
      <x:c r="F90" s="28" t="n">
        <x:v>1</x:v>
      </x:c>
      <x:c r="G90" s="28" t="str">
        <x:v>общие характерные молекулы; пересечение ароматических семейств</x:v>
      </x:c>
      <x:c r="H90" s="28" t="str">
        <x:v>пюре, суп, запекание, крем, гарнир, соус или десертная разработка с соевая паста</x:v>
      </x:c>
      <x:c r="I90" s="28" t="str">
        <x:v>The Art &amp; Science of Foodpairing.pdf</x:v>
      </x:c>
      <x:c r="J90" s="28" t="str">
        <x:v>The Art &amp; Science of Foodpairing.pdf: 119</x:v>
      </x:c>
    </x:row>
    <x:row r="91" ht="44" customHeight="1">
      <x:c r="A91" s="28" t="str">
        <x:v>батат</x:v>
      </x:c>
      <x:c r="B91" s="28" t="n">
        <x:v>10</x:v>
      </x:c>
      <x:c r="C91" s="28" t="str">
        <x:v>фундук</x:v>
      </x:c>
      <x:c r="D91" s="28" t="n">
        <x:v>6</x:v>
      </x:c>
      <x:c r="E91" s="28" t="str">
        <x:v>Средняя</x:v>
      </x:c>
      <x:c r="F91" s="28" t="n">
        <x:v>1</x:v>
      </x:c>
      <x:c r="G91" s="28" t="str">
        <x:v>общие характерные молекулы; пересечение ароматических семейств</x:v>
      </x:c>
      <x:c r="H91" s="28" t="str">
        <x:v>пюре, суп, запекание, крем, гарнир, соус или десертная разработка с фундук</x:v>
      </x:c>
      <x:c r="I91" s="28" t="str">
        <x:v>The Art &amp; Science of Foodpairing.pdf</x:v>
      </x:c>
      <x:c r="J91" s="28" t="str">
        <x:v>The Art &amp; Science of Foodpairing.pdf: 119, 332</x:v>
      </x:c>
    </x:row>
    <x:row r="92" ht="44" customHeight="1">
      <x:c r="A92" s="28" t="str">
        <x:v>батат</x:v>
      </x:c>
      <x:c r="B92" s="28" t="n">
        <x:v>11</x:v>
      </x:c>
      <x:c r="C92" s="28" t="str">
        <x:v>чеснок</x:v>
      </x:c>
      <x:c r="D92" s="28" t="n">
        <x:v>6</x:v>
      </x:c>
      <x:c r="E92" s="28" t="str">
        <x:v>Высокая</x:v>
      </x:c>
      <x:c r="F92" s="28" t="n">
        <x:v>1</x:v>
      </x:c>
      <x:c r="G92" s="28" t="str">
        <x:v>пересечение ароматических семейств</x:v>
      </x:c>
      <x:c r="H92" s="28" t="str">
        <x:v>пюре, суп, запекание, крем, гарнир, соус или десертная разработка с чеснок</x:v>
      </x:c>
      <x:c r="I92" s="28" t="str">
        <x:v>The Art &amp; Science of Foodpairing.pdf</x:v>
      </x:c>
      <x:c r="J92" s="28" t="str">
        <x:v>The Art &amp; Science of Foodpairing.pdf: 115</x:v>
      </x:c>
    </x:row>
    <x:row r="93" ht="44" customHeight="1">
      <x:c r="A93" s="28" t="str">
        <x:v>батат</x:v>
      </x:c>
      <x:c r="B93" s="28" t="n">
        <x:v>12</x:v>
      </x:c>
      <x:c r="C93" s="28" t="str">
        <x:v>арахис</x:v>
      </x:c>
      <x:c r="D93" s="28" t="n">
        <x:v>5</x:v>
      </x:c>
      <x:c r="E93" s="28" t="str">
        <x:v>Средняя</x:v>
      </x:c>
      <x:c r="F93" s="28" t="n">
        <x:v>1</x:v>
      </x:c>
      <x:c r="G93" s="28" t="str">
        <x:v>общие характерные молекулы; пересечение ароматических семейств</x:v>
      </x:c>
      <x:c r="H93" s="28" t="str">
        <x:v>пюре, суп, запекание, крем, гарнир, соус или десертная разработка с арахис</x:v>
      </x:c>
      <x:c r="I93" s="28" t="str">
        <x:v>The Art &amp; Science of Foodpairing.pdf</x:v>
      </x:c>
      <x:c r="J93" s="28" t="str">
        <x:v>The Art &amp; Science of Foodpairing.pdf: 119</x:v>
      </x:c>
    </x:row>
    <x:row r="94" ht="44" customHeight="1">
      <x:c r="A94" s="28" t="str">
        <x:v>батат</x:v>
      </x:c>
      <x:c r="B94" s="28" t="n">
        <x:v>13</x:v>
      </x:c>
      <x:c r="C94" s="28" t="str">
        <x:v>базилик</x:v>
      </x:c>
      <x:c r="D94" s="28" t="n">
        <x:v>5</x:v>
      </x:c>
      <x:c r="E94" s="28" t="str">
        <x:v>Средняя</x:v>
      </x:c>
      <x:c r="F94" s="28" t="n">
        <x:v>1</x:v>
      </x:c>
      <x:c r="G94" s="28" t="str">
        <x:v>сенсорная комплементарность</x:v>
      </x:c>
      <x:c r="H94" s="28" t="str">
        <x:v>пюре, суп, запекание, крем, гарнир, соус или десертная разработка с базилик</x:v>
      </x:c>
      <x:c r="I94" s="28" t="str">
        <x:v>The Art &amp; Science of Foodpairing.pdf</x:v>
      </x:c>
      <x:c r="J94" s="28" t="str">
        <x:v>The Art &amp; Science of Foodpairing.pdf: 119</x:v>
      </x:c>
    </x:row>
    <x:row r="95" ht="44" customHeight="1">
      <x:c r="A95" s="28" t="str">
        <x:v>батат</x:v>
      </x:c>
      <x:c r="B95" s="28" t="n">
        <x:v>14</x:v>
      </x:c>
      <x:c r="C95" s="28" t="str">
        <x:v>бекон</x:v>
      </x:c>
      <x:c r="D95" s="28" t="n">
        <x:v>5</x:v>
      </x:c>
      <x:c r="E95" s="28" t="str">
        <x:v>Средняя</x:v>
      </x:c>
      <x:c r="F95" s="28" t="n">
        <x:v>1</x:v>
      </x:c>
      <x:c r="G95" s="28" t="str">
        <x:v>общие характерные молекулы; пересечение ароматических семейств; умами и солёный контраст</x:v>
      </x:c>
      <x:c r="H95" s="28" t="str">
        <x:v>пюре, суп, запекание, крем, гарнир, соус или десертная разработка с бекон</x:v>
      </x:c>
      <x:c r="I95" s="28" t="str">
        <x:v>The Art &amp; Science of Foodpairing.pdf</x:v>
      </x:c>
      <x:c r="J95" s="28" t="str">
        <x:v>The Art &amp; Science of Foodpairing.pdf: 119</x:v>
      </x:c>
    </x:row>
    <x:row r="96" ht="44" customHeight="1">
      <x:c r="A96" s="28" t="str">
        <x:v>батат</x:v>
      </x:c>
      <x:c r="B96" s="28" t="n">
        <x:v>15</x:v>
      </x:c>
      <x:c r="C96" s="28" t="str">
        <x:v>бергамот</x:v>
      </x:c>
      <x:c r="D96" s="28" t="n">
        <x:v>5</x:v>
      </x:c>
      <x:c r="E96" s="28" t="str">
        <x:v>Средняя</x:v>
      </x:c>
      <x:c r="F96" s="28" t="n">
        <x:v>1</x:v>
      </x:c>
      <x:c r="G96" s="28" t="str">
        <x:v>сенсорная комплементарность</x:v>
      </x:c>
      <x:c r="H96" s="28" t="str">
        <x:v>пюре, суп, запекание, крем, гарнир, соус или десертная разработка с бергамот</x:v>
      </x:c>
      <x:c r="I96" s="28" t="str">
        <x:v>The Art &amp; Science of Foodpairing.pdf</x:v>
      </x:c>
      <x:c r="J96" s="28" t="str">
        <x:v>The Art &amp; Science of Foodpairing.pdf: 119</x:v>
      </x:c>
    </x:row>
    <x:row r="97" ht="44" customHeight="1">
      <x:c r="A97" s="28" t="str">
        <x:v>батат</x:v>
      </x:c>
      <x:c r="B97" s="28" t="n">
        <x:v>16</x:v>
      </x:c>
      <x:c r="C97" s="28" t="str">
        <x:v>гамбургер</x:v>
      </x:c>
      <x:c r="D97" s="28" t="n">
        <x:v>5</x:v>
      </x:c>
      <x:c r="E97" s="28" t="str">
        <x:v>Средняя</x:v>
      </x:c>
      <x:c r="F97" s="28" t="n">
        <x:v>1</x:v>
      </x:c>
      <x:c r="G97" s="28" t="str">
        <x:v>сенсорная комплементарность</x:v>
      </x:c>
      <x:c r="H97" s="28" t="str">
        <x:v>пюре, суп, запекание, крем, гарнир, соус или десертная разработка с гамбургер</x:v>
      </x:c>
      <x:c r="I97" s="28" t="str">
        <x:v>The Art &amp; Science of Foodpairing.pdf</x:v>
      </x:c>
      <x:c r="J97" s="28" t="str">
        <x:v>The Art &amp; Science of Foodpairing.pdf: 119</x:v>
      </x:c>
    </x:row>
    <x:row r="98" ht="44" customHeight="1">
      <x:c r="A98" s="28" t="str">
        <x:v>батат</x:v>
      </x:c>
      <x:c r="B98" s="28" t="n">
        <x:v>17</x:v>
      </x:c>
      <x:c r="C98" s="28" t="str">
        <x:v>грецкий орех</x:v>
      </x:c>
      <x:c r="D98" s="28" t="n">
        <x:v>5</x:v>
      </x:c>
      <x:c r="E98" s="28" t="str">
        <x:v>Средняя</x:v>
      </x:c>
      <x:c r="F98" s="28" t="n">
        <x:v>1</x:v>
      </x:c>
      <x:c r="G98" s="28" t="str">
        <x:v>общие характерные молекулы</x:v>
      </x:c>
      <x:c r="H98" s="28" t="str">
        <x:v>пюре, суп, запекание, крем, гарнир, соус или десертная разработка с грецкий орех</x:v>
      </x:c>
      <x:c r="I98" s="28" t="str">
        <x:v>The Art &amp; Science of Foodpairing.pdf</x:v>
      </x:c>
      <x:c r="J98" s="28" t="str">
        <x:v>The Art &amp; Science of Foodpairing.pdf: 119</x:v>
      </x:c>
    </x:row>
    <x:row r="99" ht="44" customHeight="1">
      <x:c r="A99" s="28" t="str">
        <x:v>батат</x:v>
      </x:c>
      <x:c r="B99" s="28" t="n">
        <x:v>18</x:v>
      </x:c>
      <x:c r="C99" s="28" t="str">
        <x:v>грюйер</x:v>
      </x:c>
      <x:c r="D99" s="28" t="n">
        <x:v>5</x:v>
      </x:c>
      <x:c r="E99" s="28" t="str">
        <x:v>Средняя</x:v>
      </x:c>
      <x:c r="F99" s="28" t="n">
        <x:v>1</x:v>
      </x:c>
      <x:c r="G99" s="28" t="str">
        <x:v>сенсорная комплементарность</x:v>
      </x:c>
      <x:c r="H99" s="28" t="str">
        <x:v>пюре, суп, запекание, крем, гарнир, соус или десертная разработка с грюйер</x:v>
      </x:c>
      <x:c r="I99" s="28" t="str">
        <x:v>The Art &amp; Science of Foodpairing.pdf</x:v>
      </x:c>
      <x:c r="J99" s="28" t="str">
        <x:v>The Art &amp; Science of Foodpairing.pdf: 119</x:v>
      </x:c>
    </x:row>
    <x:row r="100" ht="44" customHeight="1">
      <x:c r="A100" s="28" t="str">
        <x:v>батат</x:v>
      </x:c>
      <x:c r="B100" s="28" t="n">
        <x:v>19</x:v>
      </x:c>
      <x:c r="C100" s="28" t="str">
        <x:v>жареная индейка</x:v>
      </x:c>
      <x:c r="D100" s="28" t="n">
        <x:v>5</x:v>
      </x:c>
      <x:c r="E100" s="28" t="str">
        <x:v>Средняя</x:v>
      </x:c>
      <x:c r="F100" s="28" t="n">
        <x:v>1</x:v>
      </x:c>
      <x:c r="G100" s="28" t="str">
        <x:v>общие характерные молекулы; пересечение ароматических семейств; умами и солёный контраст</x:v>
      </x:c>
      <x:c r="H100" s="28" t="str">
        <x:v>пюре, суп, запекание, крем, гарнир, соус или десертная разработка с жареная индейка</x:v>
      </x:c>
      <x:c r="I100" s="28" t="str">
        <x:v>The Art &amp; Science of Foodpairing.pdf</x:v>
      </x:c>
      <x:c r="J100" s="28" t="str">
        <x:v>The Art &amp; Science of Foodpairing.pdf: 119</x:v>
      </x:c>
    </x:row>
    <x:row r="101" ht="44" customHeight="1">
      <x:c r="A101" s="28" t="str">
        <x:v>батат</x:v>
      </x:c>
      <x:c r="B101" s="28" t="n">
        <x:v>20</x:v>
      </x:c>
      <x:c r="C101" s="28" t="str">
        <x:v>жареная курица</x:v>
      </x:c>
      <x:c r="D101" s="28" t="n">
        <x:v>5</x:v>
      </x:c>
      <x:c r="E101" s="28" t="str">
        <x:v>Средняя</x:v>
      </x:c>
      <x:c r="F101" s="28" t="n">
        <x:v>1</x:v>
      </x:c>
      <x:c r="G101" s="28" t="str">
        <x:v>общие характерные молекулы; пересечение ароматических семейств; умами и солёный контраст</x:v>
      </x:c>
      <x:c r="H101" s="28" t="str">
        <x:v>пюре, суп, запекание, крем, гарнир, соус или десертная разработка с жареная курица</x:v>
      </x:c>
      <x:c r="I101" s="28" t="str">
        <x:v>The Art &amp; Science of Foodpairing.pdf</x:v>
      </x:c>
      <x:c r="J101" s="28" t="str">
        <x:v>The Art &amp; Science of Foodpairing.pdf: 119</x:v>
      </x:c>
    </x:row>
    <x:row r="102" ht="44" customHeight="1">
      <x:c r="A102" s="28" t="str">
        <x:v>сельдерей</x:v>
      </x:c>
      <x:c r="B102" s="28" t="n">
        <x:v>1</x:v>
      </x:c>
      <x:c r="C102" s="28" t="str">
        <x:v>морковь</x:v>
      </x:c>
      <x:c r="D102" s="28" t="n">
        <x:v>10</x:v>
      </x:c>
      <x:c r="E102" s="28" t="str">
        <x:v>Высокая</x:v>
      </x:c>
      <x:c r="F102" s="28" t="n">
        <x:v>2</x:v>
      </x:c>
      <x:c r="G102" s="28" t="str">
        <x:v>сенсорная комплементарность</x:v>
      </x:c>
      <x:c r="H102" s="28" t="str">
        <x:v>сок, кордиал, гаспачо, салат, соус, маринад или коктейльный компонент с морковь</x:v>
      </x:c>
      <x:c r="I102" s="28" t="str">
        <x:v>Таблица сочетания(1).pdf | Тезариус вкусов (Ники Сегнит)(1).pdf</x:v>
      </x:c>
      <x:c r="J102" s="28" t="str">
        <x:v>Таблица сочетания(1).pdf: 4; Тезариус вкусов (Ники Сегнит)(1).pdf: 253, 606</x:v>
      </x:c>
    </x:row>
    <x:row r="103" ht="44" customHeight="1">
      <x:c r="A103" s="28" t="str">
        <x:v>сельдерей</x:v>
      </x:c>
      <x:c r="B103" s="28" t="n">
        <x:v>2</x:v>
      </x:c>
      <x:c r="C103" s="28" t="str">
        <x:v>томат</x:v>
      </x:c>
      <x:c r="D103" s="28" t="n">
        <x:v>9</x:v>
      </x:c>
      <x:c r="E103" s="28" t="str">
        <x:v>Высокая</x:v>
      </x:c>
      <x:c r="F103" s="28" t="n">
        <x:v>2</x:v>
      </x:c>
      <x:c r="G103" s="28" t="str">
        <x:v>пересечение ароматических семейств</x:v>
      </x:c>
      <x:c r="H103" s="28" t="str">
        <x:v>сок, кордиал, гаспачо, салат, соус, маринад или коктейльный компонент с томат</x:v>
      </x:c>
      <x:c r="I103" s="28" t="str">
        <x:v>The Art &amp; Science of Foodpairing.pdf | Таблица сочетания(1).pdf</x:v>
      </x:c>
      <x:c r="J103" s="28" t="str">
        <x:v>Таблица сочетания(1).pdf: 21; The Art &amp; Science of Foodpairing.pdf: 161</x:v>
      </x:c>
    </x:row>
    <x:row r="104" ht="44" customHeight="1">
      <x:c r="A104" s="28" t="str">
        <x:v>сельдерей</x:v>
      </x:c>
      <x:c r="B104" s="28" t="n">
        <x:v>3</x:v>
      </x:c>
      <x:c r="C104" s="28" t="str">
        <x:v>трюфель</x:v>
      </x:c>
      <x:c r="D104" s="28" t="n">
        <x:v>7</x:v>
      </x:c>
      <x:c r="E104" s="28" t="str">
        <x:v>Средняя</x:v>
      </x:c>
      <x:c r="F104" s="28" t="n">
        <x:v>1</x:v>
      </x:c>
      <x:c r="G104" s="28" t="str">
        <x:v>умами и солёный контраст</x:v>
      </x:c>
      <x:c r="H104" s="28" t="str">
        <x:v>сок, кордиал, гаспачо, салат, соус, маринад или коктейльный компонент с трюфель</x:v>
      </x:c>
      <x:c r="I104" s="28" t="str">
        <x:v>Тезариус вкусов (Ники Сегнит)(1).pdf</x:v>
      </x:c>
      <x:c r="J104" s="28" t="str">
        <x:v>Тезариус вкусов (Ники Сегнит)(1).pdf: 251, 253, 305</x:v>
      </x:c>
    </x:row>
    <x:row r="105" ht="44" customHeight="1">
      <x:c r="A105" s="28" t="str">
        <x:v>сельдерей</x:v>
      </x:c>
      <x:c r="B105" s="28" t="n">
        <x:v>4</x:v>
      </x:c>
      <x:c r="C105" s="28" t="str">
        <x:v>цыпленок</x:v>
      </x:c>
      <x:c r="D105" s="28" t="n">
        <x:v>7</x:v>
      </x:c>
      <x:c r="E105" s="28" t="str">
        <x:v>Средняя</x:v>
      </x:c>
      <x:c r="F105" s="28" t="n">
        <x:v>1</x:v>
      </x:c>
      <x:c r="G105" s="28" t="str">
        <x:v>сенсорная комплементарность</x:v>
      </x:c>
      <x:c r="H105" s="28" t="str">
        <x:v>сок, кордиал, гаспачо, салат, соус, маринад или коктейльный компонент с цыпленок</x:v>
      </x:c>
      <x:c r="I105" s="28" t="str">
        <x:v>Тезариус вкусов (Ники Сегнит)(1).pdf</x:v>
      </x:c>
      <x:c r="J105" s="28" t="str">
        <x:v>Тезариус вкусов (Ники Сегнит)(1).pdf: 71, 254, 590</x:v>
      </x:c>
    </x:row>
    <x:row r="106" ht="44" customHeight="1">
      <x:c r="A106" s="28" t="str">
        <x:v>сельдерей</x:v>
      </x:c>
      <x:c r="B106" s="28" t="n">
        <x:v>5</x:v>
      </x:c>
      <x:c r="C106" s="28" t="str">
        <x:v>арахис</x:v>
      </x:c>
      <x:c r="D106" s="28" t="n">
        <x:v>6</x:v>
      </x:c>
      <x:c r="E106" s="28" t="str">
        <x:v>Средняя</x:v>
      </x:c>
      <x:c r="F106" s="28" t="n">
        <x:v>1</x:v>
      </x:c>
      <x:c r="G106" s="28" t="str">
        <x:v>сенсорная комплементарность</x:v>
      </x:c>
      <x:c r="H106" s="28" t="str">
        <x:v>сок, кордиал, гаспачо, салат, соус, маринад или коктейльный компонент с арахис</x:v>
      </x:c>
      <x:c r="I106" s="28" t="str">
        <x:v>Тезариус вкусов (Ники Сегнит)(1).pdf</x:v>
      </x:c>
      <x:c r="J106" s="28" t="str">
        <x:v>Тезариус вкусов (Ники Сегнит)(1).pdf: 56, 248</x:v>
      </x:c>
    </x:row>
    <x:row r="107" ht="44" customHeight="1">
      <x:c r="A107" s="28" t="str">
        <x:v>сельдерей</x:v>
      </x:c>
      <x:c r="B107" s="28" t="n">
        <x:v>6</x:v>
      </x:c>
      <x:c r="C107" s="28" t="str">
        <x:v>баранина</x:v>
      </x:c>
      <x:c r="D107" s="28" t="n">
        <x:v>6</x:v>
      </x:c>
      <x:c r="E107" s="28" t="str">
        <x:v>Средняя</x:v>
      </x:c>
      <x:c r="F107" s="28" t="n">
        <x:v>1</x:v>
      </x:c>
      <x:c r="G107" s="28" t="str">
        <x:v>умами и солёный контраст</x:v>
      </x:c>
      <x:c r="H107" s="28" t="str">
        <x:v>сок, кордиал, гаспачо, салат, соус, маринад или коктейльный компонент с баранина</x:v>
      </x:c>
      <x:c r="I107" s="28" t="str">
        <x:v>Тезариус вкусов (Ники Сегнит)(1).pdf</x:v>
      </x:c>
      <x:c r="J107" s="28" t="str">
        <x:v>Тезариус вкусов (Ники Сегнит)(1).pdf: 133, 249</x:v>
      </x:c>
    </x:row>
    <x:row r="108" ht="44" customHeight="1">
      <x:c r="A108" s="28" t="str">
        <x:v>сельдерей</x:v>
      </x:c>
      <x:c r="B108" s="28" t="n">
        <x:v>7</x:v>
      </x:c>
      <x:c r="C108" s="28" t="str">
        <x:v>белая рыба</x:v>
      </x:c>
      <x:c r="D108" s="28" t="n">
        <x:v>6</x:v>
      </x:c>
      <x:c r="E108" s="28" t="str">
        <x:v>Средняя</x:v>
      </x:c>
      <x:c r="F108" s="28" t="n">
        <x:v>1</x:v>
      </x:c>
      <x:c r="G108" s="28" t="str">
        <x:v>умами и солёный контраст</x:v>
      </x:c>
      <x:c r="H108" s="28" t="str">
        <x:v>сок, кордиал, гаспачо, салат, соус, маринад или коктейльный компонент с белая рыба</x:v>
      </x:c>
      <x:c r="I108" s="28" t="str">
        <x:v>Тезариус вкусов (Ники Сегнит)(1).pdf</x:v>
      </x:c>
      <x:c r="J108" s="28" t="str">
        <x:v>Тезариус вкусов (Ники Сегнит)(1).pdf: 249, 388</x:v>
      </x:c>
    </x:row>
    <x:row r="109" ht="44" customHeight="1">
      <x:c r="A109" s="28" t="str">
        <x:v>сельдерей</x:v>
      </x:c>
      <x:c r="B109" s="28" t="n">
        <x:v>8</x:v>
      </x:c>
      <x:c r="C109" s="28" t="str">
        <x:v>говядина</x:v>
      </x:c>
      <x:c r="D109" s="28" t="n">
        <x:v>6</x:v>
      </x:c>
      <x:c r="E109" s="28" t="str">
        <x:v>Средняя</x:v>
      </x:c>
      <x:c r="F109" s="28" t="n">
        <x:v>1</x:v>
      </x:c>
      <x:c r="G109" s="28" t="str">
        <x:v>умами и солёный контраст</x:v>
      </x:c>
      <x:c r="H109" s="28" t="str">
        <x:v>сок, кордиал, гаспачо, салат, соус, маринад или коктейльный компонент с говядина</x:v>
      </x:c>
      <x:c r="I109" s="28" t="str">
        <x:v>Тезариус вкусов (Ники Сегнит)(1).pdf</x:v>
      </x:c>
      <x:c r="J109" s="28" t="str">
        <x:v>Тезариус вкусов (Ники Сегнит)(1).pdf: 118, 250</x:v>
      </x:c>
    </x:row>
    <x:row r="110" ht="44" customHeight="1">
      <x:c r="A110" s="28" t="str">
        <x:v>сельдерей</x:v>
      </x:c>
      <x:c r="B110" s="28" t="n">
        <x:v>9</x:v>
      </x:c>
      <x:c r="C110" s="28" t="str">
        <x:v>голубой сыр</x:v>
      </x:c>
      <x:c r="D110" s="28" t="n">
        <x:v>6</x:v>
      </x:c>
      <x:c r="E110" s="28" t="str">
        <x:v>Средняя</x:v>
      </x:c>
      <x:c r="F110" s="28" t="n">
        <x:v>1</x:v>
      </x:c>
      <x:c r="G110" s="28" t="str">
        <x:v>жировая матрица</x:v>
      </x:c>
      <x:c r="H110" s="28" t="str">
        <x:v>сок, кордиал, гаспачо, салат, соус, маринад или коктейльный компонент с голубой сыр</x:v>
      </x:c>
      <x:c r="I110" s="28" t="str">
        <x:v>Тезариус вкусов (Ники Сегнит)(1).pdf</x:v>
      </x:c>
      <x:c r="J110" s="28" t="str">
        <x:v>Тезариус вкусов (Ники Сегнит)(1).pdf: 160, 250</x:v>
      </x:c>
    </x:row>
    <x:row r="111" ht="44" customHeight="1">
      <x:c r="A111" s="28" t="str">
        <x:v>сельдерей</x:v>
      </x:c>
      <x:c r="B111" s="28" t="n">
        <x:v>10</x:v>
      </x:c>
      <x:c r="C111" s="28" t="str">
        <x:v>грецкий орех</x:v>
      </x:c>
      <x:c r="D111" s="28" t="n">
        <x:v>6</x:v>
      </x:c>
      <x:c r="E111" s="28" t="str">
        <x:v>Средняя</x:v>
      </x:c>
      <x:c r="F111" s="28" t="n">
        <x:v>1</x:v>
      </x:c>
      <x:c r="G111" s="28" t="str">
        <x:v>сенсорная комплементарность</x:v>
      </x:c>
      <x:c r="H111" s="28" t="str">
        <x:v>сок, кордиал, гаспачо, салат, соус, маринад или коктейльный компонент с грецкий орех</x:v>
      </x:c>
      <x:c r="I111" s="28" t="str">
        <x:v>Тезариус вкусов (Ники Сегнит)(1).pdf</x:v>
      </x:c>
      <x:c r="J111" s="28" t="str">
        <x:v>Тезариус вкусов (Ники Сегнит)(1).pdf: 251, 628</x:v>
      </x:c>
    </x:row>
    <x:row r="112" ht="44" customHeight="1">
      <x:c r="A112" s="28" t="str">
        <x:v>сельдерей</x:v>
      </x:c>
      <x:c r="B112" s="28" t="n">
        <x:v>11</x:v>
      </x:c>
      <x:c r="C112" s="28" t="str">
        <x:v>каштаны</x:v>
      </x:c>
      <x:c r="D112" s="28" t="n">
        <x:v>6</x:v>
      </x:c>
      <x:c r="E112" s="28" t="str">
        <x:v>Средняя</x:v>
      </x:c>
      <x:c r="F112" s="28" t="n">
        <x:v>1</x:v>
      </x:c>
      <x:c r="G112" s="28" t="str">
        <x:v>сенсорная комплементарность</x:v>
      </x:c>
      <x:c r="H112" s="28" t="str">
        <x:v>сок, кордиал, гаспачо, салат, соус, маринад или коктейльный компонент с каштаны</x:v>
      </x:c>
      <x:c r="I112" s="28" t="str">
        <x:v>Тезариус вкусов (Ники Сегнит)(1).pdf</x:v>
      </x:c>
      <x:c r="J112" s="28" t="str">
        <x:v>Тезариус вкусов (Ники Сегнит)(1).pdf: 251, 620</x:v>
      </x:c>
    </x:row>
    <x:row r="113" ht="44" customHeight="1">
      <x:c r="A113" s="28" t="str">
        <x:v>сельдерей</x:v>
      </x:c>
      <x:c r="B113" s="28" t="n">
        <x:v>12</x:v>
      </x:c>
      <x:c r="C113" s="28" t="str">
        <x:v>лук</x:v>
      </x:c>
      <x:c r="D113" s="28" t="n">
        <x:v>6</x:v>
      </x:c>
      <x:c r="E113" s="28" t="str">
        <x:v>Средняя</x:v>
      </x:c>
      <x:c r="F113" s="28" t="n">
        <x:v>1</x:v>
      </x:c>
      <x:c r="G113" s="28" t="str">
        <x:v>сенсорная комплементарность</x:v>
      </x:c>
      <x:c r="H113" s="28" t="str">
        <x:v>сок, кордиал, гаспачо, салат, соус, маринад или коктейльный компонент с лук</x:v>
      </x:c>
      <x:c r="I113" s="28" t="str">
        <x:v>Тезариус вкусов (Ники Сегнит)(1).pdf</x:v>
      </x:c>
      <x:c r="J113" s="28" t="str">
        <x:v>Тезариус вкусов (Ники Сегнит)(1).pdf: 251, 287</x:v>
      </x:c>
    </x:row>
    <x:row r="114" ht="44" customHeight="1">
      <x:c r="A114" s="28" t="str">
        <x:v>сельдерей</x:v>
      </x:c>
      <x:c r="B114" s="28" t="n">
        <x:v>13</x:v>
      </x:c>
      <x:c r="C114" s="28" t="str">
        <x:v>моллюски</x:v>
      </x:c>
      <x:c r="D114" s="28" t="n">
        <x:v>6</x:v>
      </x:c>
      <x:c r="E114" s="28" t="str">
        <x:v>Средняя</x:v>
      </x:c>
      <x:c r="F114" s="28" t="n">
        <x:v>1</x:v>
      </x:c>
      <x:c r="G114" s="28" t="str">
        <x:v>умами и солёный контраст</x:v>
      </x:c>
      <x:c r="H114" s="28" t="str">
        <x:v>сок, кордиал, гаспачо, салат, соус, маринад или коктейльный компонент с моллюски</x:v>
      </x:c>
      <x:c r="I114" s="28" t="str">
        <x:v>Тезариус вкусов (Ники Сегнит)(1).pdf</x:v>
      </x:c>
      <x:c r="J114" s="28" t="str">
        <x:v>Тезариус вкусов (Ники Сегнит)(1).pdf: 251, 375</x:v>
      </x:c>
    </x:row>
    <x:row r="115" ht="44" customHeight="1">
      <x:c r="A115" s="28" t="str">
        <x:v>сельдерей</x:v>
      </x:c>
      <x:c r="B115" s="28" t="n">
        <x:v>14</x:v>
      </x:c>
      <x:c r="C115" s="28" t="str">
        <x:v>мускатный орех</x:v>
      </x:c>
      <x:c r="D115" s="28" t="n">
        <x:v>6</x:v>
      </x:c>
      <x:c r="E115" s="28" t="str">
        <x:v>Средняя</x:v>
      </x:c>
      <x:c r="F115" s="28" t="n">
        <x:v>1</x:v>
      </x:c>
      <x:c r="G115" s="28" t="str">
        <x:v>пересечение ароматических семейств; умами и солёный контраст</x:v>
      </x:c>
      <x:c r="H115" s="28" t="str">
        <x:v>сок, кордиал, гаспачо, салат, соус, маринад или коктейльный компонент с мускатный орех</x:v>
      </x:c>
      <x:c r="I115" s="28" t="str">
        <x:v>Тезариус вкусов (Ники Сегнит)(1).pdf</x:v>
      </x:c>
      <x:c r="J115" s="28" t="str">
        <x:v>Тезариус вкусов (Ники Сегнит)(1).pdf: 253, 589</x:v>
      </x:c>
    </x:row>
    <x:row r="116" ht="44" customHeight="1">
      <x:c r="A116" s="28" t="str">
        <x:v>сельдерей</x:v>
      </x:c>
      <x:c r="B116" s="28" t="n">
        <x:v>15</x:v>
      </x:c>
      <x:c r="C116" s="28" t="str">
        <x:v>мягкий сыр</x:v>
      </x:c>
      <x:c r="D116" s="28" t="n">
        <x:v>6</x:v>
      </x:c>
      <x:c r="E116" s="28" t="str">
        <x:v>Средняя</x:v>
      </x:c>
      <x:c r="F116" s="28" t="n">
        <x:v>1</x:v>
      </x:c>
      <x:c r="G116" s="28" t="str">
        <x:v>жировая матрица</x:v>
      </x:c>
      <x:c r="H116" s="28" t="str">
        <x:v>сок, кордиал, гаспачо, салат, соус, маринад или коктейльный компонент с мягкий сыр</x:v>
      </x:c>
      <x:c r="I116" s="28" t="str">
        <x:v>Тезариус вкусов (Ники Сегнит)(1).pdf</x:v>
      </x:c>
      <x:c r="J116" s="28" t="str">
        <x:v>Тезариус вкусов (Ники Сегнит)(1).pdf: 186, 253</x:v>
      </x:c>
    </x:row>
    <x:row r="117" ht="44" customHeight="1">
      <x:c r="A117" s="28" t="str">
        <x:v>сельдерей</x:v>
      </x:c>
      <x:c r="B117" s="28" t="n">
        <x:v>16</x:v>
      </x:c>
      <x:c r="C117" s="28" t="str">
        <x:v>прошутто</x:v>
      </x:c>
      <x:c r="D117" s="28" t="n">
        <x:v>6</x:v>
      </x:c>
      <x:c r="E117" s="28" t="str">
        <x:v>Средняя</x:v>
      </x:c>
      <x:c r="F117" s="28" t="n">
        <x:v>1</x:v>
      </x:c>
      <x:c r="G117" s="28" t="str">
        <x:v>умами и солёный контраст</x:v>
      </x:c>
      <x:c r="H117" s="28" t="str">
        <x:v>сок, кордиал, гаспачо, салат, соус, маринад или коктейльный компонент с прошутто</x:v>
      </x:c>
      <x:c r="I117" s="28" t="str">
        <x:v>Тезариус вкусов (Ники Сегнит)(1).pdf</x:v>
      </x:c>
      <x:c r="J117" s="28" t="str">
        <x:v>Тезариус вкусов (Ники Сегнит)(1).pdf: 253, 459</x:v>
      </x:c>
    </x:row>
    <x:row r="118" ht="44" customHeight="1">
      <x:c r="A118" s="28" t="str">
        <x:v>сельдерей</x:v>
      </x:c>
      <x:c r="B118" s="28" t="n">
        <x:v>17</x:v>
      </x:c>
      <x:c r="C118" s="28" t="str">
        <x:v>свинина</x:v>
      </x:c>
      <x:c r="D118" s="28" t="n">
        <x:v>6</x:v>
      </x:c>
      <x:c r="E118" s="28" t="str">
        <x:v>Средняя</x:v>
      </x:c>
      <x:c r="F118" s="28" t="n">
        <x:v>1</x:v>
      </x:c>
      <x:c r="G118" s="28" t="str">
        <x:v>умами и солёный контраст</x:v>
      </x:c>
      <x:c r="H118" s="28" t="str">
        <x:v>сок, кордиал, гаспачо, салат, соус, маринад или коктейльный компонент с свинина</x:v>
      </x:c>
      <x:c r="I118" s="28" t="str">
        <x:v>Тезариус вкусов (Ники Сегнит)(1).pdf</x:v>
      </x:c>
      <x:c r="J118" s="28" t="str">
        <x:v>Тезариус вкусов (Ники Сегнит)(1).pdf: 87, 253</x:v>
      </x:c>
    </x:row>
    <x:row r="119" ht="44" customHeight="1">
      <x:c r="A119" s="28" t="str">
        <x:v>сельдерей</x:v>
      </x:c>
      <x:c r="B119" s="28" t="n">
        <x:v>18</x:v>
      </x:c>
      <x:c r="C119" s="28" t="str">
        <x:v>устрицы</x:v>
      </x:c>
      <x:c r="D119" s="28" t="n">
        <x:v>6</x:v>
      </x:c>
      <x:c r="E119" s="28" t="str">
        <x:v>Средняя</x:v>
      </x:c>
      <x:c r="F119" s="28" t="n">
        <x:v>1</x:v>
      </x:c>
      <x:c r="G119" s="28" t="str">
        <x:v>умами и солёный контраст</x:v>
      </x:c>
      <x:c r="H119" s="28" t="str">
        <x:v>сок, кордиал, гаспачо, салат, соус, маринад или коктейльный компонент с устрицы</x:v>
      </x:c>
      <x:c r="I119" s="28" t="str">
        <x:v>Тезариус вкусов (Ники Сегнит)(1).pdf</x:v>
      </x:c>
      <x:c r="J119" s="28" t="str">
        <x:v>Тезариус вкусов (Ники Сегнит)(1).pdf: 253, 400</x:v>
      </x:c>
    </x:row>
    <x:row r="120" ht="44" customHeight="1">
      <x:c r="A120" s="28" t="str">
        <x:v>сельдерей</x:v>
      </x:c>
      <x:c r="B120" s="28" t="n">
        <x:v>19</x:v>
      </x:c>
      <x:c r="C120" s="28" t="str">
        <x:v>хрен</x:v>
      </x:c>
      <x:c r="D120" s="28" t="n">
        <x:v>6</x:v>
      </x:c>
      <x:c r="E120" s="28" t="str">
        <x:v>Средняя</x:v>
      </x:c>
      <x:c r="F120" s="28" t="n">
        <x:v>1</x:v>
      </x:c>
      <x:c r="G120" s="28" t="str">
        <x:v>сенсорная комплементарность</x:v>
      </x:c>
      <x:c r="H120" s="28" t="str">
        <x:v>сок, кордиал, гаспачо, салат, соус, маринад или коктейльный компонент с хрен</x:v>
      </x:c>
      <x:c r="I120" s="28" t="str">
        <x:v>Тезариус вкусов (Ники Сегнит)(1).pdf</x:v>
      </x:c>
      <x:c r="J120" s="28" t="str">
        <x:v>Тезариус вкусов (Ники Сегнит)(1).pdf: 253, 275</x:v>
      </x:c>
    </x:row>
    <x:row r="121" ht="44" customHeight="1">
      <x:c r="A121" s="28" t="str">
        <x:v>сельдерей</x:v>
      </x:c>
      <x:c r="B121" s="28" t="n">
        <x:v>20</x:v>
      </x:c>
      <x:c r="C121" s="28" t="str">
        <x:v>яблоко</x:v>
      </x:c>
      <x:c r="D121" s="28" t="n">
        <x:v>6</x:v>
      </x:c>
      <x:c r="E121" s="28" t="str">
        <x:v>Средняя</x:v>
      </x:c>
      <x:c r="F121" s="28" t="n">
        <x:v>1</x:v>
      </x:c>
      <x:c r="G121" s="28" t="str">
        <x:v>пересечение ароматических семейств; кислотно-сладкий баланс</x:v>
      </x:c>
      <x:c r="H121" s="28" t="str">
        <x:v>сок, кордиал, гаспачо, салат, соус, маринад или коктейльный компонент с яблоко</x:v>
      </x:c>
      <x:c r="I121" s="28" t="str">
        <x:v>Тезариус вкусов (Ники Сегнит)(1).pdf</x:v>
      </x:c>
      <x:c r="J121" s="28" t="str">
        <x:v>Тезариус вкусов (Ники Сегнит)(1).pdf: 254, 716</x:v>
      </x:c>
    </x:row>
    <x:row r="122" ht="44" customHeight="1">
      <x:c r="A122" s="28" t="str">
        <x:v>сельдерей корневой</x:v>
      </x:c>
      <x:c r="B122" s="28" t="n">
        <x:v>1</x:v>
      </x:c>
      <x:c r="C122" s="28" t="str">
        <x:v>креветки</x:v>
      </x:c>
      <x:c r="D122" s="28" t="n">
        <x:v>7</x:v>
      </x:c>
      <x:c r="E122" s="28" t="str">
        <x:v>Высокая</x:v>
      </x:c>
      <x:c r="F122" s="28" t="n">
        <x:v>1</x:v>
      </x:c>
      <x:c r="G122" s="28" t="str">
        <x:v>умами и солёный контраст</x:v>
      </x:c>
      <x:c r="H122" s="28" t="str">
        <x:v>пюре, суп, запекание, крем, гарнир, соус или десертная разработка с креветки</x:v>
      </x:c>
      <x:c r="I122" s="28" t="str">
        <x:v>The Art &amp; Science of Foodpairing.pdf</x:v>
      </x:c>
      <x:c r="J122" s="28" t="str">
        <x:v>The Art &amp; Science of Foodpairing.pdf: 52</x:v>
      </x:c>
    </x:row>
    <x:row r="123" ht="44" customHeight="1">
      <x:c r="A123" s="28" t="str">
        <x:v>сельдерей корневой</x:v>
      </x:c>
      <x:c r="B123" s="28" t="n">
        <x:v>2</x:v>
      </x:c>
      <x:c r="C123" s="28" t="str">
        <x:v>чеддер</x:v>
      </x:c>
      <x:c r="D123" s="28" t="n">
        <x:v>7</x:v>
      </x:c>
      <x:c r="E123" s="28" t="str">
        <x:v>Высокая</x:v>
      </x:c>
      <x:c r="F123" s="28" t="n">
        <x:v>1</x:v>
      </x:c>
      <x:c r="G123" s="28" t="str">
        <x:v>сенсорная комплементарность</x:v>
      </x:c>
      <x:c r="H123" s="28" t="str">
        <x:v>пюре, суп, запекание, крем, гарнир, соус или десертная разработка с чеддер</x:v>
      </x:c>
      <x:c r="I123" s="28" t="str">
        <x:v>The Art &amp; Science of Foodpairing.pdf</x:v>
      </x:c>
      <x:c r="J123" s="28" t="str">
        <x:v>The Art &amp; Science of Foodpairing.pdf: 52</x:v>
      </x:c>
    </x:row>
    <x:row r="124" ht="44" customHeight="1">
      <x:c r="A124" s="28" t="str">
        <x:v>сельдерей корневой</x:v>
      </x:c>
      <x:c r="B124" s="28" t="n">
        <x:v>3</x:v>
      </x:c>
      <x:c r="C124" s="28" t="str">
        <x:v>ваниль</x:v>
      </x:c>
      <x:c r="D124" s="28" t="n">
        <x:v>6</x:v>
      </x:c>
      <x:c r="E124" s="28" t="str">
        <x:v>Высокая</x:v>
      </x:c>
      <x:c r="F124" s="28" t="n">
        <x:v>1</x:v>
      </x:c>
      <x:c r="G124" s="28" t="str">
        <x:v>сенсорная комплементарность</x:v>
      </x:c>
      <x:c r="H124" s="28" t="str">
        <x:v>пюре, суп, запекание, крем, гарнир, соус или десертная разработка с ваниль</x:v>
      </x:c>
      <x:c r="I124" s="28" t="str">
        <x:v>The Art &amp; Science of Foodpairing.pdf</x:v>
      </x:c>
      <x:c r="J124" s="28" t="str">
        <x:v>The Art &amp; Science of Foodpairing.pdf: 53</x:v>
      </x:c>
    </x:row>
    <x:row r="125" ht="44" customHeight="1">
      <x:c r="A125" s="28" t="str">
        <x:v>сельдерей корневой</x:v>
      </x:c>
      <x:c r="B125" s="28" t="n">
        <x:v>4</x:v>
      </x:c>
      <x:c r="C125" s="28" t="str">
        <x:v>гуава</x:v>
      </x:c>
      <x:c r="D125" s="28" t="n">
        <x:v>6</x:v>
      </x:c>
      <x:c r="E125" s="28" t="str">
        <x:v>Средняя</x:v>
      </x:c>
      <x:c r="F125" s="28" t="n">
        <x:v>1</x:v>
      </x:c>
      <x:c r="G125" s="28" t="str">
        <x:v>кислотно-сладкий баланс</x:v>
      </x:c>
      <x:c r="H125" s="28" t="str">
        <x:v>пюре, суп, запекание, крем, гарнир, соус или десертная разработка с гуава</x:v>
      </x:c>
      <x:c r="I125" s="28" t="str">
        <x:v>The Art &amp; Science of Foodpairing.pdf</x:v>
      </x:c>
      <x:c r="J125" s="28" t="str">
        <x:v>The Art &amp; Science of Foodpairing.pdf: 52</x:v>
      </x:c>
    </x:row>
    <x:row r="126" ht="44" customHeight="1">
      <x:c r="A126" s="28" t="str">
        <x:v>сельдерей корневой</x:v>
      </x:c>
      <x:c r="B126" s="28" t="n">
        <x:v>5</x:v>
      </x:c>
      <x:c r="C126" s="28" t="str">
        <x:v>дикий рис</x:v>
      </x:c>
      <x:c r="D126" s="28" t="n">
        <x:v>6</x:v>
      </x:c>
      <x:c r="E126" s="28" t="str">
        <x:v>Средняя</x:v>
      </x:c>
      <x:c r="F126" s="28" t="n">
        <x:v>1</x:v>
      </x:c>
      <x:c r="G126" s="28" t="str">
        <x:v>сенсорная комплементарность</x:v>
      </x:c>
      <x:c r="H126" s="28" t="str">
        <x:v>пюре, суп, запекание, крем, гарнир, соус или десертная разработка с дикий рис</x:v>
      </x:c>
      <x:c r="I126" s="28" t="str">
        <x:v>The Art &amp; Science of Foodpairing.pdf</x:v>
      </x:c>
      <x:c r="J126" s="28" t="str">
        <x:v>The Art &amp; Science of Foodpairing.pdf: 52</x:v>
      </x:c>
    </x:row>
    <x:row r="127" ht="44" customHeight="1">
      <x:c r="A127" s="28" t="str">
        <x:v>сельдерей корневой</x:v>
      </x:c>
      <x:c r="B127" s="28" t="n">
        <x:v>6</x:v>
      </x:c>
      <x:c r="C127" s="28" t="str">
        <x:v>краб</x:v>
      </x:c>
      <x:c r="D127" s="28" t="n">
        <x:v>6</x:v>
      </x:c>
      <x:c r="E127" s="28" t="str">
        <x:v>Средняя</x:v>
      </x:c>
      <x:c r="F127" s="28" t="n">
        <x:v>1</x:v>
      </x:c>
      <x:c r="G127" s="28" t="str">
        <x:v>умами и солёный контраст</x:v>
      </x:c>
      <x:c r="H127" s="28" t="str">
        <x:v>пюре, суп, запекание, крем, гарнир, соус или десертная разработка с краб</x:v>
      </x:c>
      <x:c r="I127" s="28" t="str">
        <x:v>The Art &amp; Science of Foodpairing.pdf</x:v>
      </x:c>
      <x:c r="J127" s="28" t="str">
        <x:v>The Art &amp; Science of Foodpairing.pdf: 52</x:v>
      </x:c>
    </x:row>
    <x:row r="128" ht="44" customHeight="1">
      <x:c r="A128" s="28" t="str">
        <x:v>сельдерей корневой</x:v>
      </x:c>
      <x:c r="B128" s="28" t="n">
        <x:v>7</x:v>
      </x:c>
      <x:c r="C128" s="28" t="str">
        <x:v>лаванда</x:v>
      </x:c>
      <x:c r="D128" s="28" t="n">
        <x:v>6</x:v>
      </x:c>
      <x:c r="E128" s="28" t="str">
        <x:v>Высокая</x:v>
      </x:c>
      <x:c r="F128" s="28" t="n">
        <x:v>1</x:v>
      </x:c>
      <x:c r="G128" s="28" t="str">
        <x:v>сенсорная комплементарность</x:v>
      </x:c>
      <x:c r="H128" s="28" t="str">
        <x:v>пюре, суп, запекание, крем, гарнир, соус или десертная разработка с лаванда</x:v>
      </x:c>
      <x:c r="I128" s="28" t="str">
        <x:v>The Art &amp; Science of Foodpairing.pdf</x:v>
      </x:c>
      <x:c r="J128" s="28" t="str">
        <x:v>The Art &amp; Science of Foodpairing.pdf: 53</x:v>
      </x:c>
    </x:row>
    <x:row r="129" ht="44" customHeight="1">
      <x:c r="A129" s="28" t="str">
        <x:v>сельдерей корневой</x:v>
      </x:c>
      <x:c r="B129" s="28" t="n">
        <x:v>8</x:v>
      </x:c>
      <x:c r="C129" s="28" t="str">
        <x:v>листья тмина</x:v>
      </x:c>
      <x:c r="D129" s="28" t="n">
        <x:v>6</x:v>
      </x:c>
      <x:c r="E129" s="28" t="str">
        <x:v>Средняя</x:v>
      </x:c>
      <x:c r="F129" s="28" t="n">
        <x:v>1</x:v>
      </x:c>
      <x:c r="G129" s="28" t="str">
        <x:v>сенсорная комплементарность</x:v>
      </x:c>
      <x:c r="H129" s="28" t="str">
        <x:v>пюре, суп, запекание, крем, гарнир, соус или десертная разработка с листья тмина</x:v>
      </x:c>
      <x:c r="I129" s="28" t="str">
        <x:v>The Art &amp; Science of Foodpairing.pdf</x:v>
      </x:c>
      <x:c r="J129" s="28" t="str">
        <x:v>The Art &amp; Science of Foodpairing.pdf: 52</x:v>
      </x:c>
    </x:row>
    <x:row r="130" ht="44" customHeight="1">
      <x:c r="A130" s="28" t="str">
        <x:v>сельдерей корневой</x:v>
      </x:c>
      <x:c r="B130" s="28" t="n">
        <x:v>9</x:v>
      </x:c>
      <x:c r="C130" s="28" t="str">
        <x:v>анис</x:v>
      </x:c>
      <x:c r="D130" s="28" t="n">
        <x:v>5</x:v>
      </x:c>
      <x:c r="E130" s="28" t="str">
        <x:v>Средняя</x:v>
      </x:c>
      <x:c r="F130" s="28" t="n">
        <x:v>1</x:v>
      </x:c>
      <x:c r="G130" s="28" t="str">
        <x:v>сенсорная комплементарность</x:v>
      </x:c>
      <x:c r="H130" s="28" t="str">
        <x:v>пюре, суп, запекание, крем, гарнир, соус или десертная разработка с анис</x:v>
      </x:c>
      <x:c r="I130" s="28" t="str">
        <x:v>The Art &amp; Science of Foodpairing.pdf</x:v>
      </x:c>
      <x:c r="J130" s="28" t="str">
        <x:v>The Art &amp; Science of Foodpairing.pdf: 52</x:v>
      </x:c>
    </x:row>
    <x:row r="131" ht="44" customHeight="1">
      <x:c r="A131" s="28" t="str">
        <x:v>сельдерей корневой</x:v>
      </x:c>
      <x:c r="B131" s="28" t="n">
        <x:v>10</x:v>
      </x:c>
      <x:c r="C131" s="28" t="str">
        <x:v>гамбургер</x:v>
      </x:c>
      <x:c r="D131" s="28" t="n">
        <x:v>5</x:v>
      </x:c>
      <x:c r="E131" s="28" t="str">
        <x:v>Средняя</x:v>
      </x:c>
      <x:c r="F131" s="28" t="n">
        <x:v>1</x:v>
      </x:c>
      <x:c r="G131" s="28" t="str">
        <x:v>сенсорная комплементарность</x:v>
      </x:c>
      <x:c r="H131" s="28" t="str">
        <x:v>пюре, суп, запекание, крем, гарнир, соус или десертная разработка с гамбургер</x:v>
      </x:c>
      <x:c r="I131" s="28" t="str">
        <x:v>The Art &amp; Science of Foodpairing.pdf</x:v>
      </x:c>
      <x:c r="J131" s="28" t="str">
        <x:v>The Art &amp; Science of Foodpairing.pdf: 52</x:v>
      </x:c>
    </x:row>
    <x:row r="132" ht="44" customHeight="1">
      <x:c r="A132" s="28" t="str">
        <x:v>сельдерей корневой</x:v>
      </x:c>
      <x:c r="B132" s="28" t="n">
        <x:v>11</x:v>
      </x:c>
      <x:c r="C132" s="28" t="str">
        <x:v>гибискус</x:v>
      </x:c>
      <x:c r="D132" s="28" t="n">
        <x:v>5</x:v>
      </x:c>
      <x:c r="E132" s="28" t="str">
        <x:v>Средняя</x:v>
      </x:c>
      <x:c r="F132" s="28" t="n">
        <x:v>1</x:v>
      </x:c>
      <x:c r="G132" s="28" t="str">
        <x:v>сенсорная комплементарность</x:v>
      </x:c>
      <x:c r="H132" s="28" t="str">
        <x:v>пюре, суп, запекание, крем, гарнир, соус или десертная разработка с гибискус</x:v>
      </x:c>
      <x:c r="I132" s="28" t="str">
        <x:v>The Art &amp; Science of Foodpairing.pdf</x:v>
      </x:c>
      <x:c r="J132" s="28" t="str">
        <x:v>The Art &amp; Science of Foodpairing.pdf: 52</x:v>
      </x:c>
    </x:row>
    <x:row r="133" ht="44" customHeight="1">
      <x:c r="A133" s="28" t="str">
        <x:v>сельдерей корневой</x:v>
      </x:c>
      <x:c r="B133" s="28" t="n">
        <x:v>12</x:v>
      </x:c>
      <x:c r="C133" s="28" t="str">
        <x:v>говядина</x:v>
      </x:c>
      <x:c r="D133" s="28" t="n">
        <x:v>5</x:v>
      </x:c>
      <x:c r="E133" s="28" t="str">
        <x:v>Средняя</x:v>
      </x:c>
      <x:c r="F133" s="28" t="n">
        <x:v>1</x:v>
      </x:c>
      <x:c r="G133" s="28" t="str">
        <x:v>умами и солёный контраст</x:v>
      </x:c>
      <x:c r="H133" s="28" t="str">
        <x:v>пюре, суп, запекание, крем, гарнир, соус или десертная разработка с говядина</x:v>
      </x:c>
      <x:c r="I133" s="28" t="str">
        <x:v>The Art &amp; Science of Foodpairing.pdf</x:v>
      </x:c>
      <x:c r="J133" s="28" t="str">
        <x:v>The Art &amp; Science of Foodpairing.pdf: 52</x:v>
      </x:c>
    </x:row>
    <x:row r="134" ht="44" customHeight="1">
      <x:c r="A134" s="28" t="str">
        <x:v>сельдерей корневой</x:v>
      </x:c>
      <x:c r="B134" s="28" t="n">
        <x:v>13</x:v>
      </x:c>
      <x:c r="C134" s="28" t="str">
        <x:v>говяжья вырезка</x:v>
      </x:c>
      <x:c r="D134" s="28" t="n">
        <x:v>5</x:v>
      </x:c>
      <x:c r="E134" s="28" t="str">
        <x:v>Средняя</x:v>
      </x:c>
      <x:c r="F134" s="28" t="n">
        <x:v>1</x:v>
      </x:c>
      <x:c r="G134" s="28" t="str">
        <x:v>сенсорная комплементарность</x:v>
      </x:c>
      <x:c r="H134" s="28" t="str">
        <x:v>пюре, суп, запекание, крем, гарнир, соус или десертная разработка с говяжья вырезка</x:v>
      </x:c>
      <x:c r="I134" s="28" t="str">
        <x:v>The Art &amp; Science of Foodpairing.pdf</x:v>
      </x:c>
      <x:c r="J134" s="28" t="str">
        <x:v>The Art &amp; Science of Foodpairing.pdf: 52</x:v>
      </x:c>
    </x:row>
    <x:row r="135" ht="44" customHeight="1">
      <x:c r="A135" s="28" t="str">
        <x:v>сельдерей корневой</x:v>
      </x:c>
      <x:c r="B135" s="28" t="n">
        <x:v>14</x:v>
      </x:c>
      <x:c r="C135" s="28" t="str">
        <x:v>дикий голубь</x:v>
      </x:c>
      <x:c r="D135" s="28" t="n">
        <x:v>5</x:v>
      </x:c>
      <x:c r="E135" s="28" t="str">
        <x:v>Средняя</x:v>
      </x:c>
      <x:c r="F135" s="28" t="n">
        <x:v>1</x:v>
      </x:c>
      <x:c r="G135" s="28" t="str">
        <x:v>сенсорная комплементарность</x:v>
      </x:c>
      <x:c r="H135" s="28" t="str">
        <x:v>пюре, суп, запекание, крем, гарнир, соус или десертная разработка с дикий голубь</x:v>
      </x:c>
      <x:c r="I135" s="28" t="str">
        <x:v>The Art &amp; Science of Foodpairing.pdf</x:v>
      </x:c>
      <x:c r="J135" s="28" t="str">
        <x:v>The Art &amp; Science of Foodpairing.pdf: 52</x:v>
      </x:c>
    </x:row>
    <x:row r="136" ht="44" customHeight="1">
      <x:c r="A136" s="28" t="str">
        <x:v>сельдерей корневой</x:v>
      </x:c>
      <x:c r="B136" s="28" t="n">
        <x:v>15</x:v>
      </x:c>
      <x:c r="C136" s="28" t="str">
        <x:v>дикий гусь</x:v>
      </x:c>
      <x:c r="D136" s="28" t="n">
        <x:v>5</x:v>
      </x:c>
      <x:c r="E136" s="28" t="str">
        <x:v>Средняя</x:v>
      </x:c>
      <x:c r="F136" s="28" t="n">
        <x:v>1</x:v>
      </x:c>
      <x:c r="G136" s="28" t="str">
        <x:v>сенсорная комплементарность</x:v>
      </x:c>
      <x:c r="H136" s="28" t="str">
        <x:v>пюре, суп, запекание, крем, гарнир, соус или десертная разработка с дикий гусь</x:v>
      </x:c>
      <x:c r="I136" s="28" t="str">
        <x:v>The Art &amp; Science of Foodpairing.pdf</x:v>
      </x:c>
      <x:c r="J136" s="28" t="str">
        <x:v>The Art &amp; Science of Foodpairing.pdf: 52</x:v>
      </x:c>
    </x:row>
    <x:row r="137" ht="44" customHeight="1">
      <x:c r="A137" s="28" t="str">
        <x:v>сельдерей корневой</x:v>
      </x:c>
      <x:c r="B137" s="28" t="n">
        <x:v>16</x:v>
      </x:c>
      <x:c r="C137" s="28" t="str">
        <x:v>длиннозёрный рис</x:v>
      </x:c>
      <x:c r="D137" s="28" t="n">
        <x:v>5</x:v>
      </x:c>
      <x:c r="E137" s="28" t="str">
        <x:v>Средняя</x:v>
      </x:c>
      <x:c r="F137" s="28" t="n">
        <x:v>1</x:v>
      </x:c>
      <x:c r="G137" s="28" t="str">
        <x:v>сенсорная комплементарность</x:v>
      </x:c>
      <x:c r="H137" s="28" t="str">
        <x:v>пюре, суп, запекание, крем, гарнир, соус или десертная разработка с длиннозёрный рис</x:v>
      </x:c>
      <x:c r="I137" s="28" t="str">
        <x:v>The Art &amp; Science of Foodpairing.pdf</x:v>
      </x:c>
      <x:c r="J137" s="28" t="str">
        <x:v>The Art &amp; Science of Foodpairing.pdf: 52</x:v>
      </x:c>
    </x:row>
    <x:row r="138" ht="44" customHeight="1">
      <x:c r="A138" s="28" t="str">
        <x:v>сельдерей корневой</x:v>
      </x:c>
      <x:c r="B138" s="28" t="n">
        <x:v>17</x:v>
      </x:c>
      <x:c r="C138" s="28" t="str">
        <x:v>душистый перец</x:v>
      </x:c>
      <x:c r="D138" s="28" t="n">
        <x:v>5</x:v>
      </x:c>
      <x:c r="E138" s="28" t="str">
        <x:v>Средняя</x:v>
      </x:c>
      <x:c r="F138" s="28" t="n">
        <x:v>1</x:v>
      </x:c>
      <x:c r="G138" s="28" t="str">
        <x:v>пересечение ароматических семейств</x:v>
      </x:c>
      <x:c r="H138" s="28" t="str">
        <x:v>пюре, суп, запекание, крем, гарнир, соус или десертная разработка с душистый перец</x:v>
      </x:c>
      <x:c r="I138" s="28" t="str">
        <x:v>The Art &amp; Science of Foodpairing.pdf</x:v>
      </x:c>
      <x:c r="J138" s="28" t="str">
        <x:v>The Art &amp; Science of Foodpairing.pdf: 52</x:v>
      </x:c>
    </x:row>
    <x:row r="139" ht="44" customHeight="1">
      <x:c r="A139" s="28" t="str">
        <x:v>сельдерей корневой</x:v>
      </x:c>
      <x:c r="B139" s="28" t="n">
        <x:v>18</x:v>
      </x:c>
      <x:c r="C139" s="28" t="str">
        <x:v>зелёная фасоль</x:v>
      </x:c>
      <x:c r="D139" s="28" t="n">
        <x:v>5</x:v>
      </x:c>
      <x:c r="E139" s="28" t="str">
        <x:v>Средняя</x:v>
      </x:c>
      <x:c r="F139" s="28" t="n">
        <x:v>1</x:v>
      </x:c>
      <x:c r="G139" s="28" t="str">
        <x:v>пересечение ароматических семейств</x:v>
      </x:c>
      <x:c r="H139" s="28" t="str">
        <x:v>пюре, суп, запекание, крем, гарнир, соус или десертная разработка с зелёная фасоль</x:v>
      </x:c>
      <x:c r="I139" s="28" t="str">
        <x:v>The Art &amp; Science of Foodpairing.pdf</x:v>
      </x:c>
      <x:c r="J139" s="28" t="str">
        <x:v>The Art &amp; Science of Foodpairing.pdf: 52</x:v>
      </x:c>
    </x:row>
    <x:row r="140" ht="44" customHeight="1">
      <x:c r="A140" s="28" t="str">
        <x:v>сельдерей корневой</x:v>
      </x:c>
      <x:c r="B140" s="28" t="n">
        <x:v>19</x:v>
      </x:c>
      <x:c r="C140" s="28" t="str">
        <x:v>инжир</x:v>
      </x:c>
      <x:c r="D140" s="28" t="n">
        <x:v>5</x:v>
      </x:c>
      <x:c r="E140" s="28" t="str">
        <x:v>Средняя</x:v>
      </x:c>
      <x:c r="F140" s="28" t="n">
        <x:v>1</x:v>
      </x:c>
      <x:c r="G140" s="28" t="str">
        <x:v>кислотно-сладкий баланс</x:v>
      </x:c>
      <x:c r="H140" s="28" t="str">
        <x:v>пюре, суп, запекание, крем, гарнир, соус или десертная разработка с инжир</x:v>
      </x:c>
      <x:c r="I140" s="28" t="str">
        <x:v>The Art &amp; Science of Foodpairing.pdf</x:v>
      </x:c>
      <x:c r="J140" s="28" t="str">
        <x:v>The Art &amp; Science of Foodpairing.pdf: 52</x:v>
      </x:c>
    </x:row>
    <x:row r="141" ht="44" customHeight="1">
      <x:c r="A141" s="28" t="str">
        <x:v>сельдерей корневой</x:v>
      </x:c>
      <x:c r="B141" s="28" t="n">
        <x:v>20</x:v>
      </x:c>
      <x:c r="C141" s="28" t="str">
        <x:v>кабан</x:v>
      </x:c>
      <x:c r="D141" s="28" t="n">
        <x:v>5</x:v>
      </x:c>
      <x:c r="E141" s="28" t="str">
        <x:v>Средняя</x:v>
      </x:c>
      <x:c r="F141" s="28" t="n">
        <x:v>1</x:v>
      </x:c>
      <x:c r="G141" s="28" t="str">
        <x:v>сенсорная комплементарность</x:v>
      </x:c>
      <x:c r="H141" s="28" t="str">
        <x:v>пюре, суп, запекание, крем, гарнир, соус или десертная разработка с кабан</x:v>
      </x:c>
      <x:c r="I141" s="28" t="str">
        <x:v>The Art &amp; Science of Foodpairing.pdf</x:v>
      </x:c>
      <x:c r="J141" s="28" t="str">
        <x:v>The Art &amp; Science of Foodpairing.pdf: 52</x:v>
      </x:c>
    </x:row>
    <x:row r="142" ht="44" customHeight="1">
      <x:c r="A142" s="28" t="str">
        <x:v>лук</x:v>
      </x:c>
      <x:c r="B142" s="28" t="n">
        <x:v>1</x:v>
      </x:c>
      <x:c r="C142" s="28" t="str">
        <x:v>имбирь</x:v>
      </x:c>
      <x:c r="D142" s="28" t="n">
        <x:v>10</x:v>
      </x:c>
      <x:c r="E142" s="28" t="str">
        <x:v>Высокая</x:v>
      </x:c>
      <x:c r="F142" s="28" t="n">
        <x:v>2</x:v>
      </x:c>
      <x:c r="G142" s="28" t="str">
        <x:v>сернистая или горчичная комплементарность</x:v>
      </x:c>
      <x:c r="H142" s="28" t="str">
        <x:v>горячее блюдо, бульон, соус, пюре, ферментация или гарнир с имбирь</x:v>
      </x:c>
      <x:c r="I142" s="28" t="str">
        <x:v>The Art &amp; Science of Foodpairing.pdf | Тезариус вкусов (Ники Сегнит)(1).pdf</x:v>
      </x:c>
      <x:c r="J142" s="28" t="str">
        <x:v>Тезариус вкусов (Ники Сегнит)(1).pdf: 283, 813, 818; The Art &amp; Science of Foodpairing.pdf: 142</x:v>
      </x:c>
    </x:row>
    <x:row r="143" ht="44" customHeight="1">
      <x:c r="A143" s="28" t="str">
        <x:v>лук</x:v>
      </x:c>
      <x:c r="B143" s="28" t="n">
        <x:v>2</x:v>
      </x:c>
      <x:c r="C143" s="28" t="str">
        <x:v>«черный пудинг»</x:v>
      </x:c>
      <x:c r="D143" s="28" t="n">
        <x:v>6</x:v>
      </x:c>
      <x:c r="E143" s="28" t="str">
        <x:v>Средняя</x:v>
      </x:c>
      <x:c r="F143" s="28" t="n">
        <x:v>1</x:v>
      </x:c>
      <x:c r="G143" s="28" t="str">
        <x:v>сернистая или горчичная комплементарность</x:v>
      </x:c>
      <x:c r="H143" s="28" t="str">
        <x:v>горячее блюдо, бульон, соус, пюре, ферментация или гарнир с «черный пудинг»</x:v>
      </x:c>
      <x:c r="I143" s="28" t="str">
        <x:v>Тезариус вкусов (Ники Сегнит)(1).pdf</x:v>
      </x:c>
      <x:c r="J143" s="28" t="str">
        <x:v>Тезариус вкусов (Ники Сегнит)(1).pdf: 94, 288</x:v>
      </x:c>
    </x:row>
    <x:row r="144" ht="44" customHeight="1">
      <x:c r="A144" s="28" t="str">
        <x:v>лук</x:v>
      </x:c>
      <x:c r="B144" s="28" t="n">
        <x:v>3</x:v>
      </x:c>
      <x:c r="C144" s="28" t="str">
        <x:v>анчоусы</x:v>
      </x:c>
      <x:c r="D144" s="28" t="n">
        <x:v>6</x:v>
      </x:c>
      <x:c r="E144" s="28" t="str">
        <x:v>Средняя</x:v>
      </x:c>
      <x:c r="F144" s="28" t="n">
        <x:v>1</x:v>
      </x:c>
      <x:c r="G144" s="28" t="str">
        <x:v>умами и солёный контраст; сернистая или горчичная комплементарность</x:v>
      </x:c>
      <x:c r="H144" s="28" t="str">
        <x:v>горячее блюдо, бульон, соус, пюре, ферментация или гарнир с анчоусы</x:v>
      </x:c>
      <x:c r="I144" s="28" t="str">
        <x:v>Тезариус вкусов (Ники Сегнит)(1).pdf</x:v>
      </x:c>
      <x:c r="J144" s="28" t="str">
        <x:v>Тезариус вкусов (Ники Сегнит)(1).pdf: 278, 428</x:v>
      </x:c>
    </x:row>
    <x:row r="145" ht="44" customHeight="1">
      <x:c r="A145" s="28" t="str">
        <x:v>лук</x:v>
      </x:c>
      <x:c r="B145" s="28" t="n">
        <x:v>4</x:v>
      </x:c>
      <x:c r="C145" s="28" t="str">
        <x:v>апельсин</x:v>
      </x:c>
      <x:c r="D145" s="28" t="n">
        <x:v>6</x:v>
      </x:c>
      <x:c r="E145" s="28" t="str">
        <x:v>Средняя</x:v>
      </x:c>
      <x:c r="F145" s="28" t="n">
        <x:v>1</x:v>
      </x:c>
      <x:c r="G145" s="28" t="str">
        <x:v>пересечение ароматических семейств; кислотно-сладкий баланс; сернистая или горчичная комплементарность</x:v>
      </x:c>
      <x:c r="H145" s="28" t="str">
        <x:v>горячее блюдо, бульон, соус, пюре, ферментация или гарнир с апельсин</x:v>
      </x:c>
      <x:c r="I145" s="28" t="str">
        <x:v>Тезариус вкусов (Ники Сегнит)(1).pdf</x:v>
      </x:c>
      <x:c r="J145" s="28" t="str">
        <x:v>Тезариус вкусов (Ники Сегнит)(1).pdf: 280, 777</x:v>
      </x:c>
    </x:row>
    <x:row r="146" ht="44" customHeight="1">
      <x:c r="A146" s="28" t="str">
        <x:v>лук</x:v>
      </x:c>
      <x:c r="B146" s="28" t="n">
        <x:v>5</x:v>
      </x:c>
      <x:c r="C146" s="28" t="str">
        <x:v>баранина</x:v>
      </x:c>
      <x:c r="D146" s="28" t="n">
        <x:v>6</x:v>
      </x:c>
      <x:c r="E146" s="28" t="str">
        <x:v>Средняя</x:v>
      </x:c>
      <x:c r="F146" s="28" t="n">
        <x:v>1</x:v>
      </x:c>
      <x:c r="G146" s="28" t="str">
        <x:v>пересечение ароматических семейств; умами и солёный контраст; сернистая или горчичная комплементарность</x:v>
      </x:c>
      <x:c r="H146" s="28" t="str">
        <x:v>горячее блюдо, бульон, соус, пюре, ферментация или гарнир с баранина</x:v>
      </x:c>
      <x:c r="I146" s="28" t="str">
        <x:v>Тезариус вкусов (Ники Сегнит)(1).pdf</x:v>
      </x:c>
      <x:c r="J146" s="28" t="str">
        <x:v>Тезариус вкусов (Ники Сегнит)(1).pdf: 130, 280</x:v>
      </x:c>
    </x:row>
    <x:row r="147" ht="44" customHeight="1">
      <x:c r="A147" s="28" t="str">
        <x:v>лук</x:v>
      </x:c>
      <x:c r="B147" s="28" t="n">
        <x:v>6</x:v>
      </x:c>
      <x:c r="C147" s="28" t="str">
        <x:v>бекон</x:v>
      </x:c>
      <x:c r="D147" s="28" t="n">
        <x:v>6</x:v>
      </x:c>
      <x:c r="E147" s="28" t="str">
        <x:v>Средняя</x:v>
      </x:c>
      <x:c r="F147" s="28" t="n">
        <x:v>1</x:v>
      </x:c>
      <x:c r="G147" s="28" t="str">
        <x:v>пересечение ароматических семейств; умами и солёный контраст; сернистая или горчичная комплементарность</x:v>
      </x:c>
      <x:c r="H147" s="28" t="str">
        <x:v>горячее блюдо, бульон, соус, пюре, ферментация или гарнир с бекон</x:v>
      </x:c>
      <x:c r="I147" s="28" t="str">
        <x:v>Тезариус вкусов (Ники Сегнит)(1).pdf</x:v>
      </x:c>
      <x:c r="J147" s="28" t="str">
        <x:v>Тезариус вкусов (Ники Сегнит)(1).pdf: 281, 445</x:v>
      </x:c>
    </x:row>
    <x:row r="148" ht="44" customHeight="1">
      <x:c r="A148" s="28" t="str">
        <x:v>лук</x:v>
      </x:c>
      <x:c r="B148" s="28" t="n">
        <x:v>7</x:v>
      </x:c>
      <x:c r="C148" s="28" t="str">
        <x:v>болгарский перец</x:v>
      </x:c>
      <x:c r="D148" s="28" t="n">
        <x:v>6</x:v>
      </x:c>
      <x:c r="E148" s="28" t="str">
        <x:v>Средняя</x:v>
      </x:c>
      <x:c r="F148" s="28" t="n">
        <x:v>1</x:v>
      </x:c>
      <x:c r="G148" s="28" t="str">
        <x:v>пересечение ароматических семейств; сернистая или горчичная комплементарность</x:v>
      </x:c>
      <x:c r="H148" s="28" t="str">
        <x:v>горячее блюдо, бульон, соус, пюре, ферментация или гарнир с болгарский перец</x:v>
      </x:c>
      <x:c r="I148" s="28" t="str">
        <x:v>Тезариус вкусов (Ники Сегнит)(1).pdf</x:v>
      </x:c>
      <x:c r="J148" s="28" t="str">
        <x:v>Тезариус вкусов (Ники Сегнит)(1).pdf: 281, 547</x:v>
      </x:c>
    </x:row>
    <x:row r="149" ht="44" customHeight="1">
      <x:c r="A149" s="28" t="str">
        <x:v>лук</x:v>
      </x:c>
      <x:c r="B149" s="28" t="n">
        <x:v>8</x:v>
      </x:c>
      <x:c r="C149" s="28" t="str">
        <x:v>гвоздика</x:v>
      </x:c>
      <x:c r="D149" s="28" t="n">
        <x:v>6</x:v>
      </x:c>
      <x:c r="E149" s="28" t="str">
        <x:v>Средняя</x:v>
      </x:c>
      <x:c r="F149" s="28" t="n">
        <x:v>1</x:v>
      </x:c>
      <x:c r="G149" s="28" t="str">
        <x:v>сернистая или горчичная комплементарность</x:v>
      </x:c>
      <x:c r="H149" s="28" t="str">
        <x:v>горячее блюдо, бульон, соус, пюре, ферментация или гарнир с гвоздика</x:v>
      </x:c>
      <x:c r="I149" s="28" t="str">
        <x:v>Тезариус вкусов (Ники Сегнит)(1).pdf</x:v>
      </x:c>
      <x:c r="J149" s="28" t="str">
        <x:v>Тезариус вкусов (Ники Сегнит)(1).pdf: 282, 584</x:v>
      </x:c>
    </x:row>
    <x:row r="150" ht="44" customHeight="1">
      <x:c r="A150" s="28" t="str">
        <x:v>лук</x:v>
      </x:c>
      <x:c r="B150" s="28" t="n">
        <x:v>9</x:v>
      </x:c>
      <x:c r="C150" s="28" t="str">
        <x:v>говядина</x:v>
      </x:c>
      <x:c r="D150" s="28" t="n">
        <x:v>6</x:v>
      </x:c>
      <x:c r="E150" s="28" t="str">
        <x:v>Средняя</x:v>
      </x:c>
      <x:c r="F150" s="28" t="n">
        <x:v>1</x:v>
      </x:c>
      <x:c r="G150" s="28" t="str">
        <x:v>пересечение ароматических семейств; умами и солёный контраст; сернистая или горчичная комплементарность</x:v>
      </x:c>
      <x:c r="H150" s="28" t="str">
        <x:v>горячее блюдо, бульон, соус, пюре, ферментация или гарнир с говядина</x:v>
      </x:c>
      <x:c r="I150" s="28" t="str">
        <x:v>Тезариус вкусов (Ники Сегнит)(1).pdf</x:v>
      </x:c>
      <x:c r="J150" s="28" t="str">
        <x:v>Тезариус вкусов (Ники Сегнит)(1).pdf: 113, 283</x:v>
      </x:c>
    </x:row>
    <x:row r="151" ht="44" customHeight="1">
      <x:c r="A151" s="28" t="str">
        <x:v>лук</x:v>
      </x:c>
      <x:c r="B151" s="28" t="n">
        <x:v>10</x:v>
      </x:c>
      <x:c r="C151" s="28" t="str">
        <x:v>горох</x:v>
      </x:c>
      <x:c r="D151" s="28" t="n">
        <x:v>6</x:v>
      </x:c>
      <x:c r="E151" s="28" t="str">
        <x:v>Средняя</x:v>
      </x:c>
      <x:c r="F151" s="28" t="n">
        <x:v>1</x:v>
      </x:c>
      <x:c r="G151" s="28" t="str">
        <x:v>пересечение ароматических семейств; сернистая или горчичная комплементарность</x:v>
      </x:c>
      <x:c r="H151" s="28" t="str">
        <x:v>горячее блюдо, бульон, соус, пюре, ферментация или гарнир с горох</x:v>
      </x:c>
      <x:c r="I151" s="28" t="str">
        <x:v>Тезариус вкусов (Ники Сегнит)(1).pdf</x:v>
      </x:c>
      <x:c r="J151" s="28" t="str">
        <x:v>Тезариус вкусов (Ники Сегнит)(1).pdf: 283, 538</x:v>
      </x:c>
    </x:row>
    <x:row r="152" ht="44" customHeight="1">
      <x:c r="A152" s="28" t="str">
        <x:v>лук</x:v>
      </x:c>
      <x:c r="B152" s="28" t="n">
        <x:v>11</x:v>
      </x:c>
      <x:c r="C152" s="28" t="str">
        <x:v>жирная рыба</x:v>
      </x:c>
      <x:c r="D152" s="28" t="n">
        <x:v>6</x:v>
      </x:c>
      <x:c r="E152" s="28" t="str">
        <x:v>Средняя</x:v>
      </x:c>
      <x:c r="F152" s="28" t="n">
        <x:v>1</x:v>
      </x:c>
      <x:c r="G152" s="28" t="str">
        <x:v>умами и солёный контраст; сернистая или горчичная комплементарность</x:v>
      </x:c>
      <x:c r="H152" s="28" t="str">
        <x:v>горячее блюдо, бульон, соус, пюре, ферментация или гарнир с жирная рыба</x:v>
      </x:c>
      <x:c r="I152" s="28" t="str">
        <x:v>Тезариус вкусов (Ники Сегнит)(1).pdf</x:v>
      </x:c>
      <x:c r="J152" s="28" t="str">
        <x:v>Тезариус вкусов (Ники Сегнит)(1).pdf: 283, 414</x:v>
      </x:c>
    </x:row>
    <x:row r="153" ht="44" customHeight="1">
      <x:c r="A153" s="28" t="str">
        <x:v>лук</x:v>
      </x:c>
      <x:c r="B153" s="28" t="n">
        <x:v>12</x:v>
      </x:c>
      <x:c r="C153" s="28" t="str">
        <x:v>капуста</x:v>
      </x:c>
      <x:c r="D153" s="28" t="n">
        <x:v>6</x:v>
      </x:c>
      <x:c r="E153" s="28" t="str">
        <x:v>Средняя</x:v>
      </x:c>
      <x:c r="F153" s="28" t="n">
        <x:v>1</x:v>
      </x:c>
      <x:c r="G153" s="28" t="str">
        <x:v>пересечение ароматических семейств; сернистая или горчичная комплементарность</x:v>
      </x:c>
      <x:c r="H153" s="28" t="str">
        <x:v>горячее блюдо, бульон, соус, пюре, ферментация или гарнир с капуста</x:v>
      </x:c>
      <x:c r="I153" s="28" t="str">
        <x:v>Тезариус вкусов (Ники Сегнит)(1).pdf</x:v>
      </x:c>
      <x:c r="J153" s="28" t="str">
        <x:v>Тезариус вкусов (Ники Сегнит)(1).pdf: 284, 311</x:v>
      </x:c>
    </x:row>
    <x:row r="154" ht="44" customHeight="1">
      <x:c r="A154" s="28" t="str">
        <x:v>лук</x:v>
      </x:c>
      <x:c r="B154" s="28" t="n">
        <x:v>13</x:v>
      </x:c>
      <x:c r="C154" s="28" t="str">
        <x:v>копченая рыба</x:v>
      </x:c>
      <x:c r="D154" s="28" t="n">
        <x:v>6</x:v>
      </x:c>
      <x:c r="E154" s="28" t="str">
        <x:v>Средняя</x:v>
      </x:c>
      <x:c r="F154" s="28" t="n">
        <x:v>1</x:v>
      </x:c>
      <x:c r="G154" s="28" t="str">
        <x:v>умами и солёный контраст; сернистая или горчичная комплементарность</x:v>
      </x:c>
      <x:c r="H154" s="28" t="str">
        <x:v>горячее блюдо, бульон, соус, пюре, ферментация или гарнир с копченая рыба</x:v>
      </x:c>
      <x:c r="I154" s="28" t="str">
        <x:v>Тезариус вкусов (Ники Сегнит)(1).pdf</x:v>
      </x:c>
      <x:c r="J154" s="28" t="str">
        <x:v>Тезариус вкусов (Ники Сегнит)(1).pdf: 284, 437</x:v>
      </x:c>
    </x:row>
    <x:row r="155" ht="44" customHeight="1">
      <x:c r="A155" s="28" t="str">
        <x:v>лук</x:v>
      </x:c>
      <x:c r="B155" s="28" t="n">
        <x:v>14</x:v>
      </x:c>
      <x:c r="C155" s="28" t="str">
        <x:v>морковь</x:v>
      </x:c>
      <x:c r="D155" s="28" t="n">
        <x:v>6</x:v>
      </x:c>
      <x:c r="E155" s="28" t="str">
        <x:v>Средняя</x:v>
      </x:c>
      <x:c r="F155" s="28" t="n">
        <x:v>1</x:v>
      </x:c>
      <x:c r="G155" s="28" t="str">
        <x:v>пересечение ароматических семейств; сернистая или горчичная комплементарность</x:v>
      </x:c>
      <x:c r="H155" s="28" t="str">
        <x:v>горячее блюдо, бульон, соус, пюре, ферментация или гарнир с морковь</x:v>
      </x:c>
      <x:c r="I155" s="28" t="str">
        <x:v>Тезариус вкусов (Ники Сегнит)(1).pdf</x:v>
      </x:c>
      <x:c r="J155" s="28" t="str">
        <x:v>Тезариус вкусов (Ники Сегнит)(1).pdf: 284, 605</x:v>
      </x:c>
    </x:row>
    <x:row r="156" ht="44" customHeight="1">
      <x:c r="A156" s="28" t="str">
        <x:v>лук</x:v>
      </x:c>
      <x:c r="B156" s="28" t="n">
        <x:v>15</x:v>
      </x:c>
      <x:c r="C156" s="28" t="str">
        <x:v>мускатный орех</x:v>
      </x:c>
      <x:c r="D156" s="28" t="n">
        <x:v>6</x:v>
      </x:c>
      <x:c r="E156" s="28" t="str">
        <x:v>Средняя</x:v>
      </x:c>
      <x:c r="F156" s="28" t="n">
        <x:v>1</x:v>
      </x:c>
      <x:c r="G156" s="28" t="str">
        <x:v>умами и солёный контраст; сернистая или горчичная комплементарность</x:v>
      </x:c>
      <x:c r="H156" s="28" t="str">
        <x:v>горячее блюдо, бульон, соус, пюре, ферментация или гарнир с мускатный орех</x:v>
      </x:c>
      <x:c r="I156" s="28" t="str">
        <x:v>Тезариус вкусов (Ники Сегнит)(1).pdf</x:v>
      </x:c>
      <x:c r="J156" s="28" t="str">
        <x:v>Тезариус вкусов (Ники Сегнит)(1).pdf: 284, 588</x:v>
      </x:c>
    </x:row>
    <x:row r="157" ht="44" customHeight="1">
      <x:c r="A157" s="28" t="str">
        <x:v>лук</x:v>
      </x:c>
      <x:c r="B157" s="28" t="n">
        <x:v>16</x:v>
      </x:c>
      <x:c r="C157" s="28" t="str">
        <x:v>мята</x:v>
      </x:c>
      <x:c r="D157" s="28" t="n">
        <x:v>6</x:v>
      </x:c>
      <x:c r="E157" s="28" t="str">
        <x:v>Средняя</x:v>
      </x:c>
      <x:c r="F157" s="28" t="n">
        <x:v>1</x:v>
      </x:c>
      <x:c r="G157" s="28" t="str">
        <x:v>сернистая или горчичная комплементарность</x:v>
      </x:c>
      <x:c r="H157" s="28" t="str">
        <x:v>горячее блюдо, бульон, соус, пюре, ферментация или гарнир с мята</x:v>
      </x:c>
      <x:c r="I157" s="28" t="str">
        <x:v>Тезариус вкусов (Ники Сегнит)(1).pdf</x:v>
      </x:c>
      <x:c r="J157" s="28" t="str">
        <x:v>Тезариус вкусов (Ники Сегнит)(1).pdf: 285, 869</x:v>
      </x:c>
    </x:row>
    <x:row r="158" ht="44" customHeight="1">
      <x:c r="A158" s="28" t="str">
        <x:v>лук</x:v>
      </x:c>
      <x:c r="B158" s="28" t="n">
        <x:v>17</x:v>
      </x:c>
      <x:c r="C158" s="28" t="str">
        <x:v>огурец</x:v>
      </x:c>
      <x:c r="D158" s="28" t="n">
        <x:v>6</x:v>
      </x:c>
      <x:c r="E158" s="28" t="str">
        <x:v>Средняя</x:v>
      </x:c>
      <x:c r="F158" s="28" t="n">
        <x:v>1</x:v>
      </x:c>
      <x:c r="G158" s="28" t="str">
        <x:v>сернистая или горчичная комплементарность</x:v>
      </x:c>
      <x:c r="H158" s="28" t="str">
        <x:v>горячее блюдо, бульон, соус, пюре, ферментация или гарнир с огурец</x:v>
      </x:c>
      <x:c r="I158" s="28" t="str">
        <x:v>Тезариус вкусов (Ники Сегнит)(1).pdf</x:v>
      </x:c>
      <x:c r="J158" s="28" t="str">
        <x:v>Тезариус вкусов (Ники Сегнит)(1).pdf: 286, 493</x:v>
      </x:c>
    </x:row>
    <x:row r="159" ht="44" customHeight="1">
      <x:c r="A159" s="28" t="str">
        <x:v>лук</x:v>
      </x:c>
      <x:c r="B159" s="28" t="n">
        <x:v>18</x:v>
      </x:c>
      <x:c r="C159" s="28" t="str">
        <x:v>печень</x:v>
      </x:c>
      <x:c r="D159" s="28" t="n">
        <x:v>6</x:v>
      </x:c>
      <x:c r="E159" s="28" t="str">
        <x:v>Средняя</x:v>
      </x:c>
      <x:c r="F159" s="28" t="n">
        <x:v>1</x:v>
      </x:c>
      <x:c r="G159" s="28" t="str">
        <x:v>пересечение ароматических семейств; умами и солёный контраст; сернистая или горчичная комплементарность</x:v>
      </x:c>
      <x:c r="H159" s="28" t="str">
        <x:v>горячее блюдо, бульон, соус, пюре, ферментация или гарнир с печень</x:v>
      </x:c>
      <x:c r="I159" s="28" t="str">
        <x:v>Тезариус вкусов (Ники Сегнит)(1).pdf</x:v>
      </x:c>
      <x:c r="J159" s="28" t="str">
        <x:v>Тезариус вкусов (Ники Сегнит)(1).pdf: 101, 286</x:v>
      </x:c>
    </x:row>
    <x:row r="160" ht="44" customHeight="1">
      <x:c r="A160" s="28" t="str">
        <x:v>лук</x:v>
      </x:c>
      <x:c r="B160" s="28" t="n">
        <x:v>19</x:v>
      </x:c>
      <x:c r="C160" s="28" t="str">
        <x:v>розмарин</x:v>
      </x:c>
      <x:c r="D160" s="28" t="n">
        <x:v>6</x:v>
      </x:c>
      <x:c r="E160" s="28" t="str">
        <x:v>Средняя</x:v>
      </x:c>
      <x:c r="F160" s="28" t="n">
        <x:v>1</x:v>
      </x:c>
      <x:c r="G160" s="28" t="str">
        <x:v>сернистая или горчичная комплементарность</x:v>
      </x:c>
      <x:c r="H160" s="28" t="str">
        <x:v>горячее блюдо, бульон, соус, пюре, ферментация или гарнир с розмарин</x:v>
      </x:c>
      <x:c r="I160" s="28" t="str">
        <x:v>Тезариус вкусов (Ники Сегнит)(1).pdf</x:v>
      </x:c>
      <x:c r="J160" s="28" t="str">
        <x:v>Тезариус вкусов (Ники Сегнит)(1).pdf: 286, 837</x:v>
      </x:c>
    </x:row>
    <x:row r="161" ht="44" customHeight="1">
      <x:c r="A161" s="28" t="str">
        <x:v>лук</x:v>
      </x:c>
      <x:c r="B161" s="28" t="n">
        <x:v>20</x:v>
      </x:c>
      <x:c r="C161" s="28" t="str">
        <x:v>свинина</x:v>
      </x:c>
      <x:c r="D161" s="28" t="n">
        <x:v>6</x:v>
      </x:c>
      <x:c r="E161" s="28" t="str">
        <x:v>Средняя</x:v>
      </x:c>
      <x:c r="F161" s="28" t="n">
        <x:v>1</x:v>
      </x:c>
      <x:c r="G161" s="28" t="str">
        <x:v>пересечение ароматических семейств; умами и солёный контраст; сернистая или горчичная комплементарность</x:v>
      </x:c>
      <x:c r="H161" s="28" t="str">
        <x:v>горячее блюдо, бульон, соус, пюре, ферментация или гарнир с свинина</x:v>
      </x:c>
      <x:c r="I161" s="28" t="str">
        <x:v>Тезариус вкусов (Ники Сегнит)(1).pdf</x:v>
      </x:c>
      <x:c r="J161" s="28" t="str">
        <x:v>Тезариус вкусов (Ники Сегнит)(1).pdf: 86, 287</x:v>
      </x:c>
    </x:row>
    <x:row r="162" ht="44" customHeight="1">
      <x:c r="A162" s="28" t="str">
        <x:v>чеснок</x:v>
      </x:c>
      <x:c r="B162" s="28" t="n">
        <x:v>1</x:v>
      </x:c>
      <x:c r="C162" s="28" t="str">
        <x:v>баранина</x:v>
      </x:c>
      <x:c r="D162" s="28" t="n">
        <x:v>10</x:v>
      </x:c>
      <x:c r="E162" s="28" t="str">
        <x:v>Высокая</x:v>
      </x:c>
      <x:c r="F162" s="28" t="n">
        <x:v>2</x:v>
      </x:c>
      <x:c r="G162" s="28" t="str">
        <x:v>пересечение ароматических семейств; умами и солёный контраст; сернистая или горчичная комплементарность</x:v>
      </x:c>
      <x:c r="H162" s="28" t="str">
        <x:v>горячее блюдо, бульон, соус, пюре, ферментация или гарнир с баранина</x:v>
      </x:c>
      <x:c r="I162" s="28" t="str">
        <x:v>The Art &amp; Science of Foodpairing.pdf | Тезариус вкусов (Ники Сегнит)(1).pdf</x:v>
      </x:c>
      <x:c r="J162" s="28" t="str">
        <x:v>Тезариус вкусов (Ники Сегнит)(1).pdf: 133, 292; The Art &amp; Science of Foodpairing.pdf: 113, 114</x:v>
      </x:c>
    </x:row>
    <x:row r="163" ht="44" customHeight="1">
      <x:c r="A163" s="28" t="str">
        <x:v>чеснок</x:v>
      </x:c>
      <x:c r="B163" s="28" t="n">
        <x:v>2</x:v>
      </x:c>
      <x:c r="C163" s="28" t="str">
        <x:v>брокколи</x:v>
      </x:c>
      <x:c r="D163" s="28" t="n">
        <x:v>10</x:v>
      </x:c>
      <x:c r="E163" s="28" t="str">
        <x:v>Высокая</x:v>
      </x:c>
      <x:c r="F163" s="28" t="n">
        <x:v>2</x:v>
      </x:c>
      <x:c r="G163" s="28" t="str">
        <x:v>пересечение ароматических семейств; сернистая или горчичная комплементарность</x:v>
      </x:c>
      <x:c r="H163" s="28" t="str">
        <x:v>горячее блюдо, бульон, соус, пюре, ферментация или гарнир с брокколи</x:v>
      </x:c>
      <x:c r="I163" s="28" t="str">
        <x:v>The Art &amp; Science of Foodpairing.pdf | Тезариус вкусов (Ники Сегнит)(1).pdf</x:v>
      </x:c>
      <x:c r="J163" s="28" t="str">
        <x:v>Тезариус вкусов (Ники Сегнит)(1).pdf: 293, 333; The Art &amp; Science of Foodpairing.pdf: 114</x:v>
      </x:c>
    </x:row>
    <x:row r="164" ht="44" customHeight="1">
      <x:c r="A164" s="28" t="str">
        <x:v>чеснок</x:v>
      </x:c>
      <x:c r="B164" s="28" t="n">
        <x:v>3</x:v>
      </x:c>
      <x:c r="C164" s="28" t="str">
        <x:v>говядина</x:v>
      </x:c>
      <x:c r="D164" s="28" t="n">
        <x:v>10</x:v>
      </x:c>
      <x:c r="E164" s="28" t="str">
        <x:v>Высокая</x:v>
      </x:c>
      <x:c r="F164" s="28" t="n">
        <x:v>2</x:v>
      </x:c>
      <x:c r="G164" s="28" t="str">
        <x:v>пересечение ароматических семейств; умами и солёный контраст; сернистая или горчичная комплементарность</x:v>
      </x:c>
      <x:c r="H164" s="28" t="str">
        <x:v>горячее блюдо, бульон, соус, пюре, ферментация или гарнир с говядина</x:v>
      </x:c>
      <x:c r="I164" s="28" t="str">
        <x:v>The Art &amp; Science of Foodpairing.pdf | Тезариус вкусов (Ники Сегнит)(1).pdf</x:v>
      </x:c>
      <x:c r="J164" s="28" t="str">
        <x:v>Тезариус вкусов (Ники Сегнит)(1).pdf: 120, 293; The Art &amp; Science of Foodpairing.pdf: 113</x:v>
      </x:c>
    </x:row>
    <x:row r="165" ht="44" customHeight="1">
      <x:c r="A165" s="28" t="str">
        <x:v>чеснок</x:v>
      </x:c>
      <x:c r="B165" s="28" t="n">
        <x:v>4</x:v>
      </x:c>
      <x:c r="C165" s="28" t="str">
        <x:v>капуста</x:v>
      </x:c>
      <x:c r="D165" s="28" t="n">
        <x:v>10</x:v>
      </x:c>
      <x:c r="E165" s="28" t="str">
        <x:v>Высокая</x:v>
      </x:c>
      <x:c r="F165" s="28" t="n">
        <x:v>2</x:v>
      </x:c>
      <x:c r="G165" s="28" t="str">
        <x:v>общие характерные молекулы; пересечение ароматических семейств; сернистая или горчичная комплементарность</x:v>
      </x:c>
      <x:c r="H165" s="28" t="str">
        <x:v>горячее блюдо, бульон, соус, пюре, ферментация или гарнир с капуста</x:v>
      </x:c>
      <x:c r="I165" s="28" t="str">
        <x:v>The Art &amp; Science of Foodpairing.pdf | Тезариус вкусов (Ники Сегнит)(1).pdf</x:v>
      </x:c>
      <x:c r="J165" s="28" t="str">
        <x:v>Тезариус вкусов (Ники Сегнит)(1).pdf: 294, 316; The Art &amp; Science of Foodpairing.pdf: 114</x:v>
      </x:c>
    </x:row>
    <x:row r="166" ht="44" customHeight="1">
      <x:c r="A166" s="28" t="str">
        <x:v>чеснок</x:v>
      </x:c>
      <x:c r="B166" s="28" t="n">
        <x:v>5</x:v>
      </x:c>
      <x:c r="C166" s="28" t="str">
        <x:v>моллюски</x:v>
      </x:c>
      <x:c r="D166" s="28" t="n">
        <x:v>10</x:v>
      </x:c>
      <x:c r="E166" s="28" t="str">
        <x:v>Высокая</x:v>
      </x:c>
      <x:c r="F166" s="28" t="n">
        <x:v>2</x:v>
      </x:c>
      <x:c r="G166" s="28" t="str">
        <x:v>пересечение ароматических семейств; умами и солёный контраст; сернистая или горчичная комплементарность</x:v>
      </x:c>
      <x:c r="H166" s="28" t="str">
        <x:v>горячее блюдо, бульон, соус, пюре, ферментация или гарнир с моллюски</x:v>
      </x:c>
      <x:c r="I166" s="28" t="str">
        <x:v>The Art &amp; Science of Foodpairing.pdf | Тезариус вкусов (Ники Сегнит)(1).pdf</x:v>
      </x:c>
      <x:c r="J166" s="28" t="str">
        <x:v>Тезариус вкусов (Ники Сегнит)(1).pdf: 296, 378; The Art &amp; Science of Foodpairing.pdf: 114</x:v>
      </x:c>
    </x:row>
    <x:row r="167" ht="44" customHeight="1">
      <x:c r="A167" s="28" t="str">
        <x:v>чеснок</x:v>
      </x:c>
      <x:c r="B167" s="28" t="n">
        <x:v>6</x:v>
      </x:c>
      <x:c r="C167" s="28" t="str">
        <x:v>розмарин</x:v>
      </x:c>
      <x:c r="D167" s="28" t="n">
        <x:v>10</x:v>
      </x:c>
      <x:c r="E167" s="28" t="str">
        <x:v>Высокая</x:v>
      </x:c>
      <x:c r="F167" s="28" t="n">
        <x:v>2</x:v>
      </x:c>
      <x:c r="G167" s="28" t="str">
        <x:v>сернистая или горчичная комплементарность</x:v>
      </x:c>
      <x:c r="H167" s="28" t="str">
        <x:v>горячее блюдо, бульон, соус, пюре, ферментация или гарнир с розмарин</x:v>
      </x:c>
      <x:c r="I167" s="28" t="str">
        <x:v>The Art &amp; Science of Foodpairing.pdf | Тезариус вкусов (Ники Сегнит)(1).pdf</x:v>
      </x:c>
      <x:c r="J167" s="28" t="str">
        <x:v>Тезариус вкусов (Ники Сегнит)(1).pdf: 297, 840; The Art &amp; Science of Foodpairing.pdf: 113</x:v>
      </x:c>
    </x:row>
    <x:row r="168" ht="44" customHeight="1">
      <x:c r="A168" s="28" t="str">
        <x:v>чеснок</x:v>
      </x:c>
      <x:c r="B168" s="28" t="n">
        <x:v>7</x:v>
      </x:c>
      <x:c r="C168" s="28" t="str">
        <x:v>тимьян</x:v>
      </x:c>
      <x:c r="D168" s="28" t="n">
        <x:v>10</x:v>
      </x:c>
      <x:c r="E168" s="28" t="str">
        <x:v>Высокая</x:v>
      </x:c>
      <x:c r="F168" s="28" t="n">
        <x:v>2</x:v>
      </x:c>
      <x:c r="G168" s="28" t="str">
        <x:v>сернистая или горчичная комплементарность</x:v>
      </x:c>
      <x:c r="H168" s="28" t="str">
        <x:v>горячее блюдо, бульон, соус, пюре, ферментация или гарнир с тимьян</x:v>
      </x:c>
      <x:c r="I168" s="28" t="str">
        <x:v>The Art &amp; Science of Foodpairing.pdf | Тезариус вкусов (Ники Сегнит)(1).pdf</x:v>
      </x:c>
      <x:c r="J168" s="28" t="str">
        <x:v>Тезариус вкусов (Ники Сегнит)(1).pdf: 210, 298, 862; The Art &amp; Science of Foodpairing.pdf: 114</x:v>
      </x:c>
    </x:row>
    <x:row r="169" ht="44" customHeight="1">
      <x:c r="A169" s="28" t="str">
        <x:v>чеснок</x:v>
      </x:c>
      <x:c r="B169" s="28" t="n">
        <x:v>8</x:v>
      </x:c>
      <x:c r="C169" s="28" t="str">
        <x:v>томат</x:v>
      </x:c>
      <x:c r="D169" s="28" t="n">
        <x:v>10</x:v>
      </x:c>
      <x:c r="E169" s="28" t="str">
        <x:v>Высокая</x:v>
      </x:c>
      <x:c r="F169" s="28" t="n">
        <x:v>2</x:v>
      </x:c>
      <x:c r="G169" s="28" t="str">
        <x:v>пересечение ароматических семейств; сернистая или горчичная комплементарность</x:v>
      </x:c>
      <x:c r="H169" s="28" t="str">
        <x:v>горячее блюдо, бульон, соус, пюре, ферментация или гарнир с томат</x:v>
      </x:c>
      <x:c r="I169" s="28" t="str">
        <x:v>The Art &amp; Science of Foodpairing.pdf | Тезариус вкусов (Ники Сегнит)(1).pdf</x:v>
      </x:c>
      <x:c r="J169" s="28" t="str">
        <x:v>Тезариус вкусов (Ники Сегнит)(1).pdf: 299, 690; The Art &amp; Science of Foodpairing.pdf: 114, 161</x:v>
      </x:c>
    </x:row>
    <x:row r="170" ht="44" customHeight="1">
      <x:c r="A170" s="28" t="str">
        <x:v>чеснок</x:v>
      </x:c>
      <x:c r="B170" s="28" t="n">
        <x:v>9</x:v>
      </x:c>
      <x:c r="C170" s="28" t="str">
        <x:v>цветная капуста</x:v>
      </x:c>
      <x:c r="D170" s="28" t="n">
        <x:v>10</x:v>
      </x:c>
      <x:c r="E170" s="28" t="str">
        <x:v>Высокая</x:v>
      </x:c>
      <x:c r="F170" s="28" t="n">
        <x:v>2</x:v>
      </x:c>
      <x:c r="G170" s="28" t="str">
        <x:v>общие характерные молекулы; пересечение ароматических семейств; сернистая или горчичная комплементарность</x:v>
      </x:c>
      <x:c r="H170" s="28" t="str">
        <x:v>горячее блюдо, бульон, соус, пюре, ферментация или гарнир с цветная капуста</x:v>
      </x:c>
      <x:c r="I170" s="28" t="str">
        <x:v>The Art &amp; Science of Foodpairing.pdf | Тезариус вкусов (Ники Сегнит)(1).pdf</x:v>
      </x:c>
      <x:c r="J170" s="28" t="str">
        <x:v>Тезариус вкусов (Ники Сегнит)(1).pdf: 299, 326; The Art &amp; Science of Foodpairing.pdf: 113</x:v>
      </x:c>
    </x:row>
    <x:row r="171" ht="44" customHeight="1">
      <x:c r="A171" s="28" t="str">
        <x:v>чеснок</x:v>
      </x:c>
      <x:c r="B171" s="28" t="n">
        <x:v>10</x:v>
      </x:c>
      <x:c r="C171" s="28" t="str">
        <x:v>хлеб</x:v>
      </x:c>
      <x:c r="D171" s="28" t="n">
        <x:v>8</x:v>
      </x:c>
      <x:c r="E171" s="28" t="str">
        <x:v>Высокая</x:v>
      </x:c>
      <x:c r="F171" s="28" t="n">
        <x:v>1</x:v>
      </x:c>
      <x:c r="G171" s="28" t="str">
        <x:v>пересечение ароматических семейств; сернистая или горчичная комплементарность</x:v>
      </x:c>
      <x:c r="H171" s="28" t="str">
        <x:v>горячее блюдо, бульон, соус, пюре, ферментация или гарнир с хлеб</x:v>
      </x:c>
      <x:c r="I171" s="28" t="str">
        <x:v>The Art &amp; Science of Foodpairing.pdf</x:v>
      </x:c>
      <x:c r="J171" s="28" t="str">
        <x:v>The Art &amp; Science of Foodpairing.pdf: 112, 114</x:v>
      </x:c>
    </x:row>
    <x:row r="172" ht="44" customHeight="1">
      <x:c r="A172" s="28" t="str">
        <x:v>чеснок</x:v>
      </x:c>
      <x:c r="B172" s="28" t="n">
        <x:v>11</x:v>
      </x:c>
      <x:c r="C172" s="28" t="str">
        <x:v>арахис</x:v>
      </x:c>
      <x:c r="D172" s="28" t="n">
        <x:v>7</x:v>
      </x:c>
      <x:c r="E172" s="28" t="str">
        <x:v>Средняя</x:v>
      </x:c>
      <x:c r="F172" s="28" t="n">
        <x:v>1</x:v>
      </x:c>
      <x:c r="G172" s="28" t="str">
        <x:v>пересечение ароматических семейств; сернистая или горчичная комплементарность</x:v>
      </x:c>
      <x:c r="H172" s="28" t="str">
        <x:v>горячее блюдо, бульон, соус, пюре, ферментация или гарнир с арахис</x:v>
      </x:c>
      <x:c r="I172" s="28" t="str">
        <x:v>The Art &amp; Science of Foodpairing.pdf</x:v>
      </x:c>
      <x:c r="J172" s="28" t="str">
        <x:v>The Art &amp; Science of Foodpairing.pdf: 113, 114</x:v>
      </x:c>
    </x:row>
    <x:row r="173" ht="44" customHeight="1">
      <x:c r="A173" s="28" t="str">
        <x:v>чеснок</x:v>
      </x:c>
      <x:c r="B173" s="28" t="n">
        <x:v>12</x:v>
      </x:c>
      <x:c r="C173" s="28" t="str">
        <x:v>болгарский перец</x:v>
      </x:c>
      <x:c r="D173" s="28" t="n">
        <x:v>7</x:v>
      </x:c>
      <x:c r="E173" s="28" t="str">
        <x:v>Высокая</x:v>
      </x:c>
      <x:c r="F173" s="28" t="n">
        <x:v>1</x:v>
      </x:c>
      <x:c r="G173" s="28" t="str">
        <x:v>сернистая или горчичная комплементарность</x:v>
      </x:c>
      <x:c r="H173" s="28" t="str">
        <x:v>горячее блюдо, бульон, соус, пюре, ферментация или гарнир с болгарский перец</x:v>
      </x:c>
      <x:c r="I173" s="28" t="str">
        <x:v>The Art &amp; Science of Foodpairing.pdf</x:v>
      </x:c>
      <x:c r="J173" s="28" t="str">
        <x:v>The Art &amp; Science of Foodpairing.pdf: 109, 113</x:v>
      </x:c>
    </x:row>
    <x:row r="174" ht="44" customHeight="1">
      <x:c r="A174" s="28" t="str">
        <x:v>чеснок</x:v>
      </x:c>
      <x:c r="B174" s="28" t="n">
        <x:v>13</x:v>
      </x:c>
      <x:c r="C174" s="28" t="str">
        <x:v>клубника</x:v>
      </x:c>
      <x:c r="D174" s="28" t="n">
        <x:v>7</x:v>
      </x:c>
      <x:c r="E174" s="28" t="str">
        <x:v>Высокая</x:v>
      </x:c>
      <x:c r="F174" s="28" t="n">
        <x:v>1</x:v>
      </x:c>
      <x:c r="G174" s="28" t="str">
        <x:v>кислотно-сладкий баланс; сернистая или горчичная комплементарность</x:v>
      </x:c>
      <x:c r="H174" s="28" t="str">
        <x:v>горячее блюдо, бульон, соус, пюре, ферментация или гарнир с клубника</x:v>
      </x:c>
      <x:c r="I174" s="28" t="str">
        <x:v>The Art &amp; Science of Foodpairing.pdf</x:v>
      </x:c>
      <x:c r="J174" s="28" t="str">
        <x:v>The Art &amp; Science of Foodpairing.pdf: 112, 113</x:v>
      </x:c>
    </x:row>
    <x:row r="175" ht="44" customHeight="1">
      <x:c r="A175" s="28" t="str">
        <x:v>чеснок</x:v>
      </x:c>
      <x:c r="B175" s="28" t="n">
        <x:v>14</x:v>
      </x:c>
      <x:c r="C175" s="28" t="str">
        <x:v>петрушка</x:v>
      </x:c>
      <x:c r="D175" s="28" t="n">
        <x:v>7</x:v>
      </x:c>
      <x:c r="E175" s="28" t="str">
        <x:v>Средняя</x:v>
      </x:c>
      <x:c r="F175" s="28" t="n">
        <x:v>1</x:v>
      </x:c>
      <x:c r="G175" s="28" t="str">
        <x:v>сернистая или горчичная комплементарность</x:v>
      </x:c>
      <x:c r="H175" s="28" t="str">
        <x:v>горячее блюдо, бульон, соус, пюре, ферментация или гарнир с петрушка</x:v>
      </x:c>
      <x:c r="I175" s="28" t="str">
        <x:v>Тезариус вкусов (Ники Сегнит)(1).pdf</x:v>
      </x:c>
      <x:c r="J175" s="28" t="str">
        <x:v>Тезариус вкусов (Ники Сегнит)(1).pdf: 297, 511, 806</x:v>
      </x:c>
    </x:row>
    <x:row r="176" ht="44" customHeight="1">
      <x:c r="A176" s="28" t="str">
        <x:v>чеснок</x:v>
      </x:c>
      <x:c r="B176" s="28" t="n">
        <x:v>15</x:v>
      </x:c>
      <x:c r="C176" s="28" t="str">
        <x:v>сыр</x:v>
      </x:c>
      <x:c r="D176" s="28" t="n">
        <x:v>7</x:v>
      </x:c>
      <x:c r="E176" s="28" t="str">
        <x:v>Средняя</x:v>
      </x:c>
      <x:c r="F176" s="28" t="n">
        <x:v>1</x:v>
      </x:c>
      <x:c r="G176" s="28" t="str">
        <x:v>пересечение ароматических семейств; жировая матрица; сернистая или горчичная комплементарность</x:v>
      </x:c>
      <x:c r="H176" s="28" t="str">
        <x:v>горячее блюдо, бульон, соус, пюре, ферментация или гарнир с сыр</x:v>
      </x:c>
      <x:c r="I176" s="28" t="str">
        <x:v>The Art &amp; Science of Foodpairing.pdf</x:v>
      </x:c>
      <x:c r="J176" s="28" t="str">
        <x:v>The Art &amp; Science of Foodpairing.pdf: 113, 114</x:v>
      </x:c>
    </x:row>
    <x:row r="177" ht="44" customHeight="1">
      <x:c r="A177" s="28" t="str">
        <x:v>чеснок</x:v>
      </x:c>
      <x:c r="B177" s="28" t="n">
        <x:v>16</x:v>
      </x:c>
      <x:c r="C177" s="28" t="str">
        <x:v>тамаринд</x:v>
      </x:c>
      <x:c r="D177" s="28" t="n">
        <x:v>7</x:v>
      </x:c>
      <x:c r="E177" s="28" t="str">
        <x:v>Высокая</x:v>
      </x:c>
      <x:c r="F177" s="28" t="n">
        <x:v>1</x:v>
      </x:c>
      <x:c r="G177" s="28" t="str">
        <x:v>сернистая или горчичная комплементарность</x:v>
      </x:c>
      <x:c r="H177" s="28" t="str">
        <x:v>горячее блюдо, бульон, соус, пюре, ферментация или гарнир с тамаринд</x:v>
      </x:c>
      <x:c r="I177" s="28" t="str">
        <x:v>The Art &amp; Science of Foodpairing.pdf</x:v>
      </x:c>
      <x:c r="J177" s="28" t="str">
        <x:v>The Art &amp; Science of Foodpairing.pdf: 114</x:v>
      </x:c>
    </x:row>
    <x:row r="178" ht="44" customHeight="1">
      <x:c r="A178" s="28" t="str">
        <x:v>чеснок</x:v>
      </x:c>
      <x:c r="B178" s="28" t="n">
        <x:v>17</x:v>
      </x:c>
      <x:c r="C178" s="28" t="str">
        <x:v>фундук</x:v>
      </x:c>
      <x:c r="D178" s="28" t="n">
        <x:v>7</x:v>
      </x:c>
      <x:c r="E178" s="28" t="str">
        <x:v>Средняя</x:v>
      </x:c>
      <x:c r="F178" s="28" t="n">
        <x:v>1</x:v>
      </x:c>
      <x:c r="G178" s="28" t="str">
        <x:v>пересечение ароматических семейств; сернистая или горчичная комплементарность</x:v>
      </x:c>
      <x:c r="H178" s="28" t="str">
        <x:v>горячее блюдо, бульон, соус, пюре, ферментация или гарнир с фундук</x:v>
      </x:c>
      <x:c r="I178" s="28" t="str">
        <x:v>Тезариус вкусов (Ники Сегнит)(1).pdf</x:v>
      </x:c>
      <x:c r="J178" s="28" t="str">
        <x:v>Тезариус вкусов (Ники Сегнит)(1).pdf: 299, 377, 638</x:v>
      </x:c>
    </x:row>
    <x:row r="179" ht="44" customHeight="1">
      <x:c r="A179" s="28" t="str">
        <x:v>чеснок</x:v>
      </x:c>
      <x:c r="B179" s="28" t="n">
        <x:v>18</x:v>
      </x:c>
      <x:c r="C179" s="28" t="str">
        <x:v>цветок акмеллы</x:v>
      </x:c>
      <x:c r="D179" s="28" t="n">
        <x:v>7</x:v>
      </x:c>
      <x:c r="E179" s="28" t="str">
        <x:v>Высокая</x:v>
      </x:c>
      <x:c r="F179" s="28" t="n">
        <x:v>1</x:v>
      </x:c>
      <x:c r="G179" s="28" t="str">
        <x:v>сернистая или горчичная комплементарность</x:v>
      </x:c>
      <x:c r="H179" s="28" t="str">
        <x:v>горячее блюдо, бульон, соус, пюре, ферментация или гарнир с цветок акмеллы</x:v>
      </x:c>
      <x:c r="I179" s="28" t="str">
        <x:v>The Art &amp; Science of Foodpairing.pdf</x:v>
      </x:c>
      <x:c r="J179" s="28" t="str">
        <x:v>The Art &amp; Science of Foodpairing.pdf: 113</x:v>
      </x:c>
    </x:row>
    <x:row r="180" ht="44" customHeight="1">
      <x:c r="A180" s="28" t="str">
        <x:v>чеснок</x:v>
      </x:c>
      <x:c r="B180" s="28" t="n">
        <x:v>19</x:v>
      </x:c>
      <x:c r="C180" s="28" t="str">
        <x:v>анчоусы</x:v>
      </x:c>
      <x:c r="D180" s="28" t="n">
        <x:v>6</x:v>
      </x:c>
      <x:c r="E180" s="28" t="str">
        <x:v>Средняя</x:v>
      </x:c>
      <x:c r="F180" s="28" t="n">
        <x:v>1</x:v>
      </x:c>
      <x:c r="G180" s="28" t="str">
        <x:v>пересечение ароматических семейств; умами и солёный контраст; сернистая или горчичная комплементарность</x:v>
      </x:c>
      <x:c r="H180" s="28" t="str">
        <x:v>горячее блюдо, бульон, соус, пюре, ферментация или гарнир с анчоусы</x:v>
      </x:c>
      <x:c r="I180" s="28" t="str">
        <x:v>Тезариус вкусов (Ники Сегнит)(1).pdf</x:v>
      </x:c>
      <x:c r="J180" s="28" t="str">
        <x:v>Тезариус вкусов (Ники Сегнит)(1).pdf: 291, 431</x:v>
      </x:c>
    </x:row>
    <x:row r="181" ht="44" customHeight="1">
      <x:c r="A181" s="28" t="str">
        <x:v>чеснок</x:v>
      </x:c>
      <x:c r="B181" s="28" t="n">
        <x:v>20</x:v>
      </x:c>
      <x:c r="C181" s="28" t="str">
        <x:v>базилик</x:v>
      </x:c>
      <x:c r="D181" s="28" t="n">
        <x:v>6</x:v>
      </x:c>
      <x:c r="E181" s="28" t="str">
        <x:v>Средняя</x:v>
      </x:c>
      <x:c r="F181" s="28" t="n">
        <x:v>1</x:v>
      </x:c>
      <x:c r="G181" s="28" t="str">
        <x:v>сернистая или горчичная комплементарность</x:v>
      </x:c>
      <x:c r="H181" s="28" t="str">
        <x:v>горячее блюдо, бульон, соус, пюре, ферментация или гарнир с базилик</x:v>
      </x:c>
      <x:c r="I181" s="28" t="str">
        <x:v>Тезариус вкусов (Ники Сегнит)(1).pdf</x:v>
      </x:c>
      <x:c r="J181" s="28" t="str">
        <x:v>Тезариус вкусов (Ники Сегнит)(1).pdf: 291, 570</x:v>
      </x:c>
    </x:row>
    <x:row r="182" ht="44" customHeight="1">
      <x:c r="A182" s="28" t="str">
        <x:v>капуста</x:v>
      </x:c>
      <x:c r="B182" s="28" t="n">
        <x:v>1</x:v>
      </x:c>
      <x:c r="C182" s="28" t="str">
        <x:v>голубой сыр</x:v>
      </x:c>
      <x:c r="D182" s="28" t="n">
        <x:v>10</x:v>
      </x:c>
      <x:c r="E182" s="28" t="str">
        <x:v>Высокая</x:v>
      </x:c>
      <x:c r="F182" s="28" t="n">
        <x:v>2</x:v>
      </x:c>
      <x:c r="G182" s="28" t="str">
        <x:v>жировая матрица; сернистая или горчичная комплементарность</x:v>
      </x:c>
      <x:c r="H182" s="28" t="str">
        <x:v>горячее блюдо, бульон, соус, пюре, ферментация или гарнир с голубой сыр</x:v>
      </x:c>
      <x:c r="I182" s="28" t="str">
        <x:v>The Art &amp; Science of Foodpairing.pdf | Тезариус вкусов (Ники Сегнит)(1).pdf</x:v>
      </x:c>
      <x:c r="J182" s="28" t="str">
        <x:v>Тезариус вкусов (Ники Сегнит)(1).pdf: 159, 311; The Art &amp; Science of Foodpairing.pdf: 164</x:v>
      </x:c>
    </x:row>
    <x:row r="183" ht="44" customHeight="1">
      <x:c r="A183" s="28" t="str">
        <x:v>капуста</x:v>
      </x:c>
      <x:c r="B183" s="28" t="n">
        <x:v>2</x:v>
      </x:c>
      <x:c r="C183" s="28" t="str">
        <x:v>имбирь</x:v>
      </x:c>
      <x:c r="D183" s="28" t="n">
        <x:v>10</x:v>
      </x:c>
      <x:c r="E183" s="28" t="str">
        <x:v>Высокая</x:v>
      </x:c>
      <x:c r="F183" s="28" t="n">
        <x:v>2</x:v>
      </x:c>
      <x:c r="G183" s="28" t="str">
        <x:v>сернистая или горчичная комплементарность</x:v>
      </x:c>
      <x:c r="H183" s="28" t="str">
        <x:v>горячее блюдо, бульон, соус, пюре, ферментация или гарнир с имбирь</x:v>
      </x:c>
      <x:c r="I183" s="28" t="str">
        <x:v>The Art &amp; Science of Foodpairing.pdf | Тезариус вкусов (Ники Сегнит)(1).pdf</x:v>
      </x:c>
      <x:c r="J183" s="28" t="str">
        <x:v>Тезариус вкусов (Ники Сегнит)(1).pdf: 311, 815; The Art &amp; Science of Foodpairing.pdf: 142</x:v>
      </x:c>
    </x:row>
    <x:row r="184" ht="44" customHeight="1">
      <x:c r="A184" s="28" t="str">
        <x:v>капуста</x:v>
      </x:c>
      <x:c r="B184" s="28" t="n">
        <x:v>3</x:v>
      </x:c>
      <x:c r="C184" s="28" t="str">
        <x:v>арбуз</x:v>
      </x:c>
      <x:c r="D184" s="28" t="n">
        <x:v>6</x:v>
      </x:c>
      <x:c r="E184" s="28" t="str">
        <x:v>Средняя</x:v>
      </x:c>
      <x:c r="F184" s="28" t="n">
        <x:v>1</x:v>
      </x:c>
      <x:c r="G184" s="28" t="str">
        <x:v>сернистая или горчичная комплементарность</x:v>
      </x:c>
      <x:c r="H184" s="28" t="str">
        <x:v>горячее блюдо, бульон, соус, пюре, ферментация или гарнир с арбуз</x:v>
      </x:c>
      <x:c r="I184" s="28" t="str">
        <x:v>The Art &amp; Science of Foodpairing.pdf</x:v>
      </x:c>
      <x:c r="J184" s="28" t="str">
        <x:v>The Art &amp; Science of Foodpairing.pdf: 78</x:v>
      </x:c>
    </x:row>
    <x:row r="185" ht="44" customHeight="1">
      <x:c r="A185" s="28" t="str">
        <x:v>капуста</x:v>
      </x:c>
      <x:c r="B185" s="28" t="n">
        <x:v>4</x:v>
      </x:c>
      <x:c r="C185" s="28" t="str">
        <x:v>баранина</x:v>
      </x:c>
      <x:c r="D185" s="28" t="n">
        <x:v>6</x:v>
      </x:c>
      <x:c r="E185" s="28" t="str">
        <x:v>Средняя</x:v>
      </x:c>
      <x:c r="F185" s="28" t="n">
        <x:v>1</x:v>
      </x:c>
      <x:c r="G185" s="28" t="str">
        <x:v>умами и солёный контраст; сернистая или горчичная комплементарность</x:v>
      </x:c>
      <x:c r="H185" s="28" t="str">
        <x:v>горячее блюдо, бульон, соус, пюре, ферментация или гарнир с баранина</x:v>
      </x:c>
      <x:c r="I185" s="28" t="str">
        <x:v>Тезариус вкусов (Ники Сегнит)(1).pdf</x:v>
      </x:c>
      <x:c r="J185" s="28" t="str">
        <x:v>Тезариус вкусов (Ники Сегнит)(1).pdf: 129, 309</x:v>
      </x:c>
    </x:row>
    <x:row r="186" ht="44" customHeight="1">
      <x:c r="A186" s="28" t="str">
        <x:v>капуста</x:v>
      </x:c>
      <x:c r="B186" s="28" t="n">
        <x:v>5</x:v>
      </x:c>
      <x:c r="C186" s="28" t="str">
        <x:v>бекон</x:v>
      </x:c>
      <x:c r="D186" s="28" t="n">
        <x:v>6</x:v>
      </x:c>
      <x:c r="E186" s="28" t="str">
        <x:v>Средняя</x:v>
      </x:c>
      <x:c r="F186" s="28" t="n">
        <x:v>1</x:v>
      </x:c>
      <x:c r="G186" s="28" t="str">
        <x:v>умами и солёный контраст; сернистая или горчичная комплементарность</x:v>
      </x:c>
      <x:c r="H186" s="28" t="str">
        <x:v>горячее блюдо, бульон, соус, пюре, ферментация или гарнир с бекон</x:v>
      </x:c>
      <x:c r="I186" s="28" t="str">
        <x:v>Тезариус вкусов (Ники Сегнит)(1).pdf</x:v>
      </x:c>
      <x:c r="J186" s="28" t="str">
        <x:v>Тезариус вкусов (Ники Сегнит)(1).pdf: 309, 445</x:v>
      </x:c>
    </x:row>
    <x:row r="187" ht="44" customHeight="1">
      <x:c r="A187" s="28" t="str">
        <x:v>капуста</x:v>
      </x:c>
      <x:c r="B187" s="28" t="n">
        <x:v>6</x:v>
      </x:c>
      <x:c r="C187" s="28" t="str">
        <x:v>говядина</x:v>
      </x:c>
      <x:c r="D187" s="28" t="n">
        <x:v>6</x:v>
      </x:c>
      <x:c r="E187" s="28" t="str">
        <x:v>Средняя</x:v>
      </x:c>
      <x:c r="F187" s="28" t="n">
        <x:v>1</x:v>
      </x:c>
      <x:c r="G187" s="28" t="str">
        <x:v>умами и солёный контраст; сернистая или горчичная комплементарность</x:v>
      </x:c>
      <x:c r="H187" s="28" t="str">
        <x:v>горячее блюдо, бульон, соус, пюре, ферментация или гарнир с говядина</x:v>
      </x:c>
      <x:c r="I187" s="28" t="str">
        <x:v>Тезариус вкусов (Ники Сегнит)(1).pdf</x:v>
      </x:c>
      <x:c r="J187" s="28" t="str">
        <x:v>Тезариус вкусов (Ники Сегнит)(1).pdf: 111, 311</x:v>
      </x:c>
    </x:row>
    <x:row r="188" ht="44" customHeight="1">
      <x:c r="A188" s="28" t="str">
        <x:v>капуста</x:v>
      </x:c>
      <x:c r="B188" s="28" t="n">
        <x:v>7</x:v>
      </x:c>
      <x:c r="C188" s="28" t="str">
        <x:v>каштаны</x:v>
      </x:c>
      <x:c r="D188" s="28" t="n">
        <x:v>6</x:v>
      </x:c>
      <x:c r="E188" s="28" t="str">
        <x:v>Средняя</x:v>
      </x:c>
      <x:c r="F188" s="28" t="n">
        <x:v>1</x:v>
      </x:c>
      <x:c r="G188" s="28" t="str">
        <x:v>сернистая или горчичная комплементарность</x:v>
      </x:c>
      <x:c r="H188" s="28" t="str">
        <x:v>горячее блюдо, бульон, соус, пюре, ферментация или гарнир с каштаны</x:v>
      </x:c>
      <x:c r="I188" s="28" t="str">
        <x:v>Тезариус вкусов (Ники Сегнит)(1).pdf</x:v>
      </x:c>
      <x:c r="J188" s="28" t="str">
        <x:v>Тезариус вкусов (Ники Сегнит)(1).pdf: 311, 617</x:v>
      </x:c>
    </x:row>
    <x:row r="189" ht="44" customHeight="1">
      <x:c r="A189" s="28" t="str">
        <x:v>капуста</x:v>
      </x:c>
      <x:c r="B189" s="28" t="n">
        <x:v>8</x:v>
      </x:c>
      <x:c r="C189" s="28" t="str">
        <x:v>копченая рыба</x:v>
      </x:c>
      <x:c r="D189" s="28" t="n">
        <x:v>6</x:v>
      </x:c>
      <x:c r="E189" s="28" t="str">
        <x:v>Средняя</x:v>
      </x:c>
      <x:c r="F189" s="28" t="n">
        <x:v>1</x:v>
      </x:c>
      <x:c r="G189" s="28" t="str">
        <x:v>умами и солёный контраст; сернистая или горчичная комплементарность</x:v>
      </x:c>
      <x:c r="H189" s="28" t="str">
        <x:v>горячее блюдо, бульон, соус, пюре, ферментация или гарнир с копченая рыба</x:v>
      </x:c>
      <x:c r="I189" s="28" t="str">
        <x:v>Тезариус вкусов (Ники Сегнит)(1).pdf</x:v>
      </x:c>
      <x:c r="J189" s="28" t="str">
        <x:v>Тезариус вкусов (Ники Сегнит)(1).pdf: 311, 435</x:v>
      </x:c>
    </x:row>
    <x:row r="190" ht="44" customHeight="1">
      <x:c r="A190" s="28" t="str">
        <x:v>капуста</x:v>
      </x:c>
      <x:c r="B190" s="28" t="n">
        <x:v>9</x:v>
      </x:c>
      <x:c r="C190" s="28" t="str">
        <x:v>корица и кассия</x:v>
      </x:c>
      <x:c r="D190" s="28" t="n">
        <x:v>6</x:v>
      </x:c>
      <x:c r="E190" s="28" t="str">
        <x:v>Средняя</x:v>
      </x:c>
      <x:c r="F190" s="28" t="n">
        <x:v>1</x:v>
      </x:c>
      <x:c r="G190" s="28" t="str">
        <x:v>сернистая или горчичная комплементарность</x:v>
      </x:c>
      <x:c r="H190" s="28" t="str">
        <x:v>горячее блюдо, бульон, соус, пюре, ферментация или гарнир с корица и кассия</x:v>
      </x:c>
      <x:c r="I190" s="28" t="str">
        <x:v>The Art &amp; Science of Foodpairing.pdf</x:v>
      </x:c>
      <x:c r="J190" s="28" t="str">
        <x:v>The Art &amp; Science of Foodpairing.pdf: 130</x:v>
      </x:c>
    </x:row>
    <x:row r="191" ht="44" customHeight="1">
      <x:c r="A191" s="28" t="str">
        <x:v>капуста</x:v>
      </x:c>
      <x:c r="B191" s="28" t="n">
        <x:v>10</x:v>
      </x:c>
      <x:c r="C191" s="28" t="str">
        <x:v>кунжут</x:v>
      </x:c>
      <x:c r="D191" s="28" t="n">
        <x:v>6</x:v>
      </x:c>
      <x:c r="E191" s="28" t="str">
        <x:v>Высокая</x:v>
      </x:c>
      <x:c r="F191" s="28" t="n">
        <x:v>1</x:v>
      </x:c>
      <x:c r="G191" s="28" t="str">
        <x:v>сернистая или горчичная комплементарность</x:v>
      </x:c>
      <x:c r="H191" s="28" t="str">
        <x:v>горячее блюдо, бульон, соус, пюре, ферментация или гарнир с кунжут</x:v>
      </x:c>
      <x:c r="I191" s="28" t="str">
        <x:v>The Art &amp; Science of Foodpairing.pdf</x:v>
      </x:c>
      <x:c r="J191" s="28" t="str">
        <x:v>The Art &amp; Science of Foodpairing.pdf: 308</x:v>
      </x:c>
    </x:row>
    <x:row r="192" ht="44" customHeight="1">
      <x:c r="A192" s="28" t="str">
        <x:v>капуста</x:v>
      </x:c>
      <x:c r="B192" s="28" t="n">
        <x:v>11</x:v>
      </x:c>
      <x:c r="C192" s="28" t="str">
        <x:v>можжевельник</x:v>
      </x:c>
      <x:c r="D192" s="28" t="n">
        <x:v>6</x:v>
      </x:c>
      <x:c r="E192" s="28" t="str">
        <x:v>Средняя</x:v>
      </x:c>
      <x:c r="F192" s="28" t="n">
        <x:v>1</x:v>
      </x:c>
      <x:c r="G192" s="28" t="str">
        <x:v>сернистая или горчичная комплементарность</x:v>
      </x:c>
      <x:c r="H192" s="28" t="str">
        <x:v>горячее блюдо, бульон, соус, пюре, ферментация или гарнир с можжевельник</x:v>
      </x:c>
      <x:c r="I192" s="28" t="str">
        <x:v>Тезариус вкусов (Ники Сегнит)(1).pdf</x:v>
      </x:c>
      <x:c r="J192" s="28" t="str">
        <x:v>Тезариус вкусов (Ники Сегнит)(1).pdf: 312, 850</x:v>
      </x:c>
    </x:row>
    <x:row r="193" ht="44" customHeight="1">
      <x:c r="A193" s="28" t="str">
        <x:v>капуста</x:v>
      </x:c>
      <x:c r="B193" s="28" t="n">
        <x:v>12</x:v>
      </x:c>
      <x:c r="C193" s="28" t="str">
        <x:v>моллюски</x:v>
      </x:c>
      <x:c r="D193" s="28" t="n">
        <x:v>6</x:v>
      </x:c>
      <x:c r="E193" s="28" t="str">
        <x:v>Средняя</x:v>
      </x:c>
      <x:c r="F193" s="28" t="n">
        <x:v>1</x:v>
      </x:c>
      <x:c r="G193" s="28" t="str">
        <x:v>умами и солёный контраст; сернистая или горчичная комплементарность</x:v>
      </x:c>
      <x:c r="H193" s="28" t="str">
        <x:v>горячее блюдо, бульон, соус, пюре, ферментация или гарнир с моллюски</x:v>
      </x:c>
      <x:c r="I193" s="28" t="str">
        <x:v>Тезариус вкусов (Ники Сегнит)(1).pdf</x:v>
      </x:c>
      <x:c r="J193" s="28" t="str">
        <x:v>Тезариус вкусов (Ники Сегнит)(1).pdf: 312, 370</x:v>
      </x:c>
    </x:row>
    <x:row r="194" ht="44" customHeight="1">
      <x:c r="A194" s="28" t="str">
        <x:v>капуста</x:v>
      </x:c>
      <x:c r="B194" s="28" t="n">
        <x:v>13</x:v>
      </x:c>
      <x:c r="C194" s="28" t="str">
        <x:v>морковь</x:v>
      </x:c>
      <x:c r="D194" s="28" t="n">
        <x:v>6</x:v>
      </x:c>
      <x:c r="E194" s="28" t="str">
        <x:v>Средняя</x:v>
      </x:c>
      <x:c r="F194" s="28" t="n">
        <x:v>1</x:v>
      </x:c>
      <x:c r="G194" s="28" t="str">
        <x:v>сернистая или горчичная комплементарность</x:v>
      </x:c>
      <x:c r="H194" s="28" t="str">
        <x:v>горячее блюдо, бульон, соус, пюре, ферментация или гарнир с морковь</x:v>
      </x:c>
      <x:c r="I194" s="28" t="str">
        <x:v>Тезариус вкусов (Ники Сегнит)(1).pdf</x:v>
      </x:c>
      <x:c r="J194" s="28" t="str">
        <x:v>Тезариус вкусов (Ники Сегнит)(1).pdf: 313, 603</x:v>
      </x:c>
    </x:row>
    <x:row r="195" ht="44" customHeight="1">
      <x:c r="A195" s="28" t="str">
        <x:v>капуста</x:v>
      </x:c>
      <x:c r="B195" s="28" t="n">
        <x:v>14</x:v>
      </x:c>
      <x:c r="C195" s="28" t="str">
        <x:v>мускатный орех</x:v>
      </x:c>
      <x:c r="D195" s="28" t="n">
        <x:v>6</x:v>
      </x:c>
      <x:c r="E195" s="28" t="str">
        <x:v>Средняя</x:v>
      </x:c>
      <x:c r="F195" s="28" t="n">
        <x:v>1</x:v>
      </x:c>
      <x:c r="G195" s="28" t="str">
        <x:v>умами и солёный контраст; сернистая или горчичная комплементарность</x:v>
      </x:c>
      <x:c r="H195" s="28" t="str">
        <x:v>горячее блюдо, бульон, соус, пюре, ферментация или гарнир с мускатный орех</x:v>
      </x:c>
      <x:c r="I195" s="28" t="str">
        <x:v>Тезариус вкусов (Ники Сегнит)(1).pdf</x:v>
      </x:c>
      <x:c r="J195" s="28" t="str">
        <x:v>Тезариус вкусов (Ники Сегнит)(1).pdf: 313, 588</x:v>
      </x:c>
    </x:row>
    <x:row r="196" ht="44" customHeight="1">
      <x:c r="A196" s="28" t="str">
        <x:v>капуста</x:v>
      </x:c>
      <x:c r="B196" s="28" t="n">
        <x:v>15</x:v>
      </x:c>
      <x:c r="C196" s="28" t="str">
        <x:v>свинина</x:v>
      </x:c>
      <x:c r="D196" s="28" t="n">
        <x:v>6</x:v>
      </x:c>
      <x:c r="E196" s="28" t="str">
        <x:v>Средняя</x:v>
      </x:c>
      <x:c r="F196" s="28" t="n">
        <x:v>1</x:v>
      </x:c>
      <x:c r="G196" s="28" t="str">
        <x:v>умами и солёный контраст; сернистая или горчичная комплементарность</x:v>
      </x:c>
      <x:c r="H196" s="28" t="str">
        <x:v>горячее блюдо, бульон, соус, пюре, ферментация или гарнир с свинина</x:v>
      </x:c>
      <x:c r="I196" s="28" t="str">
        <x:v>Тезариус вкусов (Ники Сегнит)(1).pdf</x:v>
      </x:c>
      <x:c r="J196" s="28" t="str">
        <x:v>Тезариус вкусов (Ники Сегнит)(1).pdf: 84, 313</x:v>
      </x:c>
    </x:row>
    <x:row r="197" ht="44" customHeight="1">
      <x:c r="A197" s="28" t="str">
        <x:v>капуста</x:v>
      </x:c>
      <x:c r="B197" s="28" t="n">
        <x:v>16</x:v>
      </x:c>
      <x:c r="C197" s="28" t="str">
        <x:v>соевый соус</x:v>
      </x:c>
      <x:c r="D197" s="28" t="n">
        <x:v>6</x:v>
      </x:c>
      <x:c r="E197" s="28" t="str">
        <x:v>Высокая</x:v>
      </x:c>
      <x:c r="F197" s="28" t="n">
        <x:v>1</x:v>
      </x:c>
      <x:c r="G197" s="28" t="str">
        <x:v>умами и солёный контраст; сернистая или горчичная комплементарность</x:v>
      </x:c>
      <x:c r="H197" s="28" t="str">
        <x:v>горячее блюдо, бульон, соус, пюре, ферментация или гарнир с соевый соус</x:v>
      </x:c>
      <x:c r="I197" s="28" t="str">
        <x:v>The Art &amp; Science of Foodpairing.pdf</x:v>
      </x:c>
      <x:c r="J197" s="28" t="str">
        <x:v>The Art &amp; Science of Foodpairing.pdf: 301</x:v>
      </x:c>
    </x:row>
    <x:row r="198" ht="44" customHeight="1">
      <x:c r="A198" s="28" t="str">
        <x:v>капуста</x:v>
      </x:c>
      <x:c r="B198" s="28" t="n">
        <x:v>17</x:v>
      </x:c>
      <x:c r="C198" s="28" t="str">
        <x:v>трюфель</x:v>
      </x:c>
      <x:c r="D198" s="28" t="n">
        <x:v>6</x:v>
      </x:c>
      <x:c r="E198" s="28" t="str">
        <x:v>Средняя</x:v>
      </x:c>
      <x:c r="F198" s="28" t="n">
        <x:v>1</x:v>
      </x:c>
      <x:c r="G198" s="28" t="str">
        <x:v>умами и солёный контраст; сернистая или горчичная комплементарность</x:v>
      </x:c>
      <x:c r="H198" s="28" t="str">
        <x:v>горячее блюдо, бульон, соус, пюре, ферментация или гарнир с трюфель</x:v>
      </x:c>
      <x:c r="I198" s="28" t="str">
        <x:v>Тезариус вкусов (Ники Сегнит)(1).pdf</x:v>
      </x:c>
      <x:c r="J198" s="28" t="str">
        <x:v>Тезариус вкусов (Ники Сегнит)(1).pdf: 302, 315</x:v>
      </x:c>
    </x:row>
    <x:row r="199" ht="44" customHeight="1">
      <x:c r="A199" s="28" t="str">
        <x:v>капуста</x:v>
      </x:c>
      <x:c r="B199" s="28" t="n">
        <x:v>18</x:v>
      </x:c>
      <x:c r="C199" s="28" t="str">
        <x:v>цыпленок</x:v>
      </x:c>
      <x:c r="D199" s="28" t="n">
        <x:v>6</x:v>
      </x:c>
      <x:c r="E199" s="28" t="str">
        <x:v>Средняя</x:v>
      </x:c>
      <x:c r="F199" s="28" t="n">
        <x:v>1</x:v>
      </x:c>
      <x:c r="G199" s="28" t="str">
        <x:v>сернистая или горчичная комплементарность</x:v>
      </x:c>
      <x:c r="H199" s="28" t="str">
        <x:v>горячее блюдо, бульон, соус, пюре, ферментация или гарнир с цыпленок</x:v>
      </x:c>
      <x:c r="I199" s="28" t="str">
        <x:v>Тезариус вкусов (Ники Сегнит)(1).pdf</x:v>
      </x:c>
      <x:c r="J199" s="28" t="str">
        <x:v>Тезариус вкусов (Ники Сегнит)(1).pdf: 67, 315</x:v>
      </x:c>
    </x:row>
    <x:row r="200" ht="44" customHeight="1">
      <x:c r="A200" s="28" t="str">
        <x:v>капуста</x:v>
      </x:c>
      <x:c r="B200" s="28" t="n">
        <x:v>19</x:v>
      </x:c>
      <x:c r="C200" s="28" t="str">
        <x:v>чили</x:v>
      </x:c>
      <x:c r="D200" s="28" t="n">
        <x:v>6</x:v>
      </x:c>
      <x:c r="E200" s="28" t="str">
        <x:v>Средняя</x:v>
      </x:c>
      <x:c r="F200" s="28" t="n">
        <x:v>1</x:v>
      </x:c>
      <x:c r="G200" s="28" t="str">
        <x:v>сернистая или горчичная комплементарность</x:v>
      </x:c>
      <x:c r="H200" s="28" t="str">
        <x:v>горячее блюдо, бульон, соус, пюре, ферментация или гарнир с чили</x:v>
      </x:c>
      <x:c r="I200" s="28" t="str">
        <x:v>Тезариус вкусов (Ники Сегнит)(1).pdf</x:v>
      </x:c>
      <x:c r="J200" s="28" t="str">
        <x:v>Тезариус вкусов (Ники Сегнит)(1).pdf: 317, 554</x:v>
      </x:c>
    </x:row>
    <x:row r="201" ht="44" customHeight="1">
      <x:c r="A201" s="28" t="str">
        <x:v>капуста</x:v>
      </x:c>
      <x:c r="B201" s="28" t="n">
        <x:v>20</x:v>
      </x:c>
      <x:c r="C201" s="28" t="str">
        <x:v>чоризо</x:v>
      </x:c>
      <x:c r="D201" s="28" t="n">
        <x:v>6</x:v>
      </x:c>
      <x:c r="E201" s="28" t="str">
        <x:v>Средняя</x:v>
      </x:c>
      <x:c r="F201" s="28" t="n">
        <x:v>1</x:v>
      </x:c>
      <x:c r="G201" s="28" t="str">
        <x:v>сернистая или горчичная комплементарность</x:v>
      </x:c>
      <x:c r="H201" s="28" t="str">
        <x:v>горячее блюдо, бульон, соус, пюре, ферментация или гарнир с чоризо</x:v>
      </x:c>
      <x:c r="I201" s="28" t="str">
        <x:v>The Art &amp; Science of Foodpairing.pdf</x:v>
      </x:c>
      <x:c r="J201" s="28" t="str">
        <x:v>The Art &amp; Science of Foodpairing.pdf: 288</x:v>
      </x:c>
    </x:row>
    <x:row r="202" ht="44" customHeight="1">
      <x:c r="A202" s="28" t="str">
        <x:v>брюква</x:v>
      </x:c>
      <x:c r="B202" s="28" t="n">
        <x:v>1</x:v>
      </x:c>
      <x:c r="C202" s="28" t="str">
        <x:v>анис</x:v>
      </x:c>
      <x:c r="D202" s="28" t="n">
        <x:v>6</x:v>
      </x:c>
      <x:c r="E202" s="28" t="str">
        <x:v>Средняя</x:v>
      </x:c>
      <x:c r="F202" s="28" t="n">
        <x:v>1</x:v>
      </x:c>
      <x:c r="G202" s="28" t="str">
        <x:v>сернистая или горчичная комплементарность</x:v>
      </x:c>
      <x:c r="H202" s="28" t="str">
        <x:v>салат, гарнир, суп, соус, маринад, ферментация или напиток с анис</x:v>
      </x:c>
      <x:c r="I202" s="28" t="str">
        <x:v>Тезариус вкусов (Ники Сегнит)(1).pdf</x:v>
      </x:c>
      <x:c r="J202" s="28" t="str">
        <x:v>Тезариус вкусов (Ники Сегнит)(1).pdf: 318, 481</x:v>
      </x:c>
    </x:row>
    <x:row r="203" ht="44" customHeight="1">
      <x:c r="A203" s="28" t="str">
        <x:v>брюква</x:v>
      </x:c>
      <x:c r="B203" s="28" t="n">
        <x:v>2</x:v>
      </x:c>
      <x:c r="C203" s="28" t="str">
        <x:v>баранина</x:v>
      </x:c>
      <x:c r="D203" s="28" t="n">
        <x:v>6</x:v>
      </x:c>
      <x:c r="E203" s="28" t="str">
        <x:v>Средняя</x:v>
      </x:c>
      <x:c r="F203" s="28" t="n">
        <x:v>1</x:v>
      </x:c>
      <x:c r="G203" s="28" t="str">
        <x:v>умами и солёный контраст; сернистая или горчичная комплементарность</x:v>
      </x:c>
      <x:c r="H203" s="28" t="str">
        <x:v>салат, гарнир, суп, соус, маринад, ферментация или напиток с баранина</x:v>
      </x:c>
      <x:c r="I203" s="28" t="str">
        <x:v>Тезариус вкусов (Ники Сегнит)(1).pdf</x:v>
      </x:c>
      <x:c r="J203" s="28" t="str">
        <x:v>Тезариус вкусов (Ники Сегнит)(1).pdf: 126, 318</x:v>
      </x:c>
    </x:row>
    <x:row r="204" ht="44" customHeight="1">
      <x:c r="A204" s="28" t="str">
        <x:v>брюква</x:v>
      </x:c>
      <x:c r="B204" s="28" t="n">
        <x:v>3</x:v>
      </x:c>
      <x:c r="C204" s="28" t="str">
        <x:v>говядина</x:v>
      </x:c>
      <x:c r="D204" s="28" t="n">
        <x:v>6</x:v>
      </x:c>
      <x:c r="E204" s="28" t="str">
        <x:v>Средняя</x:v>
      </x:c>
      <x:c r="F204" s="28" t="n">
        <x:v>1</x:v>
      </x:c>
      <x:c r="G204" s="28" t="str">
        <x:v>умами и солёный контраст; сернистая или горчичная комплементарность</x:v>
      </x:c>
      <x:c r="H204" s="28" t="str">
        <x:v>салат, гарнир, суп, соус, маринад, ферментация или напиток с говядина</x:v>
      </x:c>
      <x:c r="I204" s="28" t="str">
        <x:v>Тезариус вкусов (Ники Сегнит)(1).pdf</x:v>
      </x:c>
      <x:c r="J204" s="28" t="str">
        <x:v>Тезариус вкусов (Ники Сегнит)(1).pdf: 106, 318</x:v>
      </x:c>
    </x:row>
    <x:row r="205" ht="44" customHeight="1">
      <x:c r="A205" s="28" t="str">
        <x:v>брюква</x:v>
      </x:c>
      <x:c r="B205" s="28" t="n">
        <x:v>4</x:v>
      </x:c>
      <x:c r="C205" s="28" t="str">
        <x:v>морковь</x:v>
      </x:c>
      <x:c r="D205" s="28" t="n">
        <x:v>6</x:v>
      </x:c>
      <x:c r="E205" s="28" t="str">
        <x:v>Средняя</x:v>
      </x:c>
      <x:c r="F205" s="28" t="n">
        <x:v>1</x:v>
      </x:c>
      <x:c r="G205" s="28" t="str">
        <x:v>пересечение ароматических семейств; сернистая или горчичная комплементарность</x:v>
      </x:c>
      <x:c r="H205" s="28" t="str">
        <x:v>салат, гарнир, суп, соус, маринад, ферментация или напиток с морковь</x:v>
      </x:c>
      <x:c r="I205" s="28" t="str">
        <x:v>Тезариус вкусов (Ники Сегнит)(1).pdf</x:v>
      </x:c>
      <x:c r="J205" s="28" t="str">
        <x:v>Тезариус вкусов (Ники Сегнит)(1).pdf: 318, 602</x:v>
      </x:c>
    </x:row>
    <x:row r="206" ht="44" customHeight="1">
      <x:c r="A206" s="28" t="str">
        <x:v>брюква</x:v>
      </x:c>
      <x:c r="B206" s="28" t="n">
        <x:v>5</x:v>
      </x:c>
      <x:c r="C206" s="28" t="str">
        <x:v>мускатный орех</x:v>
      </x:c>
      <x:c r="D206" s="28" t="n">
        <x:v>6</x:v>
      </x:c>
      <x:c r="E206" s="28" t="str">
        <x:v>Средняя</x:v>
      </x:c>
      <x:c r="F206" s="28" t="n">
        <x:v>1</x:v>
      </x:c>
      <x:c r="G206" s="28" t="str">
        <x:v>умами и солёный контраст; сернистая или горчичная комплементарность</x:v>
      </x:c>
      <x:c r="H206" s="28" t="str">
        <x:v>салат, гарнир, суп, соус, маринад, ферментация или напиток с мускатный орех</x:v>
      </x:c>
      <x:c r="I206" s="28" t="str">
        <x:v>Тезариус вкусов (Ники Сегнит)(1).pdf</x:v>
      </x:c>
      <x:c r="J206" s="28" t="str">
        <x:v>Тезариус вкусов (Ники Сегнит)(1).pdf: 319, 588</x:v>
      </x:c>
    </x:row>
    <x:row r="207" ht="44" customHeight="1">
      <x:c r="A207" s="28" t="str">
        <x:v>брюква</x:v>
      </x:c>
      <x:c r="B207" s="28" t="n">
        <x:v>6</x:v>
      </x:c>
      <x:c r="C207" s="28" t="str">
        <x:v>свинина</x:v>
      </x:c>
      <x:c r="D207" s="28" t="n">
        <x:v>6</x:v>
      </x:c>
      <x:c r="E207" s="28" t="str">
        <x:v>Средняя</x:v>
      </x:c>
      <x:c r="F207" s="28" t="n">
        <x:v>1</x:v>
      </x:c>
      <x:c r="G207" s="28" t="str">
        <x:v>умами и солёный контраст; сернистая или горчичная комплементарность</x:v>
      </x:c>
      <x:c r="H207" s="28" t="str">
        <x:v>салат, гарнир, суп, соус, маринад, ферментация или напиток с свинина</x:v>
      </x:c>
      <x:c r="I207" s="28" t="str">
        <x:v>Тезариус вкусов (Ники Сегнит)(1).pdf</x:v>
      </x:c>
      <x:c r="J207" s="28" t="str">
        <x:v>Тезариус вкусов (Ники Сегнит)(1).pdf: 81, 320</x:v>
      </x:c>
    </x:row>
    <x:row r="208" ht="44" customHeight="1">
      <x:c r="A208" s="28" t="str">
        <x:v>брюква</x:v>
      </x:c>
      <x:c r="B208" s="28" t="n">
        <x:v>7</x:v>
      </x:c>
      <x:c r="C208" s="28" t="str">
        <x:v>болгарский перец</x:v>
      </x:c>
      <x:c r="D208" s="28" t="n">
        <x:v>5</x:v>
      </x:c>
      <x:c r="E208" s="28" t="str">
        <x:v>Средняя</x:v>
      </x:c>
      <x:c r="F208" s="28" t="n">
        <x:v>1</x:v>
      </x:c>
      <x:c r="G208" s="28" t="str">
        <x:v>пересечение ароматических семейств; сернистая или горчичная комплементарность</x:v>
      </x:c>
      <x:c r="H208" s="28" t="str">
        <x:v>салат, гарнир, суп, соус, маринад, ферментация или напиток с болгарский перец</x:v>
      </x:c>
      <x:c r="I208" s="28" t="str">
        <x:v>The Art &amp; Science of Foodpairing.pdf</x:v>
      </x:c>
      <x:c r="J208" s="28" t="str">
        <x:v>The Art &amp; Science of Foodpairing.pdf: 108</x:v>
      </x:c>
    </x:row>
    <x:row r="209" ht="44" customHeight="1">
      <x:c r="A209" s="28" t="str">
        <x:v>брюква</x:v>
      </x:c>
      <x:c r="B209" s="28" t="n">
        <x:v>8</x:v>
      </x:c>
      <x:c r="C209" s="28" t="str">
        <x:v>мясо</x:v>
      </x:c>
      <x:c r="D209" s="28" t="n">
        <x:v>5</x:v>
      </x:c>
      <x:c r="E209" s="28" t="str">
        <x:v>Средняя</x:v>
      </x:c>
      <x:c r="F209" s="28" t="n">
        <x:v>1</x:v>
      </x:c>
      <x:c r="G209" s="28" t="str">
        <x:v>умами и солёный контраст; сернистая или горчичная комплементарность</x:v>
      </x:c>
      <x:c r="H209" s="28" t="str">
        <x:v>салат, гарнир, суп, соус, маринад, ферментация или напиток с мясо</x:v>
      </x:c>
      <x:c r="I209" s="28" t="str">
        <x:v>The Art &amp; Science of Foodpairing.pdf</x:v>
      </x:c>
      <x:c r="J209" s="28" t="str">
        <x:v>The Art &amp; Science of Foodpairing.pdf: 186</x:v>
      </x:c>
    </x:row>
    <x:row r="210" ht="44" customHeight="1">
      <x:c r="A210" s="28" t="str">
        <x:v>репа</x:v>
      </x:c>
      <x:c r="B210" s="28" t="n">
        <x:v>1</x:v>
      </x:c>
      <x:c r="C210" s="28" t="str">
        <x:v>жасмин</x:v>
      </x:c>
      <x:c r="D210" s="28" t="n">
        <x:v>7</x:v>
      </x:c>
      <x:c r="E210" s="28" t="str">
        <x:v>Высокая</x:v>
      </x:c>
      <x:c r="F210" s="28" t="n">
        <x:v>1</x:v>
      </x:c>
      <x:c r="G210" s="28" t="str">
        <x:v>пересечение ароматических семейств; сернистая или горчичная комплементарность</x:v>
      </x:c>
      <x:c r="H210" s="28" t="str">
        <x:v>салат, гарнир, суп, соус, маринад, ферментация или напиток с жасмин</x:v>
      </x:c>
      <x:c r="I210" s="28" t="str">
        <x:v>The Art &amp; Science of Foodpairing.pdf</x:v>
      </x:c>
      <x:c r="J210" s="28" t="str">
        <x:v>The Art &amp; Science of Foodpairing.pdf: 210, 211</x:v>
      </x:c>
    </x:row>
    <x:row r="211" ht="44" customHeight="1">
      <x:c r="A211" s="28" t="str">
        <x:v>репа</x:v>
      </x:c>
      <x:c r="B211" s="28" t="n">
        <x:v>2</x:v>
      </x:c>
      <x:c r="C211" s="28" t="str">
        <x:v>ананас</x:v>
      </x:c>
      <x:c r="D211" s="28" t="n">
        <x:v>5</x:v>
      </x:c>
      <x:c r="E211" s="28" t="str">
        <x:v>Средняя</x:v>
      </x:c>
      <x:c r="F211" s="28" t="n">
        <x:v>1</x:v>
      </x:c>
      <x:c r="G211" s="28" t="str">
        <x:v>кислотно-сладкий баланс; сернистая или горчичная комплементарность</x:v>
      </x:c>
      <x:c r="H211" s="28" t="str">
        <x:v>салат, гарнир, суп, соус, маринад, ферментация или напиток с ананас</x:v>
      </x:c>
      <x:c r="I211" s="28" t="str">
        <x:v>The Art &amp; Science of Foodpairing.pdf</x:v>
      </x:c>
      <x:c r="J211" s="28" t="str">
        <x:v>The Art &amp; Science of Foodpairing.pdf: 242</x:v>
      </x:c>
    </x:row>
    <x:row r="212" ht="44" customHeight="1">
      <x:c r="A212" s="28" t="str">
        <x:v>репа</x:v>
      </x:c>
      <x:c r="B212" s="28" t="n">
        <x:v>3</x:v>
      </x:c>
      <x:c r="C212" s="28" t="str">
        <x:v>апельсин</x:v>
      </x:c>
      <x:c r="D212" s="28" t="n">
        <x:v>5</x:v>
      </x:c>
      <x:c r="E212" s="28" t="str">
        <x:v>Средняя</x:v>
      </x:c>
      <x:c r="F212" s="28" t="n">
        <x:v>1</x:v>
      </x:c>
      <x:c r="G212" s="28" t="str">
        <x:v>кислотно-сладкий баланс; сернистая или горчичная комплементарность</x:v>
      </x:c>
      <x:c r="H212" s="28" t="str">
        <x:v>салат, гарнир, суп, соус, маринад, ферментация или напиток с апельсин</x:v>
      </x:c>
      <x:c r="I212" s="28" t="str">
        <x:v>The Art &amp; Science of Foodpairing.pdf</x:v>
      </x:c>
      <x:c r="J212" s="28" t="str">
        <x:v>The Art &amp; Science of Foodpairing.pdf: 236</x:v>
      </x:c>
    </x:row>
    <x:row r="213" ht="44" customHeight="1">
      <x:c r="A213" s="28" t="str">
        <x:v>репа</x:v>
      </x:c>
      <x:c r="B213" s="28" t="n">
        <x:v>4</x:v>
      </x:c>
      <x:c r="C213" s="28" t="str">
        <x:v>голубой сыр</x:v>
      </x:c>
      <x:c r="D213" s="28" t="n">
        <x:v>5</x:v>
      </x:c>
      <x:c r="E213" s="28" t="str">
        <x:v>Средняя</x:v>
      </x:c>
      <x:c r="F213" s="28" t="n">
        <x:v>1</x:v>
      </x:c>
      <x:c r="G213" s="28" t="str">
        <x:v>жировая матрица; сернистая или горчичная комплементарность</x:v>
      </x:c>
      <x:c r="H213" s="28" t="str">
        <x:v>салат, гарнир, суп, соус, маринад, ферментация или напиток с голубой сыр</x:v>
      </x:c>
      <x:c r="I213" s="28" t="str">
        <x:v>The Art &amp; Science of Foodpairing.pdf</x:v>
      </x:c>
      <x:c r="J213" s="28" t="str">
        <x:v>The Art &amp; Science of Foodpairing.pdf: 164</x:v>
      </x:c>
    </x:row>
    <x:row r="214" ht="44" customHeight="1">
      <x:c r="A214" s="28" t="str">
        <x:v>репа</x:v>
      </x:c>
      <x:c r="B214" s="28" t="n">
        <x:v>5</x:v>
      </x:c>
      <x:c r="C214" s="28" t="str">
        <x:v>кофе</x:v>
      </x:c>
      <x:c r="D214" s="28" t="n">
        <x:v>5</x:v>
      </x:c>
      <x:c r="E214" s="28" t="str">
        <x:v>Средняя</x:v>
      </x:c>
      <x:c r="F214" s="28" t="n">
        <x:v>1</x:v>
      </x:c>
      <x:c r="G214" s="28" t="str">
        <x:v>сернистая или горчичная комплементарность</x:v>
      </x:c>
      <x:c r="H214" s="28" t="str">
        <x:v>салат, гарнир, суп, соус, маринад, ферментация или напиток с кофе</x:v>
      </x:c>
      <x:c r="I214" s="28" t="str">
        <x:v>The Art &amp; Science of Foodpairing.pdf</x:v>
      </x:c>
      <x:c r="J214" s="28" t="str">
        <x:v>The Art &amp; Science of Foodpairing.pdf: 297</x:v>
      </x:c>
    </x:row>
    <x:row r="215" ht="44" customHeight="1">
      <x:c r="A215" s="28" t="str">
        <x:v>репа</x:v>
      </x:c>
      <x:c r="B215" s="28" t="n">
        <x:v>6</x:v>
      </x:c>
      <x:c r="C215" s="28" t="str">
        <x:v>кунжут, халва и тахини</x:v>
      </x:c>
      <x:c r="D215" s="28" t="n">
        <x:v>5</x:v>
      </x:c>
      <x:c r="E215" s="28" t="str">
        <x:v>Средняя</x:v>
      </x:c>
      <x:c r="F215" s="28" t="n">
        <x:v>1</x:v>
      </x:c>
      <x:c r="G215" s="28" t="str">
        <x:v>сернистая или горчичная комплементарность</x:v>
      </x:c>
      <x:c r="H215" s="28" t="str">
        <x:v>салат, гарнир, суп, соус, маринад, ферментация или напиток с кунжут, халва и тахини</x:v>
      </x:c>
      <x:c r="I215" s="28" t="str">
        <x:v>The Art &amp; Science of Foodpairing.pdf</x:v>
      </x:c>
      <x:c r="J215" s="28" t="str">
        <x:v>The Art &amp; Science of Foodpairing.pdf: 308</x:v>
      </x:c>
    </x:row>
    <x:row r="216" ht="44" customHeight="1">
      <x:c r="A216" s="28" t="str">
        <x:v>редис</x:v>
      </x:c>
      <x:c r="B216" s="28" t="n">
        <x:v>1</x:v>
      </x:c>
      <x:c r="C216" s="28" t="str">
        <x:v>кимчи</x:v>
      </x:c>
      <x:c r="D216" s="28" t="n">
        <x:v>6</x:v>
      </x:c>
      <x:c r="E216" s="28" t="str">
        <x:v>Средняя</x:v>
      </x:c>
      <x:c r="F216" s="28" t="n">
        <x:v>1</x:v>
      </x:c>
      <x:c r="G216" s="28" t="str">
        <x:v>умами и солёный контраст; сернистая или горчичная комплементарность</x:v>
      </x:c>
      <x:c r="H216" s="28" t="str">
        <x:v>салат, гарнир, суп, соус, маринад, ферментация или напиток с кимчи</x:v>
      </x:c>
      <x:c r="I216" s="28" t="str">
        <x:v>The Art &amp; Science of Foodpairing.pdf</x:v>
      </x:c>
      <x:c r="J216" s="28" t="str">
        <x:v>The Art &amp; Science of Foodpairing.pdf: 304, 305</x:v>
      </x:c>
    </x:row>
    <x:row r="217" ht="44" customHeight="1">
      <x:c r="A217" s="28" t="str">
        <x:v>редис</x:v>
      </x:c>
      <x:c r="B217" s="28" t="n">
        <x:v>2</x:v>
      </x:c>
      <x:c r="C217" s="28" t="str">
        <x:v>апельсин</x:v>
      </x:c>
      <x:c r="D217" s="28" t="n">
        <x:v>5</x:v>
      </x:c>
      <x:c r="E217" s="28" t="str">
        <x:v>Средняя</x:v>
      </x:c>
      <x:c r="F217" s="28" t="n">
        <x:v>1</x:v>
      </x:c>
      <x:c r="G217" s="28" t="str">
        <x:v>кислотно-сладкий баланс; сернистая или горчичная комплементарность</x:v>
      </x:c>
      <x:c r="H217" s="28" t="str">
        <x:v>салат, гарнир, суп, соус, маринад, ферментация или напиток с апельсин</x:v>
      </x:c>
      <x:c r="I217" s="28" t="str">
        <x:v>The Art &amp; Science of Foodpairing.pdf</x:v>
      </x:c>
      <x:c r="J217" s="28" t="str">
        <x:v>The Art &amp; Science of Foodpairing.pdf: 236</x:v>
      </x:c>
    </x:row>
    <x:row r="218" ht="44" customHeight="1">
      <x:c r="A218" s="28" t="str">
        <x:v>редис</x:v>
      </x:c>
      <x:c r="B218" s="28" t="n">
        <x:v>3</x:v>
      </x:c>
      <x:c r="C218" s="28" t="str">
        <x:v>болгарский перец</x:v>
      </x:c>
      <x:c r="D218" s="28" t="n">
        <x:v>5</x:v>
      </x:c>
      <x:c r="E218" s="28" t="str">
        <x:v>Средняя</x:v>
      </x:c>
      <x:c r="F218" s="28" t="n">
        <x:v>1</x:v>
      </x:c>
      <x:c r="G218" s="28" t="str">
        <x:v>пересечение ароматических семейств; сернистая или горчичная комплементарность</x:v>
      </x:c>
      <x:c r="H218" s="28" t="str">
        <x:v>салат, гарнир, суп, соус, маринад, ферментация или напиток с болгарский перец</x:v>
      </x:c>
      <x:c r="I218" s="28" t="str">
        <x:v>The Art &amp; Science of Foodpairing.pdf</x:v>
      </x:c>
      <x:c r="J218" s="28" t="str">
        <x:v>The Art &amp; Science of Foodpairing.pdf: 108</x:v>
      </x:c>
    </x:row>
    <x:row r="219" ht="44" customHeight="1">
      <x:c r="A219" s="28" t="str">
        <x:v>редис</x:v>
      </x:c>
      <x:c r="B219" s="28" t="n">
        <x:v>4</x:v>
      </x:c>
      <x:c r="C219" s="28" t="str">
        <x:v>джин</x:v>
      </x:c>
      <x:c r="D219" s="28" t="n">
        <x:v>5</x:v>
      </x:c>
      <x:c r="E219" s="28" t="str">
        <x:v>Средняя</x:v>
      </x:c>
      <x:c r="F219" s="28" t="n">
        <x:v>1</x:v>
      </x:c>
      <x:c r="G219" s="28" t="str">
        <x:v>сернистая или горчичная комплементарность</x:v>
      </x:c>
      <x:c r="H219" s="28" t="str">
        <x:v>салат, гарнир, суп, соус, маринад, ферментация или напиток с джин</x:v>
      </x:c>
      <x:c r="I219" s="28" t="str">
        <x:v>The Art &amp; Science of Foodpairing.pdf</x:v>
      </x:c>
      <x:c r="J219" s="28" t="str">
        <x:v>The Art &amp; Science of Foodpairing.pdf: 215</x:v>
      </x:c>
    </x:row>
    <x:row r="220" ht="44" customHeight="1">
      <x:c r="A220" s="28" t="str">
        <x:v>редис</x:v>
      </x:c>
      <x:c r="B220" s="28" t="n">
        <x:v>5</x:v>
      </x:c>
      <x:c r="C220" s="28" t="str">
        <x:v>кардамон</x:v>
      </x:c>
      <x:c r="D220" s="28" t="n">
        <x:v>5</x:v>
      </x:c>
      <x:c r="E220" s="28" t="str">
        <x:v>Средняя</x:v>
      </x:c>
      <x:c r="F220" s="28" t="n">
        <x:v>1</x:v>
      </x:c>
      <x:c r="G220" s="28" t="str">
        <x:v>сернистая или горчичная комплементарность</x:v>
      </x:c>
      <x:c r="H220" s="28" t="str">
        <x:v>салат, гарнир, суп, соус, маринад, ферментация или напиток с кардамон</x:v>
      </x:c>
      <x:c r="I220" s="28" t="str">
        <x:v>The Art &amp; Science of Foodpairing.pdf</x:v>
      </x:c>
      <x:c r="J220" s="28" t="str">
        <x:v>The Art &amp; Science of Foodpairing.pdf: 256</x:v>
      </x:c>
    </x:row>
    <x:row r="221" ht="44" customHeight="1">
      <x:c r="A221" s="28" t="str">
        <x:v>редис</x:v>
      </x:c>
      <x:c r="B221" s="28" t="n">
        <x:v>6</x:v>
      </x:c>
      <x:c r="C221" s="28" t="str">
        <x:v>кунжут, халва и тахини</x:v>
      </x:c>
      <x:c r="D221" s="28" t="n">
        <x:v>5</x:v>
      </x:c>
      <x:c r="E221" s="28" t="str">
        <x:v>Средняя</x:v>
      </x:c>
      <x:c r="F221" s="28" t="n">
        <x:v>1</x:v>
      </x:c>
      <x:c r="G221" s="28" t="str">
        <x:v>сернистая или горчичная комплементарность</x:v>
      </x:c>
      <x:c r="H221" s="28" t="str">
        <x:v>салат, гарнир, суп, соус, маринад, ферментация или напиток с кунжут, халва и тахини</x:v>
      </x:c>
      <x:c r="I221" s="28" t="str">
        <x:v>The Art &amp; Science of Foodpairing.pdf</x:v>
      </x:c>
      <x:c r="J221" s="28" t="str">
        <x:v>The Art &amp; Science of Foodpairing.pdf: 308</x:v>
      </x:c>
    </x:row>
    <x:row r="222" ht="44" customHeight="1">
      <x:c r="A222" s="28" t="str">
        <x:v>редис</x:v>
      </x:c>
      <x:c r="B222" s="28" t="n">
        <x:v>7</x:v>
      </x:c>
      <x:c r="C222" s="28" t="str">
        <x:v>пармезан</x:v>
      </x:c>
      <x:c r="D222" s="28" t="n">
        <x:v>5</x:v>
      </x:c>
      <x:c r="E222" s="28" t="str">
        <x:v>Средняя</x:v>
      </x:c>
      <x:c r="F222" s="28" t="n">
        <x:v>1</x:v>
      </x:c>
      <x:c r="G222" s="28" t="str">
        <x:v>сернистая или горчичная комплементарность</x:v>
      </x:c>
      <x:c r="H222" s="28" t="str">
        <x:v>салат, гарнир, суп, соус, маринад, ферментация или напиток с пармезан</x:v>
      </x:c>
      <x:c r="I222" s="28" t="str">
        <x:v>The Art &amp; Science of Foodpairing.pdf</x:v>
      </x:c>
      <x:c r="J222" s="28" t="str">
        <x:v>The Art &amp; Science of Foodpairing.pdf: 282</x:v>
      </x:c>
    </x:row>
    <x:row r="223" ht="44" customHeight="1">
      <x:c r="A223" s="28" t="str">
        <x:v>цветная капуста</x:v>
      </x:c>
      <x:c r="B223" s="28" t="n">
        <x:v>1</x:v>
      </x:c>
      <x:c r="C223" s="28" t="str">
        <x:v>шоколад</x:v>
      </x:c>
      <x:c r="D223" s="28" t="n">
        <x:v>10</x:v>
      </x:c>
      <x:c r="E223" s="28" t="str">
        <x:v>Высокая</x:v>
      </x:c>
      <x:c r="F223" s="28" t="n">
        <x:v>2</x:v>
      </x:c>
      <x:c r="G223" s="28" t="str">
        <x:v>общие характерные молекулы; сернистая или горчичная комплементарность</x:v>
      </x:c>
      <x:c r="H223" s="28" t="str">
        <x:v>горячее блюдо, бульон, соус, пюре, ферментация или гарнир с шоколад</x:v>
      </x:c>
      <x:c r="I223" s="28" t="str">
        <x:v>The Art &amp; Science of Foodpairing.pdf | Тезариус вкусов (Ники Сегнит)(1).pdf</x:v>
      </x:c>
      <x:c r="J223" s="28" t="str">
        <x:v>Тезариус вкусов (Ники Сегнит)(1).pdf: 37, 327; The Art &amp; Science of Foodpairing.pdf: 61, 63</x:v>
      </x:c>
    </x:row>
    <x:row r="224" ht="44" customHeight="1">
      <x:c r="A224" s="28" t="str">
        <x:v>цветная капуста</x:v>
      </x:c>
      <x:c r="B224" s="28" t="n">
        <x:v>2</x:v>
      </x:c>
      <x:c r="C224" s="28" t="str">
        <x:v>анчоусы</x:v>
      </x:c>
      <x:c r="D224" s="28" t="n">
        <x:v>6</x:v>
      </x:c>
      <x:c r="E224" s="28" t="str">
        <x:v>Средняя</x:v>
      </x:c>
      <x:c r="F224" s="28" t="n">
        <x:v>1</x:v>
      </x:c>
      <x:c r="G224" s="28" t="str">
        <x:v>умами и солёный контраст; сернистая или горчичная комплементарность</x:v>
      </x:c>
      <x:c r="H224" s="28" t="str">
        <x:v>горячее блюдо, бульон, соус, пюре, ферментация или гарнир с анчоусы</x:v>
      </x:c>
      <x:c r="I224" s="28" t="str">
        <x:v>Тезариус вкусов (Ники Сегнит)(1).pdf</x:v>
      </x:c>
      <x:c r="J224" s="28" t="str">
        <x:v>Тезариус вкусов (Ники Сегнит)(1).pdf: 321, 431</x:v>
      </x:c>
    </x:row>
    <x:row r="225" ht="44" customHeight="1">
      <x:c r="A225" s="28" t="str">
        <x:v>цветная капуста</x:v>
      </x:c>
      <x:c r="B225" s="28" t="n">
        <x:v>3</x:v>
      </x:c>
      <x:c r="C225" s="28" t="str">
        <x:v>брокколи</x:v>
      </x:c>
      <x:c r="D225" s="28" t="n">
        <x:v>6</x:v>
      </x:c>
      <x:c r="E225" s="28" t="str">
        <x:v>Средняя</x:v>
      </x:c>
      <x:c r="F225" s="28" t="n">
        <x:v>1</x:v>
      </x:c>
      <x:c r="G225" s="28" t="str">
        <x:v>общие характерные молекулы; пересечение ароматических семейств; сернистая или горчичная комплементарность</x:v>
      </x:c>
      <x:c r="H225" s="28" t="str">
        <x:v>горячее блюдо, бульон, соус, пюре, ферментация или гарнир с брокколи</x:v>
      </x:c>
      <x:c r="I225" s="28" t="str">
        <x:v>Тезариус вкусов (Ники Сегнит)(1).pdf</x:v>
      </x:c>
      <x:c r="J225" s="28" t="str">
        <x:v>Тезариус вкусов (Ники Сегнит)(1).pdf: 321, 332</x:v>
      </x:c>
    </x:row>
    <x:row r="226" ht="44" customHeight="1">
      <x:c r="A226" s="28" t="str">
        <x:v>цветная капуста</x:v>
      </x:c>
      <x:c r="B226" s="28" t="n">
        <x:v>4</x:v>
      </x:c>
      <x:c r="C226" s="28" t="str">
        <x:v>виноград</x:v>
      </x:c>
      <x:c r="D226" s="28" t="n">
        <x:v>6</x:v>
      </x:c>
      <x:c r="E226" s="28" t="str">
        <x:v>Высокая</x:v>
      </x:c>
      <x:c r="F226" s="28" t="n">
        <x:v>1</x:v>
      </x:c>
      <x:c r="G226" s="28" t="str">
        <x:v>кислотно-сладкий баланс; сернистая или горчичная комплементарность</x:v>
      </x:c>
      <x:c r="H226" s="28" t="str">
        <x:v>горячее блюдо, бульон, соус, пюре, ферментация или гарнир с виноград</x:v>
      </x:c>
      <x:c r="I226" s="28" t="str">
        <x:v>The Art &amp; Science of Foodpairing.pdf</x:v>
      </x:c>
      <x:c r="J226" s="28" t="str">
        <x:v>The Art &amp; Science of Foodpairing.pdf: 66</x:v>
      </x:c>
    </x:row>
    <x:row r="227" ht="44" customHeight="1">
      <x:c r="A227" s="28" t="str">
        <x:v>цветная капуста</x:v>
      </x:c>
      <x:c r="B227" s="28" t="n">
        <x:v>5</x:v>
      </x:c>
      <x:c r="C227" s="28" t="str">
        <x:v>грецкий орех</x:v>
      </x:c>
      <x:c r="D227" s="28" t="n">
        <x:v>6</x:v>
      </x:c>
      <x:c r="E227" s="28" t="str">
        <x:v>Средняя</x:v>
      </x:c>
      <x:c r="F227" s="28" t="n">
        <x:v>1</x:v>
      </x:c>
      <x:c r="G227" s="28" t="str">
        <x:v>общие характерные молекулы; пересечение ароматических семейств; сернистая или горчичная комплементарность</x:v>
      </x:c>
      <x:c r="H227" s="28" t="str">
        <x:v>горячее блюдо, бульон, соус, пюре, ферментация или гарнир с грецкий орех</x:v>
      </x:c>
      <x:c r="I227" s="28" t="str">
        <x:v>Тезариус вкусов (Ники Сегнит)(1).pdf</x:v>
      </x:c>
      <x:c r="J227" s="28" t="str">
        <x:v>Тезариус вкусов (Ники Сегнит)(1).pdf: 321, 629</x:v>
      </x:c>
    </x:row>
    <x:row r="228" ht="44" customHeight="1">
      <x:c r="A228" s="28" t="str">
        <x:v>цветная капуста</x:v>
      </x:c>
      <x:c r="B228" s="28" t="n">
        <x:v>6</x:v>
      </x:c>
      <x:c r="C228" s="28" t="str">
        <x:v>зира</x:v>
      </x:c>
      <x:c r="D228" s="28" t="n">
        <x:v>6</x:v>
      </x:c>
      <x:c r="E228" s="28" t="str">
        <x:v>Средняя</x:v>
      </x:c>
      <x:c r="F228" s="28" t="n">
        <x:v>1</x:v>
      </x:c>
      <x:c r="G228" s="28" t="str">
        <x:v>сернистая или горчичная комплементарность</x:v>
      </x:c>
      <x:c r="H228" s="28" t="str">
        <x:v>горячее блюдо, бульон, соус, пюре, ферментация или гарнир с зира</x:v>
      </x:c>
      <x:c r="I228" s="28" t="str">
        <x:v>Тезариус вкусов (Ники Сегнит)(1).pdf</x:v>
      </x:c>
      <x:c r="J228" s="28" t="str">
        <x:v>Тезариус вкусов (Ники Сегнит)(1).pdf: 220, 322</x:v>
      </x:c>
    </x:row>
    <x:row r="229" ht="44" customHeight="1">
      <x:c r="A229" s="28" t="str">
        <x:v>цветная капуста</x:v>
      </x:c>
      <x:c r="B229" s="28" t="n">
        <x:v>7</x:v>
      </x:c>
      <x:c r="C229" s="28" t="str">
        <x:v>каперсы</x:v>
      </x:c>
      <x:c r="D229" s="28" t="n">
        <x:v>6</x:v>
      </x:c>
      <x:c r="E229" s="28" t="str">
        <x:v>Средняя</x:v>
      </x:c>
      <x:c r="F229" s="28" t="n">
        <x:v>1</x:v>
      </x:c>
      <x:c r="G229" s="28" t="str">
        <x:v>сернистая или горчичная комплементарность</x:v>
      </x:c>
      <x:c r="H229" s="28" t="str">
        <x:v>горячее блюдо, бульон, соус, пюре, ферментация или гарнир с каперсы</x:v>
      </x:c>
      <x:c r="I229" s="28" t="str">
        <x:v>Тезариус вкусов (Ники Сегнит)(1).pdf</x:v>
      </x:c>
      <x:c r="J229" s="28" t="str">
        <x:v>Тезариус вкусов (Ники Сегнит)(1).pdf: 271, 322</x:v>
      </x:c>
    </x:row>
    <x:row r="230" ht="44" customHeight="1">
      <x:c r="A230" s="28" t="str">
        <x:v>цветная капуста</x:v>
      </x:c>
      <x:c r="B230" s="28" t="n">
        <x:v>8</x:v>
      </x:c>
      <x:c r="C230" s="28" t="str">
        <x:v>клубника</x:v>
      </x:c>
      <x:c r="D230" s="28" t="n">
        <x:v>6</x:v>
      </x:c>
      <x:c r="E230" s="28" t="str">
        <x:v>Высокая</x:v>
      </x:c>
      <x:c r="F230" s="28" t="n">
        <x:v>1</x:v>
      </x:c>
      <x:c r="G230" s="28" t="str">
        <x:v>кислотно-сладкий баланс; сернистая или горчичная комплементарность</x:v>
      </x:c>
      <x:c r="H230" s="28" t="str">
        <x:v>горячее блюдо, бульон, соус, пюре, ферментация или гарнир с клубника</x:v>
      </x:c>
      <x:c r="I230" s="28" t="str">
        <x:v>The Art &amp; Science of Foodpairing.pdf</x:v>
      </x:c>
      <x:c r="J230" s="28" t="str">
        <x:v>The Art &amp; Science of Foodpairing.pdf: 67</x:v>
      </x:c>
    </x:row>
    <x:row r="231" ht="44" customHeight="1">
      <x:c r="A231" s="28" t="str">
        <x:v>цветная капуста</x:v>
      </x:c>
      <x:c r="B231" s="28" t="n">
        <x:v>9</x:v>
      </x:c>
      <x:c r="C231" s="28" t="str">
        <x:v>миндаль</x:v>
      </x:c>
      <x:c r="D231" s="28" t="n">
        <x:v>6</x:v>
      </x:c>
      <x:c r="E231" s="28" t="str">
        <x:v>Средняя</x:v>
      </x:c>
      <x:c r="F231" s="28" t="n">
        <x:v>1</x:v>
      </x:c>
      <x:c r="G231" s="28" t="str">
        <x:v>общие характерные молекулы; пересечение ароматических семейств; сернистая или горчичная комплементарность</x:v>
      </x:c>
      <x:c r="H231" s="28" t="str">
        <x:v>горячее блюдо, бульон, соус, пюре, ферментация или гарнир с миндаль</x:v>
      </x:c>
      <x:c r="I231" s="28" t="str">
        <x:v>Тезариус вкусов (Ники Сегнит)(1).pdf</x:v>
      </x:c>
      <x:c r="J231" s="28" t="str">
        <x:v>Тезариус вкусов (Ники Сегнит)(1).pdf: 324, 648</x:v>
      </x:c>
    </x:row>
    <x:row r="232" ht="44" customHeight="1">
      <x:c r="A232" s="28" t="str">
        <x:v>цветная капуста</x:v>
      </x:c>
      <x:c r="B232" s="28" t="n">
        <x:v>10</x:v>
      </x:c>
      <x:c r="C232" s="28" t="str">
        <x:v>моллюски</x:v>
      </x:c>
      <x:c r="D232" s="28" t="n">
        <x:v>6</x:v>
      </x:c>
      <x:c r="E232" s="28" t="str">
        <x:v>Средняя</x:v>
      </x:c>
      <x:c r="F232" s="28" t="n">
        <x:v>1</x:v>
      </x:c>
      <x:c r="G232" s="28" t="str">
        <x:v>умами и солёный контраст; сернистая или горчичная комплементарность</x:v>
      </x:c>
      <x:c r="H232" s="28" t="str">
        <x:v>горячее блюдо, бульон, соус, пюре, ферментация или гарнир с моллюски</x:v>
      </x:c>
      <x:c r="I232" s="28" t="str">
        <x:v>Тезариус вкусов (Ники Сегнит)(1).pdf</x:v>
      </x:c>
      <x:c r="J232" s="28" t="str">
        <x:v>Тезариус вкусов (Ники Сегнит)(1).pdf: 324, 377</x:v>
      </x:c>
    </x:row>
    <x:row r="233" ht="44" customHeight="1">
      <x:c r="A233" s="28" t="str">
        <x:v>цветная капуста</x:v>
      </x:c>
      <x:c r="B233" s="28" t="n">
        <x:v>11</x:v>
      </x:c>
      <x:c r="C233" s="28" t="str">
        <x:v>мускатный орех</x:v>
      </x:c>
      <x:c r="D233" s="28" t="n">
        <x:v>6</x:v>
      </x:c>
      <x:c r="E233" s="28" t="str">
        <x:v>Средняя</x:v>
      </x:c>
      <x:c r="F233" s="28" t="n">
        <x:v>1</x:v>
      </x:c>
      <x:c r="G233" s="28" t="str">
        <x:v>пересечение ароматических семейств; умами и солёный контраст; сернистая или горчичная комплементарность</x:v>
      </x:c>
      <x:c r="H233" s="28" t="str">
        <x:v>горячее блюдо, бульон, соус, пюре, ферментация или гарнир с мускатный орех</x:v>
      </x:c>
      <x:c r="I233" s="28" t="str">
        <x:v>Тезариус вкусов (Ники Сегнит)(1).pdf</x:v>
      </x:c>
      <x:c r="J233" s="28" t="str">
        <x:v>Тезариус вкусов (Ники Сегнит)(1).pdf: 325, 592</x:v>
      </x:c>
    </x:row>
    <x:row r="234" ht="44" customHeight="1">
      <x:c r="A234" s="28" t="str">
        <x:v>цветная капуста</x:v>
      </x:c>
      <x:c r="B234" s="28" t="n">
        <x:v>12</x:v>
      </x:c>
      <x:c r="C234" s="28" t="str">
        <x:v>твердый сыр</x:v>
      </x:c>
      <x:c r="D234" s="28" t="n">
        <x:v>6</x:v>
      </x:c>
      <x:c r="E234" s="28" t="str">
        <x:v>Средняя</x:v>
      </x:c>
      <x:c r="F234" s="28" t="n">
        <x:v>1</x:v>
      </x:c>
      <x:c r="G234" s="28" t="str">
        <x:v>жировая матрица; сернистая или горчичная комплементарность</x:v>
      </x:c>
      <x:c r="H234" s="28" t="str">
        <x:v>горячее блюдо, бульон, соус, пюре, ферментация или гарнир с твердый сыр</x:v>
      </x:c>
      <x:c r="I234" s="28" t="str">
        <x:v>Тезариус вкусов (Ники Сегнит)(1).pdf</x:v>
      </x:c>
      <x:c r="J234" s="28" t="str">
        <x:v>Тезариус вкусов (Ники Сегнит)(1).pdf: 177, 325</x:v>
      </x:c>
    </x:row>
    <x:row r="235" ht="44" customHeight="1">
      <x:c r="A235" s="28" t="str">
        <x:v>цветная капуста</x:v>
      </x:c>
      <x:c r="B235" s="28" t="n">
        <x:v>13</x:v>
      </x:c>
      <x:c r="C235" s="28" t="str">
        <x:v>трюфель</x:v>
      </x:c>
      <x:c r="D235" s="28" t="n">
        <x:v>6</x:v>
      </x:c>
      <x:c r="E235" s="28" t="str">
        <x:v>Средняя</x:v>
      </x:c>
      <x:c r="F235" s="28" t="n">
        <x:v>1</x:v>
      </x:c>
      <x:c r="G235" s="28" t="str">
        <x:v>умами и солёный контраст; сернистая или горчичная комплементарность</x:v>
      </x:c>
      <x:c r="H235" s="28" t="str">
        <x:v>горячее блюдо, бульон, соус, пюре, ферментация или гарнир с трюфель</x:v>
      </x:c>
      <x:c r="I235" s="28" t="str">
        <x:v>Тезариус вкусов (Ники Сегнит)(1).pdf</x:v>
      </x:c>
      <x:c r="J235" s="28" t="str">
        <x:v>Тезариус вкусов (Ники Сегнит)(1).pdf: 306, 326</x:v>
      </x:c>
    </x:row>
    <x:row r="236" ht="44" customHeight="1">
      <x:c r="A236" s="28" t="str">
        <x:v>цветная капуста</x:v>
      </x:c>
      <x:c r="B236" s="28" t="n">
        <x:v>14</x:v>
      </x:c>
      <x:c r="C236" s="28" t="str">
        <x:v>тюрбо</x:v>
      </x:c>
      <x:c r="D236" s="28" t="n">
        <x:v>6</x:v>
      </x:c>
      <x:c r="E236" s="28" t="str">
        <x:v>Высокая</x:v>
      </x:c>
      <x:c r="F236" s="28" t="n">
        <x:v>1</x:v>
      </x:c>
      <x:c r="G236" s="28" t="str">
        <x:v>сернистая или горчичная комплементарность</x:v>
      </x:c>
      <x:c r="H236" s="28" t="str">
        <x:v>горячее блюдо, бульон, соус, пюре, ферментация или гарнир с тюрбо</x:v>
      </x:c>
      <x:c r="I236" s="28" t="str">
        <x:v>The Art &amp; Science of Foodpairing.pdf</x:v>
      </x:c>
      <x:c r="J236" s="28" t="str">
        <x:v>The Art &amp; Science of Foodpairing.pdf: 66</x:v>
      </x:c>
    </x:row>
    <x:row r="237" ht="44" customHeight="1">
      <x:c r="A237" s="28" t="str">
        <x:v>цветная капуста</x:v>
      </x:c>
      <x:c r="B237" s="28" t="n">
        <x:v>15</x:v>
      </x:c>
      <x:c r="C237" s="28" t="str">
        <x:v>черная икра</x:v>
      </x:c>
      <x:c r="D237" s="28" t="n">
        <x:v>6</x:v>
      </x:c>
      <x:c r="E237" s="28" t="str">
        <x:v>Средняя</x:v>
      </x:c>
      <x:c r="F237" s="28" t="n">
        <x:v>1</x:v>
      </x:c>
      <x:c r="G237" s="28" t="str">
        <x:v>умами и солёный контраст; сернистая или горчичная комплементарность</x:v>
      </x:c>
      <x:c r="H237" s="28" t="str">
        <x:v>горячее блюдо, бульон, соус, пюре, ферментация или гарнир с черная икра</x:v>
      </x:c>
      <x:c r="I237" s="28" t="str">
        <x:v>Тезариус вкусов (Ники Сегнит)(1).pdf</x:v>
      </x:c>
      <x:c r="J237" s="28" t="str">
        <x:v>Тезариус вкусов (Ники Сегнит)(1).pdf: 326, 408</x:v>
      </x:c>
    </x:row>
    <x:row r="238" ht="44" customHeight="1">
      <x:c r="A238" s="28" t="str">
        <x:v>цветная капуста</x:v>
      </x:c>
      <x:c r="B238" s="28" t="n">
        <x:v>16</x:v>
      </x:c>
      <x:c r="C238" s="28" t="str">
        <x:v>чили</x:v>
      </x:c>
      <x:c r="D238" s="28" t="n">
        <x:v>6</x:v>
      </x:c>
      <x:c r="E238" s="28" t="str">
        <x:v>Средняя</x:v>
      </x:c>
      <x:c r="F238" s="28" t="n">
        <x:v>1</x:v>
      </x:c>
      <x:c r="G238" s="28" t="str">
        <x:v>сернистая или горчичная комплементарность</x:v>
      </x:c>
      <x:c r="H238" s="28" t="str">
        <x:v>горячее блюдо, бульон, соус, пюре, ферментация или гарнир с чили</x:v>
      </x:c>
      <x:c r="I238" s="28" t="str">
        <x:v>Тезариус вкусов (Ники Сегнит)(1).pdf</x:v>
      </x:c>
      <x:c r="J238" s="28" t="str">
        <x:v>Тезариус вкусов (Ники Сегнит)(1).pdf: 327, 560</x:v>
      </x:c>
    </x:row>
    <x:row r="239" ht="44" customHeight="1">
      <x:c r="A239" s="28" t="str">
        <x:v>цветная капуста</x:v>
      </x:c>
      <x:c r="B239" s="28" t="n">
        <x:v>17</x:v>
      </x:c>
      <x:c r="C239" s="28" t="str">
        <x:v>шафран</x:v>
      </x:c>
      <x:c r="D239" s="28" t="n">
        <x:v>6</x:v>
      </x:c>
      <x:c r="E239" s="28" t="str">
        <x:v>Средняя</x:v>
      </x:c>
      <x:c r="F239" s="28" t="n">
        <x:v>1</x:v>
      </x:c>
      <x:c r="G239" s="28" t="str">
        <x:v>сернистая или горчичная комплементарность</x:v>
      </x:c>
      <x:c r="H239" s="28" t="str">
        <x:v>горячее блюдо, бульон, соус, пюре, ферментация или гарнир с шафран</x:v>
      </x:c>
      <x:c r="I239" s="28" t="str">
        <x:v>Тезариус вкусов (Ники Сегнит)(1).pdf</x:v>
      </x:c>
      <x:c r="J239" s="28" t="str">
        <x:v>Тезариус вкусов (Ники Сегнит)(1).pdf: 327, 477</x:v>
      </x:c>
    </x:row>
    <x:row r="240" ht="44" customHeight="1">
      <x:c r="A240" s="28" t="str">
        <x:v>цветная капуста</x:v>
      </x:c>
      <x:c r="B240" s="28" t="n">
        <x:v>18</x:v>
      </x:c>
      <x:c r="C240" s="28" t="str">
        <x:v>гибискус</x:v>
      </x:c>
      <x:c r="D240" s="28" t="n">
        <x:v>5</x:v>
      </x:c>
      <x:c r="E240" s="28" t="str">
        <x:v>Средняя</x:v>
      </x:c>
      <x:c r="F240" s="28" t="n">
        <x:v>1</x:v>
      </x:c>
      <x:c r="G240" s="28" t="str">
        <x:v>сернистая или горчичная комплементарность</x:v>
      </x:c>
      <x:c r="H240" s="28" t="str">
        <x:v>горячее блюдо, бульон, соус, пюре, ферментация или гарнир с гибискус</x:v>
      </x:c>
      <x:c r="I240" s="28" t="str">
        <x:v>The Art &amp; Science of Foodpairing.pdf</x:v>
      </x:c>
      <x:c r="J240" s="28" t="str">
        <x:v>The Art &amp; Science of Foodpairing.pdf: 67</x:v>
      </x:c>
    </x:row>
    <x:row r="241" ht="44" customHeight="1">
      <x:c r="A241" s="28" t="str">
        <x:v>цветная капуста</x:v>
      </x:c>
      <x:c r="B241" s="28" t="n">
        <x:v>19</x:v>
      </x:c>
      <x:c r="C241" s="28" t="str">
        <x:v>кимчи</x:v>
      </x:c>
      <x:c r="D241" s="28" t="n">
        <x:v>5</x:v>
      </x:c>
      <x:c r="E241" s="28" t="str">
        <x:v>Средняя</x:v>
      </x:c>
      <x:c r="F241" s="28" t="n">
        <x:v>1</x:v>
      </x:c>
      <x:c r="G241" s="28" t="str">
        <x:v>общие характерные молекулы; умами и солёный контраст; сернистая или горчичная комплементарность</x:v>
      </x:c>
      <x:c r="H241" s="28" t="str">
        <x:v>горячее блюдо, бульон, соус, пюре, ферментация или гарнир с кимчи</x:v>
      </x:c>
      <x:c r="I241" s="28" t="str">
        <x:v>The Art &amp; Science of Foodpairing.pdf</x:v>
      </x:c>
      <x:c r="J241" s="28" t="str">
        <x:v>The Art &amp; Science of Foodpairing.pdf: 305</x:v>
      </x:c>
    </x:row>
    <x:row r="242" ht="44" customHeight="1">
      <x:c r="A242" s="28" t="str">
        <x:v>цветная капуста</x:v>
      </x:c>
      <x:c r="B242" s="28" t="n">
        <x:v>20</x:v>
      </x:c>
      <x:c r="C242" s="28" t="str">
        <x:v>корица</x:v>
      </x:c>
      <x:c r="D242" s="28" t="n">
        <x:v>5</x:v>
      </x:c>
      <x:c r="E242" s="28" t="str">
        <x:v>Средняя</x:v>
      </x:c>
      <x:c r="F242" s="28" t="n">
        <x:v>1</x:v>
      </x:c>
      <x:c r="G242" s="28" t="str">
        <x:v>сернистая или горчичная комплементарность</x:v>
      </x:c>
      <x:c r="H242" s="28" t="str">
        <x:v>горячее блюдо, бульон, соус, пюре, ферментация или гарнир с корица</x:v>
      </x:c>
      <x:c r="I242" s="28" t="str">
        <x:v>The Art &amp; Science of Foodpairing.pdf</x:v>
      </x:c>
      <x:c r="J242" s="28" t="str">
        <x:v>The Art &amp; Science of Foodpairing.pdf: 67</x:v>
      </x:c>
    </x:row>
    <x:row r="243" ht="44" customHeight="1">
      <x:c r="A243" s="28" t="str">
        <x:v>брокколи</x:v>
      </x:c>
      <x:c r="B243" s="28" t="n">
        <x:v>1</x:v>
      </x:c>
      <x:c r="C243" s="28" t="str">
        <x:v>анчоусы</x:v>
      </x:c>
      <x:c r="D243" s="28" t="n">
        <x:v>6</x:v>
      </x:c>
      <x:c r="E243" s="28" t="str">
        <x:v>Средняя</x:v>
      </x:c>
      <x:c r="F243" s="28" t="n">
        <x:v>1</x:v>
      </x:c>
      <x:c r="G243" s="28" t="str">
        <x:v>умами и солёный контраст; сернистая или горчичная комплементарность</x:v>
      </x:c>
      <x:c r="H243" s="28" t="str">
        <x:v>горячее блюдо, бульон, соус, пюре, ферментация или гарнир с анчоусы</x:v>
      </x:c>
      <x:c r="I243" s="28" t="str">
        <x:v>Тезариус вкусов (Ники Сегнит)(1).pdf</x:v>
      </x:c>
      <x:c r="J243" s="28" t="str">
        <x:v>Тезариус вкусов (Ники Сегнит)(1).pdf: 329, 424</x:v>
      </x:c>
    </x:row>
    <x:row r="244" ht="44" customHeight="1">
      <x:c r="A244" s="28" t="str">
        <x:v>брокколи</x:v>
      </x:c>
      <x:c r="B244" s="28" t="n">
        <x:v>2</x:v>
      </x:c>
      <x:c r="C244" s="28" t="str">
        <x:v>арахис</x:v>
      </x:c>
      <x:c r="D244" s="28" t="n">
        <x:v>6</x:v>
      </x:c>
      <x:c r="E244" s="28" t="str">
        <x:v>Средняя</x:v>
      </x:c>
      <x:c r="F244" s="28" t="n">
        <x:v>1</x:v>
      </x:c>
      <x:c r="G244" s="28" t="str">
        <x:v>общие характерные молекулы; пересечение ароматических семейств; сернистая или горчичная комплементарность</x:v>
      </x:c>
      <x:c r="H244" s="28" t="str">
        <x:v>горячее блюдо, бульон, соус, пюре, ферментация или гарнир с арахис</x:v>
      </x:c>
      <x:c r="I244" s="28" t="str">
        <x:v>Тезариус вкусов (Ники Сегнит)(1).pdf</x:v>
      </x:c>
      <x:c r="J244" s="28" t="str">
        <x:v>Тезариус вкусов (Ники Сегнит)(1).pdf: 51, 329</x:v>
      </x:c>
    </x:row>
    <x:row r="245" ht="44" customHeight="1">
      <x:c r="A245" s="28" t="str">
        <x:v>брокколи</x:v>
      </x:c>
      <x:c r="B245" s="28" t="n">
        <x:v>3</x:v>
      </x:c>
      <x:c r="C245" s="28" t="str">
        <x:v>бекон</x:v>
      </x:c>
      <x:c r="D245" s="28" t="n">
        <x:v>6</x:v>
      </x:c>
      <x:c r="E245" s="28" t="str">
        <x:v>Средняя</x:v>
      </x:c>
      <x:c r="F245" s="28" t="n">
        <x:v>1</x:v>
      </x:c>
      <x:c r="G245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H245" s="28" t="str">
        <x:v>горячее блюдо, бульон, соус, пюре, ферментация или гарнир с бекон</x:v>
      </x:c>
      <x:c r="I245" s="28" t="str">
        <x:v>Тезариус вкусов (Ники Сегнит)(1).pdf</x:v>
      </x:c>
      <x:c r="J245" s="28" t="str">
        <x:v>Тезариус вкусов (Ники Сегнит)(1).pdf: 329, 442</x:v>
      </x:c>
    </x:row>
    <x:row r="246" ht="44" customHeight="1">
      <x:c r="A246" s="28" t="str">
        <x:v>брокколи</x:v>
      </x:c>
      <x:c r="B246" s="28" t="n">
        <x:v>4</x:v>
      </x:c>
      <x:c r="C246" s="28" t="str">
        <x:v>говядина</x:v>
      </x:c>
      <x:c r="D246" s="28" t="n">
        <x:v>6</x:v>
      </x:c>
      <x:c r="E246" s="28" t="str">
        <x:v>Средняя</x:v>
      </x:c>
      <x:c r="F246" s="28" t="n">
        <x:v>1</x:v>
      </x:c>
      <x:c r="G246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H246" s="28" t="str">
        <x:v>горячее блюдо, бульон, соус, пюре, ферментация или гарнир с говядина</x:v>
      </x:c>
      <x:c r="I246" s="28" t="str">
        <x:v>Тезариус вкусов (Ники Сегнит)(1).pdf</x:v>
      </x:c>
      <x:c r="J246" s="28" t="str">
        <x:v>Тезариус вкусов (Ники Сегнит)(1).pdf: 106, 330</x:v>
      </x:c>
    </x:row>
    <x:row r="247" ht="44" customHeight="1">
      <x:c r="A247" s="28" t="str">
        <x:v>брокколи</x:v>
      </x:c>
      <x:c r="B247" s="28" t="n">
        <x:v>5</x:v>
      </x:c>
      <x:c r="C247" s="28" t="str">
        <x:v>голубой сыр</x:v>
      </x:c>
      <x:c r="D247" s="28" t="n">
        <x:v>6</x:v>
      </x:c>
      <x:c r="E247" s="28" t="str">
        <x:v>Средняя</x:v>
      </x:c>
      <x:c r="F247" s="28" t="n">
        <x:v>1</x:v>
      </x:c>
      <x:c r="G247" s="28" t="str">
        <x:v>жировая матрица; сернистая или горчичная комплементарность</x:v>
      </x:c>
      <x:c r="H247" s="28" t="str">
        <x:v>горячее блюдо, бульон, соус, пюре, ферментация или гарнир с голубой сыр</x:v>
      </x:c>
      <x:c r="I247" s="28" t="str">
        <x:v>Тезариус вкусов (Ники Сегнит)(1).pdf</x:v>
      </x:c>
      <x:c r="J247" s="28" t="str">
        <x:v>Тезариус вкусов (Ники Сегнит)(1).pdf: 155, 331</x:v>
      </x:c>
    </x:row>
    <x:row r="248" ht="44" customHeight="1">
      <x:c r="A248" s="28" t="str">
        <x:v>брокколи</x:v>
      </x:c>
      <x:c r="B248" s="28" t="n">
        <x:v>6</x:v>
      </x:c>
      <x:c r="C248" s="28" t="str">
        <x:v>грецкий орех</x:v>
      </x:c>
      <x:c r="D248" s="28" t="n">
        <x:v>6</x:v>
      </x:c>
      <x:c r="E248" s="28" t="str">
        <x:v>Средняя</x:v>
      </x:c>
      <x:c r="F248" s="28" t="n">
        <x:v>1</x:v>
      </x:c>
      <x:c r="G248" s="28" t="str">
        <x:v>общие характерные молекулы; сернистая или горчичная комплементарность</x:v>
      </x:c>
      <x:c r="H248" s="28" t="str">
        <x:v>горячее блюдо, бульон, соус, пюре, ферментация или гарнир с грецкий орех</x:v>
      </x:c>
      <x:c r="I248" s="28" t="str">
        <x:v>Тезариус вкусов (Ники Сегнит)(1).pdf</x:v>
      </x:c>
      <x:c r="J248" s="28" t="str">
        <x:v>Тезариус вкусов (Ники Сегнит)(1).pdf: 331, 624</x:v>
      </x:c>
    </x:row>
    <x:row r="249" ht="44" customHeight="1">
      <x:c r="A249" s="28" t="str">
        <x:v>брокколи</x:v>
      </x:c>
      <x:c r="B249" s="28" t="n">
        <x:v>7</x:v>
      </x:c>
      <x:c r="C249" s="28" t="str">
        <x:v>лимон</x:v>
      </x:c>
      <x:c r="D249" s="28" t="n">
        <x:v>6</x:v>
      </x:c>
      <x:c r="E249" s="28" t="str">
        <x:v>Средняя</x:v>
      </x:c>
      <x:c r="F249" s="28" t="n">
        <x:v>1</x:v>
      </x:c>
      <x:c r="G249" s="28" t="str">
        <x:v>кислотно-сладкий баланс; сернистая или горчичная комплементарность</x:v>
      </x:c>
      <x:c r="H249" s="28" t="str">
        <x:v>горячее блюдо, бульон, соус, пюре, ферментация или гарнир с лимон</x:v>
      </x:c>
      <x:c r="I249" s="28" t="str">
        <x:v>Тезариус вкусов (Ники Сегнит)(1).pdf</x:v>
      </x:c>
      <x:c r="J249" s="28" t="str">
        <x:v>Тезариус вкусов (Ники Сегнит)(1).pdf: 331, 801</x:v>
      </x:c>
    </x:row>
    <x:row r="250" ht="44" customHeight="1">
      <x:c r="A250" s="28" t="str">
        <x:v>брокколи</x:v>
      </x:c>
      <x:c r="B250" s="28" t="n">
        <x:v>8</x:v>
      </x:c>
      <x:c r="C250" s="28" t="str">
        <x:v>свинина</x:v>
      </x:c>
      <x:c r="D250" s="28" t="n">
        <x:v>6</x:v>
      </x:c>
      <x:c r="E250" s="28" t="str">
        <x:v>Средняя</x:v>
      </x:c>
      <x:c r="F250" s="28" t="n">
        <x:v>1</x:v>
      </x:c>
      <x:c r="G250" s="28" t="str">
        <x:v>общие характерные молекулы; пересечение ароматических семейств; умами и солёный контраст; сернистая или горчичная комплементарность</x:v>
      </x:c>
      <x:c r="H250" s="28" t="str">
        <x:v>горячее блюдо, бульон, соус, пюре, ферментация или гарнир с свинина</x:v>
      </x:c>
      <x:c r="I250" s="28" t="str">
        <x:v>Тезариус вкусов (Ники Сегнит)(1).pdf</x:v>
      </x:c>
      <x:c r="J250" s="28" t="str">
        <x:v>Тезариус вкусов (Ники Сегнит)(1).pdf: 80, 332</x:v>
      </x:c>
    </x:row>
    <x:row r="251" ht="44" customHeight="1">
      <x:c r="A251" s="28" t="str">
        <x:v>брокколи</x:v>
      </x:c>
      <x:c r="B251" s="28" t="n">
        <x:v>9</x:v>
      </x:c>
      <x:c r="C251" s="28" t="str">
        <x:v>твердый сыр</x:v>
      </x:c>
      <x:c r="D251" s="28" t="n">
        <x:v>6</x:v>
      </x:c>
      <x:c r="E251" s="28" t="str">
        <x:v>Средняя</x:v>
      </x:c>
      <x:c r="F251" s="28" t="n">
        <x:v>1</x:v>
      </x:c>
      <x:c r="G251" s="28" t="str">
        <x:v>жировая матрица; сернистая или горчичная комплементарность</x:v>
      </x:c>
      <x:c r="H251" s="28" t="str">
        <x:v>горячее блюдо, бульон, соус, пюре, ферментация или гарнир с твердый сыр</x:v>
      </x:c>
      <x:c r="I251" s="28" t="str">
        <x:v>Тезариус вкусов (Ники Сегнит)(1).pdf</x:v>
      </x:c>
      <x:c r="J251" s="28" t="str">
        <x:v>Тезариус вкусов (Ники Сегнит)(1).pdf: 168, 332</x:v>
      </x:c>
    </x:row>
    <x:row r="252" ht="44" customHeight="1">
      <x:c r="A252" s="28" t="str">
        <x:v>брокколи</x:v>
      </x:c>
      <x:c r="B252" s="28" t="n">
        <x:v>10</x:v>
      </x:c>
      <x:c r="C252" s="28" t="str">
        <x:v>тёмный шоколад</x:v>
      </x:c>
      <x:c r="D252" s="28" t="n">
        <x:v>6</x:v>
      </x:c>
      <x:c r="E252" s="28" t="str">
        <x:v>Высокая</x:v>
      </x:c>
      <x:c r="F252" s="28" t="n">
        <x:v>1</x:v>
      </x:c>
      <x:c r="G252" s="28" t="str">
        <x:v>общие характерные молекулы; пересечение ароматических семейств; сернистая или горчичная комплементарность</x:v>
      </x:c>
      <x:c r="H252" s="28" t="str">
        <x:v>горячее блюдо, бульон, соус, пюре, ферментация или гарнир с тёмный шоколад</x:v>
      </x:c>
      <x:c r="I252" s="28" t="str">
        <x:v>The Art &amp; Science of Foodpairing.pdf</x:v>
      </x:c>
      <x:c r="J252" s="28" t="str">
        <x:v>The Art &amp; Science of Foodpairing.pdf: 60</x:v>
      </x:c>
    </x:row>
    <x:row r="253" ht="44" customHeight="1">
      <x:c r="A253" s="28" t="str">
        <x:v>брокколи</x:v>
      </x:c>
      <x:c r="B253" s="28" t="n">
        <x:v>11</x:v>
      </x:c>
      <x:c r="C253" s="28" t="str">
        <x:v>чили</x:v>
      </x:c>
      <x:c r="D253" s="28" t="n">
        <x:v>6</x:v>
      </x:c>
      <x:c r="E253" s="28" t="str">
        <x:v>Средняя</x:v>
      </x:c>
      <x:c r="F253" s="28" t="n">
        <x:v>1</x:v>
      </x:c>
      <x:c r="G253" s="28" t="str">
        <x:v>сернистая или горчичная комплементарность</x:v>
      </x:c>
      <x:c r="H253" s="28" t="str">
        <x:v>горячее блюдо, бульон, соус, пюре, ферментация или гарнир с чили</x:v>
      </x:c>
      <x:c r="I253" s="28" t="str">
        <x:v>Тезариус вкусов (Ники Сегнит)(1).pdf</x:v>
      </x:c>
      <x:c r="J253" s="28" t="str">
        <x:v>Тезариус вкусов (Ники Сегнит)(1).pdf: 333, 554</x:v>
      </x:c>
    </x:row>
    <x:row r="254" ht="44" customHeight="1">
      <x:c r="A254" s="28" t="str">
        <x:v>брокколи</x:v>
      </x:c>
      <x:c r="B254" s="28" t="n">
        <x:v>12</x:v>
      </x:c>
      <x:c r="C254" s="28" t="str">
        <x:v>джин</x:v>
      </x:c>
      <x:c r="D254" s="28" t="n">
        <x:v>5</x:v>
      </x:c>
      <x:c r="E254" s="28" t="str">
        <x:v>Средняя</x:v>
      </x:c>
      <x:c r="F254" s="28" t="n">
        <x:v>1</x:v>
      </x:c>
      <x:c r="G254" s="28" t="str">
        <x:v>сернистая или горчичная комплементарность</x:v>
      </x:c>
      <x:c r="H254" s="28" t="str">
        <x:v>горячее блюдо, бульон, соус, пюре, ферментация или гарнир с джин</x:v>
      </x:c>
      <x:c r="I254" s="28" t="str">
        <x:v>The Art &amp; Science of Foodpairing.pdf</x:v>
      </x:c>
      <x:c r="J254" s="28" t="str">
        <x:v>The Art &amp; Science of Foodpairing.pdf: 215</x:v>
      </x:c>
    </x:row>
    <x:row r="255" ht="44" customHeight="1">
      <x:c r="A255" s="28" t="str">
        <x:v>брокколи</x:v>
      </x:c>
      <x:c r="B255" s="28" t="n">
        <x:v>13</x:v>
      </x:c>
      <x:c r="C255" s="28" t="str">
        <x:v>имбирь</x:v>
      </x:c>
      <x:c r="D255" s="28" t="n">
        <x:v>5</x:v>
      </x:c>
      <x:c r="E255" s="28" t="str">
        <x:v>Средняя</x:v>
      </x:c>
      <x:c r="F255" s="28" t="n">
        <x:v>1</x:v>
      </x:c>
      <x:c r="G255" s="28" t="str">
        <x:v>сернистая или горчичная комплементарность</x:v>
      </x:c>
      <x:c r="H255" s="28" t="str">
        <x:v>горячее блюдо, бульон, соус, пюре, ферментация или гарнир с имбирь</x:v>
      </x:c>
      <x:c r="I255" s="28" t="str">
        <x:v>The Art &amp; Science of Foodpairing.pdf</x:v>
      </x:c>
      <x:c r="J255" s="28" t="str">
        <x:v>The Art &amp; Science of Foodpairing.pdf: 142</x:v>
      </x:c>
    </x:row>
    <x:row r="256" ht="44" customHeight="1">
      <x:c r="A256" s="28" t="str">
        <x:v>брокколи</x:v>
      </x:c>
      <x:c r="B256" s="28" t="n">
        <x:v>14</x:v>
      </x:c>
      <x:c r="C256" s="28" t="str">
        <x:v>кунжут, халва и тахини</x:v>
      </x:c>
      <x:c r="D256" s="28" t="n">
        <x:v>5</x:v>
      </x:c>
      <x:c r="E256" s="28" t="str">
        <x:v>Средняя</x:v>
      </x:c>
      <x:c r="F256" s="28" t="n">
        <x:v>1</x:v>
      </x:c>
      <x:c r="G256" s="28" t="str">
        <x:v>общие характерные молекулы; пересечение ароматических семейств; сернистая или горчичная комплементарность</x:v>
      </x:c>
      <x:c r="H256" s="28" t="str">
        <x:v>горячее блюдо, бульон, соус, пюре, ферментация или гарнир с кунжут, халва и тахини</x:v>
      </x:c>
      <x:c r="I256" s="28" t="str">
        <x:v>The Art &amp; Science of Foodpairing.pdf</x:v>
      </x:c>
      <x:c r="J256" s="28" t="str">
        <x:v>The Art &amp; Science of Foodpairing.pdf: 308</x:v>
      </x:c>
    </x:row>
    <x:row r="257" ht="44" customHeight="1">
      <x:c r="A257" s="28" t="str">
        <x:v>брокколи</x:v>
      </x:c>
      <x:c r="B257" s="28" t="n">
        <x:v>15</x:v>
      </x:c>
      <x:c r="C257" s="28" t="str">
        <x:v>пармезан</x:v>
      </x:c>
      <x:c r="D257" s="28" t="n">
        <x:v>5</x:v>
      </x:c>
      <x:c r="E257" s="28" t="str">
        <x:v>Средняя</x:v>
      </x:c>
      <x:c r="F257" s="28" t="n">
        <x:v>1</x:v>
      </x:c>
      <x:c r="G257" s="28" t="str">
        <x:v>сернистая или горчичная комплементарность</x:v>
      </x:c>
      <x:c r="H257" s="28" t="str">
        <x:v>горячее блюдо, бульон, соус, пюре, ферментация или гарнир с пармезан</x:v>
      </x:c>
      <x:c r="I257" s="28" t="str">
        <x:v>The Art &amp; Science of Foodpairing.pdf</x:v>
      </x:c>
      <x:c r="J257" s="28" t="str">
        <x:v>The Art &amp; Science of Foodpairing.pdf: 282</x:v>
      </x:c>
    </x:row>
    <x:row r="258" ht="44" customHeight="1">
      <x:c r="A258" s="28" t="str">
        <x:v>артишок</x:v>
      </x:c>
      <x:c r="B258" s="28" t="n">
        <x:v>1</x:v>
      </x:c>
      <x:c r="C258" s="28" t="str">
        <x:v>баранина</x:v>
      </x:c>
      <x:c r="D258" s="28" t="n">
        <x:v>7</x:v>
      </x:c>
      <x:c r="E258" s="28" t="str">
        <x:v>Средняя</x:v>
      </x:c>
      <x:c r="F258" s="28" t="n">
        <x:v>1</x:v>
      </x:c>
      <x:c r="G258" s="28" t="str">
        <x:v>умами и солёный контраст</x:v>
      </x:c>
      <x:c r="H258" s="28" t="str">
        <x:v>горячее блюдо, бульон, соус, пюре, ферментация или гарнир с баранина</x:v>
      </x:c>
      <x:c r="I258" s="28" t="str">
        <x:v>Тезариус вкусов (Ники Сегнит)(1).pdf</x:v>
      </x:c>
      <x:c r="J258" s="28" t="str">
        <x:v>Тезариус вкусов (Ники Сегнит)(1).pdf: 126, 335, 336</x:v>
      </x:c>
    </x:row>
    <x:row r="259" ht="44" customHeight="1">
      <x:c r="A259" s="28" t="str">
        <x:v>артишок</x:v>
      </x:c>
      <x:c r="B259" s="28" t="n">
        <x:v>2</x:v>
      </x:c>
      <x:c r="C259" s="28" t="str">
        <x:v>манго</x:v>
      </x:c>
      <x:c r="D259" s="28" t="n">
        <x:v>7</x:v>
      </x:c>
      <x:c r="E259" s="28" t="str">
        <x:v>Средняя</x:v>
      </x:c>
      <x:c r="F259" s="28" t="n">
        <x:v>1</x:v>
      </x:c>
      <x:c r="G259" s="28" t="str">
        <x:v>пересечение ароматических семейств; кислотно-сладкий баланс</x:v>
      </x:c>
      <x:c r="H259" s="28" t="str">
        <x:v>горячее блюдо, бульон, соус, пюре, ферментация или гарнир с манго</x:v>
      </x:c>
      <x:c r="I259" s="28" t="str">
        <x:v>The Art &amp; Science of Foodpairing.pdf</x:v>
      </x:c>
      <x:c r="J259" s="28" t="str">
        <x:v>The Art &amp; Science of Foodpairing.pdf: 312, 328</x:v>
      </x:c>
    </x:row>
    <x:row r="260" ht="44" customHeight="1">
      <x:c r="A260" s="28" t="str">
        <x:v>артишок</x:v>
      </x:c>
      <x:c r="B260" s="28" t="n">
        <x:v>3</x:v>
      </x:c>
      <x:c r="C260" s="28" t="str">
        <x:v>бекон</x:v>
      </x:c>
      <x:c r="D260" s="28" t="n">
        <x:v>6</x:v>
      </x:c>
      <x:c r="E260" s="28" t="str">
        <x:v>Средняя</x:v>
      </x:c>
      <x:c r="F260" s="28" t="n">
        <x:v>1</x:v>
      </x:c>
      <x:c r="G260" s="28" t="str">
        <x:v>умами и солёный контраст</x:v>
      </x:c>
      <x:c r="H260" s="28" t="str">
        <x:v>горячее блюдо, бульон, соус, пюре, ферментация или гарнир с бекон</x:v>
      </x:c>
      <x:c r="I260" s="28" t="str">
        <x:v>Тезариус вкусов (Ники Сегнит)(1).pdf</x:v>
      </x:c>
      <x:c r="J260" s="28" t="str">
        <x:v>Тезариус вкусов (Ники Сегнит)(1).pdf: 337, 442</x:v>
      </x:c>
    </x:row>
    <x:row r="261" ht="44" customHeight="1">
      <x:c r="A261" s="28" t="str">
        <x:v>артишок</x:v>
      </x:c>
      <x:c r="B261" s="28" t="n">
        <x:v>4</x:v>
      </x:c>
      <x:c r="C261" s="28" t="str">
        <x:v>говядина</x:v>
      </x:c>
      <x:c r="D261" s="28" t="n">
        <x:v>6</x:v>
      </x:c>
      <x:c r="E261" s="28" t="str">
        <x:v>Высокая</x:v>
      </x:c>
      <x:c r="F261" s="28" t="n">
        <x:v>1</x:v>
      </x:c>
      <x:c r="G261" s="28" t="str">
        <x:v>умами и солёный контраст</x:v>
      </x:c>
      <x:c r="H261" s="28" t="str">
        <x:v>горячее блюдо, бульон, соус, пюре, ферментация или гарнир с говядина</x:v>
      </x:c>
      <x:c r="I261" s="28" t="str">
        <x:v>The Art &amp; Science of Foodpairing.pdf</x:v>
      </x:c>
      <x:c r="J261" s="28" t="str">
        <x:v>The Art &amp; Science of Foodpairing.pdf: 329</x:v>
      </x:c>
    </x:row>
    <x:row r="262" ht="44" customHeight="1">
      <x:c r="A262" s="28" t="str">
        <x:v>артишок</x:v>
      </x:c>
      <x:c r="B262" s="28" t="n">
        <x:v>5</x:v>
      </x:c>
      <x:c r="C262" s="28" t="str">
        <x:v>горох</x:v>
      </x:c>
      <x:c r="D262" s="28" t="n">
        <x:v>6</x:v>
      </x:c>
      <x:c r="E262" s="28" t="str">
        <x:v>Средняя</x:v>
      </x:c>
      <x:c r="F262" s="28" t="n">
        <x:v>1</x:v>
      </x:c>
      <x:c r="G262" s="28" t="str">
        <x:v>пересечение ароматических семейств</x:v>
      </x:c>
      <x:c r="H262" s="28" t="str">
        <x:v>горячее блюдо, бульон, соус, пюре, ферментация или гарнир с горох</x:v>
      </x:c>
      <x:c r="I262" s="28" t="str">
        <x:v>Тезариус вкусов (Ники Сегнит)(1).pdf</x:v>
      </x:c>
      <x:c r="J262" s="28" t="str">
        <x:v>Тезариус вкусов (Ники Сегнит)(1).pdf: 338, 535</x:v>
      </x:c>
    </x:row>
    <x:row r="263" ht="44" customHeight="1">
      <x:c r="A263" s="28" t="str">
        <x:v>артишок</x:v>
      </x:c>
      <x:c r="B263" s="28" t="n">
        <x:v>6</x:v>
      </x:c>
      <x:c r="C263" s="28" t="str">
        <x:v>лимон</x:v>
      </x:c>
      <x:c r="D263" s="28" t="n">
        <x:v>6</x:v>
      </x:c>
      <x:c r="E263" s="28" t="str">
        <x:v>Средняя</x:v>
      </x:c>
      <x:c r="F263" s="28" t="n">
        <x:v>1</x:v>
      </x:c>
      <x:c r="G263" s="28" t="str">
        <x:v>кислотно-сладкий баланс</x:v>
      </x:c>
      <x:c r="H263" s="28" t="str">
        <x:v>горячее блюдо, бульон, соус, пюре, ферментация или гарнир с лимон</x:v>
      </x:c>
      <x:c r="I263" s="28" t="str">
        <x:v>Тезариус вкусов (Ники Сегнит)(1).pdf</x:v>
      </x:c>
      <x:c r="J263" s="28" t="str">
        <x:v>Тезариус вкусов (Ники Сегнит)(1).pdf: 339, 800</x:v>
      </x:c>
    </x:row>
    <x:row r="264" ht="44" customHeight="1">
      <x:c r="A264" s="28" t="str">
        <x:v>артишок</x:v>
      </x:c>
      <x:c r="B264" s="28" t="n">
        <x:v>7</x:v>
      </x:c>
      <x:c r="C264" s="28" t="str">
        <x:v>моллюски</x:v>
      </x:c>
      <x:c r="D264" s="28" t="n">
        <x:v>6</x:v>
      </x:c>
      <x:c r="E264" s="28" t="str">
        <x:v>Средняя</x:v>
      </x:c>
      <x:c r="F264" s="28" t="n">
        <x:v>1</x:v>
      </x:c>
      <x:c r="G264" s="28" t="str">
        <x:v>умами и солёный контраст</x:v>
      </x:c>
      <x:c r="H264" s="28" t="str">
        <x:v>горячее блюдо, бульон, соус, пюре, ферментация или гарнир с моллюски</x:v>
      </x:c>
      <x:c r="I264" s="28" t="str">
        <x:v>Тезариус вкусов (Ники Сегнит)(1).pdf</x:v>
      </x:c>
      <x:c r="J264" s="28" t="str">
        <x:v>Тезариус вкусов (Ники Сегнит)(1).pdf: 340, 365</x:v>
      </x:c>
    </x:row>
    <x:row r="265" ht="44" customHeight="1">
      <x:c r="A265" s="28" t="str">
        <x:v>артишок</x:v>
      </x:c>
      <x:c r="B265" s="28" t="n">
        <x:v>8</x:v>
      </x:c>
      <x:c r="C265" s="28" t="str">
        <x:v>мята</x:v>
      </x:c>
      <x:c r="D265" s="28" t="n">
        <x:v>6</x:v>
      </x:c>
      <x:c r="E265" s="28" t="str">
        <x:v>Средняя</x:v>
      </x:c>
      <x:c r="F265" s="28" t="n">
        <x:v>1</x:v>
      </x:c>
      <x:c r="G265" s="28" t="str">
        <x:v>пересечение ароматических семейств</x:v>
      </x:c>
      <x:c r="H265" s="28" t="str">
        <x:v>горячее блюдо, бульон, соус, пюре, ферментация или гарнир с мята</x:v>
      </x:c>
      <x:c r="I265" s="28" t="str">
        <x:v>Тезариус вкусов (Ники Сегнит)(1).pdf</x:v>
      </x:c>
      <x:c r="J265" s="28" t="str">
        <x:v>Тезариус вкусов (Ники Сегнит)(1).pdf: 340, 866</x:v>
      </x:c>
    </x:row>
    <x:row r="266" ht="44" customHeight="1">
      <x:c r="A266" s="28" t="str">
        <x:v>артишок</x:v>
      </x:c>
      <x:c r="B266" s="28" t="n">
        <x:v>9</x:v>
      </x:c>
      <x:c r="C266" s="28" t="str">
        <x:v>паста</x:v>
      </x:c>
      <x:c r="D266" s="28" t="n">
        <x:v>6</x:v>
      </x:c>
      <x:c r="E266" s="28" t="str">
        <x:v>Высокая</x:v>
      </x:c>
      <x:c r="F266" s="28" t="n">
        <x:v>1</x:v>
      </x:c>
      <x:c r="G266" s="28" t="str">
        <x:v>сенсорная комплементарность</x:v>
      </x:c>
      <x:c r="H266" s="28" t="str">
        <x:v>горячее блюдо, бульон, соус, пюре, ферментация или гарнир с паста</x:v>
      </x:c>
      <x:c r="I266" s="28" t="str">
        <x:v>The Art &amp; Science of Foodpairing.pdf</x:v>
      </x:c>
      <x:c r="J266" s="28" t="str">
        <x:v>The Art &amp; Science of Foodpairing.pdf: 325</x:v>
      </x:c>
    </x:row>
    <x:row r="267" ht="44" customHeight="1">
      <x:c r="A267" s="28" t="str">
        <x:v>артишок</x:v>
      </x:c>
      <x:c r="B267" s="28" t="n">
        <x:v>10</x:v>
      </x:c>
      <x:c r="C267" s="28" t="str">
        <x:v>прошутто</x:v>
      </x:c>
      <x:c r="D267" s="28" t="n">
        <x:v>6</x:v>
      </x:c>
      <x:c r="E267" s="28" t="str">
        <x:v>Средняя</x:v>
      </x:c>
      <x:c r="F267" s="28" t="n">
        <x:v>1</x:v>
      </x:c>
      <x:c r="G267" s="28" t="str">
        <x:v>умами и солёный контраст</x:v>
      </x:c>
      <x:c r="H267" s="28" t="str">
        <x:v>горячее блюдо, бульон, соус, пюре, ферментация или гарнир с прошутто</x:v>
      </x:c>
      <x:c r="I267" s="28" t="str">
        <x:v>Тезариус вкусов (Ники Сегнит)(1).pdf</x:v>
      </x:c>
      <x:c r="J267" s="28" t="str">
        <x:v>Тезариус вкусов (Ники Сегнит)(1).pdf: 341, 454</x:v>
      </x:c>
    </x:row>
    <x:row r="268" ht="44" customHeight="1">
      <x:c r="A268" s="28" t="str">
        <x:v>артишок</x:v>
      </x:c>
      <x:c r="B268" s="28" t="n">
        <x:v>11</x:v>
      </x:c>
      <x:c r="C268" s="28" t="str">
        <x:v>свинина</x:v>
      </x:c>
      <x:c r="D268" s="28" t="n">
        <x:v>6</x:v>
      </x:c>
      <x:c r="E268" s="28" t="str">
        <x:v>Средняя</x:v>
      </x:c>
      <x:c r="F268" s="28" t="n">
        <x:v>1</x:v>
      </x:c>
      <x:c r="G268" s="28" t="str">
        <x:v>умами и солёный контраст</x:v>
      </x:c>
      <x:c r="H268" s="28" t="str">
        <x:v>горячее блюдо, бульон, соус, пюре, ферментация или гарнир с свинина</x:v>
      </x:c>
      <x:c r="I268" s="28" t="str">
        <x:v>Тезариус вкусов (Ники Сегнит)(1).pdf</x:v>
      </x:c>
      <x:c r="J268" s="28" t="str">
        <x:v>Тезариус вкусов (Ники Сегнит)(1).pdf: 79, 341</x:v>
      </x:c>
    </x:row>
    <x:row r="269" ht="44" customHeight="1">
      <x:c r="A269" s="28" t="str">
        <x:v>артишок</x:v>
      </x:c>
      <x:c r="B269" s="28" t="n">
        <x:v>12</x:v>
      </x:c>
      <x:c r="C269" s="28" t="str">
        <x:v>твердый сыр</x:v>
      </x:c>
      <x:c r="D269" s="28" t="n">
        <x:v>6</x:v>
      </x:c>
      <x:c r="E269" s="28" t="str">
        <x:v>Средняя</x:v>
      </x:c>
      <x:c r="F269" s="28" t="n">
        <x:v>1</x:v>
      </x:c>
      <x:c r="G269" s="28" t="str">
        <x:v>жировая матрица</x:v>
      </x:c>
      <x:c r="H269" s="28" t="str">
        <x:v>горячее блюдо, бульон, соус, пюре, ферментация или гарнир с твердый сыр</x:v>
      </x:c>
      <x:c r="I269" s="28" t="str">
        <x:v>Тезариус вкусов (Ники Сегнит)(1).pdf</x:v>
      </x:c>
      <x:c r="J269" s="28" t="str">
        <x:v>Тезариус вкусов (Ники Сегнит)(1).pdf: 165, 341</x:v>
      </x:c>
    </x:row>
    <x:row r="270" ht="44" customHeight="1">
      <x:c r="A270" s="28" t="str">
        <x:v>артишок</x:v>
      </x:c>
      <x:c r="B270" s="28" t="n">
        <x:v>13</x:v>
      </x:c>
      <x:c r="C270" s="28" t="str">
        <x:v>трюфель</x:v>
      </x:c>
      <x:c r="D270" s="28" t="n">
        <x:v>6</x:v>
      </x:c>
      <x:c r="E270" s="28" t="str">
        <x:v>Средняя</x:v>
      </x:c>
      <x:c r="F270" s="28" t="n">
        <x:v>1</x:v>
      </x:c>
      <x:c r="G270" s="28" t="str">
        <x:v>умами и солёный контраст</x:v>
      </x:c>
      <x:c r="H270" s="28" t="str">
        <x:v>горячее блюдо, бульон, соус, пюре, ферментация или гарнир с трюфель</x:v>
      </x:c>
      <x:c r="I270" s="28" t="str">
        <x:v>Тезариус вкусов (Ники Сегнит)(1).pdf</x:v>
      </x:c>
      <x:c r="J270" s="28" t="str">
        <x:v>Тезариус вкусов (Ники Сегнит)(1).pdf: 301, 342</x:v>
      </x:c>
    </x:row>
    <x:row r="271" ht="44" customHeight="1">
      <x:c r="A271" s="28" t="str">
        <x:v>артишок</x:v>
      </x:c>
      <x:c r="B271" s="28" t="n">
        <x:v>14</x:v>
      </x:c>
      <x:c r="C271" s="28" t="str">
        <x:v>устрицы</x:v>
      </x:c>
      <x:c r="D271" s="28" t="n">
        <x:v>6</x:v>
      </x:c>
      <x:c r="E271" s="28" t="str">
        <x:v>Средняя</x:v>
      </x:c>
      <x:c r="F271" s="28" t="n">
        <x:v>1</x:v>
      </x:c>
      <x:c r="G271" s="28" t="str">
        <x:v>умами и солёный контраст</x:v>
      </x:c>
      <x:c r="H271" s="28" t="str">
        <x:v>горячее блюдо, бульон, соус, пюре, ферментация или гарнир с устрицы</x:v>
      </x:c>
      <x:c r="I271" s="28" t="str">
        <x:v>Тезариус вкусов (Ники Сегнит)(1).pdf</x:v>
      </x:c>
      <x:c r="J271" s="28" t="str">
        <x:v>Тезариус вкусов (Ники Сегнит)(1).pdf: 342, 396</x:v>
      </x:c>
    </x:row>
    <x:row r="272" ht="44" customHeight="1">
      <x:c r="A272" s="28" t="str">
        <x:v>артишок</x:v>
      </x:c>
      <x:c r="B272" s="28" t="n">
        <x:v>15</x:v>
      </x:c>
      <x:c r="C272" s="28" t="str">
        <x:v>фундук</x:v>
      </x:c>
      <x:c r="D272" s="28" t="n">
        <x:v>6</x:v>
      </x:c>
      <x:c r="E272" s="28" t="str">
        <x:v>Высокая</x:v>
      </x:c>
      <x:c r="F272" s="28" t="n">
        <x:v>1</x:v>
      </x:c>
      <x:c r="G272" s="28" t="str">
        <x:v>пересечение ароматических семейств</x:v>
      </x:c>
      <x:c r="H272" s="28" t="str">
        <x:v>горячее блюдо, бульон, соус, пюре, ферментация или гарнир с фундук</x:v>
      </x:c>
      <x:c r="I272" s="28" t="str">
        <x:v>The Art &amp; Science of Foodpairing.pdf</x:v>
      </x:c>
      <x:c r="J272" s="28" t="str">
        <x:v>The Art &amp; Science of Foodpairing.pdf: 329</x:v>
      </x:c>
    </x:row>
    <x:row r="273" ht="44" customHeight="1">
      <x:c r="A273" s="28" t="str">
        <x:v>артишок</x:v>
      </x:c>
      <x:c r="B273" s="28" t="n">
        <x:v>16</x:v>
      </x:c>
      <x:c r="C273" s="28" t="str">
        <x:v>арбуз</x:v>
      </x:c>
      <x:c r="D273" s="28" t="n">
        <x:v>5</x:v>
      </x:c>
      <x:c r="E273" s="28" t="str">
        <x:v>Средняя</x:v>
      </x:c>
      <x:c r="F273" s="28" t="n">
        <x:v>1</x:v>
      </x:c>
      <x:c r="G273" s="28" t="str">
        <x:v>сенсорная комплементарность</x:v>
      </x:c>
      <x:c r="H273" s="28" t="str">
        <x:v>горячее блюдо, бульон, соус, пюре, ферментация или гарнир с арбуз</x:v>
      </x:c>
      <x:c r="I273" s="28" t="str">
        <x:v>The Art &amp; Science of Foodpairing.pdf</x:v>
      </x:c>
      <x:c r="J273" s="28" t="str">
        <x:v>The Art &amp; Science of Foodpairing.pdf: 78</x:v>
      </x:c>
    </x:row>
    <x:row r="274" ht="44" customHeight="1">
      <x:c r="A274" s="28" t="str">
        <x:v>артишок</x:v>
      </x:c>
      <x:c r="B274" s="28" t="n">
        <x:v>17</x:v>
      </x:c>
      <x:c r="C274" s="28" t="str">
        <x:v>банан</x:v>
      </x:c>
      <x:c r="D274" s="28" t="n">
        <x:v>5</x:v>
      </x:c>
      <x:c r="E274" s="28" t="str">
        <x:v>Средняя</x:v>
      </x:c>
      <x:c r="F274" s="28" t="n">
        <x:v>1</x:v>
      </x:c>
      <x:c r="G274" s="28" t="str">
        <x:v>пересечение ароматических семейств; кислотно-сладкий баланс</x:v>
      </x:c>
      <x:c r="H274" s="28" t="str">
        <x:v>горячее блюдо, бульон, соус, пюре, ферментация или гарнир с банан</x:v>
      </x:c>
      <x:c r="I274" s="28" t="str">
        <x:v>The Art &amp; Science of Foodpairing.pdf</x:v>
      </x:c>
      <x:c r="J274" s="28" t="str">
        <x:v>The Art &amp; Science of Foodpairing.pdf: 342</x:v>
      </x:c>
    </x:row>
    <x:row r="275" ht="44" customHeight="1">
      <x:c r="A275" s="28" t="str">
        <x:v>артишок</x:v>
      </x:c>
      <x:c r="B275" s="28" t="n">
        <x:v>18</x:v>
      </x:c>
      <x:c r="C275" s="28" t="str">
        <x:v>кардамон</x:v>
      </x:c>
      <x:c r="D275" s="28" t="n">
        <x:v>5</x:v>
      </x:c>
      <x:c r="E275" s="28" t="str">
        <x:v>Средняя</x:v>
      </x:c>
      <x:c r="F275" s="28" t="n">
        <x:v>1</x:v>
      </x:c>
      <x:c r="G275" s="28" t="str">
        <x:v>пересечение ароматических семейств</x:v>
      </x:c>
      <x:c r="H275" s="28" t="str">
        <x:v>горячее блюдо, бульон, соус, пюре, ферментация или гарнир с кардамон</x:v>
      </x:c>
      <x:c r="I275" s="28" t="str">
        <x:v>The Art &amp; Science of Foodpairing.pdf</x:v>
      </x:c>
      <x:c r="J275" s="28" t="str">
        <x:v>The Art &amp; Science of Foodpairing.pdf: 256</x:v>
      </x:c>
    </x:row>
    <x:row r="276" ht="44" customHeight="1">
      <x:c r="A276" s="28" t="str">
        <x:v>артишок</x:v>
      </x:c>
      <x:c r="B276" s="28" t="n">
        <x:v>19</x:v>
      </x:c>
      <x:c r="C276" s="28" t="str">
        <x:v>коньяк</x:v>
      </x:c>
      <x:c r="D276" s="28" t="n">
        <x:v>5</x:v>
      </x:c>
      <x:c r="E276" s="28" t="str">
        <x:v>Средняя</x:v>
      </x:c>
      <x:c r="F276" s="28" t="n">
        <x:v>1</x:v>
      </x:c>
      <x:c r="G276" s="28" t="str">
        <x:v>сенсорная комплементарность</x:v>
      </x:c>
      <x:c r="H276" s="28" t="str">
        <x:v>горячее блюдо, бульон, соус, пюре, ферментация или гарнир с коньяк</x:v>
      </x:c>
      <x:c r="I276" s="28" t="str">
        <x:v>The Art &amp; Science of Foodpairing.pdf</x:v>
      </x:c>
      <x:c r="J276" s="28" t="str">
        <x:v>The Art &amp; Science of Foodpairing.pdf: 123</x:v>
      </x:c>
    </x:row>
    <x:row r="277" ht="44" customHeight="1">
      <x:c r="A277" s="28" t="str">
        <x:v>артишок</x:v>
      </x:c>
      <x:c r="B277" s="28" t="n">
        <x:v>20</x:v>
      </x:c>
      <x:c r="C277" s="28" t="str">
        <x:v>лосось</x:v>
      </x:c>
      <x:c r="D277" s="28" t="n">
        <x:v>5</x:v>
      </x:c>
      <x:c r="E277" s="28" t="str">
        <x:v>Средняя</x:v>
      </x:c>
      <x:c r="F277" s="28" t="n">
        <x:v>1</x:v>
      </x:c>
      <x:c r="G277" s="28" t="str">
        <x:v>умами и солёный контраст</x:v>
      </x:c>
      <x:c r="H277" s="28" t="str">
        <x:v>горячее блюдо, бульон, соус, пюре, ферментация или гарнир с лосось</x:v>
      </x:c>
      <x:c r="I277" s="28" t="str">
        <x:v>The Art &amp; Science of Foodpairing.pdf</x:v>
      </x:c>
      <x:c r="J277" s="28" t="str">
        <x:v>The Art &amp; Science of Foodpairing.pdf: 328</x:v>
      </x:c>
    </x:row>
    <x:row r="278" ht="44" customHeight="1">
      <x:c r="A278" s="28" t="str">
        <x:v>спаржа</x:v>
      </x:c>
      <x:c r="B278" s="28" t="n">
        <x:v>1</x:v>
      </x:c>
      <x:c r="C278" s="28" t="str">
        <x:v>анис</x:v>
      </x:c>
      <x:c r="D278" s="28" t="n">
        <x:v>6</x:v>
      </x:c>
      <x:c r="E278" s="28" t="str">
        <x:v>Средняя</x:v>
      </x:c>
      <x:c r="F278" s="28" t="n">
        <x:v>1</x:v>
      </x:c>
      <x:c r="G278" s="28" t="str">
        <x:v>сернистая или горчичная комплементарность</x:v>
      </x:c>
      <x:c r="H278" s="28" t="str">
        <x:v>горячее блюдо, бульон, соус, пюре, ферментация или гарнир с анис</x:v>
      </x:c>
      <x:c r="I278" s="28" t="str">
        <x:v>Тезариус вкусов (Ники Сегнит)(1).pdf</x:v>
      </x:c>
      <x:c r="J278" s="28" t="str">
        <x:v>Тезариус вкусов (Ники Сегнит)(1).pdf: 344, 486</x:v>
      </x:c>
    </x:row>
    <x:row r="279" ht="44" customHeight="1">
      <x:c r="A279" s="28" t="str">
        <x:v>спаржа</x:v>
      </x:c>
      <x:c r="B279" s="28" t="n">
        <x:v>2</x:v>
      </x:c>
      <x:c r="C279" s="28" t="str">
        <x:v>апельсин</x:v>
      </x:c>
      <x:c r="D279" s="28" t="n">
        <x:v>6</x:v>
      </x:c>
      <x:c r="E279" s="28" t="str">
        <x:v>Средняя</x:v>
      </x:c>
      <x:c r="F279" s="28" t="n">
        <x:v>1</x:v>
      </x:c>
      <x:c r="G279" s="28" t="str">
        <x:v>кислотно-сладкий баланс; сернистая или горчичная комплементарность</x:v>
      </x:c>
      <x:c r="H279" s="28" t="str">
        <x:v>горячее блюдо, бульон, соус, пюре, ферментация или гарнир с апельсин</x:v>
      </x:c>
      <x:c r="I279" s="28" t="str">
        <x:v>Тезариус вкусов (Ники Сегнит)(1).pdf</x:v>
      </x:c>
      <x:c r="J279" s="28" t="str">
        <x:v>Тезариус вкусов (Ники Сегнит)(1).pdf: 345, 781</x:v>
      </x:c>
    </x:row>
    <x:row r="280" ht="44" customHeight="1">
      <x:c r="A280" s="28" t="str">
        <x:v>спаржа</x:v>
      </x:c>
      <x:c r="B280" s="28" t="n">
        <x:v>3</x:v>
      </x:c>
      <x:c r="C280" s="28" t="str">
        <x:v>арахис</x:v>
      </x:c>
      <x:c r="D280" s="28" t="n">
        <x:v>6</x:v>
      </x:c>
      <x:c r="E280" s="28" t="str">
        <x:v>Средняя</x:v>
      </x:c>
      <x:c r="F280" s="28" t="n">
        <x:v>1</x:v>
      </x:c>
      <x:c r="G280" s="28" t="str">
        <x:v>общие характерные молекулы; пересечение ароматических семейств; сернистая или горчичная комплементарность</x:v>
      </x:c>
      <x:c r="H280" s="28" t="str">
        <x:v>горячее блюдо, бульон, соус, пюре, ферментация или гарнир с арахис</x:v>
      </x:c>
      <x:c r="I280" s="28" t="str">
        <x:v>Тезариус вкусов (Ники Сегнит)(1).pdf</x:v>
      </x:c>
      <x:c r="J280" s="28" t="str">
        <x:v>Тезариус вкусов (Ники Сегнит)(1).pdf: 56, 345</x:v>
      </x:c>
    </x:row>
    <x:row r="281" ht="44" customHeight="1">
      <x:c r="A281" s="28" t="str">
        <x:v>спаржа</x:v>
      </x:c>
      <x:c r="B281" s="28" t="n">
        <x:v>4</x:v>
      </x:c>
      <x:c r="C281" s="28" t="str">
        <x:v>белая рыба</x:v>
      </x:c>
      <x:c r="D281" s="28" t="n">
        <x:v>6</x:v>
      </x:c>
      <x:c r="E281" s="28" t="str">
        <x:v>Средняя</x:v>
      </x:c>
      <x:c r="F281" s="28" t="n">
        <x:v>1</x:v>
      </x:c>
      <x:c r="G281" s="28" t="str">
        <x:v>умами и солёный контраст; сернистая или горчичная комплементарность</x:v>
      </x:c>
      <x:c r="H281" s="28" t="str">
        <x:v>горячее блюдо, бульон, соус, пюре, ферментация или гарнир с белая рыба</x:v>
      </x:c>
      <x:c r="I281" s="28" t="str">
        <x:v>Тезариус вкусов (Ники Сегнит)(1).pdf</x:v>
      </x:c>
      <x:c r="J281" s="28" t="str">
        <x:v>Тезариус вкусов (Ники Сегнит)(1).pdf: 345, 389</x:v>
      </x:c>
    </x:row>
    <x:row r="282" ht="44" customHeight="1">
      <x:c r="A282" s="28" t="str">
        <x:v>спаржа</x:v>
      </x:c>
      <x:c r="B282" s="28" t="n">
        <x:v>5</x:v>
      </x:c>
      <x:c r="C282" s="28" t="str">
        <x:v>горох</x:v>
      </x:c>
      <x:c r="D282" s="28" t="n">
        <x:v>6</x:v>
      </x:c>
      <x:c r="E282" s="28" t="str">
        <x:v>Средняя</x:v>
      </x:c>
      <x:c r="F282" s="28" t="n">
        <x:v>1</x:v>
      </x:c>
      <x:c r="G282" s="28" t="str">
        <x:v>пересечение ароматических семейств; сернистая или горчичная комплементарность</x:v>
      </x:c>
      <x:c r="H282" s="28" t="str">
        <x:v>горячее блюдо, бульон, соус, пюре, ферментация или гарнир с горох</x:v>
      </x:c>
      <x:c r="I282" s="28" t="str">
        <x:v>Тезариус вкусов (Ники Сегнит)(1).pdf</x:v>
      </x:c>
      <x:c r="J282" s="28" t="str">
        <x:v>Тезариус вкусов (Ники Сегнит)(1).pdf: 345, 541</x:v>
      </x:c>
    </x:row>
    <x:row r="283" ht="44" customHeight="1">
      <x:c r="A283" s="28" t="str">
        <x:v>спаржа</x:v>
      </x:c>
      <x:c r="B283" s="28" t="n">
        <x:v>6</x:v>
      </x:c>
      <x:c r="C283" s="28" t="str">
        <x:v>жирная рыба</x:v>
      </x:c>
      <x:c r="D283" s="28" t="n">
        <x:v>6</x:v>
      </x:c>
      <x:c r="E283" s="28" t="str">
        <x:v>Средняя</x:v>
      </x:c>
      <x:c r="F283" s="28" t="n">
        <x:v>1</x:v>
      </x:c>
      <x:c r="G283" s="28" t="str">
        <x:v>умами и солёный контраст; сернистая или горчичная комплементарность</x:v>
      </x:c>
      <x:c r="H283" s="28" t="str">
        <x:v>горячее блюдо, бульон, соус, пюре, ферментация или гарнир с жирная рыба</x:v>
      </x:c>
      <x:c r="I283" s="28" t="str">
        <x:v>Тезариус вкусов (Ники Сегнит)(1).pdf</x:v>
      </x:c>
      <x:c r="J283" s="28" t="str">
        <x:v>Тезариус вкусов (Ники Сегнит)(1).pdf: 346, 417</x:v>
      </x:c>
    </x:row>
    <x:row r="284" ht="44" customHeight="1">
      <x:c r="A284" s="28" t="str">
        <x:v>спаржа</x:v>
      </x:c>
      <x:c r="B284" s="28" t="n">
        <x:v>7</x:v>
      </x:c>
      <x:c r="C284" s="28" t="str">
        <x:v>комбу</x:v>
      </x:c>
      <x:c r="D284" s="28" t="n">
        <x:v>6</x:v>
      </x:c>
      <x:c r="E284" s="28" t="str">
        <x:v>Высокая</x:v>
      </x:c>
      <x:c r="F284" s="28" t="n">
        <x:v>1</x:v>
      </x:c>
      <x:c r="G284" s="28" t="str">
        <x:v>сернистая или горчичная комплементарность</x:v>
      </x:c>
      <x:c r="H284" s="28" t="str">
        <x:v>горячее блюдо, бульон, соус, пюре, ферментация или гарнир с комбу</x:v>
      </x:c>
      <x:c r="I284" s="28" t="str">
        <x:v>The Art &amp; Science of Foodpairing.pdf</x:v>
      </x:c>
      <x:c r="J284" s="28" t="str">
        <x:v>The Art &amp; Science of Foodpairing.pdf: 267</x:v>
      </x:c>
    </x:row>
    <x:row r="285" ht="44" customHeight="1">
      <x:c r="A285" s="28" t="str">
        <x:v>спаржа</x:v>
      </x:c>
      <x:c r="B285" s="28" t="n">
        <x:v>8</x:v>
      </x:c>
      <x:c r="C285" s="28" t="str">
        <x:v>лимон</x:v>
      </x:c>
      <x:c r="D285" s="28" t="n">
        <x:v>6</x:v>
      </x:c>
      <x:c r="E285" s="28" t="str">
        <x:v>Средняя</x:v>
      </x:c>
      <x:c r="F285" s="28" t="n">
        <x:v>1</x:v>
      </x:c>
      <x:c r="G285" s="28" t="str">
        <x:v>кислотно-сладкий баланс; сернистая или горчичная комплементарность</x:v>
      </x:c>
      <x:c r="H285" s="28" t="str">
        <x:v>горячее блюдо, бульон, соус, пюре, ферментация или гарнир с лимон</x:v>
      </x:c>
      <x:c r="I285" s="28" t="str">
        <x:v>Тезариус вкусов (Ники Сегнит)(1).pdf</x:v>
      </x:c>
      <x:c r="J285" s="28" t="str">
        <x:v>Тезариус вкусов (Ники Сегнит)(1).pdf: 346, 807</x:v>
      </x:c>
    </x:row>
    <x:row r="286" ht="44" customHeight="1">
      <x:c r="A286" s="28" t="str">
        <x:v>спаржа</x:v>
      </x:c>
      <x:c r="B286" s="28" t="n">
        <x:v>9</x:v>
      </x:c>
      <x:c r="C286" s="28" t="str">
        <x:v>миндаль</x:v>
      </x:c>
      <x:c r="D286" s="28" t="n">
        <x:v>6</x:v>
      </x:c>
      <x:c r="E286" s="28" t="str">
        <x:v>Средняя</x:v>
      </x:c>
      <x:c r="F286" s="28" t="n">
        <x:v>1</x:v>
      </x:c>
      <x:c r="G286" s="28" t="str">
        <x:v>общие характерные молекулы; пересечение ароматических семейств; сернистая или горчичная комплементарность</x:v>
      </x:c>
      <x:c r="H286" s="28" t="str">
        <x:v>горячее блюдо, бульон, соус, пюре, ферментация или гарнир с миндаль</x:v>
      </x:c>
      <x:c r="I286" s="28" t="str">
        <x:v>Тезариус вкусов (Ники Сегнит)(1).pdf</x:v>
      </x:c>
      <x:c r="J286" s="28" t="str">
        <x:v>Тезариус вкусов (Ники Сегнит)(1).pdf: 347, 648</x:v>
      </x:c>
    </x:row>
    <x:row r="287" ht="44" customHeight="1">
      <x:c r="A287" s="28" t="str">
        <x:v>спаржа</x:v>
      </x:c>
      <x:c r="B287" s="28" t="n">
        <x:v>10</x:v>
      </x:c>
      <x:c r="C287" s="28" t="str">
        <x:v>моллюски</x:v>
      </x:c>
      <x:c r="D287" s="28" t="n">
        <x:v>6</x:v>
      </x:c>
      <x:c r="E287" s="28" t="str">
        <x:v>Средняя</x:v>
      </x:c>
      <x:c r="F287" s="28" t="n">
        <x:v>1</x:v>
      </x:c>
      <x:c r="G287" s="28" t="str">
        <x:v>умами и солёный контраст; сернистая или горчичная комплементарность</x:v>
      </x:c>
      <x:c r="H287" s="28" t="str">
        <x:v>горячее блюдо, бульон, соус, пюре, ферментация или гарнир с моллюски</x:v>
      </x:c>
      <x:c r="I287" s="28" t="str">
        <x:v>Тезариус вкусов (Ники Сегнит)(1).pdf</x:v>
      </x:c>
      <x:c r="J287" s="28" t="str">
        <x:v>Тезариус вкусов (Ники Сегнит)(1).pdf: 347, 375</x:v>
      </x:c>
    </x:row>
    <x:row r="288" ht="44" customHeight="1">
      <x:c r="A288" s="28" t="str">
        <x:v>спаржа</x:v>
      </x:c>
      <x:c r="B288" s="28" t="n">
        <x:v>11</x:v>
      </x:c>
      <x:c r="C288" s="28" t="str">
        <x:v>мята</x:v>
      </x:c>
      <x:c r="D288" s="28" t="n">
        <x:v>6</x:v>
      </x:c>
      <x:c r="E288" s="28" t="str">
        <x:v>Средняя</x:v>
      </x:c>
      <x:c r="F288" s="28" t="n">
        <x:v>1</x:v>
      </x:c>
      <x:c r="G288" s="28" t="str">
        <x:v>пересечение ароматических семейств; сернистая или горчичная комплементарность</x:v>
      </x:c>
      <x:c r="H288" s="28" t="str">
        <x:v>горячее блюдо, бульон, соус, пюре, ферментация или гарнир с мята</x:v>
      </x:c>
      <x:c r="I288" s="28" t="str">
        <x:v>Тезариус вкусов (Ники Сегнит)(1).pdf</x:v>
      </x:c>
      <x:c r="J288" s="28" t="str">
        <x:v>Тезариус вкусов (Ники Сегнит)(1).pdf: 347, 869</x:v>
      </x:c>
    </x:row>
    <x:row r="289" ht="44" customHeight="1">
      <x:c r="A289" s="28" t="str">
        <x:v>спаржа</x:v>
      </x:c>
      <x:c r="B289" s="28" t="n">
        <x:v>12</x:v>
      </x:c>
      <x:c r="C289" s="28" t="str">
        <x:v>пармезан</x:v>
      </x:c>
      <x:c r="D289" s="28" t="n">
        <x:v>6</x:v>
      </x:c>
      <x:c r="E289" s="28" t="str">
        <x:v>Средняя</x:v>
      </x:c>
      <x:c r="F289" s="28" t="n">
        <x:v>1</x:v>
      </x:c>
      <x:c r="G289" s="28" t="str">
        <x:v>сернистая или горчичная комплементарность</x:v>
      </x:c>
      <x:c r="H289" s="28" t="str">
        <x:v>горячее блюдо, бульон, соус, пюре, ферментация или гарнир с пармезан</x:v>
      </x:c>
      <x:c r="I289" s="28" t="str">
        <x:v>The Art &amp; Science of Foodpairing.pdf</x:v>
      </x:c>
      <x:c r="J289" s="28" t="str">
        <x:v>The Art &amp; Science of Foodpairing.pdf: 282</x:v>
      </x:c>
    </x:row>
    <x:row r="290" ht="44" customHeight="1">
      <x:c r="A290" s="28" t="str">
        <x:v>спаржа</x:v>
      </x:c>
      <x:c r="B290" s="28" t="n">
        <x:v>13</x:v>
      </x:c>
      <x:c r="C290" s="28" t="str">
        <x:v>прошутто</x:v>
      </x:c>
      <x:c r="D290" s="28" t="n">
        <x:v>6</x:v>
      </x:c>
      <x:c r="E290" s="28" t="str">
        <x:v>Средняя</x:v>
      </x:c>
      <x:c r="F290" s="28" t="n">
        <x:v>1</x:v>
      </x:c>
      <x:c r="G290" s="28" t="str">
        <x:v>общие характерные молекулы; умами и солёный контраст; сернистая или горчичная комплементарность</x:v>
      </x:c>
      <x:c r="H290" s="28" t="str">
        <x:v>горячее блюдо, бульон, соус, пюре, ферментация или гарнир с прошутто</x:v>
      </x:c>
      <x:c r="I290" s="28" t="str">
        <x:v>Тезариус вкусов (Ники Сегнит)(1).pdf</x:v>
      </x:c>
      <x:c r="J290" s="28" t="str">
        <x:v>Тезариус вкусов (Ники Сегнит)(1).pdf: 347, 460</x:v>
      </x:c>
    </x:row>
    <x:row r="291" ht="44" customHeight="1">
      <x:c r="A291" s="28" t="str">
        <x:v>спаржа</x:v>
      </x:c>
      <x:c r="B291" s="28" t="n">
        <x:v>14</x:v>
      </x:c>
      <x:c r="C291" s="28" t="str">
        <x:v>твердый сыр</x:v>
      </x:c>
      <x:c r="D291" s="28" t="n">
        <x:v>6</x:v>
      </x:c>
      <x:c r="E291" s="28" t="str">
        <x:v>Средняя</x:v>
      </x:c>
      <x:c r="F291" s="28" t="n">
        <x:v>1</x:v>
      </x:c>
      <x:c r="G291" s="28" t="str">
        <x:v>жировая матрица; сернистая или горчичная комплементарность</x:v>
      </x:c>
      <x:c r="H291" s="28" t="str">
        <x:v>горячее блюдо, бульон, соус, пюре, ферментация или гарнир с твердый сыр</x:v>
      </x:c>
      <x:c r="I291" s="28" t="str">
        <x:v>Тезариус вкусов (Ники Сегнит)(1).pdf</x:v>
      </x:c>
      <x:c r="J291" s="28" t="str">
        <x:v>Тезариус вкусов (Ники Сегнит)(1).pdf: 175, 347</x:v>
      </x:c>
    </x:row>
    <x:row r="292" ht="44" customHeight="1">
      <x:c r="A292" s="28" t="str">
        <x:v>спаржа</x:v>
      </x:c>
      <x:c r="B292" s="28" t="n">
        <x:v>15</x:v>
      </x:c>
      <x:c r="C292" s="28" t="str">
        <x:v>трюфель</x:v>
      </x:c>
      <x:c r="D292" s="28" t="n">
        <x:v>6</x:v>
      </x:c>
      <x:c r="E292" s="28" t="str">
        <x:v>Средняя</x:v>
      </x:c>
      <x:c r="F292" s="28" t="n">
        <x:v>1</x:v>
      </x:c>
      <x:c r="G292" s="28" t="str">
        <x:v>умами и солёный контраст; сернистая или горчичная комплементарность</x:v>
      </x:c>
      <x:c r="H292" s="28" t="str">
        <x:v>горячее блюдо, бульон, соус, пюре, ферментация или гарнир с трюфель</x:v>
      </x:c>
      <x:c r="I292" s="28" t="str">
        <x:v>Тезариус вкусов (Ники Сегнит)(1).pdf</x:v>
      </x:c>
      <x:c r="J292" s="28" t="str">
        <x:v>Тезариус вкусов (Ники Сегнит)(1).pdf: 306, 347</x:v>
      </x:c>
    </x:row>
    <x:row r="293" ht="44" customHeight="1">
      <x:c r="A293" s="28" t="str">
        <x:v>спаржа</x:v>
      </x:c>
      <x:c r="B293" s="28" t="n">
        <x:v>16</x:v>
      </x:c>
      <x:c r="C293" s="28" t="str">
        <x:v>чоризо</x:v>
      </x:c>
      <x:c r="D293" s="28" t="n">
        <x:v>6</x:v>
      </x:c>
      <x:c r="E293" s="28" t="str">
        <x:v>Средняя</x:v>
      </x:c>
      <x:c r="F293" s="28" t="n">
        <x:v>1</x:v>
      </x:c>
      <x:c r="G293" s="28" t="str">
        <x:v>сернистая или горчичная комплементарность</x:v>
      </x:c>
      <x:c r="H293" s="28" t="str">
        <x:v>горячее блюдо, бульон, соус, пюре, ферментация или гарнир с чоризо</x:v>
      </x:c>
      <x:c r="I293" s="28" t="str">
        <x:v>The Art &amp; Science of Foodpairing.pdf</x:v>
      </x:c>
      <x:c r="J293" s="28" t="str">
        <x:v>The Art &amp; Science of Foodpairing.pdf: 288</x:v>
      </x:c>
    </x:row>
    <x:row r="294" ht="44" customHeight="1">
      <x:c r="A294" s="28" t="str">
        <x:v>спаржа</x:v>
      </x:c>
      <x:c r="B294" s="28" t="n">
        <x:v>17</x:v>
      </x:c>
      <x:c r="C294" s="28" t="str">
        <x:v>яйца</x:v>
      </x:c>
      <x:c r="D294" s="28" t="n">
        <x:v>6</x:v>
      </x:c>
      <x:c r="E294" s="28" t="str">
        <x:v>Средняя</x:v>
      </x:c>
      <x:c r="F294" s="28" t="n">
        <x:v>1</x:v>
      </x:c>
      <x:c r="G294" s="28" t="str">
        <x:v>сернистая или горчичная комплементарность</x:v>
      </x:c>
      <x:c r="H294" s="28" t="str">
        <x:v>горячее блюдо, бульон, соус, пюре, ферментация или гарнир с яйца</x:v>
      </x:c>
      <x:c r="I294" s="28" t="str">
        <x:v>Тезариус вкусов (Ники Сегнит)(1).pdf</x:v>
      </x:c>
      <x:c r="J294" s="28" t="str">
        <x:v>Тезариус вкусов (Ники Сегнит)(1).pdf: 348, 360</x:v>
      </x:c>
    </x:row>
    <x:row r="295" ht="44" customHeight="1">
      <x:c r="A295" s="28" t="str">
        <x:v>спаржа</x:v>
      </x:c>
      <x:c r="B295" s="28" t="n">
        <x:v>18</x:v>
      </x:c>
      <x:c r="C295" s="28" t="str">
        <x:v>арбуз</x:v>
      </x:c>
      <x:c r="D295" s="28" t="n">
        <x:v>5</x:v>
      </x:c>
      <x:c r="E295" s="28" t="str">
        <x:v>Средняя</x:v>
      </x:c>
      <x:c r="F295" s="28" t="n">
        <x:v>1</x:v>
      </x:c>
      <x:c r="G295" s="28" t="str">
        <x:v>сернистая или горчичная комплементарность</x:v>
      </x:c>
      <x:c r="H295" s="28" t="str">
        <x:v>горячее блюдо, бульон, соус, пюре, ферментация или гарнир с арбуз</x:v>
      </x:c>
      <x:c r="I295" s="28" t="str">
        <x:v>The Art &amp; Science of Foodpairing.pdf</x:v>
      </x:c>
      <x:c r="J295" s="28" t="str">
        <x:v>The Art &amp; Science of Foodpairing.pdf: 78</x:v>
      </x:c>
    </x:row>
    <x:row r="296" ht="44" customHeight="1">
      <x:c r="A296" s="28" t="str">
        <x:v>спаржа</x:v>
      </x:c>
      <x:c r="B296" s="28" t="n">
        <x:v>19</x:v>
      </x:c>
      <x:c r="C296" s="28" t="str">
        <x:v>базилик</x:v>
      </x:c>
      <x:c r="D296" s="28" t="n">
        <x:v>5</x:v>
      </x:c>
      <x:c r="E296" s="28" t="str">
        <x:v>Средняя</x:v>
      </x:c>
      <x:c r="F296" s="28" t="n">
        <x:v>1</x:v>
      </x:c>
      <x:c r="G296" s="28" t="str">
        <x:v>пересечение ароматических семейств; сернистая или горчичная комплементарность</x:v>
      </x:c>
      <x:c r="H296" s="28" t="str">
        <x:v>горячее блюдо, бульон, соус, пюре, ферментация или гарнир с базилик</x:v>
      </x:c>
      <x:c r="I296" s="28" t="str">
        <x:v>The Art &amp; Science of Foodpairing.pdf</x:v>
      </x:c>
      <x:c r="J296" s="28" t="str">
        <x:v>The Art &amp; Science of Foodpairing.pdf: 74</x:v>
      </x:c>
    </x:row>
    <x:row r="297" ht="44" customHeight="1">
      <x:c r="A297" s="28" t="str">
        <x:v>спаржа</x:v>
      </x:c>
      <x:c r="B297" s="28" t="n">
        <x:v>20</x:v>
      </x:c>
      <x:c r="C297" s="28" t="str">
        <x:v>ваниль</x:v>
      </x:c>
      <x:c r="D297" s="28" t="n">
        <x:v>5</x:v>
      </x:c>
      <x:c r="E297" s="28" t="str">
        <x:v>Средняя</x:v>
      </x:c>
      <x:c r="F297" s="28" t="n">
        <x:v>1</x:v>
      </x:c>
      <x:c r="G297" s="28" t="str">
        <x:v>сернистая или горчичная комплементарность</x:v>
      </x:c>
      <x:c r="H297" s="28" t="str">
        <x:v>горячее блюдо, бульон, соус, пюре, ферментация или гарнир с ваниль</x:v>
      </x:c>
      <x:c r="I297" s="28" t="str">
        <x:v>The Art &amp; Science of Foodpairing.pdf</x:v>
      </x:c>
      <x:c r="J297" s="28" t="str">
        <x:v>The Art &amp; Science of Foodpairing.pdf: 56</x:v>
      </x:c>
    </x:row>
    <x:row r="298" ht="44" customHeight="1">
      <x:c r="A298" s="28" t="str">
        <x:v>горох</x:v>
      </x:c>
      <x:c r="B298" s="28" t="n">
        <x:v>1</x:v>
      </x:c>
      <x:c r="C298" s="28" t="str">
        <x:v>анис</x:v>
      </x:c>
      <x:c r="D298" s="28" t="n">
        <x:v>6</x:v>
      </x:c>
      <x:c r="E298" s="28" t="str">
        <x:v>Средняя</x:v>
      </x:c>
      <x:c r="F298" s="28" t="n">
        <x:v>1</x:v>
      </x:c>
      <x:c r="G298" s="28" t="str">
        <x:v>сенсорная комплементарность</x:v>
      </x:c>
      <x:c r="H298" s="28" t="str">
        <x:v>салат, гарнир, суп, соус, маринад, ферментация или напиток с анис</x:v>
      </x:c>
      <x:c r="I298" s="28" t="str">
        <x:v>Тезариус вкусов (Ники Сегнит)(1).pdf</x:v>
      </x:c>
      <x:c r="J298" s="28" t="str">
        <x:v>Тезариус вкусов (Ники Сегнит)(1).pdf: 483, 534</x:v>
      </x:c>
    </x:row>
    <x:row r="299" ht="44" customHeight="1">
      <x:c r="A299" s="28" t="str">
        <x:v>горох</x:v>
      </x:c>
      <x:c r="B299" s="28" t="n">
        <x:v>2</x:v>
      </x:c>
      <x:c r="C299" s="28" t="str">
        <x:v>баранина</x:v>
      </x:c>
      <x:c r="D299" s="28" t="n">
        <x:v>6</x:v>
      </x:c>
      <x:c r="E299" s="28" t="str">
        <x:v>Средняя</x:v>
      </x:c>
      <x:c r="F299" s="28" t="n">
        <x:v>1</x:v>
      </x:c>
      <x:c r="G299" s="28" t="str">
        <x:v>умами и солёный контраст</x:v>
      </x:c>
      <x:c r="H299" s="28" t="str">
        <x:v>салат, гарнир, суп, соус, маринад, ферментация или напиток с баранина</x:v>
      </x:c>
      <x:c r="I299" s="28" t="str">
        <x:v>Тезариус вкусов (Ники Сегнит)(1).pdf</x:v>
      </x:c>
      <x:c r="J299" s="28" t="str">
        <x:v>Тезариус вкусов (Ники Сегнит)(1).pdf: 128, 536</x:v>
      </x:c>
    </x:row>
    <x:row r="300" ht="44" customHeight="1">
      <x:c r="A300" s="28" t="str">
        <x:v>горох</x:v>
      </x:c>
      <x:c r="B300" s="28" t="n">
        <x:v>3</x:v>
      </x:c>
      <x:c r="C300" s="28" t="str">
        <x:v>бекон</x:v>
      </x:c>
      <x:c r="D300" s="28" t="n">
        <x:v>6</x:v>
      </x:c>
      <x:c r="E300" s="28" t="str">
        <x:v>Средняя</x:v>
      </x:c>
      <x:c r="F300" s="28" t="n">
        <x:v>1</x:v>
      </x:c>
      <x:c r="G300" s="28" t="str">
        <x:v>умами и солёный контраст</x:v>
      </x:c>
      <x:c r="H300" s="28" t="str">
        <x:v>салат, гарнир, суп, соус, маринад, ферментация или напиток с бекон</x:v>
      </x:c>
      <x:c r="I300" s="28" t="str">
        <x:v>Тезариус вкусов (Ники Сегнит)(1).pdf</x:v>
      </x:c>
      <x:c r="J300" s="28" t="str">
        <x:v>Тезариус вкусов (Ники Сегнит)(1).pdf: 444, 536</x:v>
      </x:c>
    </x:row>
    <x:row r="301" ht="44" customHeight="1">
      <x:c r="A301" s="28" t="str">
        <x:v>горох</x:v>
      </x:c>
      <x:c r="B301" s="28" t="n">
        <x:v>4</x:v>
      </x:c>
      <x:c r="C301" s="28" t="str">
        <x:v>белая рыба</x:v>
      </x:c>
      <x:c r="D301" s="28" t="n">
        <x:v>6</x:v>
      </x:c>
      <x:c r="E301" s="28" t="str">
        <x:v>Средняя</x:v>
      </x:c>
      <x:c r="F301" s="28" t="n">
        <x:v>1</x:v>
      </x:c>
      <x:c r="G301" s="28" t="str">
        <x:v>умами и солёный контраст</x:v>
      </x:c>
      <x:c r="H301" s="28" t="str">
        <x:v>салат, гарнир, суп, соус, маринад, ферментация или напиток с белая рыба</x:v>
      </x:c>
      <x:c r="I301" s="28" t="str">
        <x:v>Тезариус вкусов (Ники Сегнит)(1).pdf</x:v>
      </x:c>
      <x:c r="J301" s="28" t="str">
        <x:v>Тезариус вкусов (Ники Сегнит)(1).pdf: 384, 536</x:v>
      </x:c>
    </x:row>
    <x:row r="302" ht="44" customHeight="1">
      <x:c r="A302" s="28" t="str">
        <x:v>горох</x:v>
      </x:c>
      <x:c r="B302" s="28" t="n">
        <x:v>5</x:v>
      </x:c>
      <x:c r="C302" s="28" t="str">
        <x:v>говядина</x:v>
      </x:c>
      <x:c r="D302" s="28" t="n">
        <x:v>6</x:v>
      </x:c>
      <x:c r="E302" s="28" t="str">
        <x:v>Средняя</x:v>
      </x:c>
      <x:c r="F302" s="28" t="n">
        <x:v>1</x:v>
      </x:c>
      <x:c r="G302" s="28" t="str">
        <x:v>умами и солёный контраст</x:v>
      </x:c>
      <x:c r="H302" s="28" t="str">
        <x:v>салат, гарнир, суп, соус, маринад, ферментация или напиток с говядина</x:v>
      </x:c>
      <x:c r="I302" s="28" t="str">
        <x:v>Тезариус вкусов (Ники Сегнит)(1).pdf</x:v>
      </x:c>
      <x:c r="J302" s="28" t="str">
        <x:v>Тезариус вкусов (Ники Сегнит)(1).pdf: 108, 537</x:v>
      </x:c>
    </x:row>
    <x:row r="303" ht="44" customHeight="1">
      <x:c r="A303" s="28" t="str">
        <x:v>горох</x:v>
      </x:c>
      <x:c r="B303" s="28" t="n">
        <x:v>6</x:v>
      </x:c>
      <x:c r="C303" s="28" t="str">
        <x:v>жирная рыба</x:v>
      </x:c>
      <x:c r="D303" s="28" t="n">
        <x:v>6</x:v>
      </x:c>
      <x:c r="E303" s="28" t="str">
        <x:v>Средняя</x:v>
      </x:c>
      <x:c r="F303" s="28" t="n">
        <x:v>1</x:v>
      </x:c>
      <x:c r="G303" s="28" t="str">
        <x:v>умами и солёный контраст</x:v>
      </x:c>
      <x:c r="H303" s="28" t="str">
        <x:v>салат, гарнир, суп, соус, маринад, ферментация или напиток с жирная рыба</x:v>
      </x:c>
      <x:c r="I303" s="28" t="str">
        <x:v>Тезариус вкусов (Ники Сегнит)(1).pdf</x:v>
      </x:c>
      <x:c r="J303" s="28" t="str">
        <x:v>Тезариус вкусов (Ники Сегнит)(1).pdf: 412, 538</x:v>
      </x:c>
    </x:row>
    <x:row r="304" ht="44" customHeight="1">
      <x:c r="A304" s="28" t="str">
        <x:v>горох</x:v>
      </x:c>
      <x:c r="B304" s="28" t="n">
        <x:v>7</x:v>
      </x:c>
      <x:c r="C304" s="28" t="str">
        <x:v>копченая рыба</x:v>
      </x:c>
      <x:c r="D304" s="28" t="n">
        <x:v>6</x:v>
      </x:c>
      <x:c r="E304" s="28" t="str">
        <x:v>Средняя</x:v>
      </x:c>
      <x:c r="F304" s="28" t="n">
        <x:v>1</x:v>
      </x:c>
      <x:c r="G304" s="28" t="str">
        <x:v>умами и солёный контраст</x:v>
      </x:c>
      <x:c r="H304" s="28" t="str">
        <x:v>салат, гарнир, суп, соус, маринад, ферментация или напиток с копченая рыба</x:v>
      </x:c>
      <x:c r="I304" s="28" t="str">
        <x:v>Тезариус вкусов (Ники Сегнит)(1).pdf</x:v>
      </x:c>
      <x:c r="J304" s="28" t="str">
        <x:v>Тезариус вкусов (Ники Сегнит)(1).pdf: 435, 538</x:v>
      </x:c>
    </x:row>
    <x:row r="305" ht="44" customHeight="1">
      <x:c r="A305" s="28" t="str">
        <x:v>горох</x:v>
      </x:c>
      <x:c r="B305" s="28" t="n">
        <x:v>8</x:v>
      </x:c>
      <x:c r="C305" s="28" t="str">
        <x:v>моллюски</x:v>
      </x:c>
      <x:c r="D305" s="28" t="n">
        <x:v>6</x:v>
      </x:c>
      <x:c r="E305" s="28" t="str">
        <x:v>Средняя</x:v>
      </x:c>
      <x:c r="F305" s="28" t="n">
        <x:v>1</x:v>
      </x:c>
      <x:c r="G305" s="28" t="str">
        <x:v>умами и солёный контраст</x:v>
      </x:c>
      <x:c r="H305" s="28" t="str">
        <x:v>салат, гарнир, суп, соус, маринад, ферментация или напиток с моллюски</x:v>
      </x:c>
      <x:c r="I305" s="28" t="str">
        <x:v>Тезариус вкусов (Ники Сегнит)(1).pdf</x:v>
      </x:c>
      <x:c r="J305" s="28" t="str">
        <x:v>Тезариус вкусов (Ники Сегнит)(1).pdf: 369, 539</x:v>
      </x:c>
    </x:row>
    <x:row r="306" ht="44" customHeight="1">
      <x:c r="A306" s="28" t="str">
        <x:v>горох</x:v>
      </x:c>
      <x:c r="B306" s="28" t="n">
        <x:v>9</x:v>
      </x:c>
      <x:c r="C306" s="28" t="str">
        <x:v>пастернак</x:v>
      </x:c>
      <x:c r="D306" s="28" t="n">
        <x:v>6</x:v>
      </x:c>
      <x:c r="E306" s="28" t="str">
        <x:v>Средняя</x:v>
      </x:c>
      <x:c r="F306" s="28" t="n">
        <x:v>1</x:v>
      </x:c>
      <x:c r="G306" s="28" t="str">
        <x:v>пересечение ароматических семейств</x:v>
      </x:c>
      <x:c r="H306" s="28" t="str">
        <x:v>салат, гарнир, суп, соус, маринад, ферментация или напиток с пастернак</x:v>
      </x:c>
      <x:c r="I306" s="28" t="str">
        <x:v>Тезариус вкусов (Ники Сегнит)(1).pdf</x:v>
      </x:c>
      <x:c r="J306" s="28" t="str">
        <x:v>Тезариус вкусов (Ники Сегнит)(1).pdf: 539, 596</x:v>
      </x:c>
    </x:row>
    <x:row r="307" ht="44" customHeight="1">
      <x:c r="A307" s="28" t="str">
        <x:v>горох</x:v>
      </x:c>
      <x:c r="B307" s="28" t="n">
        <x:v>10</x:v>
      </x:c>
      <x:c r="C307" s="28" t="str">
        <x:v>прошутто</x:v>
      </x:c>
      <x:c r="D307" s="28" t="n">
        <x:v>6</x:v>
      </x:c>
      <x:c r="E307" s="28" t="str">
        <x:v>Средняя</x:v>
      </x:c>
      <x:c r="F307" s="28" t="n">
        <x:v>1</x:v>
      </x:c>
      <x:c r="G307" s="28" t="str">
        <x:v>умами и солёный контраст</x:v>
      </x:c>
      <x:c r="H307" s="28" t="str">
        <x:v>салат, гарнир, суп, соус, маринад, ферментация или напиток с прошутто</x:v>
      </x:c>
      <x:c r="I307" s="28" t="str">
        <x:v>Тезариус вкусов (Ники Сегнит)(1).pdf</x:v>
      </x:c>
      <x:c r="J307" s="28" t="str">
        <x:v>Тезариус вкусов (Ники Сегнит)(1).pdf: 455, 539</x:v>
      </x:c>
    </x:row>
    <x:row r="308" ht="44" customHeight="1">
      <x:c r="A308" s="28" t="str">
        <x:v>горох</x:v>
      </x:c>
      <x:c r="B308" s="28" t="n">
        <x:v>11</x:v>
      </x:c>
      <x:c r="C308" s="28" t="str">
        <x:v>розмарин</x:v>
      </x:c>
      <x:c r="D308" s="28" t="n">
        <x:v>6</x:v>
      </x:c>
      <x:c r="E308" s="28" t="str">
        <x:v>Средняя</x:v>
      </x:c>
      <x:c r="F308" s="28" t="n">
        <x:v>1</x:v>
      </x:c>
      <x:c r="G308" s="28" t="str">
        <x:v>сенсорная комплементарность</x:v>
      </x:c>
      <x:c r="H308" s="28" t="str">
        <x:v>салат, гарнир, суп, соус, маринад, ферментация или напиток с розмарин</x:v>
      </x:c>
      <x:c r="I308" s="28" t="str">
        <x:v>Тезариус вкусов (Ники Сегнит)(1).pdf</x:v>
      </x:c>
      <x:c r="J308" s="28" t="str">
        <x:v>Тезариус вкусов (Ники Сегнит)(1).pdf: 539, 836</x:v>
      </x:c>
    </x:row>
    <x:row r="309" ht="44" customHeight="1">
      <x:c r="A309" s="28" t="str">
        <x:v>горох</x:v>
      </x:c>
      <x:c r="B309" s="28" t="n">
        <x:v>12</x:v>
      </x:c>
      <x:c r="C309" s="28" t="str">
        <x:v>свинина</x:v>
      </x:c>
      <x:c r="D309" s="28" t="n">
        <x:v>6</x:v>
      </x:c>
      <x:c r="E309" s="28" t="str">
        <x:v>Средняя</x:v>
      </x:c>
      <x:c r="F309" s="28" t="n">
        <x:v>1</x:v>
      </x:c>
      <x:c r="G309" s="28" t="str">
        <x:v>умами и солёный контраст</x:v>
      </x:c>
      <x:c r="H309" s="28" t="str">
        <x:v>салат, гарнир, суп, соус, маринад, ферментация или напиток с свинина</x:v>
      </x:c>
      <x:c r="I309" s="28" t="str">
        <x:v>Тезариус вкусов (Ники Сегнит)(1).pdf</x:v>
      </x:c>
      <x:c r="J309" s="28" t="str">
        <x:v>Тезариус вкусов (Ники Сегнит)(1).pdf: 82, 540</x:v>
      </x:c>
    </x:row>
    <x:row r="310" ht="44" customHeight="1">
      <x:c r="A310" s="28" t="str">
        <x:v>горох</x:v>
      </x:c>
      <x:c r="B310" s="28" t="n">
        <x:v>13</x:v>
      </x:c>
      <x:c r="C310" s="28" t="str">
        <x:v>твердый сыр</x:v>
      </x:c>
      <x:c r="D310" s="28" t="n">
        <x:v>6</x:v>
      </x:c>
      <x:c r="E310" s="28" t="str">
        <x:v>Средняя</x:v>
      </x:c>
      <x:c r="F310" s="28" t="n">
        <x:v>1</x:v>
      </x:c>
      <x:c r="G310" s="28" t="str">
        <x:v>жировая матрица</x:v>
      </x:c>
      <x:c r="H310" s="28" t="str">
        <x:v>салат, гарнир, суп, соус, маринад, ферментация или напиток с твердый сыр</x:v>
      </x:c>
      <x:c r="I310" s="28" t="str">
        <x:v>Тезариус вкусов (Ники Сегнит)(1).pdf</x:v>
      </x:c>
      <x:c r="J310" s="28" t="str">
        <x:v>Тезариус вкусов (Ники Сегнит)(1).pdf: 170, 541</x:v>
      </x:c>
    </x:row>
    <x:row r="311" ht="44" customHeight="1">
      <x:c r="A311" s="28" t="str">
        <x:v>горох</x:v>
      </x:c>
      <x:c r="B311" s="28" t="n">
        <x:v>14</x:v>
      </x:c>
      <x:c r="C311" s="28" t="str">
        <x:v>укроп</x:v>
      </x:c>
      <x:c r="D311" s="28" t="n">
        <x:v>6</x:v>
      </x:c>
      <x:c r="E311" s="28" t="str">
        <x:v>Средняя</x:v>
      </x:c>
      <x:c r="F311" s="28" t="n">
        <x:v>1</x:v>
      </x:c>
      <x:c r="G311" s="28" t="str">
        <x:v>пересечение ароматических семейств</x:v>
      </x:c>
      <x:c r="H311" s="28" t="str">
        <x:v>салат, гарнир, суп, соус, маринад, ферментация или напиток с укроп</x:v>
      </x:c>
      <x:c r="I311" s="28" t="str">
        <x:v>Тезариус вкусов (Ники Сегнит)(1).pdf</x:v>
      </x:c>
      <x:c r="J311" s="28" t="str">
        <x:v>Тезариус вкусов (Ники Сегнит)(1).pdf: 502, 542</x:v>
      </x:c>
    </x:row>
    <x:row r="312" ht="44" customHeight="1">
      <x:c r="A312" s="28" t="str">
        <x:v>горох</x:v>
      </x:c>
      <x:c r="B312" s="28" t="n">
        <x:v>15</x:v>
      </x:c>
      <x:c r="C312" s="28" t="str">
        <x:v>хрен</x:v>
      </x:c>
      <x:c r="D312" s="28" t="n">
        <x:v>6</x:v>
      </x:c>
      <x:c r="E312" s="28" t="str">
        <x:v>Средняя</x:v>
      </x:c>
      <x:c r="F312" s="28" t="n">
        <x:v>1</x:v>
      </x:c>
      <x:c r="G312" s="28" t="str">
        <x:v>сенсорная комплементарность</x:v>
      </x:c>
      <x:c r="H312" s="28" t="str">
        <x:v>салат, гарнир, суп, соус, маринад, ферментация или напиток с хрен</x:v>
      </x:c>
      <x:c r="I312" s="28" t="str">
        <x:v>Тезариус вкусов (Ники Сегнит)(1).pdf</x:v>
      </x:c>
      <x:c r="J312" s="28" t="str">
        <x:v>Тезариус вкусов (Ники Сегнит)(1).pdf: 274, 542</x:v>
      </x:c>
    </x:row>
    <x:row r="313" ht="44" customHeight="1">
      <x:c r="A313" s="28" t="str">
        <x:v>горох</x:v>
      </x:c>
      <x:c r="B313" s="28" t="n">
        <x:v>16</x:v>
      </x:c>
      <x:c r="C313" s="28" t="str">
        <x:v>цыпленок</x:v>
      </x:c>
      <x:c r="D313" s="28" t="n">
        <x:v>6</x:v>
      </x:c>
      <x:c r="E313" s="28" t="str">
        <x:v>Средняя</x:v>
      </x:c>
      <x:c r="F313" s="28" t="n">
        <x:v>1</x:v>
      </x:c>
      <x:c r="G313" s="28" t="str">
        <x:v>сенсорная комплементарность</x:v>
      </x:c>
      <x:c r="H313" s="28" t="str">
        <x:v>салат, гарнир, суп, соус, маринад, ферментация или напиток с цыпленок</x:v>
      </x:c>
      <x:c r="I313" s="28" t="str">
        <x:v>Тезариус вкусов (Ники Сегнит)(1).pdf</x:v>
      </x:c>
      <x:c r="J313" s="28" t="str">
        <x:v>Тезариус вкусов (Ники Сегнит)(1).pdf: 64, 543</x:v>
      </x:c>
    </x:row>
    <x:row r="314" ht="44" customHeight="1">
      <x:c r="A314" s="28" t="str">
        <x:v>горох</x:v>
      </x:c>
      <x:c r="B314" s="28" t="n">
        <x:v>17</x:v>
      </x:c>
      <x:c r="C314" s="28" t="str">
        <x:v>яйца</x:v>
      </x:c>
      <x:c r="D314" s="28" t="n">
        <x:v>6</x:v>
      </x:c>
      <x:c r="E314" s="28" t="str">
        <x:v>Средняя</x:v>
      </x:c>
      <x:c r="F314" s="28" t="n">
        <x:v>1</x:v>
      </x:c>
      <x:c r="G314" s="28" t="str">
        <x:v>сенсорная комплементарность</x:v>
      </x:c>
      <x:c r="H314" s="28" t="str">
        <x:v>салат, гарнир, суп, соус, маринад, ферментация или напиток с яйца</x:v>
      </x:c>
      <x:c r="I314" s="28" t="str">
        <x:v>Тезариус вкусов (Ники Сегнит)(1).pdf</x:v>
      </x:c>
      <x:c r="J314" s="28" t="str">
        <x:v>Тезариус вкусов (Ники Сегнит)(1).pdf: 351, 544</x:v>
      </x:c>
    </x:row>
    <x:row r="315" ht="44" customHeight="1">
      <x:c r="A315" s="28" t="str">
        <x:v>горох</x:v>
      </x:c>
      <x:c r="B315" s="28" t="n">
        <x:v>18</x:v>
      </x:c>
      <x:c r="C315" s="28" t="str">
        <x:v>апельсин</x:v>
      </x:c>
      <x:c r="D315" s="28" t="n">
        <x:v>5</x:v>
      </x:c>
      <x:c r="E315" s="28" t="str">
        <x:v>Средняя</x:v>
      </x:c>
      <x:c r="F315" s="28" t="n">
        <x:v>1</x:v>
      </x:c>
      <x:c r="G315" s="28" t="str">
        <x:v>пересечение ароматических семейств; кислотно-сладкий баланс</x:v>
      </x:c>
      <x:c r="H315" s="28" t="str">
        <x:v>салат, гарнир, суп, соус, маринад, ферментация или напиток с апельсин</x:v>
      </x:c>
      <x:c r="I315" s="28" t="str">
        <x:v>The Art &amp; Science of Foodpairing.pdf</x:v>
      </x:c>
      <x:c r="J315" s="28" t="str">
        <x:v>The Art &amp; Science of Foodpairing.pdf: 236</x:v>
      </x:c>
    </x:row>
    <x:row r="316" ht="44" customHeight="1">
      <x:c r="A316" s="28" t="str">
        <x:v>горох</x:v>
      </x:c>
      <x:c r="B316" s="28" t="n">
        <x:v>19</x:v>
      </x:c>
      <x:c r="C316" s="28" t="str">
        <x:v>кунжут, халва и тахини</x:v>
      </x:c>
      <x:c r="D316" s="28" t="n">
        <x:v>5</x:v>
      </x:c>
      <x:c r="E316" s="28" t="str">
        <x:v>Средняя</x:v>
      </x:c>
      <x:c r="F316" s="28" t="n">
        <x:v>1</x:v>
      </x:c>
      <x:c r="G316" s="28" t="str">
        <x:v>сенсорная комплементарность</x:v>
      </x:c>
      <x:c r="H316" s="28" t="str">
        <x:v>салат, гарнир, суп, соус, маринад, ферментация или напиток с кунжут, халва и тахини</x:v>
      </x:c>
      <x:c r="I316" s="28" t="str">
        <x:v>The Art &amp; Science of Foodpairing.pdf</x:v>
      </x:c>
      <x:c r="J316" s="28" t="str">
        <x:v>The Art &amp; Science of Foodpairing.pdf: 308</x:v>
      </x:c>
    </x:row>
    <x:row r="317" ht="44" customHeight="1">
      <x:c r="A317" s="28" t="str">
        <x:v>горох</x:v>
      </x:c>
      <x:c r="B317" s="28" t="n">
        <x:v>20</x:v>
      </x:c>
      <x:c r="C317" s="28" t="str">
        <x:v>морковь</x:v>
      </x:c>
      <x:c r="D317" s="28" t="n">
        <x:v>5</x:v>
      </x:c>
      <x:c r="E317" s="28" t="str">
        <x:v>Средняя</x:v>
      </x:c>
      <x:c r="F317" s="28" t="n">
        <x:v>1</x:v>
      </x:c>
      <x:c r="G317" s="28" t="str">
        <x:v>пересечение ароматических семейств</x:v>
      </x:c>
      <x:c r="H317" s="28" t="str">
        <x:v>салат, гарнир, суп, соус, маринад, ферментация или напиток с морковь</x:v>
      </x:c>
      <x:c r="I317" s="28" t="str">
        <x:v>The Art &amp; Science of Foodpairing.pdf</x:v>
      </x:c>
      <x:c r="J317" s="28" t="str">
        <x:v>The Art &amp; Science of Foodpairing.pdf: 232</x:v>
      </x:c>
    </x:row>
    <x:row r="318" ht="44" customHeight="1">
      <x:c r="A318" s="28" t="str">
        <x:v>зелёная фасоль</x:v>
      </x:c>
      <x:c r="B318" s="28" t="n">
        <x:v>1</x:v>
      </x:c>
      <x:c r="C318" s="28" t="str">
        <x:v>бальзамический уксус</x:v>
      </x:c>
      <x:c r="D318" s="28" t="n">
        <x:v>6</x:v>
      </x:c>
      <x:c r="E318" s="28" t="str">
        <x:v>Высокая</x:v>
      </x:c>
      <x:c r="F318" s="28" t="n">
        <x:v>1</x:v>
      </x:c>
      <x:c r="G318" s="28" t="str">
        <x:v>умами и солёный контраст</x:v>
      </x:c>
      <x:c r="H318" s="28" t="str">
        <x:v>салат, гарнир, суп, соус, маринад, ферментация или напиток с бальзамический уксус</x:v>
      </x:c>
      <x:c r="I318" s="28" t="str">
        <x:v>The Art &amp; Science of Foodpairing.pdf</x:v>
      </x:c>
      <x:c r="J318" s="28" t="str">
        <x:v>The Art &amp; Science of Foodpairing.pdf: 317</x:v>
      </x:c>
    </x:row>
    <x:row r="319" ht="44" customHeight="1">
      <x:c r="A319" s="28" t="str">
        <x:v>зелёная фасоль</x:v>
      </x:c>
      <x:c r="B319" s="28" t="n">
        <x:v>2</x:v>
      </x:c>
      <x:c r="C319" s="28" t="str">
        <x:v>дыня</x:v>
      </x:c>
      <x:c r="D319" s="28" t="n">
        <x:v>6</x:v>
      </x:c>
      <x:c r="E319" s="28" t="str">
        <x:v>Средняя</x:v>
      </x:c>
      <x:c r="F319" s="28" t="n">
        <x:v>1</x:v>
      </x:c>
      <x:c r="G319" s="28" t="str">
        <x:v>кислотно-сладкий баланс</x:v>
      </x:c>
      <x:c r="H319" s="28" t="str">
        <x:v>салат, гарнир, суп, соус, маринад, ферментация или напиток с дыня</x:v>
      </x:c>
      <x:c r="I319" s="28" t="str">
        <x:v>The Art &amp; Science of Foodpairing.pdf</x:v>
      </x:c>
      <x:c r="J319" s="28" t="str">
        <x:v>The Art &amp; Science of Foodpairing.pdf: 320</x:v>
      </x:c>
    </x:row>
    <x:row r="320" ht="44" customHeight="1">
      <x:c r="A320" s="28" t="str">
        <x:v>зелёная фасоль</x:v>
      </x:c>
      <x:c r="B320" s="28" t="n">
        <x:v>3</x:v>
      </x:c>
      <x:c r="C320" s="28" t="str">
        <x:v>хлеб на закваске</x:v>
      </x:c>
      <x:c r="D320" s="28" t="n">
        <x:v>6</x:v>
      </x:c>
      <x:c r="E320" s="28" t="str">
        <x:v>Высокая</x:v>
      </x:c>
      <x:c r="F320" s="28" t="n">
        <x:v>1</x:v>
      </x:c>
      <x:c r="G320" s="28" t="str">
        <x:v>сенсорная комплементарность</x:v>
      </x:c>
      <x:c r="H320" s="28" t="str">
        <x:v>салат, гарнир, суп, соус, маринад, ферментация или напиток с хлеб на закваске</x:v>
      </x:c>
      <x:c r="I320" s="28" t="str">
        <x:v>The Art &amp; Science of Foodpairing.pdf</x:v>
      </x:c>
      <x:c r="J320" s="28" t="str">
        <x:v>The Art &amp; Science of Foodpairing.pdf: 321</x:v>
      </x:c>
    </x:row>
    <x:row r="321" ht="44" customHeight="1">
      <x:c r="A321" s="28" t="str">
        <x:v>зелёная фасоль</x:v>
      </x:c>
      <x:c r="B321" s="28" t="n">
        <x:v>4</x:v>
      </x:c>
      <x:c r="C321" s="28" t="str">
        <x:v>базилик</x:v>
      </x:c>
      <x:c r="D321" s="28" t="n">
        <x:v>5</x:v>
      </x:c>
      <x:c r="E321" s="28" t="str">
        <x:v>Средняя</x:v>
      </x:c>
      <x:c r="F321" s="28" t="n">
        <x:v>1</x:v>
      </x:c>
      <x:c r="G321" s="28" t="str">
        <x:v>пересечение ароматических семейств</x:v>
      </x:c>
      <x:c r="H321" s="28" t="str">
        <x:v>салат, гарнир, суп, соус, маринад, ферментация или напиток с базилик</x:v>
      </x:c>
      <x:c r="I321" s="28" t="str">
        <x:v>The Art &amp; Science of Foodpairing.pdf</x:v>
      </x:c>
      <x:c r="J321" s="28" t="str">
        <x:v>The Art &amp; Science of Foodpairing.pdf: 74</x:v>
      </x:c>
    </x:row>
    <x:row r="322" ht="44" customHeight="1">
      <x:c r="A322" s="28" t="str">
        <x:v>зелёная фасоль</x:v>
      </x:c>
      <x:c r="B322" s="28" t="n">
        <x:v>5</x:v>
      </x:c>
      <x:c r="C322" s="28" t="str">
        <x:v>мацутакэ</x:v>
      </x:c>
      <x:c r="D322" s="28" t="n">
        <x:v>5</x:v>
      </x:c>
      <x:c r="E322" s="28" t="str">
        <x:v>Средняя</x:v>
      </x:c>
      <x:c r="F322" s="28" t="n">
        <x:v>1</x:v>
      </x:c>
      <x:c r="G322" s="28" t="str">
        <x:v>сенсорная комплементарность</x:v>
      </x:c>
      <x:c r="H322" s="28" t="str">
        <x:v>салат, гарнир, суп, соус, маринад, ферментация или напиток с мацутакэ</x:v>
      </x:c>
      <x:c r="I322" s="28" t="str">
        <x:v>The Art &amp; Science of Foodpairing.pdf</x:v>
      </x:c>
      <x:c r="J322" s="28" t="str">
        <x:v>The Art &amp; Science of Foodpairing.pdf: 320</x:v>
      </x:c>
    </x:row>
    <x:row r="323" ht="44" customHeight="1">
      <x:c r="A323" s="28" t="str">
        <x:v>зелёная фасоль</x:v>
      </x:c>
      <x:c r="B323" s="28" t="n">
        <x:v>6</x:v>
      </x:c>
      <x:c r="C323" s="28" t="str">
        <x:v>оливковое масло</x:v>
      </x:c>
      <x:c r="D323" s="28" t="n">
        <x:v>5</x:v>
      </x:c>
      <x:c r="E323" s="28" t="str">
        <x:v>Средняя</x:v>
      </x:c>
      <x:c r="F323" s="28" t="n">
        <x:v>1</x:v>
      </x:c>
      <x:c r="G323" s="28" t="str">
        <x:v>жировая матрица</x:v>
      </x:c>
      <x:c r="H323" s="28" t="str">
        <x:v>салат, гарнир, суп, соус, маринад, ферментация или напиток с оливковое масло</x:v>
      </x:c>
      <x:c r="I323" s="28" t="str">
        <x:v>The Art &amp; Science of Foodpairing.pdf</x:v>
      </x:c>
      <x:c r="J323" s="28" t="str">
        <x:v>The Art &amp; Science of Foodpairing.pdf: 320</x:v>
      </x:c>
    </x:row>
    <x:row r="324" ht="44" customHeight="1">
      <x:c r="A324" s="28" t="str">
        <x:v>зелёная фасоль</x:v>
      </x:c>
      <x:c r="B324" s="28" t="n">
        <x:v>7</x:v>
      </x:c>
      <x:c r="C324" s="28" t="str">
        <x:v>оливковое масло пикваль</x:v>
      </x:c>
      <x:c r="D324" s="28" t="n">
        <x:v>5</x:v>
      </x:c>
      <x:c r="E324" s="28" t="str">
        <x:v>Средняя</x:v>
      </x:c>
      <x:c r="F324" s="28" t="n">
        <x:v>1</x:v>
      </x:c>
      <x:c r="G324" s="28" t="str">
        <x:v>жировая матрица</x:v>
      </x:c>
      <x:c r="H324" s="28" t="str">
        <x:v>салат, гарнир, суп, соус, маринад, ферментация или напиток с оливковое масло пикваль</x:v>
      </x:c>
      <x:c r="I324" s="28" t="str">
        <x:v>The Art &amp; Science of Foodpairing.pdf</x:v>
      </x:c>
      <x:c r="J324" s="28" t="str">
        <x:v>The Art &amp; Science of Foodpairing.pdf: 320</x:v>
      </x:c>
    </x:row>
    <x:row r="325" ht="44" customHeight="1">
      <x:c r="A325" s="28" t="str">
        <x:v>зелёная фасоль</x:v>
      </x:c>
      <x:c r="B325" s="28" t="n">
        <x:v>8</x:v>
      </x:c>
      <x:c r="C325" s="28" t="str">
        <x:v>пармезан</x:v>
      </x:c>
      <x:c r="D325" s="28" t="n">
        <x:v>5</x:v>
      </x:c>
      <x:c r="E325" s="28" t="str">
        <x:v>Средняя</x:v>
      </x:c>
      <x:c r="F325" s="28" t="n">
        <x:v>1</x:v>
      </x:c>
      <x:c r="G325" s="28" t="str">
        <x:v>сенсорная комплементарность</x:v>
      </x:c>
      <x:c r="H325" s="28" t="str">
        <x:v>салат, гарнир, суп, соус, маринад, ферментация или напиток с пармезан</x:v>
      </x:c>
      <x:c r="I325" s="28" t="str">
        <x:v>The Art &amp; Science of Foodpairing.pdf</x:v>
      </x:c>
      <x:c r="J325" s="28" t="str">
        <x:v>The Art &amp; Science of Foodpairing.pdf: 282</x:v>
      </x:c>
    </x:row>
    <x:row r="326" ht="44" customHeight="1">
      <x:c r="A326" s="28" t="str">
        <x:v>зелёная фасоль</x:v>
      </x:c>
      <x:c r="B326" s="28" t="n">
        <x:v>9</x:v>
      </x:c>
      <x:c r="C326" s="28" t="str">
        <x:v>фундук</x:v>
      </x:c>
      <x:c r="D326" s="28" t="n">
        <x:v>5</x:v>
      </x:c>
      <x:c r="E326" s="28" t="str">
        <x:v>Средняя</x:v>
      </x:c>
      <x:c r="F326" s="28" t="n">
        <x:v>1</x:v>
      </x:c>
      <x:c r="G326" s="28" t="str">
        <x:v>пересечение ароматических семейств</x:v>
      </x:c>
      <x:c r="H326" s="28" t="str">
        <x:v>салат, гарнир, суп, соус, маринад, ферментация или напиток с фундук</x:v>
      </x:c>
      <x:c r="I326" s="28" t="str">
        <x:v>The Art &amp; Science of Foodpairing.pdf</x:v>
      </x:c>
      <x:c r="J326" s="28" t="str">
        <x:v>The Art &amp; Science of Foodpairing.pdf: 332</x:v>
      </x:c>
    </x:row>
    <x:row r="327" ht="44" customHeight="1">
      <x:c r="A327" s="28" t="str">
        <x:v>болгарский перец</x:v>
      </x:c>
      <x:c r="B327" s="28" t="n">
        <x:v>1</x:v>
      </x:c>
      <x:c r="C327" s="28" t="str">
        <x:v>говядина</x:v>
      </x:c>
      <x:c r="D327" s="28" t="n">
        <x:v>10</x:v>
      </x:c>
      <x:c r="E327" s="28" t="str">
        <x:v>Высокая</x:v>
      </x:c>
      <x:c r="F327" s="28" t="n">
        <x:v>2</x:v>
      </x:c>
      <x:c r="G327" s="28" t="str">
        <x:v>умами и солёный контраст</x:v>
      </x:c>
      <x:c r="H327" s="28" t="str">
        <x:v>сок, кордиал, гаспачо, салат, соус, маринад или коктейльный компонент с говядина</x:v>
      </x:c>
      <x:c r="I327" s="28" t="str">
        <x:v>The Art &amp; Science of Foodpairing.pdf | Тезариус вкусов (Ники Сегнит)(1).pdf</x:v>
      </x:c>
      <x:c r="J327" s="28" t="str">
        <x:v>Тезариус вкусов (Ники Сегнит)(1).pdf: 106, 546; The Art &amp; Science of Foodpairing.pdf: 108</x:v>
      </x:c>
    </x:row>
    <x:row r="328" ht="44" customHeight="1">
      <x:c r="A328" s="28" t="str">
        <x:v>болгарский перец</x:v>
      </x:c>
      <x:c r="B328" s="28" t="n">
        <x:v>2</x:v>
      </x:c>
      <x:c r="C328" s="28" t="str">
        <x:v>моллюски</x:v>
      </x:c>
      <x:c r="D328" s="28" t="n">
        <x:v>10</x:v>
      </x:c>
      <x:c r="E328" s="28" t="str">
        <x:v>Высокая</x:v>
      </x:c>
      <x:c r="F328" s="28" t="n">
        <x:v>2</x:v>
      </x:c>
      <x:c r="G328" s="28" t="str">
        <x:v>умами и солёный контраст</x:v>
      </x:c>
      <x:c r="H328" s="28" t="str">
        <x:v>сок, кордиал, гаспачо, салат, соус, маринад или коктейльный компонент с моллюски</x:v>
      </x:c>
      <x:c r="I328" s="28" t="str">
        <x:v>The Art &amp; Science of Foodpairing.pdf | Тезариус вкусов (Ники Сегнит)(1).pdf</x:v>
      </x:c>
      <x:c r="J328" s="28" t="str">
        <x:v>Тезариус вкусов (Ники Сегнит)(1).pdf: 367, 547; The Art &amp; Science of Foodpairing.pdf: 108</x:v>
      </x:c>
    </x:row>
    <x:row r="329" ht="44" customHeight="1">
      <x:c r="A329" s="28" t="str">
        <x:v>болгарский перец</x:v>
      </x:c>
      <x:c r="B329" s="28" t="n">
        <x:v>3</x:v>
      </x:c>
      <x:c r="C329" s="28" t="str">
        <x:v>чили</x:v>
      </x:c>
      <x:c r="D329" s="28" t="n">
        <x:v>10</x:v>
      </x:c>
      <x:c r="E329" s="28" t="str">
        <x:v>Высокая</x:v>
      </x:c>
      <x:c r="F329" s="28" t="n">
        <x:v>2</x:v>
      </x:c>
      <x:c r="G329" s="28" t="str">
        <x:v>сенсорная комплементарность</x:v>
      </x:c>
      <x:c r="H329" s="28" t="str">
        <x:v>сок, кордиал, гаспачо, салат, соус, маринад или коктейльный компонент с чили</x:v>
      </x:c>
      <x:c r="I329" s="28" t="str">
        <x:v>The Art &amp; Science of Foodpairing.pdf | Тезариус вкусов (Ники Сегнит)(1).pdf</x:v>
      </x:c>
      <x:c r="J329" s="28" t="str">
        <x:v>Тезариус вкусов (Ники Сегнит)(1).pdf: 548, 553; The Art &amp; Science of Foodpairing.pdf: 94</x:v>
      </x:c>
    </x:row>
    <x:row r="330" ht="44" customHeight="1">
      <x:c r="A330" s="28" t="str">
        <x:v>болгарский перец</x:v>
      </x:c>
      <x:c r="B330" s="28" t="n">
        <x:v>4</x:v>
      </x:c>
      <x:c r="C330" s="28" t="str">
        <x:v>восковое яблоко</x:v>
      </x:c>
      <x:c r="D330" s="28" t="n">
        <x:v>7</x:v>
      </x:c>
      <x:c r="E330" s="28" t="str">
        <x:v>Высокая</x:v>
      </x:c>
      <x:c r="F330" s="28" t="n">
        <x:v>1</x:v>
      </x:c>
      <x:c r="G330" s="28" t="str">
        <x:v>общие характерные молекулы; пересечение ароматических семейств; кислотно-сладкий баланс</x:v>
      </x:c>
      <x:c r="H330" s="28" t="str">
        <x:v>сок, кордиал, гаспачо, салат, соус, маринад или коктейльный компонент с восковое яблоко</x:v>
      </x:c>
      <x:c r="I330" s="28" t="str">
        <x:v>The Art &amp; Science of Foodpairing.pdf</x:v>
      </x:c>
      <x:c r="J330" s="28" t="str">
        <x:v>The Art &amp; Science of Foodpairing.pdf: 108</x:v>
      </x:c>
    </x:row>
    <x:row r="331" ht="44" customHeight="1">
      <x:c r="A331" s="28" t="str">
        <x:v>болгарский перец</x:v>
      </x:c>
      <x:c r="B331" s="28" t="n">
        <x:v>5</x:v>
      </x:c>
      <x:c r="C331" s="28" t="str">
        <x:v>огурец</x:v>
      </x:c>
      <x:c r="D331" s="28" t="n">
        <x:v>7</x:v>
      </x:c>
      <x:c r="E331" s="28" t="str">
        <x:v>Средняя</x:v>
      </x:c>
      <x:c r="F331" s="28" t="n">
        <x:v>1</x:v>
      </x:c>
      <x:c r="G331" s="28" t="str">
        <x:v>общие характерные молекулы; пересечение ароматических семейств</x:v>
      </x:c>
      <x:c r="H331" s="28" t="str">
        <x:v>сок, кордиал, гаспачо, салат, соус, маринад или коктейльный компонент с огурец</x:v>
      </x:c>
      <x:c r="I331" s="28" t="str">
        <x:v>The Art &amp; Science of Foodpairing.pdf</x:v>
      </x:c>
      <x:c r="J331" s="28" t="str">
        <x:v>The Art &amp; Science of Foodpairing.pdf: 108</x:v>
      </x:c>
    </x:row>
    <x:row r="332" ht="44" customHeight="1">
      <x:c r="A332" s="28" t="str">
        <x:v>болгарский перец</x:v>
      </x:c>
      <x:c r="B332" s="28" t="n">
        <x:v>6</x:v>
      </x:c>
      <x:c r="C332" s="28" t="str">
        <x:v>телятина</x:v>
      </x:c>
      <x:c r="D332" s="28" t="n">
        <x:v>7</x:v>
      </x:c>
      <x:c r="E332" s="28" t="str">
        <x:v>Высокая</x:v>
      </x:c>
      <x:c r="F332" s="28" t="n">
        <x:v>1</x:v>
      </x:c>
      <x:c r="G332" s="28" t="str">
        <x:v>сенсорная комплементарность</x:v>
      </x:c>
      <x:c r="H332" s="28" t="str">
        <x:v>сок, кордиал, гаспачо, салат, соус, маринад или коктейльный компонент с телятина</x:v>
      </x:c>
      <x:c r="I332" s="28" t="str">
        <x:v>The Art &amp; Science of Foodpairing.pdf</x:v>
      </x:c>
      <x:c r="J332" s="28" t="str">
        <x:v>The Art &amp; Science of Foodpairing.pdf: 108</x:v>
      </x:c>
    </x:row>
    <x:row r="333" ht="44" customHeight="1">
      <x:c r="A333" s="28" t="str">
        <x:v>болгарский перец</x:v>
      </x:c>
      <x:c r="B333" s="28" t="n">
        <x:v>7</x:v>
      </x:c>
      <x:c r="C333" s="28" t="str">
        <x:v>бекон</x:v>
      </x:c>
      <x:c r="D333" s="28" t="n">
        <x:v>6</x:v>
      </x:c>
      <x:c r="E333" s="28" t="str">
        <x:v>Средняя</x:v>
      </x:c>
      <x:c r="F333" s="28" t="n">
        <x:v>1</x:v>
      </x:c>
      <x:c r="G333" s="28" t="str">
        <x:v>умами и солёный контраст</x:v>
      </x:c>
      <x:c r="H333" s="28" t="str">
        <x:v>сок, кордиал, гаспачо, салат, соус, маринад или коктейльный компонент с бекон</x:v>
      </x:c>
      <x:c r="I333" s="28" t="str">
        <x:v>Тезариус вкусов (Ники Сегнит)(1).pdf</x:v>
      </x:c>
      <x:c r="J333" s="28" t="str">
        <x:v>Тезариус вкусов (Ники Сегнит)(1).pdf: 442, 545</x:v>
      </x:c>
    </x:row>
    <x:row r="334" ht="44" customHeight="1">
      <x:c r="A334" s="28" t="str">
        <x:v>болгарский перец</x:v>
      </x:c>
      <x:c r="B334" s="28" t="n">
        <x:v>8</x:v>
      </x:c>
      <x:c r="C334" s="28" t="str">
        <x:v>камбала</x:v>
      </x:c>
      <x:c r="D334" s="28" t="n">
        <x:v>6</x:v>
      </x:c>
      <x:c r="E334" s="28" t="str">
        <x:v>Высокая</x:v>
      </x:c>
      <x:c r="F334" s="28" t="n">
        <x:v>1</x:v>
      </x:c>
      <x:c r="G334" s="28" t="str">
        <x:v>сенсорная комплементарность</x:v>
      </x:c>
      <x:c r="H334" s="28" t="str">
        <x:v>сок, кордиал, гаспачо, салат, соус, маринад или коктейльный компонент с камбала</x:v>
      </x:c>
      <x:c r="I334" s="28" t="str">
        <x:v>The Art &amp; Science of Foodpairing.pdf</x:v>
      </x:c>
      <x:c r="J334" s="28" t="str">
        <x:v>The Art &amp; Science of Foodpairing.pdf: 105</x:v>
      </x:c>
    </x:row>
    <x:row r="335" ht="44" customHeight="1">
      <x:c r="A335" s="28" t="str">
        <x:v>болгарский перец</x:v>
      </x:c>
      <x:c r="B335" s="28" t="n">
        <x:v>9</x:v>
      </x:c>
      <x:c r="C335" s="28" t="str">
        <x:v>мягкий сыр</x:v>
      </x:c>
      <x:c r="D335" s="28" t="n">
        <x:v>6</x:v>
      </x:c>
      <x:c r="E335" s="28" t="str">
        <x:v>Средняя</x:v>
      </x:c>
      <x:c r="F335" s="28" t="n">
        <x:v>1</x:v>
      </x:c>
      <x:c r="G335" s="28" t="str">
        <x:v>жировая матрица</x:v>
      </x:c>
      <x:c r="H335" s="28" t="str">
        <x:v>сок, кордиал, гаспачо, салат, соус, маринад или коктейльный компонент с мягкий сыр</x:v>
      </x:c>
      <x:c r="I335" s="28" t="str">
        <x:v>Тезариус вкусов (Ники Сегнит)(1).pdf</x:v>
      </x:c>
      <x:c r="J335" s="28" t="str">
        <x:v>Тезариус вкусов (Ники Сегнит)(1).pdf: 181, 547</x:v>
      </x:c>
    </x:row>
    <x:row r="336" ht="44" customHeight="1">
      <x:c r="A336" s="28" t="str">
        <x:v>болгарский перец</x:v>
      </x:c>
      <x:c r="B336" s="28" t="n">
        <x:v>10</x:v>
      </x:c>
      <x:c r="C336" s="28" t="str">
        <x:v>оливки</x:v>
      </x:c>
      <x:c r="D336" s="28" t="n">
        <x:v>6</x:v>
      </x:c>
      <x:c r="E336" s="28" t="str">
        <x:v>Средняя</x:v>
      </x:c>
      <x:c r="F336" s="28" t="n">
        <x:v>1</x:v>
      </x:c>
      <x:c r="G336" s="28" t="str">
        <x:v>сенсорная комплементарность</x:v>
      </x:c>
      <x:c r="H336" s="28" t="str">
        <x:v>сок, кордиал, гаспачо, салат, соус, маринад или коктейльный компонент с оливки</x:v>
      </x:c>
      <x:c r="I336" s="28" t="str">
        <x:v>Тезариус вкусов (Ники Сегнит)(1).pdf</x:v>
      </x:c>
      <x:c r="J336" s="28" t="str">
        <x:v>Тезариус вкусов (Ники Сегнит)(1).pdf: 464, 547</x:v>
      </x:c>
    </x:row>
    <x:row r="337" ht="44" customHeight="1">
      <x:c r="A337" s="28" t="str">
        <x:v>болгарский перец</x:v>
      </x:c>
      <x:c r="B337" s="28" t="n">
        <x:v>11</x:v>
      </x:c>
      <x:c r="C337" s="28" t="str">
        <x:v>соевый соус</x:v>
      </x:c>
      <x:c r="D337" s="28" t="n">
        <x:v>6</x:v>
      </x:c>
      <x:c r="E337" s="28" t="str">
        <x:v>Средняя</x:v>
      </x:c>
      <x:c r="F337" s="28" t="n">
        <x:v>1</x:v>
      </x:c>
      <x:c r="G337" s="28" t="str">
        <x:v>общие характерные молекулы; умами и солёный контраст</x:v>
      </x:c>
      <x:c r="H337" s="28" t="str">
        <x:v>сок, кордиал, гаспачо, салат, соус, маринад или коктейльный компонент с соевый соус</x:v>
      </x:c>
      <x:c r="I337" s="28" t="str">
        <x:v>The Art &amp; Science of Foodpairing.pdf</x:v>
      </x:c>
      <x:c r="J337" s="28" t="str">
        <x:v>The Art &amp; Science of Foodpairing.pdf: 108</x:v>
      </x:c>
    </x:row>
    <x:row r="338" ht="44" customHeight="1">
      <x:c r="A338" s="28" t="str">
        <x:v>болгарский перец</x:v>
      </x:c>
      <x:c r="B338" s="28" t="n">
        <x:v>12</x:v>
      </x:c>
      <x:c r="C338" s="28" t="str">
        <x:v>соус тукупи</x:v>
      </x:c>
      <x:c r="D338" s="28" t="n">
        <x:v>6</x:v>
      </x:c>
      <x:c r="E338" s="28" t="str">
        <x:v>Высокая</x:v>
      </x:c>
      <x:c r="F338" s="28" t="n">
        <x:v>1</x:v>
      </x:c>
      <x:c r="G338" s="28" t="str">
        <x:v>сенсорная комплементарность</x:v>
      </x:c>
      <x:c r="H338" s="28" t="str">
        <x:v>сок, кордиал, гаспачо, салат, соус, маринад или коктейльный компонент с соус тукупи</x:v>
      </x:c>
      <x:c r="I338" s="28" t="str">
        <x:v>The Art &amp; Science of Foodpairing.pdf</x:v>
      </x:c>
      <x:c r="J338" s="28" t="str">
        <x:v>The Art &amp; Science of Foodpairing.pdf: 250</x:v>
      </x:c>
    </x:row>
    <x:row r="339" ht="44" customHeight="1">
      <x:c r="A339" s="28" t="str">
        <x:v>болгарский перец</x:v>
      </x:c>
      <x:c r="B339" s="28" t="n">
        <x:v>13</x:v>
      </x:c>
      <x:c r="C339" s="28" t="str">
        <x:v>томат</x:v>
      </x:c>
      <x:c r="D339" s="28" t="n">
        <x:v>6</x:v>
      </x:c>
      <x:c r="E339" s="28" t="str">
        <x:v>Средняя</x:v>
      </x:c>
      <x:c r="F339" s="28" t="n">
        <x:v>1</x:v>
      </x:c>
      <x:c r="G339" s="28" t="str">
        <x:v>общие характерные молекулы; пересечение ароматических семейств</x:v>
      </x:c>
      <x:c r="H339" s="28" t="str">
        <x:v>сок, кордиал, гаспачо, салат, соус, маринад или коктейльный компонент с томат</x:v>
      </x:c>
      <x:c r="I339" s="28" t="str">
        <x:v>Тезариус вкусов (Ники Сегнит)(1).pdf</x:v>
      </x:c>
      <x:c r="J339" s="28" t="str">
        <x:v>Тезариус вкусов (Ники Сегнит)(1).pdf: 548, 684</x:v>
      </x:c>
    </x:row>
    <x:row r="340" ht="44" customHeight="1">
      <x:c r="A340" s="28" t="str">
        <x:v>болгарский перец</x:v>
      </x:c>
      <x:c r="B340" s="28" t="n">
        <x:v>14</x:v>
      </x:c>
      <x:c r="C340" s="28" t="str">
        <x:v>цыпленок</x:v>
      </x:c>
      <x:c r="D340" s="28" t="n">
        <x:v>6</x:v>
      </x:c>
      <x:c r="E340" s="28" t="str">
        <x:v>Средняя</x:v>
      </x:c>
      <x:c r="F340" s="28" t="n">
        <x:v>1</x:v>
      </x:c>
      <x:c r="G340" s="28" t="str">
        <x:v>сенсорная комплементарность</x:v>
      </x:c>
      <x:c r="H340" s="28" t="str">
        <x:v>сок, кордиал, гаспачо, салат, соус, маринад или коктейльный компонент с цыпленок</x:v>
      </x:c>
      <x:c r="I340" s="28" t="str">
        <x:v>Тезариус вкусов (Ники Сегнит)(1).pdf</x:v>
      </x:c>
      <x:c r="J340" s="28" t="str">
        <x:v>Тезариус вкусов (Ники Сегнит)(1).pdf: 63, 548</x:v>
      </x:c>
    </x:row>
    <x:row r="341" ht="44" customHeight="1">
      <x:c r="A341" s="28" t="str">
        <x:v>болгарский перец</x:v>
      </x:c>
      <x:c r="B341" s="28" t="n">
        <x:v>15</x:v>
      </x:c>
      <x:c r="C341" s="28" t="str">
        <x:v>яйца</x:v>
      </x:c>
      <x:c r="D341" s="28" t="n">
        <x:v>6</x:v>
      </x:c>
      <x:c r="E341" s="28" t="str">
        <x:v>Средняя</x:v>
      </x:c>
      <x:c r="F341" s="28" t="n">
        <x:v>1</x:v>
      </x:c>
      <x:c r="G341" s="28" t="str">
        <x:v>сенсорная комплементарность</x:v>
      </x:c>
      <x:c r="H341" s="28" t="str">
        <x:v>сок, кордиал, гаспачо, салат, соус, маринад или коктейльный компонент с яйца</x:v>
      </x:c>
      <x:c r="I341" s="28" t="str">
        <x:v>Тезариус вкусов (Ники Сегнит)(1).pdf</x:v>
      </x:c>
      <x:c r="J341" s="28" t="str">
        <x:v>Тезариус вкусов (Ники Сегнит)(1).pdf: 351, 548</x:v>
      </x:c>
    </x:row>
    <x:row r="342" ht="44" customHeight="1">
      <x:c r="A342" s="28" t="str">
        <x:v>болгарский перец</x:v>
      </x:c>
      <x:c r="B342" s="28" t="n">
        <x:v>16</x:v>
      </x:c>
      <x:c r="C342" s="28" t="str">
        <x:v>абрикос</x:v>
      </x:c>
      <x:c r="D342" s="28" t="n">
        <x:v>5</x:v>
      </x:c>
      <x:c r="E342" s="28" t="str">
        <x:v>Средняя</x:v>
      </x:c>
      <x:c r="F342" s="28" t="n">
        <x:v>1</x:v>
      </x:c>
      <x:c r="G342" s="28" t="str">
        <x:v>общие характерные молекулы; пересечение ароматических семейств; кислотно-сладкий баланс</x:v>
      </x:c>
      <x:c r="H342" s="28" t="str">
        <x:v>сок, кордиал, гаспачо, салат, соус, маринад или коктейльный компонент с абрикос</x:v>
      </x:c>
      <x:c r="I342" s="28" t="str">
        <x:v>The Art &amp; Science of Foodpairing.pdf</x:v>
      </x:c>
      <x:c r="J342" s="28" t="str">
        <x:v>The Art &amp; Science of Foodpairing.pdf: 108</x:v>
      </x:c>
    </x:row>
    <x:row r="343" ht="44" customHeight="1">
      <x:c r="A343" s="28" t="str">
        <x:v>болгарский перец</x:v>
      </x:c>
      <x:c r="B343" s="28" t="n">
        <x:v>17</x:v>
      </x:c>
      <x:c r="C343" s="28" t="str">
        <x:v>акациевый мёд</x:v>
      </x:c>
      <x:c r="D343" s="28" t="n">
        <x:v>5</x:v>
      </x:c>
      <x:c r="E343" s="28" t="str">
        <x:v>Средняя</x:v>
      </x:c>
      <x:c r="F343" s="28" t="n">
        <x:v>1</x:v>
      </x:c>
      <x:c r="G343" s="28" t="str">
        <x:v>пересечение ароматических семейств</x:v>
      </x:c>
      <x:c r="H343" s="28" t="str">
        <x:v>сок, кордиал, гаспачо, салат, соус, маринад или коктейльный компонент с акациевый мёд</x:v>
      </x:c>
      <x:c r="I343" s="28" t="str">
        <x:v>The Art &amp; Science of Foodpairing.pdf</x:v>
      </x:c>
      <x:c r="J343" s="28" t="str">
        <x:v>The Art &amp; Science of Foodpairing.pdf: 108</x:v>
      </x:c>
    </x:row>
    <x:row r="344" ht="44" customHeight="1">
      <x:c r="A344" s="28" t="str">
        <x:v>болгарский перец</x:v>
      </x:c>
      <x:c r="B344" s="28" t="n">
        <x:v>18</x:v>
      </x:c>
      <x:c r="C344" s="28" t="str">
        <x:v>актинидия</x:v>
      </x:c>
      <x:c r="D344" s="28" t="n">
        <x:v>5</x:v>
      </x:c>
      <x:c r="E344" s="28" t="str">
        <x:v>Средняя</x:v>
      </x:c>
      <x:c r="F344" s="28" t="n">
        <x:v>1</x:v>
      </x:c>
      <x:c r="G344" s="28" t="str">
        <x:v>сенсорная комплементарность</x:v>
      </x:c>
      <x:c r="H344" s="28" t="str">
        <x:v>сок, кордиал, гаспачо, салат, соус, маринад или коктейльный компонент с актинидия</x:v>
      </x:c>
      <x:c r="I344" s="28" t="str">
        <x:v>The Art &amp; Science of Foodpairing.pdf</x:v>
      </x:c>
      <x:c r="J344" s="28" t="str">
        <x:v>The Art &amp; Science of Foodpairing.pdf: 108</x:v>
      </x:c>
    </x:row>
    <x:row r="345" ht="44" customHeight="1">
      <x:c r="A345" s="28" t="str">
        <x:v>болгарский перец</x:v>
      </x:c>
      <x:c r="B345" s="28" t="n">
        <x:v>19</x:v>
      </x:c>
      <x:c r="C345" s="28" t="str">
        <x:v>базилик</x:v>
      </x:c>
      <x:c r="D345" s="28" t="n">
        <x:v>5</x:v>
      </x:c>
      <x:c r="E345" s="28" t="str">
        <x:v>Средняя</x:v>
      </x:c>
      <x:c r="F345" s="28" t="n">
        <x:v>1</x:v>
      </x:c>
      <x:c r="G345" s="28" t="str">
        <x:v>пересечение ароматических семейств</x:v>
      </x:c>
      <x:c r="H345" s="28" t="str">
        <x:v>сок, кордиал, гаспачо, салат, соус, маринад или коктейльный компонент с базилик</x:v>
      </x:c>
      <x:c r="I345" s="28" t="str">
        <x:v>The Art &amp; Science of Foodpairing.pdf</x:v>
      </x:c>
      <x:c r="J345" s="28" t="str">
        <x:v>The Art &amp; Science of Foodpairing.pdf: 74</x:v>
      </x:c>
    </x:row>
    <x:row r="346" ht="44" customHeight="1">
      <x:c r="A346" s="28" t="str">
        <x:v>болгарский перец</x:v>
      </x:c>
      <x:c r="B346" s="28" t="n">
        <x:v>20</x:v>
      </x:c>
      <x:c r="C346" s="28" t="str">
        <x:v>банан</x:v>
      </x:c>
      <x:c r="D346" s="28" t="n">
        <x:v>5</x:v>
      </x:c>
      <x:c r="E346" s="28" t="str">
        <x:v>Средняя</x:v>
      </x:c>
      <x:c r="F346" s="28" t="n">
        <x:v>1</x:v>
      </x:c>
      <x:c r="G346" s="28" t="str">
        <x:v>общие характерные молекулы; пересечение ароматических семейств; кислотно-сладкий баланс</x:v>
      </x:c>
      <x:c r="H346" s="28" t="str">
        <x:v>сок, кордиал, гаспачо, салат, соус, маринад или коктейльный компонент с банан</x:v>
      </x:c>
      <x:c r="I346" s="28" t="str">
        <x:v>The Art &amp; Science of Foodpairing.pdf</x:v>
      </x:c>
      <x:c r="J346" s="28" t="str">
        <x:v>The Art &amp; Science of Foodpairing.pdf: 342</x:v>
      </x:c>
    </x:row>
    <x:row r="347" ht="44" customHeight="1">
      <x:c r="A347" s="28" t="str">
        <x:v>томат</x:v>
      </x:c>
      <x:c r="B347" s="28" t="n">
        <x:v>1</x:v>
      </x:c>
      <x:c r="C347" s="28" t="str">
        <x:v>базилик</x:v>
      </x:c>
      <x:c r="D347" s="28" t="n">
        <x:v>12</x:v>
      </x:c>
      <x:c r="E347" s="28" t="str">
        <x:v>Высокая</x:v>
      </x:c>
      <x:c r="F347" s="28" t="n">
        <x:v>3</x:v>
      </x:c>
      <x:c r="G347" s="28" t="str">
        <x:v>пересечение ароматических семейств</x:v>
      </x:c>
      <x:c r="H347" s="28" t="str">
        <x:v>сок, кордиал, гаспачо, салат, соус, маринад или коктейльный компонент с базилик</x:v>
      </x:c>
      <x:c r="I347" s="28" t="str">
        <x:v>The Art &amp; Science of Foodpairing.pdf | Таблица сочетания(1).pdf | Тезариус вкусов (Ники Сегнит)(1).pdf</x:v>
      </x:c>
      <x:c r="J347" s="28" t="str">
        <x:v>Таблица сочетания(1).pdf: 21; Тезариус вкусов (Ники Сегнит)(1).pdf: 569, 680; The Art &amp; Science of Foodpairing.pdf: 74</x:v>
      </x:c>
    </x:row>
    <x:row r="348" ht="44" customHeight="1">
      <x:c r="A348" s="28" t="str">
        <x:v>томат</x:v>
      </x:c>
      <x:c r="B348" s="28" t="n">
        <x:v>2</x:v>
      </x:c>
      <x:c r="C348" s="28" t="str">
        <x:v>баранина</x:v>
      </x:c>
      <x:c r="D348" s="28" t="n">
        <x:v>10</x:v>
      </x:c>
      <x:c r="E348" s="28" t="str">
        <x:v>Высокая</x:v>
      </x:c>
      <x:c r="F348" s="28" t="n">
        <x:v>2</x:v>
      </x:c>
      <x:c r="G348" s="28" t="str">
        <x:v>пересечение ароматических семейств; умами и солёный контраст</x:v>
      </x:c>
      <x:c r="H348" s="28" t="str">
        <x:v>сок, кордиал, гаспачо, салат, соус, маринад или коктейльный компонент с баранина</x:v>
      </x:c>
      <x:c r="I348" s="28" t="str">
        <x:v>The Art &amp; Science of Foodpairing.pdf | Тезариус вкусов (Ники Сегнит)(1).pdf</x:v>
      </x:c>
      <x:c r="J348" s="28" t="str">
        <x:v>Тезариус вкусов (Ники Сегнит)(1).pdf: 133, 681; The Art &amp; Science of Foodpairing.pdf: 161</x:v>
      </x:c>
    </x:row>
    <x:row r="349" ht="44" customHeight="1">
      <x:c r="A349" s="28" t="str">
        <x:v>томат</x:v>
      </x:c>
      <x:c r="B349" s="28" t="n">
        <x:v>3</x:v>
      </x:c>
      <x:c r="C349" s="28" t="str">
        <x:v>бекон</x:v>
      </x:c>
      <x:c r="D349" s="28" t="n">
        <x:v>10</x:v>
      </x:c>
      <x:c r="E349" s="28" t="str">
        <x:v>Высокая</x:v>
      </x:c>
      <x:c r="F349" s="28" t="n">
        <x:v>2</x:v>
      </x:c>
      <x:c r="G349" s="28" t="str">
        <x:v>пересечение ароматических семейств; умами и солёный контраст</x:v>
      </x:c>
      <x:c r="H349" s="28" t="str">
        <x:v>сок, кордиал, гаспачо, салат, соус, маринад или коктейльный компонент с бекон</x:v>
      </x:c>
      <x:c r="I349" s="28" t="str">
        <x:v>The Art &amp; Science of Foodpairing.pdf | Тезариус вкусов (Ники Сегнит)(1).pdf</x:v>
      </x:c>
      <x:c r="J349" s="28" t="str">
        <x:v>Тезариус вкусов (Ники Сегнит)(1).pdf: 449, 682; The Art &amp; Science of Foodpairing.pdf: 161</x:v>
      </x:c>
    </x:row>
    <x:row r="350" ht="44" customHeight="1">
      <x:c r="A350" s="28" t="str">
        <x:v>томат</x:v>
      </x:c>
      <x:c r="B350" s="28" t="n">
        <x:v>4</x:v>
      </x:c>
      <x:c r="C350" s="28" t="str">
        <x:v>имбирь</x:v>
      </x:c>
      <x:c r="D350" s="28" t="n">
        <x:v>10</x:v>
      </x:c>
      <x:c r="E350" s="28" t="str">
        <x:v>Высокая</x:v>
      </x:c>
      <x:c r="F350" s="28" t="n">
        <x:v>2</x:v>
      </x:c>
      <x:c r="G350" s="28" t="str">
        <x:v>сенсорная комплементарность</x:v>
      </x:c>
      <x:c r="H350" s="28" t="str">
        <x:v>сок, кордиал, гаспачо, салат, соус, маринад или коктейльный компонент с имбирь</x:v>
      </x:c>
      <x:c r="I350" s="28" t="str">
        <x:v>The Art &amp; Science of Foodpairing.pdf | Тезариус вкусов (Ники Сегнит)(1).pdf</x:v>
      </x:c>
      <x:c r="J350" s="28" t="str">
        <x:v>Тезариус вкусов (Ники Сегнит)(1).pdf: 685, 820; The Art &amp; Science of Foodpairing.pdf: 161</x:v>
      </x:c>
    </x:row>
    <x:row r="351" ht="44" customHeight="1">
      <x:c r="A351" s="28" t="str">
        <x:v>томат</x:v>
      </x:c>
      <x:c r="B351" s="28" t="n">
        <x:v>5</x:v>
      </x:c>
      <x:c r="C351" s="28" t="str">
        <x:v>клубника</x:v>
      </x:c>
      <x:c r="D351" s="28" t="n">
        <x:v>10</x:v>
      </x:c>
      <x:c r="E351" s="28" t="str">
        <x:v>Высокая</x:v>
      </x:c>
      <x:c r="F351" s="28" t="n">
        <x:v>2</x:v>
      </x:c>
      <x:c r="G351" s="28" t="str">
        <x:v>пересечение ароматических семейств; кислотно-сладкий баланс</x:v>
      </x:c>
      <x:c r="H351" s="28" t="str">
        <x:v>сок, кордиал, гаспачо, салат, соус, маринад или коктейльный компонент с клубника</x:v>
      </x:c>
      <x:c r="I351" s="28" t="str">
        <x:v>Таблица сочетания(1).pdf | Тезариус вкусов (Ники Сегнит)(1).pdf</x:v>
      </x:c>
      <x:c r="J351" s="28" t="str">
        <x:v>Таблица сочетания(1).pdf: 21; Тезариус вкусов (Ники Сегнит)(1).pdf: 686, 698</x:v>
      </x:c>
    </x:row>
    <x:row r="352" ht="44" customHeight="1">
      <x:c r="A352" s="28" t="str">
        <x:v>томат</x:v>
      </x:c>
      <x:c r="B352" s="28" t="n">
        <x:v>6</x:v>
      </x:c>
      <x:c r="C352" s="28" t="str">
        <x:v>корица</x:v>
      </x:c>
      <x:c r="D352" s="28" t="n">
        <x:v>10</x:v>
      </x:c>
      <x:c r="E352" s="28" t="str">
        <x:v>Высокая</x:v>
      </x:c>
      <x:c r="F352" s="28" t="n">
        <x:v>2</x:v>
      </x:c>
      <x:c r="G352" s="28" t="str">
        <x:v>сенсорная комплементарность</x:v>
      </x:c>
      <x:c r="H352" s="28" t="str">
        <x:v>сок, кордиал, гаспачо, салат, соус, маринад или коктейльный компонент с корица</x:v>
      </x:c>
      <x:c r="I352" s="28" t="str">
        <x:v>Таблица сочетания(1).pdf | Тезариус вкусов (Ники Сегнит)(1).pdf</x:v>
      </x:c>
      <x:c r="J352" s="28" t="str">
        <x:v>Таблица сочетания(1).pdf: 21; Тезариус вкусов (Ники Сегнит)(1).pdf: 580, 686</x:v>
      </x:c>
    </x:row>
    <x:row r="353" ht="44" customHeight="1">
      <x:c r="A353" s="28" t="str">
        <x:v>томат</x:v>
      </x:c>
      <x:c r="B353" s="28" t="n">
        <x:v>7</x:v>
      </x:c>
      <x:c r="C353" s="28" t="str">
        <x:v>лимон</x:v>
      </x:c>
      <x:c r="D353" s="28" t="n">
        <x:v>10</x:v>
      </x:c>
      <x:c r="E353" s="28" t="str">
        <x:v>Высокая</x:v>
      </x:c>
      <x:c r="F353" s="28" t="n">
        <x:v>2</x:v>
      </x:c>
      <x:c r="G353" s="28" t="str">
        <x:v>кислотно-сладкий баланс</x:v>
      </x:c>
      <x:c r="H353" s="28" t="str">
        <x:v>сок, кордиал, гаспачо, салат, соус, маринад или коктейльный компонент с лимон</x:v>
      </x:c>
      <x:c r="I353" s="28" t="str">
        <x:v>Таблица сочетания(1).pdf | Тезариус вкусов (Ники Сегнит)(1).pdf</x:v>
      </x:c>
      <x:c r="J353" s="28" t="str">
        <x:v>Таблица сочетания(1).pdf: 21; Тезариус вкусов (Ники Сегнит)(1).pdf: 686, 809</x:v>
      </x:c>
    </x:row>
    <x:row r="354" ht="44" customHeight="1">
      <x:c r="A354" s="28" t="str">
        <x:v>томат</x:v>
      </x:c>
      <x:c r="B354" s="28" t="n">
        <x:v>8</x:v>
      </x:c>
      <x:c r="C354" s="28" t="str">
        <x:v>шоколад</x:v>
      </x:c>
      <x:c r="D354" s="28" t="n">
        <x:v>10</x:v>
      </x:c>
      <x:c r="E354" s="28" t="str">
        <x:v>Высокая</x:v>
      </x:c>
      <x:c r="F354" s="28" t="n">
        <x:v>2</x:v>
      </x:c>
      <x:c r="G354" s="28" t="str">
        <x:v>сенсорная комплементарность</x:v>
      </x:c>
      <x:c r="H354" s="28" t="str">
        <x:v>сок, кордиал, гаспачо, салат, соус, маринад или коктейльный компонент с шоколад</x:v>
      </x:c>
      <x:c r="I354" s="28" t="str">
        <x:v>The Art &amp; Science of Foodpairing.pdf | Тезариус вкусов (Ники Сегнит)(1).pdf</x:v>
      </x:c>
      <x:c r="J354" s="28" t="str">
        <x:v>Тезариус вкусов (Ники Сегнит)(1).pdf: 35, 691; The Art &amp; Science of Foodpairing.pdf: 62</x:v>
      </x:c>
    </x:row>
    <x:row r="355" ht="44" customHeight="1">
      <x:c r="A355" s="28" t="str">
        <x:v>томат</x:v>
      </x:c>
      <x:c r="B355" s="28" t="n">
        <x:v>9</x:v>
      </x:c>
      <x:c r="C355" s="28" t="str">
        <x:v>листья кориандра</x:v>
      </x:c>
      <x:c r="D355" s="28" t="n">
        <x:v>9</x:v>
      </x:c>
      <x:c r="E355" s="28" t="str">
        <x:v>Высокая</x:v>
      </x:c>
      <x:c r="F355" s="28" t="n">
        <x:v>2</x:v>
      </x:c>
      <x:c r="G355" s="28" t="str">
        <x:v>пересечение ароматических семейств</x:v>
      </x:c>
      <x:c r="H355" s="28" t="str">
        <x:v>сок, кордиал, гаспачо, салат, соус, маринад или коктейльный компонент с листья кориандра</x:v>
      </x:c>
      <x:c r="I355" s="28" t="str">
        <x:v>The Art &amp; Science of Foodpairing.pdf | Тезариус вкусов (Ники Сегнит)(1).pdf</x:v>
      </x:c>
      <x:c r="J355" s="28" t="str">
        <x:v>Тезариус вкусов (Ники Сегнит)(1).pdf: 686; The Art &amp; Science of Foodpairing.pdf: 161</x:v>
      </x:c>
    </x:row>
    <x:row r="356" ht="44" customHeight="1">
      <x:c r="A356" s="28" t="str">
        <x:v>томат</x:v>
      </x:c>
      <x:c r="B356" s="28" t="n">
        <x:v>10</x:v>
      </x:c>
      <x:c r="C356" s="28" t="str">
        <x:v>чёрный перец</x:v>
      </x:c>
      <x:c r="D356" s="28" t="n">
        <x:v>9</x:v>
      </x:c>
      <x:c r="E356" s="28" t="str">
        <x:v>Высокая</x:v>
      </x:c>
      <x:c r="F356" s="28" t="n">
        <x:v>2</x:v>
      </x:c>
      <x:c r="G356" s="28" t="str">
        <x:v>сенсорная комплементарность</x:v>
      </x:c>
      <x:c r="H356" s="28" t="str">
        <x:v>сок, кордиал, гаспачо, салат, соус, маринад или коктейльный компонент с чёрный перец</x:v>
      </x:c>
      <x:c r="I356" s="28" t="str">
        <x:v>The Art &amp; Science of Foodpairing.pdf | Таблица сочетания(1).pdf</x:v>
      </x:c>
      <x:c r="J356" s="28" t="str">
        <x:v>Таблица сочетания(1).pdf: 21; The Art &amp; Science of Foodpairing.pdf: 273</x:v>
      </x:c>
    </x:row>
    <x:row r="357" ht="44" customHeight="1">
      <x:c r="A357" s="28" t="str">
        <x:v>томат</x:v>
      </x:c>
      <x:c r="B357" s="28" t="n">
        <x:v>11</x:v>
      </x:c>
      <x:c r="C357" s="28" t="str">
        <x:v>манго</x:v>
      </x:c>
      <x:c r="D357" s="28" t="n">
        <x:v>8</x:v>
      </x:c>
      <x:c r="E357" s="28" t="str">
        <x:v>Высокая</x:v>
      </x:c>
      <x:c r="F357" s="28" t="n">
        <x:v>1</x:v>
      </x:c>
      <x:c r="G357" s="28" t="str">
        <x:v>пересечение ароматических семейств; кислотно-сладкий баланс</x:v>
      </x:c>
      <x:c r="H357" s="28" t="str">
        <x:v>сок, кордиал, гаспачо, салат, соус, маринад или коктейльный компонент с манго</x:v>
      </x:c>
      <x:c r="I357" s="28" t="str">
        <x:v>The Art &amp; Science of Foodpairing.pdf</x:v>
      </x:c>
      <x:c r="J357" s="28" t="str">
        <x:v>The Art &amp; Science of Foodpairing.pdf: 161, 312</x:v>
      </x:c>
    </x:row>
    <x:row r="358" ht="44" customHeight="1">
      <x:c r="A358" s="28" t="str">
        <x:v>томат</x:v>
      </x:c>
      <x:c r="B358" s="28" t="n">
        <x:v>12</x:v>
      </x:c>
      <x:c r="C358" s="28" t="str">
        <x:v>лист настурции</x:v>
      </x:c>
      <x:c r="D358" s="28" t="n">
        <x:v>7</x:v>
      </x:c>
      <x:c r="E358" s="28" t="str">
        <x:v>Высокая</x:v>
      </x:c>
      <x:c r="F358" s="28" t="n">
        <x:v>1</x:v>
      </x:c>
      <x:c r="G358" s="28" t="str">
        <x:v>сенсорная комплементарность</x:v>
      </x:c>
      <x:c r="H358" s="28" t="str">
        <x:v>сок, кордиал, гаспачо, салат, соус, маринад или коктейльный компонент с лист настурции</x:v>
      </x:c>
      <x:c r="I358" s="28" t="str">
        <x:v>The Art &amp; Science of Foodpairing.pdf</x:v>
      </x:c>
      <x:c r="J358" s="28" t="str">
        <x:v>The Art &amp; Science of Foodpairing.pdf: 160, 161</x:v>
      </x:c>
    </x:row>
    <x:row r="359" ht="44" customHeight="1">
      <x:c r="A359" s="28" t="str">
        <x:v>томат</x:v>
      </x:c>
      <x:c r="B359" s="28" t="n">
        <x:v>13</x:v>
      </x:c>
      <x:c r="C359" s="28" t="str">
        <x:v>авокадо</x:v>
      </x:c>
      <x:c r="D359" s="28" t="n">
        <x:v>6</x:v>
      </x:c>
      <x:c r="E359" s="28" t="str">
        <x:v>Средняя</x:v>
      </x:c>
      <x:c r="F359" s="28" t="n">
        <x:v>1</x:v>
      </x:c>
      <x:c r="G359" s="28" t="str">
        <x:v>сенсорная комплементарность</x:v>
      </x:c>
      <x:c r="H359" s="28" t="str">
        <x:v>сок, кордиал, гаспачо, салат, соус, маринад или коктейльный компонент с авокадо</x:v>
      </x:c>
      <x:c r="I359" s="28" t="str">
        <x:v>Тезариус вкусов (Ники Сегнит)(1).pdf</x:v>
      </x:c>
      <x:c r="J359" s="28" t="str">
        <x:v>Тезариус вкусов (Ники Сегнит)(1).pdf: 531, 679</x:v>
      </x:c>
    </x:row>
    <x:row r="360" ht="44" customHeight="1">
      <x:c r="A360" s="28" t="str">
        <x:v>томат</x:v>
      </x:c>
      <x:c r="B360" s="28" t="n">
        <x:v>14</x:v>
      </x:c>
      <x:c r="C360" s="28" t="str">
        <x:v>анис</x:v>
      </x:c>
      <x:c r="D360" s="28" t="n">
        <x:v>6</x:v>
      </x:c>
      <x:c r="E360" s="28" t="str">
        <x:v>Средняя</x:v>
      </x:c>
      <x:c r="F360" s="28" t="n">
        <x:v>1</x:v>
      </x:c>
      <x:c r="G360" s="28" t="str">
        <x:v>сенсорная комплементарность</x:v>
      </x:c>
      <x:c r="H360" s="28" t="str">
        <x:v>сок, кордиал, гаспачо, салат, соус, маринад или коктейльный компонент с анис</x:v>
      </x:c>
      <x:c r="I360" s="28" t="str">
        <x:v>Тезариус вкусов (Ники Сегнит)(1).pdf</x:v>
      </x:c>
      <x:c r="J360" s="28" t="str">
        <x:v>Тезариус вкусов (Ники Сегнит)(1).pdf: 487, 679</x:v>
      </x:c>
    </x:row>
    <x:row r="361" ht="44" customHeight="1">
      <x:c r="A361" s="28" t="str">
        <x:v>томат</x:v>
      </x:c>
      <x:c r="B361" s="28" t="n">
        <x:v>15</x:v>
      </x:c>
      <x:c r="C361" s="28" t="str">
        <x:v>анчоусы</x:v>
      </x:c>
      <x:c r="D361" s="28" t="n">
        <x:v>6</x:v>
      </x:c>
      <x:c r="E361" s="28" t="str">
        <x:v>Средняя</x:v>
      </x:c>
      <x:c r="F361" s="28" t="n">
        <x:v>1</x:v>
      </x:c>
      <x:c r="G361" s="28" t="str">
        <x:v>пересечение ароматических семейств; умами и солёный контраст</x:v>
      </x:c>
      <x:c r="H361" s="28" t="str">
        <x:v>сок, кордиал, гаспачо, салат, соус, маринад или коктейльный компонент с анчоусы</x:v>
      </x:c>
      <x:c r="I361" s="28" t="str">
        <x:v>Тезариус вкусов (Ники Сегнит)(1).pdf</x:v>
      </x:c>
      <x:c r="J361" s="28" t="str">
        <x:v>Тезариус вкусов (Ники Сегнит)(1).pdf: 430, 680</x:v>
      </x:c>
    </x:row>
    <x:row r="362" ht="44" customHeight="1">
      <x:c r="A362" s="28" t="str">
        <x:v>томат</x:v>
      </x:c>
      <x:c r="B362" s="28" t="n">
        <x:v>16</x:v>
      </x:c>
      <x:c r="C362" s="28" t="str">
        <x:v>арахис</x:v>
      </x:c>
      <x:c r="D362" s="28" t="n">
        <x:v>6</x:v>
      </x:c>
      <x:c r="E362" s="28" t="str">
        <x:v>Средняя</x:v>
      </x:c>
      <x:c r="F362" s="28" t="n">
        <x:v>1</x:v>
      </x:c>
      <x:c r="G362" s="28" t="str">
        <x:v>сенсорная комплементарность</x:v>
      </x:c>
      <x:c r="H362" s="28" t="str">
        <x:v>сок, кордиал, гаспачо, салат, соус, маринад или коктейльный компонент с арахис</x:v>
      </x:c>
      <x:c r="I362" s="28" t="str">
        <x:v>Тезариус вкусов (Ники Сегнит)(1).pdf</x:v>
      </x:c>
      <x:c r="J362" s="28" t="str">
        <x:v>Тезариус вкусов (Ники Сегнит)(1).pdf: 56, 680</x:v>
      </x:c>
    </x:row>
    <x:row r="363" ht="44" customHeight="1">
      <x:c r="A363" s="28" t="str">
        <x:v>томат</x:v>
      </x:c>
      <x:c r="B363" s="28" t="n">
        <x:v>17</x:v>
      </x:c>
      <x:c r="C363" s="28" t="str">
        <x:v>арбуз</x:v>
      </x:c>
      <x:c r="D363" s="28" t="n">
        <x:v>6</x:v>
      </x:c>
      <x:c r="E363" s="28" t="str">
        <x:v>Средняя</x:v>
      </x:c>
      <x:c r="F363" s="28" t="n">
        <x:v>1</x:v>
      </x:c>
      <x:c r="G363" s="28" t="str">
        <x:v>сенсорная комплементарность</x:v>
      </x:c>
      <x:c r="H363" s="28" t="str">
        <x:v>сок, кордиал, гаспачо, салат, соус, маринад или коктейльный компонент с арбуз</x:v>
      </x:c>
      <x:c r="I363" s="28" t="str">
        <x:v>Тезариус вкусов (Ники Сегнит)(1).pdf</x:v>
      </x:c>
      <x:c r="J363" s="28" t="str">
        <x:v>Тезариус вкусов (Ники Сегнит)(1).pdf: 661, 680</x:v>
      </x:c>
    </x:row>
    <x:row r="364" ht="44" customHeight="1">
      <x:c r="A364" s="28" t="str">
        <x:v>томат</x:v>
      </x:c>
      <x:c r="B364" s="28" t="n">
        <x:v>18</x:v>
      </x:c>
      <x:c r="C364" s="28" t="str">
        <x:v>белая рыба</x:v>
      </x:c>
      <x:c r="D364" s="28" t="n">
        <x:v>6</x:v>
      </x:c>
      <x:c r="E364" s="28" t="str">
        <x:v>Средняя</x:v>
      </x:c>
      <x:c r="F364" s="28" t="n">
        <x:v>1</x:v>
      </x:c>
      <x:c r="G364" s="28" t="str">
        <x:v>пересечение ароматических семейств; умами и солёный контраст</x:v>
      </x:c>
      <x:c r="H364" s="28" t="str">
        <x:v>сок, кордиал, гаспачо, салат, соус, маринад или коктейльный компонент с белая рыба</x:v>
      </x:c>
      <x:c r="I364" s="28" t="str">
        <x:v>Тезариус вкусов (Ники Сегнит)(1).pdf</x:v>
      </x:c>
      <x:c r="J364" s="28" t="str">
        <x:v>Тезариус вкусов (Ники Сегнит)(1).pdf: 391, 684</x:v>
      </x:c>
    </x:row>
    <x:row r="365" ht="44" customHeight="1">
      <x:c r="A365" s="28" t="str">
        <x:v>томат</x:v>
      </x:c>
      <x:c r="B365" s="28" t="n">
        <x:v>19</x:v>
      </x:c>
      <x:c r="C365" s="28" t="str">
        <x:v>ваниль</x:v>
      </x:c>
      <x:c r="D365" s="28" t="n">
        <x:v>6</x:v>
      </x:c>
      <x:c r="E365" s="28" t="str">
        <x:v>Средняя</x:v>
      </x:c>
      <x:c r="F365" s="28" t="n">
        <x:v>1</x:v>
      </x:c>
      <x:c r="G365" s="28" t="str">
        <x:v>сенсорная комплементарность</x:v>
      </x:c>
      <x:c r="H365" s="28" t="str">
        <x:v>сок, кордиал, гаспачо, салат, соус, маринад или коктейльный компонент с ваниль</x:v>
      </x:c>
      <x:c r="I365" s="28" t="str">
        <x:v>Тезариус вкусов (Ники Сегнит)(1).pdf</x:v>
      </x:c>
      <x:c r="J365" s="28" t="str">
        <x:v>Тезариус вкусов (Ники Сегнит)(1).pdf: 685, 919</x:v>
      </x:c>
    </x:row>
    <x:row r="366" ht="44" customHeight="1">
      <x:c r="A366" s="28" t="str">
        <x:v>томат</x:v>
      </x:c>
      <x:c r="B366" s="28" t="n">
        <x:v>20</x:v>
      </x:c>
      <x:c r="C366" s="28" t="str">
        <x:v>гвоздика</x:v>
      </x:c>
      <x:c r="D366" s="28" t="n">
        <x:v>6</x:v>
      </x:c>
      <x:c r="E366" s="28" t="str">
        <x:v>Средняя</x:v>
      </x:c>
      <x:c r="F366" s="28" t="n">
        <x:v>1</x:v>
      </x:c>
      <x:c r="G366" s="28" t="str">
        <x:v>сенсорная комплементарность</x:v>
      </x:c>
      <x:c r="H366" s="28" t="str">
        <x:v>сок, кордиал, гаспачо, салат, соус, маринад или коктейльный компонент с гвоздика</x:v>
      </x:c>
      <x:c r="I366" s="28" t="str">
        <x:v>Тезариус вкусов (Ники Сегнит)(1).pdf</x:v>
      </x:c>
      <x:c r="J366" s="28" t="str">
        <x:v>Тезариус вкусов (Ники Сегнит)(1).pdf: 585, 685</x:v>
      </x:c>
    </x:row>
    <x:row r="367" ht="44" customHeight="1">
      <x:c r="A367" s="28" t="str">
        <x:v>морковь</x:v>
      </x:c>
      <x:c r="B367" s="28" t="n">
        <x:v>1</x:v>
      </x:c>
      <x:c r="C367" s="28" t="str">
        <x:v>апельсин</x:v>
      </x:c>
      <x:c r="D367" s="28" t="n">
        <x:v>12</x:v>
      </x:c>
      <x:c r="E367" s="28" t="str">
        <x:v>Высокая</x:v>
      </x:c>
      <x:c r="F367" s="28" t="n">
        <x:v>3</x:v>
      </x:c>
      <x:c r="G367" s="28" t="str">
        <x:v>пересечение ароматических семейств; кислотно-сладкий баланс</x:v>
      </x:c>
      <x:c r="H367" s="28" t="str">
        <x:v>сок, кордиал, гаспачо, салат, соус, маринад или коктейльный компонент с апельсин</x:v>
      </x:c>
      <x:c r="I367" s="28" t="str">
        <x:v>The Art &amp; Science of Foodpairing.pdf | Таблица сочетания(1).pdf | Тезариус вкусов (Ники Сегнит)(1).pdf</x:v>
      </x:c>
      <x:c r="J367" s="28" t="str">
        <x:v>Таблица сочетания(1).pdf: 4; Тезариус вкусов (Ники Сегнит)(1).pdf: 602, 778; The Art &amp; Science of Foodpairing.pdf: 233</x:v>
      </x:c>
    </x:row>
    <x:row r="368" ht="44" customHeight="1">
      <x:c r="A368" s="28" t="str">
        <x:v>морковь</x:v>
      </x:c>
      <x:c r="B368" s="28" t="n">
        <x:v>2</x:v>
      </x:c>
      <x:c r="C368" s="28" t="str">
        <x:v>кардамон</x:v>
      </x:c>
      <x:c r="D368" s="28" t="n">
        <x:v>12</x:v>
      </x:c>
      <x:c r="E368" s="28" t="str">
        <x:v>Высокая</x:v>
      </x:c>
      <x:c r="F368" s="28" t="n">
        <x:v>3</x:v>
      </x:c>
      <x:c r="G368" s="28" t="str">
        <x:v>сенсорная комплементарность</x:v>
      </x:c>
      <x:c r="H368" s="28" t="str">
        <x:v>сок, кордиал, гаспачо, салат, соус, маринад или коктейльный компонент с кардамон</x:v>
      </x:c>
      <x:c r="I368" s="28" t="str">
        <x:v>The Art &amp; Science of Foodpairing.pdf | Таблица сочетания(1).pdf | Тезариус вкусов (Ники Сегнит)(1).pdf</x:v>
      </x:c>
      <x:c r="J368" s="28" t="str">
        <x:v>Таблица сочетания(1).pdf: 4; Тезариус вкусов (Ники Сегнит)(1).pdf: 604, 830; The Art &amp; Science of Foodpairing.pdf: 232</x:v>
      </x:c>
    </x:row>
    <x:row r="369" ht="44" customHeight="1">
      <x:c r="A369" s="28" t="str">
        <x:v>морковь</x:v>
      </x:c>
      <x:c r="B369" s="28" t="n">
        <x:v>3</x:v>
      </x:c>
      <x:c r="C369" s="28" t="str">
        <x:v>корица</x:v>
      </x:c>
      <x:c r="D369" s="28" t="n">
        <x:v>10</x:v>
      </x:c>
      <x:c r="E369" s="28" t="str">
        <x:v>Высокая</x:v>
      </x:c>
      <x:c r="F369" s="28" t="n">
        <x:v>2</x:v>
      </x:c>
      <x:c r="G369" s="28" t="str">
        <x:v>пересечение ароматических семейств</x:v>
      </x:c>
      <x:c r="H369" s="28" t="str">
        <x:v>сок, кордиал, гаспачо, салат, соус, маринад или коктейльный компонент с корица</x:v>
      </x:c>
      <x:c r="I369" s="28" t="str">
        <x:v>Таблица сочетания(1).pdf | Тезариус вкусов (Ники Сегнит)(1).pdf</x:v>
      </x:c>
      <x:c r="J369" s="28" t="str">
        <x:v>Таблица сочетания(1).pdf: 4; Тезариус вкусов (Ники Сегнит)(1).pdf: 577, 605</x:v>
      </x:c>
    </x:row>
    <x:row r="370" ht="44" customHeight="1">
      <x:c r="A370" s="28" t="str">
        <x:v>морковь</x:v>
      </x:c>
      <x:c r="B370" s="28" t="n">
        <x:v>4</x:v>
      </x:c>
      <x:c r="C370" s="28" t="str">
        <x:v>огурец</x:v>
      </x:c>
      <x:c r="D370" s="28" t="n">
        <x:v>10</x:v>
      </x:c>
      <x:c r="E370" s="28" t="str">
        <x:v>Высокая</x:v>
      </x:c>
      <x:c r="F370" s="28" t="n">
        <x:v>2</x:v>
      </x:c>
      <x:c r="G370" s="28" t="str">
        <x:v>сенсорная комплементарность</x:v>
      </x:c>
      <x:c r="H370" s="28" t="str">
        <x:v>сок, кордиал, гаспачо, салат, соус, маринад или коктейльный компонент с огурец</x:v>
      </x:c>
      <x:c r="I370" s="28" t="str">
        <x:v>Таблица сочетания(1).pdf | Тезариус вкусов (Ники Сегнит)(1).pdf</x:v>
      </x:c>
      <x:c r="J370" s="28" t="str">
        <x:v>Таблица сочетания(1).pdf: 4; Тезариус вкусов (Ники Сегнит)(1).pdf: 494, 606</x:v>
      </x:c>
    </x:row>
    <x:row r="371" ht="44" customHeight="1">
      <x:c r="A371" s="28" t="str">
        <x:v>морковь</x:v>
      </x:c>
      <x:c r="B371" s="28" t="n">
        <x:v>5</x:v>
      </x:c>
      <x:c r="C371" s="28" t="str">
        <x:v>фундук</x:v>
      </x:c>
      <x:c r="D371" s="28" t="n">
        <x:v>10</x:v>
      </x:c>
      <x:c r="E371" s="28" t="str">
        <x:v>Высокая</x:v>
      </x:c>
      <x:c r="F371" s="28" t="n">
        <x:v>2</x:v>
      </x:c>
      <x:c r="G371" s="28" t="str">
        <x:v>сенсорная комплементарность</x:v>
      </x:c>
      <x:c r="H371" s="28" t="str">
        <x:v>сок, кордиал, гаспачо, салат, соус, маринад или коктейльный компонент с фундук</x:v>
      </x:c>
      <x:c r="I371" s="28" t="str">
        <x:v>The Art &amp; Science of Foodpairing.pdf | Тезариус вкусов (Ники Сегнит)(1).pdf</x:v>
      </x:c>
      <x:c r="J371" s="28" t="str">
        <x:v>Тезариус вкусов (Ники Сегнит)(1).pdf: 607, 636; The Art &amp; Science of Foodpairing.pdf: 232</x:v>
      </x:c>
    </x:row>
    <x:row r="372" ht="44" customHeight="1">
      <x:c r="A372" s="28" t="str">
        <x:v>морковь</x:v>
      </x:c>
      <x:c r="B372" s="28" t="n">
        <x:v>6</x:v>
      </x:c>
      <x:c r="C372" s="28" t="str">
        <x:v>чёрный перец</x:v>
      </x:c>
      <x:c r="D372" s="28" t="n">
        <x:v>10</x:v>
      </x:c>
      <x:c r="E372" s="28" t="str">
        <x:v>Высокая</x:v>
      </x:c>
      <x:c r="F372" s="28" t="n">
        <x:v>2</x:v>
      </x:c>
      <x:c r="G372" s="28" t="str">
        <x:v>пересечение ароматических семейств</x:v>
      </x:c>
      <x:c r="H372" s="28" t="str">
        <x:v>сок, кордиал, гаспачо, салат, соус, маринад или коктейльный компонент с чёрный перец</x:v>
      </x:c>
      <x:c r="I372" s="28" t="str">
        <x:v>The Art &amp; Science of Foodpairing.pdf | Таблица сочетания(1).pdf</x:v>
      </x:c>
      <x:c r="J372" s="28" t="str">
        <x:v>Таблица сочетания(1).pdf: 4; The Art &amp; Science of Foodpairing.pdf: 232, 273, 274</x:v>
      </x:c>
    </x:row>
    <x:row r="373" ht="44" customHeight="1">
      <x:c r="A373" s="28" t="str">
        <x:v>морковь</x:v>
      </x:c>
      <x:c r="B373" s="28" t="n">
        <x:v>7</x:v>
      </x:c>
      <x:c r="C373" s="28" t="str">
        <x:v>яблоко</x:v>
      </x:c>
      <x:c r="D373" s="28" t="n">
        <x:v>10</x:v>
      </x:c>
      <x:c r="E373" s="28" t="str">
        <x:v>Высокая</x:v>
      </x:c>
      <x:c r="F373" s="28" t="n">
        <x:v>2</x:v>
      </x:c>
      <x:c r="G373" s="28" t="str">
        <x:v>кислотно-сладкий баланс</x:v>
      </x:c>
      <x:c r="H373" s="28" t="str">
        <x:v>сок, кордиал, гаспачо, салат, соус, маринад или коктейльный компонент с яблоко</x:v>
      </x:c>
      <x:c r="I373" s="28" t="str">
        <x:v>The Art &amp; Science of Foodpairing.pdf | Тезариус вкусов (Ники Сегнит)(1).pdf</x:v>
      </x:c>
      <x:c r="J373" s="28" t="str">
        <x:v>Тезариус вкусов (Ники Сегнит)(1).pdf: 607, 714; The Art &amp; Science of Foodpairing.pdf: 232</x:v>
      </x:c>
    </x:row>
    <x:row r="374" ht="44" customHeight="1">
      <x:c r="A374" s="28" t="str">
        <x:v>морковь</x:v>
      </x:c>
      <x:c r="B374" s="28" t="n">
        <x:v>8</x:v>
      </x:c>
      <x:c r="C374" s="28" t="str">
        <x:v>цитрон рука Будды</x:v>
      </x:c>
      <x:c r="D374" s="28" t="n">
        <x:v>7</x:v>
      </x:c>
      <x:c r="E374" s="28" t="str">
        <x:v>Высокая</x:v>
      </x:c>
      <x:c r="F374" s="28" t="n">
        <x:v>1</x:v>
      </x:c>
      <x:c r="G374" s="28" t="str">
        <x:v>сенсорная комплементарность</x:v>
      </x:c>
      <x:c r="H374" s="28" t="str">
        <x:v>сок, кордиал, гаспачо, салат, соус, маринад или коктейльный компонент с цитрон рука Будды</x:v>
      </x:c>
      <x:c r="I374" s="28" t="str">
        <x:v>The Art &amp; Science of Foodpairing.pdf</x:v>
      </x:c>
      <x:c r="J374" s="28" t="str">
        <x:v>The Art &amp; Science of Foodpairing.pdf: 232</x:v>
      </x:c>
    </x:row>
    <x:row r="375" ht="44" customHeight="1">
      <x:c r="A375" s="28" t="str">
        <x:v>морковь</x:v>
      </x:c>
      <x:c r="B375" s="28" t="n">
        <x:v>9</x:v>
      </x:c>
      <x:c r="C375" s="28" t="str">
        <x:v>анис</x:v>
      </x:c>
      <x:c r="D375" s="28" t="n">
        <x:v>6</x:v>
      </x:c>
      <x:c r="E375" s="28" t="str">
        <x:v>Средняя</x:v>
      </x:c>
      <x:c r="F375" s="28" t="n">
        <x:v>1</x:v>
      </x:c>
      <x:c r="G375" s="28" t="str">
        <x:v>сенсорная комплементарность</x:v>
      </x:c>
      <x:c r="H375" s="28" t="str">
        <x:v>сок, кордиал, гаспачо, салат, соус, маринад или коктейльный компонент с анис</x:v>
      </x:c>
      <x:c r="I375" s="28" t="str">
        <x:v>Тезариус вкусов (Ники Сегнит)(1).pdf</x:v>
      </x:c>
      <x:c r="J375" s="28" t="str">
        <x:v>Тезариус вкусов (Ники Сегнит)(1).pdf: 486, 601</x:v>
      </x:c>
    </x:row>
    <x:row r="376" ht="44" customHeight="1">
      <x:c r="A376" s="28" t="str">
        <x:v>морковь</x:v>
      </x:c>
      <x:c r="B376" s="28" t="n">
        <x:v>10</x:v>
      </x:c>
      <x:c r="C376" s="28" t="str">
        <x:v>апельсиновый сок</x:v>
      </x:c>
      <x:c r="D376" s="28" t="n">
        <x:v>6</x:v>
      </x:c>
      <x:c r="E376" s="28" t="str">
        <x:v>Средняя</x:v>
      </x:c>
      <x:c r="F376" s="28" t="n">
        <x:v>1</x:v>
      </x:c>
      <x:c r="G376" s="28" t="str">
        <x:v>пересечение ароматических семейств; кислотно-сладкий баланс</x:v>
      </x:c>
      <x:c r="H376" s="28" t="str">
        <x:v>сок, кордиал, гаспачо, салат, соус, маринад или коктейльный компонент с апельсиновый сок</x:v>
      </x:c>
      <x:c r="I376" s="28" t="str">
        <x:v>The Art &amp; Science of Foodpairing.pdf</x:v>
      </x:c>
      <x:c r="J376" s="28" t="str">
        <x:v>The Art &amp; Science of Foodpairing.pdf: 232</x:v>
      </x:c>
    </x:row>
    <x:row r="377" ht="44" customHeight="1">
      <x:c r="A377" s="28" t="str">
        <x:v>морковь</x:v>
      </x:c>
      <x:c r="B377" s="28" t="n">
        <x:v>11</x:v>
      </x:c>
      <x:c r="C377" s="28" t="str">
        <x:v>арахис</x:v>
      </x:c>
      <x:c r="D377" s="28" t="n">
        <x:v>6</x:v>
      </x:c>
      <x:c r="E377" s="28" t="str">
        <x:v>Средняя</x:v>
      </x:c>
      <x:c r="F377" s="28" t="n">
        <x:v>1</x:v>
      </x:c>
      <x:c r="G377" s="28" t="str">
        <x:v>сенсорная комплементарность</x:v>
      </x:c>
      <x:c r="H377" s="28" t="str">
        <x:v>сок, кордиал, гаспачо, салат, соус, маринад или коктейльный компонент с арахис</x:v>
      </x:c>
      <x:c r="I377" s="28" t="str">
        <x:v>Тезариус вкусов (Ники Сегнит)(1).pdf</x:v>
      </x:c>
      <x:c r="J377" s="28" t="str">
        <x:v>Тезариус вкусов (Ники Сегнит)(1).pdf: 55, 602</x:v>
      </x:c>
    </x:row>
    <x:row r="378" ht="44" customHeight="1">
      <x:c r="A378" s="28" t="str">
        <x:v>морковь</x:v>
      </x:c>
      <x:c r="B378" s="28" t="n">
        <x:v>12</x:v>
      </x:c>
      <x:c r="C378" s="28" t="str">
        <x:v>говядина</x:v>
      </x:c>
      <x:c r="D378" s="28" t="n">
        <x:v>6</x:v>
      </x:c>
      <x:c r="E378" s="28" t="str">
        <x:v>Средняя</x:v>
      </x:c>
      <x:c r="F378" s="28" t="n">
        <x:v>1</x:v>
      </x:c>
      <x:c r="G378" s="28" t="str">
        <x:v>умами и солёный контраст</x:v>
      </x:c>
      <x:c r="H378" s="28" t="str">
        <x:v>сок, кордиал, гаспачо, салат, соус, маринад или коктейльный компонент с говядина</x:v>
      </x:c>
      <x:c r="I378" s="28" t="str">
        <x:v>Тезариус вкусов (Ники Сегнит)(1).pdf</x:v>
      </x:c>
      <x:c r="J378" s="28" t="str">
        <x:v>Тезариус вкусов (Ники Сегнит)(1).pdf: 114, 602</x:v>
      </x:c>
    </x:row>
    <x:row r="379" ht="44" customHeight="1">
      <x:c r="A379" s="28" t="str">
        <x:v>морковь</x:v>
      </x:c>
      <x:c r="B379" s="28" t="n">
        <x:v>13</x:v>
      </x:c>
      <x:c r="C379" s="28" t="str">
        <x:v>грецкий орех</x:v>
      </x:c>
      <x:c r="D379" s="28" t="n">
        <x:v>6</x:v>
      </x:c>
      <x:c r="E379" s="28" t="str">
        <x:v>Средняя</x:v>
      </x:c>
      <x:c r="F379" s="28" t="n">
        <x:v>1</x:v>
      </x:c>
      <x:c r="G379" s="28" t="str">
        <x:v>пересечение ароматических семейств</x:v>
      </x:c>
      <x:c r="H379" s="28" t="str">
        <x:v>сок, кордиал, гаспачо, салат, соус, маринад или коктейльный компонент с грецкий орех</x:v>
      </x:c>
      <x:c r="I379" s="28" t="str">
        <x:v>Тезариус вкусов (Ники Сегнит)(1).pdf</x:v>
      </x:c>
      <x:c r="J379" s="28" t="str">
        <x:v>Тезариус вкусов (Ники Сегнит)(1).pdf: 602, 627</x:v>
      </x:c>
    </x:row>
    <x:row r="380" ht="44" customHeight="1">
      <x:c r="A380" s="28" t="str">
        <x:v>морковь</x:v>
      </x:c>
      <x:c r="B380" s="28" t="n">
        <x:v>14</x:v>
      </x:c>
      <x:c r="C380" s="28" t="str">
        <x:v>ежевика</x:v>
      </x:c>
      <x:c r="D380" s="28" t="n">
        <x:v>6</x:v>
      </x:c>
      <x:c r="E380" s="28" t="str">
        <x:v>Средняя</x:v>
      </x:c>
      <x:c r="F380" s="28" t="n">
        <x:v>1</x:v>
      </x:c>
      <x:c r="G380" s="28" t="str">
        <x:v>сенсорная комплементарность</x:v>
      </x:c>
      <x:c r="H380" s="28" t="str">
        <x:v>сок, кордиал, гаспачо, салат, соус, маринад или коктейльный компонент с ежевика</x:v>
      </x:c>
      <x:c r="I380" s="28" t="str">
        <x:v>The Art &amp; Science of Foodpairing.pdf</x:v>
      </x:c>
      <x:c r="J380" s="28" t="str">
        <x:v>The Art &amp; Science of Foodpairing.pdf: 232</x:v>
      </x:c>
    </x:row>
    <x:row r="381" ht="44" customHeight="1">
      <x:c r="A381" s="28" t="str">
        <x:v>морковь</x:v>
      </x:c>
      <x:c r="B381" s="28" t="n">
        <x:v>15</x:v>
      </x:c>
      <x:c r="C381" s="28" t="str">
        <x:v>зира</x:v>
      </x:c>
      <x:c r="D381" s="28" t="n">
        <x:v>6</x:v>
      </x:c>
      <x:c r="E381" s="28" t="str">
        <x:v>Средняя</x:v>
      </x:c>
      <x:c r="F381" s="28" t="n">
        <x:v>1</x:v>
      </x:c>
      <x:c r="G381" s="28" t="str">
        <x:v>пересечение ароматических семейств</x:v>
      </x:c>
      <x:c r="H381" s="28" t="str">
        <x:v>сок, кордиал, гаспачо, салат, соус, маринад или коктейльный компонент с зира</x:v>
      </x:c>
      <x:c r="I381" s="28" t="str">
        <x:v>Тезариус вкусов (Ники Сегнит)(1).pdf</x:v>
      </x:c>
      <x:c r="J381" s="28" t="str">
        <x:v>Тезариус вкусов (Ники Сегнит)(1).pdf: 217, 603</x:v>
      </x:c>
    </x:row>
    <x:row r="382" ht="44" customHeight="1">
      <x:c r="A382" s="28" t="str">
        <x:v>морковь</x:v>
      </x:c>
      <x:c r="B382" s="28" t="n">
        <x:v>16</x:v>
      </x:c>
      <x:c r="C382" s="28" t="str">
        <x:v>кокос</x:v>
      </x:c>
      <x:c r="D382" s="28" t="n">
        <x:v>6</x:v>
      </x:c>
      <x:c r="E382" s="28" t="str">
        <x:v>Средняя</x:v>
      </x:c>
      <x:c r="F382" s="28" t="n">
        <x:v>1</x:v>
      </x:c>
      <x:c r="G382" s="28" t="str">
        <x:v>сенсорная комплементарность</x:v>
      </x:c>
      <x:c r="H382" s="28" t="str">
        <x:v>сок, кордиал, гаспачо, салат, соус, маринад или коктейльный компонент с кокос</x:v>
      </x:c>
      <x:c r="I382" s="28" t="str">
        <x:v>Тезариус вкусов (Ники Сегнит)(1).pdf</x:v>
      </x:c>
      <x:c r="J382" s="28" t="str">
        <x:v>Тезариус вкусов (Ники Сегнит)(1).pdf: 604, 759</x:v>
      </x:c>
    </x:row>
    <x:row r="383" ht="44" customHeight="1">
      <x:c r="A383" s="28" t="str">
        <x:v>морковь</x:v>
      </x:c>
      <x:c r="B383" s="28" t="n">
        <x:v>17</x:v>
      </x:c>
      <x:c r="C383" s="28" t="str">
        <x:v>кунжут</x:v>
      </x:c>
      <x:c r="D383" s="28" t="n">
        <x:v>6</x:v>
      </x:c>
      <x:c r="E383" s="28" t="str">
        <x:v>Высокая</x:v>
      </x:c>
      <x:c r="F383" s="28" t="n">
        <x:v>1</x:v>
      </x:c>
      <x:c r="G383" s="28" t="str">
        <x:v>сенсорная комплементарность</x:v>
      </x:c>
      <x:c r="H383" s="28" t="str">
        <x:v>сок, кордиал, гаспачо, салат, соус, маринад или коктейльный компонент с кунжут</x:v>
      </x:c>
      <x:c r="I383" s="28" t="str">
        <x:v>The Art &amp; Science of Foodpairing.pdf</x:v>
      </x:c>
      <x:c r="J383" s="28" t="str">
        <x:v>The Art &amp; Science of Foodpairing.pdf: 233</x:v>
      </x:c>
    </x:row>
    <x:row r="384" ht="44" customHeight="1">
      <x:c r="A384" s="28" t="str">
        <x:v>морковь</x:v>
      </x:c>
      <x:c r="B384" s="28" t="n">
        <x:v>18</x:v>
      </x:c>
      <x:c r="C384" s="28" t="str">
        <x:v>оливки</x:v>
      </x:c>
      <x:c r="D384" s="28" t="n">
        <x:v>6</x:v>
      </x:c>
      <x:c r="E384" s="28" t="str">
        <x:v>Средняя</x:v>
      </x:c>
      <x:c r="F384" s="28" t="n">
        <x:v>1</x:v>
      </x:c>
      <x:c r="G384" s="28" t="str">
        <x:v>сенсорная комплементарность</x:v>
      </x:c>
      <x:c r="H384" s="28" t="str">
        <x:v>сок, кордиал, гаспачо, салат, соус, маринад или коктейльный компонент с оливки</x:v>
      </x:c>
      <x:c r="I384" s="28" t="str">
        <x:v>Тезариус вкусов (Ники Сегнит)(1).pdf</x:v>
      </x:c>
      <x:c r="J384" s="28" t="str">
        <x:v>Тезариус вкусов (Ники Сегнит)(1).pdf: 469, 606</x:v>
      </x:c>
    </x:row>
    <x:row r="385" ht="44" customHeight="1">
      <x:c r="A385" s="28" t="str">
        <x:v>морковь</x:v>
      </x:c>
      <x:c r="B385" s="28" t="n">
        <x:v>19</x:v>
      </x:c>
      <x:c r="C385" s="28" t="str">
        <x:v>петрушка</x:v>
      </x:c>
      <x:c r="D385" s="28" t="n">
        <x:v>6</x:v>
      </x:c>
      <x:c r="E385" s="28" t="str">
        <x:v>Средняя</x:v>
      </x:c>
      <x:c r="F385" s="28" t="n">
        <x:v>1</x:v>
      </x:c>
      <x:c r="G385" s="28" t="str">
        <x:v>сенсорная комплементарность</x:v>
      </x:c>
      <x:c r="H385" s="28" t="str">
        <x:v>сок, кордиал, гаспачо, салат, соус, маринад или коктейльный компонент с петрушка</x:v>
      </x:c>
      <x:c r="I385" s="28" t="str">
        <x:v>Тезариус вкусов (Ники Сегнит)(1).pdf</x:v>
      </x:c>
      <x:c r="J385" s="28" t="str">
        <x:v>Тезариус вкусов (Ники Сегнит)(1).pdf: 511, 606</x:v>
      </x:c>
    </x:row>
    <x:row r="386" ht="44" customHeight="1">
      <x:c r="A386" s="28" t="str">
        <x:v>морковь</x:v>
      </x:c>
      <x:c r="B386" s="28" t="n">
        <x:v>20</x:v>
      </x:c>
      <x:c r="C386" s="28" t="str">
        <x:v>шоколадная паста</x:v>
      </x:c>
      <x:c r="D386" s="28" t="n">
        <x:v>6</x:v>
      </x:c>
      <x:c r="E386" s="28" t="str">
        <x:v>Средняя</x:v>
      </x:c>
      <x:c r="F386" s="28" t="n">
        <x:v>1</x:v>
      </x:c>
      <x:c r="G386" s="28" t="str">
        <x:v>сенсорная комплементарность</x:v>
      </x:c>
      <x:c r="H386" s="28" t="str">
        <x:v>сок, кордиал, гаспачо, салат, соус, маринад или коктейльный компонент с шоколадная паста</x:v>
      </x:c>
      <x:c r="I386" s="28" t="str">
        <x:v>The Art &amp; Science of Foodpairing.pdf</x:v>
      </x:c>
      <x:c r="J386" s="28" t="str">
        <x:v>The Art &amp; Science of Foodpairing.pdf: 232</x:v>
      </x:c>
    </x:row>
    <x:row r="387" ht="44" customHeight="1">
      <x:c r="A387" s="28" t="str">
        <x:v>тыква</x:v>
      </x:c>
      <x:c r="B387" s="28" t="n">
        <x:v>1</x:v>
      </x:c>
      <x:c r="C387" s="28" t="str">
        <x:v>кофе</x:v>
      </x:c>
      <x:c r="D387" s="28" t="n">
        <x:v>10</x:v>
      </x:c>
      <x:c r="E387" s="28" t="str">
        <x:v>Высокая</x:v>
      </x:c>
      <x:c r="F387" s="28" t="n">
        <x:v>2</x:v>
      </x:c>
      <x:c r="G387" s="28" t="str">
        <x:v>общие характерные молекулы; пересечение ароматических семейств</x:v>
      </x:c>
      <x:c r="H387" s="28" t="str">
        <x:v>пюре, суп, запекание, крем, гарнир, соус или десертная разработка с кофе</x:v>
      </x:c>
      <x:c r="I387" s="28" t="str">
        <x:v>The Art &amp; Science of Foodpairing.pdf | Таблица сочетания(1).pdf</x:v>
      </x:c>
      <x:c r="J387" s="28" t="str">
        <x:v>Таблица сочетания(1).pdf: 6, 18; The Art &amp; Science of Foodpairing.pdf: 297</x:v>
      </x:c>
    </x:row>
    <x:row r="388" ht="44" customHeight="1">
      <x:c r="A388" s="28" t="str">
        <x:v>тыква</x:v>
      </x:c>
      <x:c r="B388" s="28" t="n">
        <x:v>2</x:v>
      </x:c>
      <x:c r="C388" s="28" t="str">
        <x:v>имбирь</x:v>
      </x:c>
      <x:c r="D388" s="28" t="n">
        <x:v>9</x:v>
      </x:c>
      <x:c r="E388" s="28" t="str">
        <x:v>Высокая</x:v>
      </x:c>
      <x:c r="F388" s="28" t="n">
        <x:v>2</x:v>
      </x:c>
      <x:c r="G388" s="28" t="str">
        <x:v>сенсорная комплементарность</x:v>
      </x:c>
      <x:c r="H388" s="28" t="str">
        <x:v>пюре, суп, запекание, крем, гарнир, соус или десертная разработка с имбирь</x:v>
      </x:c>
      <x:c r="I388" s="28" t="str">
        <x:v>The Art &amp; Science of Foodpairing.pdf | Таблица сочетания(1).pdf</x:v>
      </x:c>
      <x:c r="J388" s="28" t="str">
        <x:v>Таблица сочетания(1).pdf: 18; The Art &amp; Science of Foodpairing.pdf: 142</x:v>
      </x:c>
    </x:row>
    <x:row r="389" ht="44" customHeight="1">
      <x:c r="A389" s="28" t="str">
        <x:v>тыква</x:v>
      </x:c>
      <x:c r="B389" s="28" t="n">
        <x:v>3</x:v>
      </x:c>
      <x:c r="C389" s="28" t="str">
        <x:v>яблоко</x:v>
      </x:c>
      <x:c r="D389" s="28" t="n">
        <x:v>6</x:v>
      </x:c>
      <x:c r="E389" s="28" t="str">
        <x:v>Гипотеза / практическая</x:v>
      </x:c>
      <x:c r="F389" s="28" t="n">
        <x:v>1</x:v>
      </x:c>
      <x:c r="G389" s="28" t="str">
        <x:v>кислотно-сладкий баланс</x:v>
      </x:c>
      <x:c r="H389" s="28" t="str">
        <x:v>пюре, суп, запекание, крем, гарнир, соус или десертная разработка с яблоко</x:v>
      </x:c>
      <x:c r="I389" s="28" t="str">
        <x:v>Таблица сочетания(1).pdf</x:v>
      </x:c>
      <x:c r="J389" s="28" t="str">
        <x:v>Таблица сочетания(1).pdf: 1, 18</x:v>
      </x:c>
    </x:row>
    <x:row r="390" ht="44" customHeight="1">
      <x:c r="A390" s="28" t="str">
        <x:v>тыква</x:v>
      </x:c>
      <x:c r="B390" s="28" t="n">
        <x:v>4</x:v>
      </x:c>
      <x:c r="C390" s="28" t="str">
        <x:v>банан</x:v>
      </x:c>
      <x:c r="D390" s="28" t="n">
        <x:v>5</x:v>
      </x:c>
      <x:c r="E390" s="28" t="str">
        <x:v>Средняя</x:v>
      </x:c>
      <x:c r="F390" s="28" t="n">
        <x:v>1</x:v>
      </x:c>
      <x:c r="G390" s="28" t="str">
        <x:v>кислотно-сладкий баланс</x:v>
      </x:c>
      <x:c r="H390" s="28" t="str">
        <x:v>пюре, суп, запекание, крем, гарнир, соус или десертная разработка с банан</x:v>
      </x:c>
      <x:c r="I390" s="28" t="str">
        <x:v>The Art &amp; Science of Foodpairing.pdf</x:v>
      </x:c>
      <x:c r="J390" s="28" t="str">
        <x:v>The Art &amp; Science of Foodpairing.pdf: 342</x:v>
      </x:c>
    </x:row>
    <x:row r="391" ht="44" customHeight="1">
      <x:c r="A391" s="28" t="str">
        <x:v>тыква</x:v>
      </x:c>
      <x:c r="B391" s="28" t="n">
        <x:v>5</x:v>
      </x:c>
      <x:c r="C391" s="28" t="str">
        <x:v>водоросли</x:v>
      </x:c>
      <x:c r="D391" s="28" t="n">
        <x:v>5</x:v>
      </x:c>
      <x:c r="E391" s="28" t="str">
        <x:v>Средняя</x:v>
      </x:c>
      <x:c r="F391" s="28" t="n">
        <x:v>1</x:v>
      </x:c>
      <x:c r="G391" s="28" t="str">
        <x:v>сенсорная комплементарность</x:v>
      </x:c>
      <x:c r="H391" s="28" t="str">
        <x:v>пюре, суп, запекание, крем, гарнир, соус или десертная разработка с водоросли</x:v>
      </x:c>
      <x:c r="I391" s="28" t="str">
        <x:v>The Art &amp; Science of Foodpairing.pdf</x:v>
      </x:c>
      <x:c r="J391" s="28" t="str">
        <x:v>The Art &amp; Science of Foodpairing.pdf: 267</x:v>
      </x:c>
    </x:row>
    <x:row r="392" ht="44" customHeight="1">
      <x:c r="A392" s="28" t="str">
        <x:v>тыква</x:v>
      </x:c>
      <x:c r="B392" s="28" t="n">
        <x:v>6</x:v>
      </x:c>
      <x:c r="C392" s="28" t="str">
        <x:v>голубой сыр</x:v>
      </x:c>
      <x:c r="D392" s="28" t="n">
        <x:v>5</x:v>
      </x:c>
      <x:c r="E392" s="28" t="str">
        <x:v>Средняя</x:v>
      </x:c>
      <x:c r="F392" s="28" t="n">
        <x:v>1</x:v>
      </x:c>
      <x:c r="G392" s="28" t="str">
        <x:v>жировая матрица</x:v>
      </x:c>
      <x:c r="H392" s="28" t="str">
        <x:v>пюре, суп, запекание, крем, гарнир, соус или десертная разработка с голубой сыр</x:v>
      </x:c>
      <x:c r="I392" s="28" t="str">
        <x:v>The Art &amp; Science of Foodpairing.pdf</x:v>
      </x:c>
      <x:c r="J392" s="28" t="str">
        <x:v>The Art &amp; Science of Foodpairing.pdf: 164</x:v>
      </x:c>
    </x:row>
    <x:row r="393" ht="44" customHeight="1">
      <x:c r="A393" s="28" t="str">
        <x:v>тыква</x:v>
      </x:c>
      <x:c r="B393" s="28" t="n">
        <x:v>7</x:v>
      </x:c>
      <x:c r="C393" s="28" t="str">
        <x:v>клюква</x:v>
      </x:c>
      <x:c r="D393" s="28" t="n">
        <x:v>5</x:v>
      </x:c>
      <x:c r="E393" s="28" t="str">
        <x:v>Гипотеза / практическая</x:v>
      </x:c>
      <x:c r="F393" s="28" t="n">
        <x:v>1</x:v>
      </x:c>
      <x:c r="G393" s="28" t="str">
        <x:v>сенсорная комплементарность</x:v>
      </x:c>
      <x:c r="H393" s="28" t="str">
        <x:v>пюре, суп, запекание, крем, гарнир, соус или десертная разработка с клюква</x:v>
      </x:c>
      <x:c r="I393" s="28" t="str">
        <x:v>Таблица сочетания(1).pdf</x:v>
      </x:c>
      <x:c r="J393" s="28" t="str">
        <x:v>Таблица сочетания(1).pdf: 6, 18</x:v>
      </x:c>
    </x:row>
    <x:row r="394" ht="44" customHeight="1">
      <x:c r="A394" s="28" t="str">
        <x:v>тыква</x:v>
      </x:c>
      <x:c r="B394" s="28" t="n">
        <x:v>8</x:v>
      </x:c>
      <x:c r="C394" s="28" t="str">
        <x:v>мясо</x:v>
      </x:c>
      <x:c r="D394" s="28" t="n">
        <x:v>5</x:v>
      </x:c>
      <x:c r="E394" s="28" t="str">
        <x:v>Средняя</x:v>
      </x:c>
      <x:c r="F394" s="28" t="n">
        <x:v>1</x:v>
      </x:c>
      <x:c r="G394" s="28" t="str">
        <x:v>общие характерные молекулы; умами и солёный контраст</x:v>
      </x:c>
      <x:c r="H394" s="28" t="str">
        <x:v>пюре, суп, запекание, крем, гарнир, соус или десертная разработка с мясо</x:v>
      </x:c>
      <x:c r="I394" s="28" t="str">
        <x:v>The Art &amp; Science of Foodpairing.pdf</x:v>
      </x:c>
      <x:c r="J394" s="28" t="str">
        <x:v>The Art &amp; Science of Foodpairing.pdf: 186</x:v>
      </x:c>
    </x:row>
    <x:row r="395" ht="44" customHeight="1">
      <x:c r="A395" s="28" t="str">
        <x:v>тыква</x:v>
      </x:c>
      <x:c r="B395" s="28" t="n">
        <x:v>9</x:v>
      </x:c>
      <x:c r="C395" s="28" t="str">
        <x:v>рыба</x:v>
      </x:c>
      <x:c r="D395" s="28" t="n">
        <x:v>5</x:v>
      </x:c>
      <x:c r="E395" s="28" t="str">
        <x:v>Средняя</x:v>
      </x:c>
      <x:c r="F395" s="28" t="n">
        <x:v>1</x:v>
      </x:c>
      <x:c r="G395" s="28" t="str">
        <x:v>умами и солёный контраст</x:v>
      </x:c>
      <x:c r="H395" s="28" t="str">
        <x:v>пюре, суп, запекание, крем, гарнир, соус или десертная разработка с рыба</x:v>
      </x:c>
      <x:c r="I395" s="28" t="str">
        <x:v>The Art &amp; Science of Foodpairing.pdf</x:v>
      </x:c>
      <x:c r="J395" s="28" t="str">
        <x:v>The Art &amp; Science of Foodpairing.pdf: 104</x:v>
      </x:c>
    </x:row>
    <x:row r="396" ht="44" customHeight="1">
      <x:c r="A396" s="28" t="str">
        <x:v>тыква</x:v>
      </x:c>
      <x:c r="B396" s="28" t="n">
        <x:v>10</x:v>
      </x:c>
      <x:c r="C396" s="28" t="str">
        <x:v>соевый соус</x:v>
      </x:c>
      <x:c r="D396" s="28" t="n">
        <x:v>5</x:v>
      </x:c>
      <x:c r="E396" s="28" t="str">
        <x:v>Средняя</x:v>
      </x:c>
      <x:c r="F396" s="28" t="n">
        <x:v>1</x:v>
      </x:c>
      <x:c r="G396" s="28" t="str">
        <x:v>общие характерные молекулы; умами и солёный контраст</x:v>
      </x:c>
      <x:c r="H396" s="28" t="str">
        <x:v>пюре, суп, запекание, крем, гарнир, соус или десертная разработка с соевый соус</x:v>
      </x:c>
      <x:c r="I396" s="28" t="str">
        <x:v>The Art &amp; Science of Foodpairing.pdf</x:v>
      </x:c>
      <x:c r="J396" s="28" t="str">
        <x:v>The Art &amp; Science of Foodpairing.pdf: 300</x:v>
      </x:c>
    </x:row>
    <x:row r="397" ht="44" customHeight="1">
      <x:c r="A397" s="28" t="str">
        <x:v>тыква</x:v>
      </x:c>
      <x:c r="B397" s="28" t="n">
        <x:v>11</x:v>
      </x:c>
      <x:c r="C397" s="28" t="str">
        <x:v>фундук</x:v>
      </x:c>
      <x:c r="D397" s="28" t="n">
        <x:v>5</x:v>
      </x:c>
      <x:c r="E397" s="28" t="str">
        <x:v>Средняя</x:v>
      </x:c>
      <x:c r="F397" s="28" t="n">
        <x:v>1</x:v>
      </x:c>
      <x:c r="G397" s="28" t="str">
        <x:v>общие характерные молекулы; пересечение ароматических семейств</x:v>
      </x:c>
      <x:c r="H397" s="28" t="str">
        <x:v>пюре, суп, запекание, крем, гарнир, соус или десертная разработка с фундук</x:v>
      </x:c>
      <x:c r="I397" s="28" t="str">
        <x:v>The Art &amp; Science of Foodpairing.pdf</x:v>
      </x:c>
      <x:c r="J397" s="28" t="str">
        <x:v>The Art &amp; Science of Foodpairing.pdf: 332</x:v>
      </x:c>
    </x:row>
    <x:row r="398" ht="44" customHeight="1">
      <x:c r="A398" s="28" t="str">
        <x:v>тыква</x:v>
      </x:c>
      <x:c r="B398" s="28" t="n">
        <x:v>12</x:v>
      </x:c>
      <x:c r="C398" s="28" t="str">
        <x:v>чили</x:v>
      </x:c>
      <x:c r="D398" s="28" t="n">
        <x:v>5</x:v>
      </x:c>
      <x:c r="E398" s="28" t="str">
        <x:v>Средняя</x:v>
      </x:c>
      <x:c r="F398" s="28" t="n">
        <x:v>1</x:v>
      </x:c>
      <x:c r="G398" s="28" t="str">
        <x:v>сенсорная комплементарность</x:v>
      </x:c>
      <x:c r="H398" s="28" t="str">
        <x:v>пюре, суп, запекание, крем, гарнир, соус или десертная разработка с чили</x:v>
      </x:c>
      <x:c r="I398" s="28" t="str">
        <x:v>The Art &amp; Science of Foodpairing.pdf</x:v>
      </x:c>
      <x:c r="J398" s="28" t="str">
        <x:v>The Art &amp; Science of Foodpairing.pdf: 94</x:v>
      </x:c>
    </x:row>
    <x:row r="399" ht="44" customHeight="1">
      <x:c r="A399" s="28" t="str">
        <x:v>тыква</x:v>
      </x:c>
      <x:c r="B399" s="28" t="n">
        <x:v>13</x:v>
      </x:c>
      <x:c r="C399" s="28" t="str">
        <x:v>чоризо</x:v>
      </x:c>
      <x:c r="D399" s="28" t="n">
        <x:v>5</x:v>
      </x:c>
      <x:c r="E399" s="28" t="str">
        <x:v>Средняя</x:v>
      </x:c>
      <x:c r="F399" s="28" t="n">
        <x:v>1</x:v>
      </x:c>
      <x:c r="G399" s="28" t="str">
        <x:v>сенсорная комплементарность</x:v>
      </x:c>
      <x:c r="H399" s="28" t="str">
        <x:v>пюре, суп, запекание, крем, гарнир, соус или десертная разработка с чоризо</x:v>
      </x:c>
      <x:c r="I399" s="28" t="str">
        <x:v>The Art &amp; Science of Foodpairing.pdf</x:v>
      </x:c>
      <x:c r="J399" s="28" t="str">
        <x:v>The Art &amp; Science of Foodpairing.pdf: 288</x:v>
      </x:c>
    </x:row>
    <x:row r="400" ht="44" customHeight="1">
      <x:c r="A400" s="28" t="str">
        <x:v>тыква</x:v>
      </x:c>
      <x:c r="B400" s="28" t="n">
        <x:v>14</x:v>
      </x:c>
      <x:c r="C400" s="28" t="str">
        <x:v>ваниль</x:v>
      </x:c>
      <x:c r="D400" s="28" t="n">
        <x:v>4</x:v>
      </x:c>
      <x:c r="E400" s="28" t="str">
        <x:v>Гипотеза / практическая</x:v>
      </x:c>
      <x:c r="F400" s="28" t="n">
        <x:v>1</x:v>
      </x:c>
      <x:c r="G400" s="28" t="str">
        <x:v>сенсорная комплементарность</x:v>
      </x:c>
      <x:c r="H400" s="28" t="str">
        <x:v>пюре, суп, запекание, крем, гарнир, соус или десертная разработка с ваниль</x:v>
      </x:c>
      <x:c r="I400" s="28" t="str">
        <x:v>Таблица сочетания(1).pdf</x:v>
      </x:c>
      <x:c r="J400" s="28" t="str">
        <x:v>Таблица сочетания(1).pdf: 18</x:v>
      </x:c>
    </x:row>
    <x:row r="401" ht="44" customHeight="1">
      <x:c r="A401" s="28" t="str">
        <x:v>тыква</x:v>
      </x:c>
      <x:c r="B401" s="28" t="n">
        <x:v>15</x:v>
      </x:c>
      <x:c r="C401" s="28" t="str">
        <x:v>гвоздика</x:v>
      </x:c>
      <x:c r="D401" s="28" t="n">
        <x:v>4</x:v>
      </x:c>
      <x:c r="E401" s="28" t="str">
        <x:v>Гипотеза / практическая</x:v>
      </x:c>
      <x:c r="F401" s="28" t="n">
        <x:v>1</x:v>
      </x:c>
      <x:c r="G401" s="28" t="str">
        <x:v>сенсорная комплементарность</x:v>
      </x:c>
      <x:c r="H401" s="28" t="str">
        <x:v>пюре, суп, запекание, крем, гарнир, соус или десертная разработка с гвоздика</x:v>
      </x:c>
      <x:c r="I401" s="28" t="str">
        <x:v>Таблица сочетания(1).pdf</x:v>
      </x:c>
      <x:c r="J401" s="28" t="str">
        <x:v>Таблица сочетания(1).pdf: 18</x:v>
      </x:c>
    </x:row>
    <x:row r="402" ht="44" customHeight="1">
      <x:c r="A402" s="28" t="str">
        <x:v>тыква</x:v>
      </x:c>
      <x:c r="B402" s="28" t="n">
        <x:v>16</x:v>
      </x:c>
      <x:c r="C402" s="28" t="str">
        <x:v>гранат</x:v>
      </x:c>
      <x:c r="D402" s="28" t="n">
        <x:v>4</x:v>
      </x:c>
      <x:c r="E402" s="28" t="str">
        <x:v>Гипотеза / практическая</x:v>
      </x:c>
      <x:c r="F402" s="28" t="n">
        <x:v>1</x:v>
      </x:c>
      <x:c r="G402" s="28" t="str">
        <x:v>сенсорная комплементарность</x:v>
      </x:c>
      <x:c r="H402" s="28" t="str">
        <x:v>пюре, суп, запекание, крем, гарнир, соус или десертная разработка с гранат</x:v>
      </x:c>
      <x:c r="I402" s="28" t="str">
        <x:v>Таблица сочетания(1).pdf</x:v>
      </x:c>
      <x:c r="J402" s="28" t="str">
        <x:v>Таблица сочетания(1).pdf: 18</x:v>
      </x:c>
    </x:row>
    <x:row r="403" ht="44" customHeight="1">
      <x:c r="A403" s="28" t="str">
        <x:v>тыква</x:v>
      </x:c>
      <x:c r="B403" s="28" t="n">
        <x:v>17</x:v>
      </x:c>
      <x:c r="C403" s="28" t="str">
        <x:v>душистый перец</x:v>
      </x:c>
      <x:c r="D403" s="28" t="n">
        <x:v>4</x:v>
      </x:c>
      <x:c r="E403" s="28" t="str">
        <x:v>Гипотеза / практическая</x:v>
      </x:c>
      <x:c r="F403" s="28" t="n">
        <x:v>1</x:v>
      </x:c>
      <x:c r="G403" s="28" t="str">
        <x:v>сенсорная комплементарность</x:v>
      </x:c>
      <x:c r="H403" s="28" t="str">
        <x:v>пюре, суп, запекание, крем, гарнир, соус или десертная разработка с душистый перец</x:v>
      </x:c>
      <x:c r="I403" s="28" t="str">
        <x:v>Таблица сочетания(1).pdf</x:v>
      </x:c>
      <x:c r="J403" s="28" t="str">
        <x:v>Таблица сочетания(1).pdf: 18</x:v>
      </x:c>
    </x:row>
    <x:row r="404" ht="44" customHeight="1">
      <x:c r="A404" s="28" t="str">
        <x:v>тыква</x:v>
      </x:c>
      <x:c r="B404" s="28" t="n">
        <x:v>18</x:v>
      </x:c>
      <x:c r="C404" s="28" t="str">
        <x:v>карамель</x:v>
      </x:c>
      <x:c r="D404" s="28" t="n">
        <x:v>4</x:v>
      </x:c>
      <x:c r="E404" s="28" t="str">
        <x:v>Гипотеза / практическая</x:v>
      </x:c>
      <x:c r="F404" s="28" t="n">
        <x:v>1</x:v>
      </x:c>
      <x:c r="G404" s="28" t="str">
        <x:v>общие характерные молекулы; пересечение ароматических семейств</x:v>
      </x:c>
      <x:c r="H404" s="28" t="str">
        <x:v>пюре, суп, запекание, крем, гарнир, соус или десертная разработка с карамель</x:v>
      </x:c>
      <x:c r="I404" s="28" t="str">
        <x:v>Таблица сочетания(1).pdf</x:v>
      </x:c>
      <x:c r="J404" s="28" t="str">
        <x:v>Таблица сочетания(1).pdf: 18</x:v>
      </x:c>
    </x:row>
    <x:row r="405" ht="44" customHeight="1">
      <x:c r="A405" s="28" t="str">
        <x:v>тыква</x:v>
      </x:c>
      <x:c r="B405" s="28" t="n">
        <x:v>19</x:v>
      </x:c>
      <x:c r="C405" s="28" t="str">
        <x:v>кардамон</x:v>
      </x:c>
      <x:c r="D405" s="28" t="n">
        <x:v>4</x:v>
      </x:c>
      <x:c r="E405" s="28" t="str">
        <x:v>Гипотеза / практическая</x:v>
      </x:c>
      <x:c r="F405" s="28" t="n">
        <x:v>1</x:v>
      </x:c>
      <x:c r="G405" s="28" t="str">
        <x:v>сенсорная комплементарность</x:v>
      </x:c>
      <x:c r="H405" s="28" t="str">
        <x:v>пюре, суп, запекание, крем, гарнир, соус или десертная разработка с кардамон</x:v>
      </x:c>
      <x:c r="I405" s="28" t="str">
        <x:v>Таблица сочетания(1).pdf</x:v>
      </x:c>
      <x:c r="J405" s="28" t="str">
        <x:v>Таблица сочетания(1).pdf: 18</x:v>
      </x:c>
    </x:row>
    <x:row r="406" ht="44" customHeight="1">
      <x:c r="A406" s="28" t="str">
        <x:v>тыква</x:v>
      </x:c>
      <x:c r="B406" s="28" t="n">
        <x:v>20</x:v>
      </x:c>
      <x:c r="C406" s="28" t="str">
        <x:v>клубника</x:v>
      </x:c>
      <x:c r="D406" s="28" t="n">
        <x:v>4</x:v>
      </x:c>
      <x:c r="E406" s="28" t="str">
        <x:v>Гипотеза / практическая</x:v>
      </x:c>
      <x:c r="F406" s="28" t="n">
        <x:v>1</x:v>
      </x:c>
      <x:c r="G406" s="28" t="str">
        <x:v>кислотно-сладкий баланс</x:v>
      </x:c>
      <x:c r="H406" s="28" t="str">
        <x:v>пюре, суп, запекание, крем, гарнир, соус или десертная разработка с клубника</x:v>
      </x:c>
      <x:c r="I406" s="28" t="str">
        <x:v>Таблица сочетания(1).pdf</x:v>
      </x:c>
      <x:c r="J406" s="28" t="str">
        <x:v>Таблица сочетания(1).pdf: 18</x:v>
      </x:c>
    </x:row>
    <x:row r="407" ht="44" customHeight="1">
      <x:c r="A407" s="28" t="str">
        <x:v>тыква баттернат</x:v>
      </x:c>
      <x:c r="B407" s="28" t="n">
        <x:v>1</x:v>
      </x:c>
      <x:c r="C407" s="28" t="str">
        <x:v>голубой сыр</x:v>
      </x:c>
      <x:c r="D407" s="28" t="n">
        <x:v>10</x:v>
      </x:c>
      <x:c r="E407" s="28" t="str">
        <x:v>Высокая</x:v>
      </x:c>
      <x:c r="F407" s="28" t="n">
        <x:v>2</x:v>
      </x:c>
      <x:c r="G407" s="28" t="str">
        <x:v>жировая матрица</x:v>
      </x:c>
      <x:c r="H407" s="28" t="str">
        <x:v>пюре, суп, запекание, крем, гарнир, соус или десертная разработка с голубой сыр</x:v>
      </x:c>
      <x:c r="I407" s="28" t="str">
        <x:v>The Art &amp; Science of Foodpairing.pdf | Тезариус вкусов (Ники Сегнит)(1).pdf</x:v>
      </x:c>
      <x:c r="J407" s="28" t="str">
        <x:v>Тезариус вкусов (Ники Сегнит)(1).pdf: 160, 610; The Art &amp; Science of Foodpairing.pdf: 165</x:v>
      </x:c>
    </x:row>
    <x:row r="408" ht="44" customHeight="1">
      <x:c r="A408" s="28" t="str">
        <x:v>тыква баттернат</x:v>
      </x:c>
      <x:c r="B408" s="28" t="n">
        <x:v>2</x:v>
      </x:c>
      <x:c r="C408" s="28" t="str">
        <x:v>розмарин</x:v>
      </x:c>
      <x:c r="D408" s="28" t="n">
        <x:v>7</x:v>
      </x:c>
      <x:c r="E408" s="28" t="str">
        <x:v>Средняя</x:v>
      </x:c>
      <x:c r="F408" s="28" t="n">
        <x:v>1</x:v>
      </x:c>
      <x:c r="G408" s="28" t="str">
        <x:v>сенсорная комплементарность</x:v>
      </x:c>
      <x:c r="H408" s="28" t="str">
        <x:v>пюре, суп, запекание, крем, гарнир, соус или десертная разработка с розмарин</x:v>
      </x:c>
      <x:c r="I408" s="28" t="str">
        <x:v>Тезариус вкусов (Ники Сегнит)(1).pdf</x:v>
      </x:c>
      <x:c r="J408" s="28" t="str">
        <x:v>Тезариус вкусов (Ники Сегнит)(1).pdf: 491, 612, 840</x:v>
      </x:c>
    </x:row>
    <x:row r="409" ht="44" customHeight="1">
      <x:c r="A409" s="28" t="str">
        <x:v>тыква баттернат</x:v>
      </x:c>
      <x:c r="B409" s="28" t="n">
        <x:v>3</x:v>
      </x:c>
      <x:c r="C409" s="28" t="str">
        <x:v>бекон</x:v>
      </x:c>
      <x:c r="D409" s="28" t="n">
        <x:v>6</x:v>
      </x:c>
      <x:c r="E409" s="28" t="str">
        <x:v>Средняя</x:v>
      </x:c>
      <x:c r="F409" s="28" t="n">
        <x:v>1</x:v>
      </x:c>
      <x:c r="G409" s="28" t="str">
        <x:v>умами и солёный контраст</x:v>
      </x:c>
      <x:c r="H409" s="28" t="str">
        <x:v>пюре, суп, запекание, крем, гарнир, соус или десертная разработка с бекон</x:v>
      </x:c>
      <x:c r="I409" s="28" t="str">
        <x:v>Тезариус вкусов (Ники Сегнит)(1).pdf</x:v>
      </x:c>
      <x:c r="J409" s="28" t="str">
        <x:v>Тезариус вкусов (Ники Сегнит)(1).pdf: 449, 609</x:v>
      </x:c>
    </x:row>
    <x:row r="410" ht="44" customHeight="1">
      <x:c r="A410" s="28" t="str">
        <x:v>тыква баттернат</x:v>
      </x:c>
      <x:c r="B410" s="28" t="n">
        <x:v>4</x:v>
      </x:c>
      <x:c r="C410" s="28" t="str">
        <x:v>имбирь</x:v>
      </x:c>
      <x:c r="D410" s="28" t="n">
        <x:v>6</x:v>
      </x:c>
      <x:c r="E410" s="28" t="str">
        <x:v>Средняя</x:v>
      </x:c>
      <x:c r="F410" s="28" t="n">
        <x:v>1</x:v>
      </x:c>
      <x:c r="G410" s="28" t="str">
        <x:v>сенсорная комплементарность</x:v>
      </x:c>
      <x:c r="H410" s="28" t="str">
        <x:v>пюре, суп, запекание, крем, гарнир, соус или десертная разработка с имбирь</x:v>
      </x:c>
      <x:c r="I410" s="28" t="str">
        <x:v>Тезариус вкусов (Ники Сегнит)(1).pdf</x:v>
      </x:c>
      <x:c r="J410" s="28" t="str">
        <x:v>Тезариус вкусов (Ники Сегнит)(1).pdf: 610, 820</x:v>
      </x:c>
    </x:row>
    <x:row r="411" ht="44" customHeight="1">
      <x:c r="A411" s="28" t="str">
        <x:v>тыква баттернат</x:v>
      </x:c>
      <x:c r="B411" s="28" t="n">
        <x:v>5</x:v>
      </x:c>
      <x:c r="C411" s="28" t="str">
        <x:v>каштаны</x:v>
      </x:c>
      <x:c r="D411" s="28" t="n">
        <x:v>6</x:v>
      </x:c>
      <x:c r="E411" s="28" t="str">
        <x:v>Средняя</x:v>
      </x:c>
      <x:c r="F411" s="28" t="n">
        <x:v>1</x:v>
      </x:c>
      <x:c r="G411" s="28" t="str">
        <x:v>общие характерные молекулы; пересечение ароматических семейств</x:v>
      </x:c>
      <x:c r="H411" s="28" t="str">
        <x:v>пюре, суп, запекание, крем, гарнир, соус или десертная разработка с каштаны</x:v>
      </x:c>
      <x:c r="I411" s="28" t="str">
        <x:v>Тезариус вкусов (Ники Сегнит)(1).pdf</x:v>
      </x:c>
      <x:c r="J411" s="28" t="str">
        <x:v>Тезариус вкусов (Ники Сегнит)(1).pdf: 610, 620</x:v>
      </x:c>
    </x:row>
    <x:row r="412" ht="44" customHeight="1">
      <x:c r="A412" s="28" t="str">
        <x:v>тыква баттернат</x:v>
      </x:c>
      <x:c r="B412" s="28" t="n">
        <x:v>6</x:v>
      </x:c>
      <x:c r="C412" s="28" t="str">
        <x:v>козий сыр</x:v>
      </x:c>
      <x:c r="D412" s="28" t="n">
        <x:v>6</x:v>
      </x:c>
      <x:c r="E412" s="28" t="str">
        <x:v>Средняя</x:v>
      </x:c>
      <x:c r="F412" s="28" t="n">
        <x:v>1</x:v>
      </x:c>
      <x:c r="G412" s="28" t="str">
        <x:v>жировая матрица</x:v>
      </x:c>
      <x:c r="H412" s="28" t="str">
        <x:v>пюре, суп, запекание, крем, гарнир, соус или десертная разработка с козий сыр</x:v>
      </x:c>
      <x:c r="I412" s="28" t="str">
        <x:v>Тезариус вкусов (Ники Сегнит)(1).pdf</x:v>
      </x:c>
      <x:c r="J412" s="28" t="str">
        <x:v>Тезариус вкусов (Ники Сегнит)(1).pdf: 143, 610</x:v>
      </x:c>
    </x:row>
    <x:row r="413" ht="44" customHeight="1">
      <x:c r="A413" s="28" t="str">
        <x:v>тыква баттернат</x:v>
      </x:c>
      <x:c r="B413" s="28" t="n">
        <x:v>7</x:v>
      </x:c>
      <x:c r="C413" s="28" t="str">
        <x:v>корица</x:v>
      </x:c>
      <x:c r="D413" s="28" t="n">
        <x:v>6</x:v>
      </x:c>
      <x:c r="E413" s="28" t="str">
        <x:v>Средняя</x:v>
      </x:c>
      <x:c r="F413" s="28" t="n">
        <x:v>1</x:v>
      </x:c>
      <x:c r="G413" s="28" t="str">
        <x:v>пересечение ароматических семейств</x:v>
      </x:c>
      <x:c r="H413" s="28" t="str">
        <x:v>пюре, суп, запекание, крем, гарнир, соус или десертная разработка с корица</x:v>
      </x:c>
      <x:c r="I413" s="28" t="str">
        <x:v>Тезариус вкусов (Ники Сегнит)(1).pdf</x:v>
      </x:c>
      <x:c r="J413" s="28" t="str">
        <x:v>Тезариус вкусов (Ники Сегнит)(1).pdf: 580, 611</x:v>
      </x:c>
    </x:row>
    <x:row r="414" ht="44" customHeight="1">
      <x:c r="A414" s="28" t="str">
        <x:v>тыква баттернат</x:v>
      </x:c>
      <x:c r="B414" s="28" t="n">
        <x:v>8</x:v>
      </x:c>
      <x:c r="C414" s="28" t="str">
        <x:v>лайм</x:v>
      </x:c>
      <x:c r="D414" s="28" t="n">
        <x:v>6</x:v>
      </x:c>
      <x:c r="E414" s="28" t="str">
        <x:v>Средняя</x:v>
      </x:c>
      <x:c r="F414" s="28" t="n">
        <x:v>1</x:v>
      </x:c>
      <x:c r="G414" s="28" t="str">
        <x:v>кислотно-сладкий баланс</x:v>
      </x:c>
      <x:c r="H414" s="28" t="str">
        <x:v>пюре, суп, запекание, крем, гарнир, соус или десертная разработка с лайм</x:v>
      </x:c>
      <x:c r="I414" s="28" t="str">
        <x:v>Тезариус вкусов (Ники Сегнит)(1).pdf</x:v>
      </x:c>
      <x:c r="J414" s="28" t="str">
        <x:v>Тезариус вкусов (Ники Сегнит)(1).pdf: 611, 797</x:v>
      </x:c>
    </x:row>
    <x:row r="415" ht="44" customHeight="1">
      <x:c r="A415" s="28" t="str">
        <x:v>тыква баттернат</x:v>
      </x:c>
      <x:c r="B415" s="28" t="n">
        <x:v>9</x:v>
      </x:c>
      <x:c r="C415" s="28" t="str">
        <x:v>миндаль</x:v>
      </x:c>
      <x:c r="D415" s="28" t="n">
        <x:v>6</x:v>
      </x:c>
      <x:c r="E415" s="28" t="str">
        <x:v>Средняя</x:v>
      </x:c>
      <x:c r="F415" s="28" t="n">
        <x:v>1</x:v>
      </x:c>
      <x:c r="G415" s="28" t="str">
        <x:v>пересечение ароматических семейств</x:v>
      </x:c>
      <x:c r="H415" s="28" t="str">
        <x:v>пюре, суп, запекание, крем, гарнир, соус или десертная разработка с миндаль</x:v>
      </x:c>
      <x:c r="I415" s="28" t="str">
        <x:v>Тезариус вкусов (Ники Сегнит)(1).pdf</x:v>
      </x:c>
      <x:c r="J415" s="28" t="str">
        <x:v>Тезариус вкусов (Ники Сегнит)(1).pdf: 611, 648</x:v>
      </x:c>
    </x:row>
    <x:row r="416" ht="44" customHeight="1">
      <x:c r="A416" s="28" t="str">
        <x:v>тыква баттернат</x:v>
      </x:c>
      <x:c r="B416" s="28" t="n">
        <x:v>10</x:v>
      </x:c>
      <x:c r="C416" s="28" t="str">
        <x:v>моллюски</x:v>
      </x:c>
      <x:c r="D416" s="28" t="n">
        <x:v>6</x:v>
      </x:c>
      <x:c r="E416" s="28" t="str">
        <x:v>Средняя</x:v>
      </x:c>
      <x:c r="F416" s="28" t="n">
        <x:v>1</x:v>
      </x:c>
      <x:c r="G416" s="28" t="str">
        <x:v>умами и солёный контраст</x:v>
      </x:c>
      <x:c r="H416" s="28" t="str">
        <x:v>пюре, суп, запекание, крем, гарнир, соус или десертная разработка с моллюски</x:v>
      </x:c>
      <x:c r="I416" s="28" t="str">
        <x:v>Тезариус вкусов (Ники Сегнит)(1).pdf</x:v>
      </x:c>
      <x:c r="J416" s="28" t="str">
        <x:v>Тезариус вкусов (Ники Сегнит)(1).pdf: 377, 612</x:v>
      </x:c>
    </x:row>
    <x:row r="417" ht="44" customHeight="1">
      <x:c r="A417" s="28" t="str">
        <x:v>тыква баттернат</x:v>
      </x:c>
      <x:c r="B417" s="28" t="n">
        <x:v>11</x:v>
      </x:c>
      <x:c r="C417" s="28" t="str">
        <x:v>мускатный орех</x:v>
      </x:c>
      <x:c r="D417" s="28" t="n">
        <x:v>6</x:v>
      </x:c>
      <x:c r="E417" s="28" t="str">
        <x:v>Средняя</x:v>
      </x:c>
      <x:c r="F417" s="28" t="n">
        <x:v>1</x:v>
      </x:c>
      <x:c r="G417" s="28" t="str">
        <x:v>пересечение ароматических семейств; умами и солёный контраст</x:v>
      </x:c>
      <x:c r="H417" s="28" t="str">
        <x:v>пюре, суп, запекание, крем, гарнир, соус или десертная разработка с мускатный орех</x:v>
      </x:c>
      <x:c r="I417" s="28" t="str">
        <x:v>Тезариус вкусов (Ники Сегнит)(1).pdf</x:v>
      </x:c>
      <x:c r="J417" s="28" t="str">
        <x:v>Тезариус вкусов (Ники Сегнит)(1).pdf: 591, 612</x:v>
      </x:c>
    </x:row>
    <x:row r="418" ht="44" customHeight="1">
      <x:c r="A418" s="28" t="str">
        <x:v>тыква баттернат</x:v>
      </x:c>
      <x:c r="B418" s="28" t="n">
        <x:v>12</x:v>
      </x:c>
      <x:c r="C418" s="28" t="str">
        <x:v>свинина</x:v>
      </x:c>
      <x:c r="D418" s="28" t="n">
        <x:v>6</x:v>
      </x:c>
      <x:c r="E418" s="28" t="str">
        <x:v>Средняя</x:v>
      </x:c>
      <x:c r="F418" s="28" t="n">
        <x:v>1</x:v>
      </x:c>
      <x:c r="G418" s="28" t="str">
        <x:v>умами и солёный контраст</x:v>
      </x:c>
      <x:c r="H418" s="28" t="str">
        <x:v>пюре, суп, запекание, крем, гарнир, соус или десертная разработка с свинина</x:v>
      </x:c>
      <x:c r="I418" s="28" t="str">
        <x:v>Тезариус вкусов (Ники Сегнит)(1).pdf</x:v>
      </x:c>
      <x:c r="J418" s="28" t="str">
        <x:v>Тезариус вкусов (Ники Сегнит)(1).pdf: 88, 613</x:v>
      </x:c>
    </x:row>
    <x:row r="419" ht="44" customHeight="1">
      <x:c r="A419" s="28" t="str">
        <x:v>тыква баттернат</x:v>
      </x:c>
      <x:c r="B419" s="28" t="n">
        <x:v>13</x:v>
      </x:c>
      <x:c r="C419" s="28" t="str">
        <x:v>чили</x:v>
      </x:c>
      <x:c r="D419" s="28" t="n">
        <x:v>6</x:v>
      </x:c>
      <x:c r="E419" s="28" t="str">
        <x:v>Средняя</x:v>
      </x:c>
      <x:c r="F419" s="28" t="n">
        <x:v>1</x:v>
      </x:c>
      <x:c r="G419" s="28" t="str">
        <x:v>сенсорная комплементарность</x:v>
      </x:c>
      <x:c r="H419" s="28" t="str">
        <x:v>пюре, суп, запекание, крем, гарнир, соус или десертная разработка с чили</x:v>
      </x:c>
      <x:c r="I419" s="28" t="str">
        <x:v>Тезариус вкусов (Ники Сегнит)(1).pdf</x:v>
      </x:c>
      <x:c r="J419" s="28" t="str">
        <x:v>Тезариус вкусов (Ники Сегнит)(1).pdf: 560, 614</x:v>
      </x:c>
    </x:row>
    <x:row r="420" ht="44" customHeight="1">
      <x:c r="A420" s="28" t="str">
        <x:v>тыква баттернат</x:v>
      </x:c>
      <x:c r="B420" s="28" t="n">
        <x:v>14</x:v>
      </x:c>
      <x:c r="C420" s="28" t="str">
        <x:v>шалфей</x:v>
      </x:c>
      <x:c r="D420" s="28" t="n">
        <x:v>6</x:v>
      </x:c>
      <x:c r="E420" s="28" t="str">
        <x:v>Средняя</x:v>
      </x:c>
      <x:c r="F420" s="28" t="n">
        <x:v>1</x:v>
      </x:c>
      <x:c r="G420" s="28" t="str">
        <x:v>сенсорная комплементарность</x:v>
      </x:c>
      <x:c r="H420" s="28" t="str">
        <x:v>пюре, суп, запекание, крем, гарнир, соус или десертная разработка с шалфей</x:v>
      </x:c>
      <x:c r="I420" s="28" t="str">
        <x:v>Тезариус вкусов (Ники Сегнит)(1).pdf</x:v>
      </x:c>
      <x:c r="J420" s="28" t="str">
        <x:v>Тезариус вкусов (Ники Сегнит)(1).pdf: 614, 846</x:v>
      </x:c>
    </x:row>
    <x:row r="421" ht="44" customHeight="1">
      <x:c r="A421" s="28" t="str">
        <x:v>тыква баттернат</x:v>
      </x:c>
      <x:c r="B421" s="28" t="n">
        <x:v>15</x:v>
      </x:c>
      <x:c r="C421" s="28" t="str">
        <x:v>яблоко</x:v>
      </x:c>
      <x:c r="D421" s="28" t="n">
        <x:v>6</x:v>
      </x:c>
      <x:c r="E421" s="28" t="str">
        <x:v>Средняя</x:v>
      </x:c>
      <x:c r="F421" s="28" t="n">
        <x:v>1</x:v>
      </x:c>
      <x:c r="G421" s="28" t="str">
        <x:v>кислотно-сладкий баланс</x:v>
      </x:c>
      <x:c r="H421" s="28" t="str">
        <x:v>пюре, суп, запекание, крем, гарнир, соус или десертная разработка с яблоко</x:v>
      </x:c>
      <x:c r="I421" s="28" t="str">
        <x:v>Тезариус вкусов (Ники Сегнит)(1).pdf</x:v>
      </x:c>
      <x:c r="J421" s="28" t="str">
        <x:v>Тезариус вкусов (Ники Сегнит)(1).pdf: 614, 717</x:v>
      </x:c>
    </x:row>
    <x:row r="422" ht="44" customHeight="1">
      <x:c r="A422" s="28" t="str">
        <x:v>тыква баттернат</x:v>
      </x:c>
      <x:c r="B422" s="28" t="n">
        <x:v>16</x:v>
      </x:c>
      <x:c r="C422" s="28" t="str">
        <x:v>груша</x:v>
      </x:c>
      <x:c r="D422" s="28" t="n">
        <x:v>5</x:v>
      </x:c>
      <x:c r="E422" s="28" t="str">
        <x:v>Средняя</x:v>
      </x:c>
      <x:c r="F422" s="28" t="n">
        <x:v>1</x:v>
      </x:c>
      <x:c r="G422" s="28" t="str">
        <x:v>пересечение ароматических семейств; кислотно-сладкий баланс</x:v>
      </x:c>
      <x:c r="H422" s="28" t="str">
        <x:v>пюре, суп, запекание, крем, гарнир, соус или десертная разработка с груша</x:v>
      </x:c>
      <x:c r="I422" s="28" t="str">
        <x:v>The Art &amp; Science of Foodpairing.pdf</x:v>
      </x:c>
      <x:c r="J422" s="28" t="str">
        <x:v>The Art &amp; Science of Foodpairing.pdf: 350</x:v>
      </x:c>
    </x:row>
    <x:row r="423" ht="44" customHeight="1">
      <x:c r="A423" s="28" t="str">
        <x:v>тыква баттернат</x:v>
      </x:c>
      <x:c r="B423" s="28" t="n">
        <x:v>17</x:v>
      </x:c>
      <x:c r="C423" s="28" t="str">
        <x:v>жасмин</x:v>
      </x:c>
      <x:c r="D423" s="28" t="n">
        <x:v>5</x:v>
      </x:c>
      <x:c r="E423" s="28" t="str">
        <x:v>Средняя</x:v>
      </x:c>
      <x:c r="F423" s="28" t="n">
        <x:v>1</x:v>
      </x:c>
      <x:c r="G423" s="28" t="str">
        <x:v>сенсорная комплементарность</x:v>
      </x:c>
      <x:c r="H423" s="28" t="str">
        <x:v>пюре, суп, запекание, крем, гарнир, соус или десертная разработка с жасмин</x:v>
      </x:c>
      <x:c r="I423" s="28" t="str">
        <x:v>The Art &amp; Science of Foodpairing.pdf</x:v>
      </x:c>
      <x:c r="J423" s="28" t="str">
        <x:v>The Art &amp; Science of Foodpairing.pdf: 210</x:v>
      </x:c>
    </x:row>
    <x:row r="424" ht="44" customHeight="1">
      <x:c r="A424" s="28" t="str">
        <x:v>тыква баттернат</x:v>
      </x:c>
      <x:c r="B424" s="28" t="n">
        <x:v>18</x:v>
      </x:c>
      <x:c r="C424" s="28" t="str">
        <x:v>козий сыр и молоко</x:v>
      </x:c>
      <x:c r="D424" s="28" t="n">
        <x:v>5</x:v>
      </x:c>
      <x:c r="E424" s="28" t="str">
        <x:v>Средняя</x:v>
      </x:c>
      <x:c r="F424" s="28" t="n">
        <x:v>1</x:v>
      </x:c>
      <x:c r="G424" s="28" t="str">
        <x:v>жировая матрица</x:v>
      </x:c>
      <x:c r="H424" s="28" t="str">
        <x:v>пюре, суп, запекание, крем, гарнир, соус или десертная разработка с козий сыр и молоко</x:v>
      </x:c>
      <x:c r="I424" s="28" t="str">
        <x:v>The Art &amp; Science of Foodpairing.pdf</x:v>
      </x:c>
      <x:c r="J424" s="28" t="str">
        <x:v>The Art &amp; Science of Foodpairing.pdf: 200</x:v>
      </x:c>
    </x:row>
    <x:row r="425" ht="44" customHeight="1">
      <x:c r="A425" s="28" t="str">
        <x:v>тыква баттернат</x:v>
      </x:c>
      <x:c r="B425" s="28" t="n">
        <x:v>19</x:v>
      </x:c>
      <x:c r="C425" s="28" t="str">
        <x:v>кокос</x:v>
      </x:c>
      <x:c r="D425" s="28" t="n">
        <x:v>5</x:v>
      </x:c>
      <x:c r="E425" s="28" t="str">
        <x:v>Средняя</x:v>
      </x:c>
      <x:c r="F425" s="28" t="n">
        <x:v>1</x:v>
      </x:c>
      <x:c r="G425" s="28" t="str">
        <x:v>общие характерные молекулы; пересечение ароматических семейств</x:v>
      </x:c>
      <x:c r="H425" s="28" t="str">
        <x:v>пюре, суп, запекание, крем, гарнир, соус или десертная разработка с кокос</x:v>
      </x:c>
      <x:c r="I425" s="28" t="str">
        <x:v>The Art &amp; Science of Foodpairing.pdf</x:v>
      </x:c>
      <x:c r="J425" s="28" t="str">
        <x:v>The Art &amp; Science of Foodpairing.pdf: 135</x:v>
      </x:c>
    </x:row>
    <x:row r="426" ht="44" customHeight="1">
      <x:c r="A426" s="28" t="str">
        <x:v>тыква баттернат</x:v>
      </x:c>
      <x:c r="B426" s="28" t="n">
        <x:v>20</x:v>
      </x:c>
      <x:c r="C426" s="28" t="str">
        <x:v>корица и кассия</x:v>
      </x:c>
      <x:c r="D426" s="28" t="n">
        <x:v>5</x:v>
      </x:c>
      <x:c r="E426" s="28" t="str">
        <x:v>Средняя</x:v>
      </x:c>
      <x:c r="F426" s="28" t="n">
        <x:v>1</x:v>
      </x:c>
      <x:c r="G426" s="28" t="str">
        <x:v>пересечение ароматических семейств</x:v>
      </x:c>
      <x:c r="H426" s="28" t="str">
        <x:v>пюре, суп, запекание, крем, гарнир, соус или десертная разработка с корица и кассия</x:v>
      </x:c>
      <x:c r="I426" s="28" t="str">
        <x:v>The Art &amp; Science of Foodpairing.pdf</x:v>
      </x:c>
      <x:c r="J426" s="28" t="str">
        <x:v>The Art &amp; Science of Foodpairing.pdf: 130</x:v>
      </x:c>
    </x:row>
    <x:row r="427" ht="44" customHeight="1">
      <x:c r="A427" s="28" t="str">
        <x:v>пастернак</x:v>
      </x:c>
      <x:c r="B427" s="28" t="n">
        <x:v>1</x:v>
      </x:c>
      <x:c r="C427" s="28" t="str">
        <x:v>анис</x:v>
      </x:c>
      <x:c r="D427" s="28" t="n">
        <x:v>6</x:v>
      </x:c>
      <x:c r="E427" s="28" t="str">
        <x:v>Средняя</x:v>
      </x:c>
      <x:c r="F427" s="28" t="n">
        <x:v>1</x:v>
      </x:c>
      <x:c r="G427" s="28" t="str">
        <x:v>сенсорная комплементарность</x:v>
      </x:c>
      <x:c r="H427" s="28" t="str">
        <x:v>пюре, суп, запекание, крем, гарнир, соус или десертная разработка с анис</x:v>
      </x:c>
      <x:c r="I427" s="28" t="str">
        <x:v>Тезариус вкусов (Ники Сегнит)(1).pdf</x:v>
      </x:c>
      <x:c r="J427" s="28" t="str">
        <x:v>Тезариус вкусов (Ники Сегнит)(1).pdf: 486, 594</x:v>
      </x:c>
    </x:row>
    <x:row r="428" ht="44" customHeight="1">
      <x:c r="A428" s="28" t="str">
        <x:v>пастернак</x:v>
      </x:c>
      <x:c r="B428" s="28" t="n">
        <x:v>2</x:v>
      </x:c>
      <x:c r="C428" s="28" t="str">
        <x:v>банан</x:v>
      </x:c>
      <x:c r="D428" s="28" t="n">
        <x:v>6</x:v>
      </x:c>
      <x:c r="E428" s="28" t="str">
        <x:v>Средняя</x:v>
      </x:c>
      <x:c r="F428" s="28" t="n">
        <x:v>1</x:v>
      </x:c>
      <x:c r="G428" s="28" t="str">
        <x:v>кислотно-сладкий баланс</x:v>
      </x:c>
      <x:c r="H428" s="28" t="str">
        <x:v>пюре, суп, запекание, крем, гарнир, соус или десертная разработка с банан</x:v>
      </x:c>
      <x:c r="I428" s="28" t="str">
        <x:v>Тезариус вкусов (Ники Сегнит)(1).pdf</x:v>
      </x:c>
      <x:c r="J428" s="28" t="str">
        <x:v>Тезариус вкусов (Ники Сегнит)(1).pdf: 594, 734</x:v>
      </x:c>
    </x:row>
    <x:row r="429" ht="44" customHeight="1">
      <x:c r="A429" s="28" t="str">
        <x:v>пастернак</x:v>
      </x:c>
      <x:c r="B429" s="28" t="n">
        <x:v>3</x:v>
      </x:c>
      <x:c r="C429" s="28" t="str">
        <x:v>бекон</x:v>
      </x:c>
      <x:c r="D429" s="28" t="n">
        <x:v>6</x:v>
      </x:c>
      <x:c r="E429" s="28" t="str">
        <x:v>Средняя</x:v>
      </x:c>
      <x:c r="F429" s="28" t="n">
        <x:v>1</x:v>
      </x:c>
      <x:c r="G429" s="28" t="str">
        <x:v>умами и солёный контраст</x:v>
      </x:c>
      <x:c r="H429" s="28" t="str">
        <x:v>пюре, суп, запекание, крем, гарнир, соус или десертная разработка с бекон</x:v>
      </x:c>
      <x:c r="I429" s="28" t="str">
        <x:v>Тезариус вкусов (Ники Сегнит)(1).pdf</x:v>
      </x:c>
      <x:c r="J429" s="28" t="str">
        <x:v>Тезариус вкусов (Ники Сегнит)(1).pdf: 446, 595</x:v>
      </x:c>
    </x:row>
    <x:row r="430" ht="44" customHeight="1">
      <x:c r="A430" s="28" t="str">
        <x:v>пастернак</x:v>
      </x:c>
      <x:c r="B430" s="28" t="n">
        <x:v>4</x:v>
      </x:c>
      <x:c r="C430" s="28" t="str">
        <x:v>белая рыба</x:v>
      </x:c>
      <x:c r="D430" s="28" t="n">
        <x:v>6</x:v>
      </x:c>
      <x:c r="E430" s="28" t="str">
        <x:v>Средняя</x:v>
      </x:c>
      <x:c r="F430" s="28" t="n">
        <x:v>1</x:v>
      </x:c>
      <x:c r="G430" s="28" t="str">
        <x:v>умами и солёный контраст</x:v>
      </x:c>
      <x:c r="H430" s="28" t="str">
        <x:v>пюре, суп, запекание, крем, гарнир, соус или десертная разработка с белая рыба</x:v>
      </x:c>
      <x:c r="I430" s="28" t="str">
        <x:v>Тезариус вкусов (Ники Сегнит)(1).pdf</x:v>
      </x:c>
      <x:c r="J430" s="28" t="str">
        <x:v>Тезариус вкусов (Ники Сегнит)(1).pdf: 388, 595</x:v>
      </x:c>
    </x:row>
    <x:row r="431" ht="44" customHeight="1">
      <x:c r="A431" s="28" t="str">
        <x:v>пастернак</x:v>
      </x:c>
      <x:c r="B431" s="28" t="n">
        <x:v>5</x:v>
      </x:c>
      <x:c r="C431" s="28" t="str">
        <x:v>водяной кресс</x:v>
      </x:c>
      <x:c r="D431" s="28" t="n">
        <x:v>6</x:v>
      </x:c>
      <x:c r="E431" s="28" t="str">
        <x:v>Средняя</x:v>
      </x:c>
      <x:c r="F431" s="28" t="n">
        <x:v>1</x:v>
      </x:c>
      <x:c r="G431" s="28" t="str">
        <x:v>сенсорная комплементарность</x:v>
      </x:c>
      <x:c r="H431" s="28" t="str">
        <x:v>пюре, суп, запекание, крем, гарнир, соус или десертная разработка с водяной кресс</x:v>
      </x:c>
      <x:c r="I431" s="28" t="str">
        <x:v>Тезариус вкусов (Ники Сегнит)(1).pdf</x:v>
      </x:c>
      <x:c r="J431" s="28" t="str">
        <x:v>Тезариус вкусов (Ники Сегнит)(1).pdf: 262, 595</x:v>
      </x:c>
    </x:row>
    <x:row r="432" ht="44" customHeight="1">
      <x:c r="A432" s="28" t="str">
        <x:v>пастернак</x:v>
      </x:c>
      <x:c r="B432" s="28" t="n">
        <x:v>6</x:v>
      </x:c>
      <x:c r="C432" s="28" t="str">
        <x:v>говядина</x:v>
      </x:c>
      <x:c r="D432" s="28" t="n">
        <x:v>6</x:v>
      </x:c>
      <x:c r="E432" s="28" t="str">
        <x:v>Средняя</x:v>
      </x:c>
      <x:c r="F432" s="28" t="n">
        <x:v>1</x:v>
      </x:c>
      <x:c r="G432" s="28" t="str">
        <x:v>умами и солёный контраст</x:v>
      </x:c>
      <x:c r="H432" s="28" t="str">
        <x:v>пюре, суп, запекание, крем, гарнир, соус или десертная разработка с говядина</x:v>
      </x:c>
      <x:c r="I432" s="28" t="str">
        <x:v>Тезариус вкусов (Ники Сегнит)(1).pdf</x:v>
      </x:c>
      <x:c r="J432" s="28" t="str">
        <x:v>Тезариус вкусов (Ники Сегнит)(1).pdf: 115, 596</x:v>
      </x:c>
    </x:row>
    <x:row r="433" ht="44" customHeight="1">
      <x:c r="A433" s="28" t="str">
        <x:v>пастернак</x:v>
      </x:c>
      <x:c r="B433" s="28" t="n">
        <x:v>7</x:v>
      </x:c>
      <x:c r="C433" s="28" t="str">
        <x:v>грецкий орех</x:v>
      </x:c>
      <x:c r="D433" s="28" t="n">
        <x:v>6</x:v>
      </x:c>
      <x:c r="E433" s="28" t="str">
        <x:v>Средняя</x:v>
      </x:c>
      <x:c r="F433" s="28" t="n">
        <x:v>1</x:v>
      </x:c>
      <x:c r="G433" s="28" t="str">
        <x:v>пересечение ароматических семейств</x:v>
      </x:c>
      <x:c r="H433" s="28" t="str">
        <x:v>пюре, суп, запекание, крем, гарнир, соус или десертная разработка с грецкий орех</x:v>
      </x:c>
      <x:c r="I433" s="28" t="str">
        <x:v>Тезариус вкусов (Ники Сегнит)(1).pdf</x:v>
      </x:c>
      <x:c r="J433" s="28" t="str">
        <x:v>Тезариус вкусов (Ники Сегнит)(1).pdf: 597, 627</x:v>
      </x:c>
    </x:row>
    <x:row r="434" ht="44" customHeight="1">
      <x:c r="A434" s="28" t="str">
        <x:v>пастернак</x:v>
      </x:c>
      <x:c r="B434" s="28" t="n">
        <x:v>8</x:v>
      </x:c>
      <x:c r="C434" s="28" t="str">
        <x:v>маниок</x:v>
      </x:c>
      <x:c r="D434" s="28" t="n">
        <x:v>6</x:v>
      </x:c>
      <x:c r="E434" s="28" t="str">
        <x:v>Высокая</x:v>
      </x:c>
      <x:c r="F434" s="28" t="n">
        <x:v>1</x:v>
      </x:c>
      <x:c r="G434" s="28" t="str">
        <x:v>сенсорная комплементарность</x:v>
      </x:c>
      <x:c r="H434" s="28" t="str">
        <x:v>пюре, суп, запекание, крем, гарнир, соус или десертная разработка с маниок</x:v>
      </x:c>
      <x:c r="I434" s="28" t="str">
        <x:v>The Art &amp; Science of Foodpairing.pdf</x:v>
      </x:c>
      <x:c r="J434" s="28" t="str">
        <x:v>The Art &amp; Science of Foodpairing.pdf: 247</x:v>
      </x:c>
    </x:row>
    <x:row r="435" ht="44" customHeight="1">
      <x:c r="A435" s="28" t="str">
        <x:v>пастернак</x:v>
      </x:c>
      <x:c r="B435" s="28" t="n">
        <x:v>9</x:v>
      </x:c>
      <x:c r="C435" s="28" t="str">
        <x:v>моллюски</x:v>
      </x:c>
      <x:c r="D435" s="28" t="n">
        <x:v>6</x:v>
      </x:c>
      <x:c r="E435" s="28" t="str">
        <x:v>Средняя</x:v>
      </x:c>
      <x:c r="F435" s="28" t="n">
        <x:v>1</x:v>
      </x:c>
      <x:c r="G435" s="28" t="str">
        <x:v>умами и солёный контраст</x:v>
      </x:c>
      <x:c r="H435" s="28" t="str">
        <x:v>пюре, суп, запекание, крем, гарнир, соус или десертная разработка с моллюски</x:v>
      </x:c>
      <x:c r="I435" s="28" t="str">
        <x:v>Тезариус вкусов (Ники Сегнит)(1).pdf</x:v>
      </x:c>
      <x:c r="J435" s="28" t="str">
        <x:v>Тезариус вкусов (Ники Сегнит)(1).pdf: 374, 598</x:v>
      </x:c>
    </x:row>
    <x:row r="436" ht="44" customHeight="1">
      <x:c r="A436" s="28" t="str">
        <x:v>пастернак</x:v>
      </x:c>
      <x:c r="B436" s="28" t="n">
        <x:v>10</x:v>
      </x:c>
      <x:c r="C436" s="28" t="str">
        <x:v>мускатный орех</x:v>
      </x:c>
      <x:c r="D436" s="28" t="n">
        <x:v>6</x:v>
      </x:c>
      <x:c r="E436" s="28" t="str">
        <x:v>Средняя</x:v>
      </x:c>
      <x:c r="F436" s="28" t="n">
        <x:v>1</x:v>
      </x:c>
      <x:c r="G436" s="28" t="str">
        <x:v>общие характерные молекулы; пересечение ароматических семейств; умами и солёный контраст</x:v>
      </x:c>
      <x:c r="H436" s="28" t="str">
        <x:v>пюре, суп, запекание, крем, гарнир, соус или десертная разработка с мускатный орех</x:v>
      </x:c>
      <x:c r="I436" s="28" t="str">
        <x:v>Тезариус вкусов (Ники Сегнит)(1).pdf</x:v>
      </x:c>
      <x:c r="J436" s="28" t="str">
        <x:v>Тезариус вкусов (Ники Сегнит)(1).pdf: 589, 598</x:v>
      </x:c>
    </x:row>
    <x:row r="437" ht="44" customHeight="1">
      <x:c r="A437" s="28" t="str">
        <x:v>пастернак</x:v>
      </x:c>
      <x:c r="B437" s="28" t="n">
        <x:v>11</x:v>
      </x:c>
      <x:c r="C437" s="28" t="str">
        <x:v>свинина</x:v>
      </x:c>
      <x:c r="D437" s="28" t="n">
        <x:v>6</x:v>
      </x:c>
      <x:c r="E437" s="28" t="str">
        <x:v>Средняя</x:v>
      </x:c>
      <x:c r="F437" s="28" t="n">
        <x:v>1</x:v>
      </x:c>
      <x:c r="G437" s="28" t="str">
        <x:v>умами и солёный контраст</x:v>
      </x:c>
      <x:c r="H437" s="28" t="str">
        <x:v>пюре, суп, запекание, крем, гарнир, соус или десертная разработка с свинина</x:v>
      </x:c>
      <x:c r="I437" s="28" t="str">
        <x:v>Тезариус вкусов (Ники Сегнит)(1).pdf</x:v>
      </x:c>
      <x:c r="J437" s="28" t="str">
        <x:v>Тезариус вкусов (Ники Сегнит)(1).pdf: 86, 598</x:v>
      </x:c>
    </x:row>
    <x:row r="438" ht="44" customHeight="1">
      <x:c r="A438" s="28" t="str">
        <x:v>пастернак</x:v>
      </x:c>
      <x:c r="B438" s="28" t="n">
        <x:v>12</x:v>
      </x:c>
      <x:c r="C438" s="28" t="str">
        <x:v>твердый сыр</x:v>
      </x:c>
      <x:c r="D438" s="28" t="n">
        <x:v>6</x:v>
      </x:c>
      <x:c r="E438" s="28" t="str">
        <x:v>Средняя</x:v>
      </x:c>
      <x:c r="F438" s="28" t="n">
        <x:v>1</x:v>
      </x:c>
      <x:c r="G438" s="28" t="str">
        <x:v>жировая матрица</x:v>
      </x:c>
      <x:c r="H438" s="28" t="str">
        <x:v>пюре, суп, запекание, крем, гарнир, соус или десертная разработка с твердый сыр</x:v>
      </x:c>
      <x:c r="I438" s="28" t="str">
        <x:v>Тезариус вкусов (Ники Сегнит)(1).pdf</x:v>
      </x:c>
      <x:c r="J438" s="28" t="str">
        <x:v>Тезариус вкусов (Ники Сегнит)(1).pdf: 175, 599</x:v>
      </x:c>
    </x:row>
    <x:row r="439" ht="44" customHeight="1">
      <x:c r="A439" s="28" t="str">
        <x:v>пастернак</x:v>
      </x:c>
      <x:c r="B439" s="28" t="n">
        <x:v>13</x:v>
      </x:c>
      <x:c r="C439" s="28" t="str">
        <x:v>цыпленок</x:v>
      </x:c>
      <x:c r="D439" s="28" t="n">
        <x:v>6</x:v>
      </x:c>
      <x:c r="E439" s="28" t="str">
        <x:v>Средняя</x:v>
      </x:c>
      <x:c r="F439" s="28" t="n">
        <x:v>1</x:v>
      </x:c>
      <x:c r="G439" s="28" t="str">
        <x:v>сенсорная комплементарность</x:v>
      </x:c>
      <x:c r="H439" s="28" t="str">
        <x:v>пюре, суп, запекание, крем, гарнир, соус или десертная разработка с цыпленок</x:v>
      </x:c>
      <x:c r="I439" s="28" t="str">
        <x:v>Тезариус вкусов (Ники Сегнит)(1).pdf</x:v>
      </x:c>
      <x:c r="J439" s="28" t="str">
        <x:v>Тезариус вкусов (Ники Сегнит)(1).pdf: 70, 599</x:v>
      </x:c>
    </x:row>
    <x:row r="440" ht="44" customHeight="1">
      <x:c r="A440" s="28" t="str">
        <x:v>пастернак</x:v>
      </x:c>
      <x:c r="B440" s="28" t="n">
        <x:v>14</x:v>
      </x:c>
      <x:c r="C440" s="28" t="str">
        <x:v>чёрный перец</x:v>
      </x:c>
      <x:c r="D440" s="28" t="n">
        <x:v>6</x:v>
      </x:c>
      <x:c r="E440" s="28" t="str">
        <x:v>Средняя</x:v>
      </x:c>
      <x:c r="F440" s="28" t="n">
        <x:v>1</x:v>
      </x:c>
      <x:c r="G440" s="28" t="str">
        <x:v>пересечение ароматических семейств</x:v>
      </x:c>
      <x:c r="H440" s="28" t="str">
        <x:v>пюре, суп, запекание, крем, гарнир, соус или десертная разработка с чёрный перец</x:v>
      </x:c>
      <x:c r="I440" s="28" t="str">
        <x:v>The Art &amp; Science of Foodpairing.pdf</x:v>
      </x:c>
      <x:c r="J440" s="28" t="str">
        <x:v>The Art &amp; Science of Foodpairing.pdf: 273, 274</x:v>
      </x:c>
    </x:row>
    <x:row r="441" ht="44" customHeight="1">
      <x:c r="A441" s="28" t="str">
        <x:v>пастернак</x:v>
      </x:c>
      <x:c r="B441" s="28" t="n">
        <x:v>15</x:v>
      </x:c>
      <x:c r="C441" s="28" t="str">
        <x:v>кунжут, халва и тахини</x:v>
      </x:c>
      <x:c r="D441" s="28" t="n">
        <x:v>5</x:v>
      </x:c>
      <x:c r="E441" s="28" t="str">
        <x:v>Средняя</x:v>
      </x:c>
      <x:c r="F441" s="28" t="n">
        <x:v>1</x:v>
      </x:c>
      <x:c r="G441" s="28" t="str">
        <x:v>общие характерные молекулы</x:v>
      </x:c>
      <x:c r="H441" s="28" t="str">
        <x:v>пюре, суп, запекание, крем, гарнир, соус или десертная разработка с кунжут, халва и тахини</x:v>
      </x:c>
      <x:c r="I441" s="28" t="str">
        <x:v>The Art &amp; Science of Foodpairing.pdf</x:v>
      </x:c>
      <x:c r="J441" s="28" t="str">
        <x:v>The Art &amp; Science of Foodpairing.pdf: 308</x:v>
      </x:c>
    </x:row>
    <x:row r="442" ht="44" customHeight="1">
      <x:c r="A442" s="28" t="str">
        <x:v>пастернак</x:v>
      </x:c>
      <x:c r="B442" s="28" t="n">
        <x:v>16</x:v>
      </x:c>
      <x:c r="C442" s="28" t="str">
        <x:v>пармезан</x:v>
      </x:c>
      <x:c r="D442" s="28" t="n">
        <x:v>5</x:v>
      </x:c>
      <x:c r="E442" s="28" t="str">
        <x:v>Средняя</x:v>
      </x:c>
      <x:c r="F442" s="28" t="n">
        <x:v>1</x:v>
      </x:c>
      <x:c r="G442" s="28" t="str">
        <x:v>сенсорная комплементарность</x:v>
      </x:c>
      <x:c r="H442" s="28" t="str">
        <x:v>пюре, суп, запекание, крем, гарнир, соус или десертная разработка с пармезан</x:v>
      </x:c>
      <x:c r="I442" s="28" t="str">
        <x:v>The Art &amp; Science of Foodpairing.pdf</x:v>
      </x:c>
      <x:c r="J442" s="28" t="str">
        <x:v>The Art &amp; Science of Foodpairing.pdf: 282</x:v>
      </x:c>
    </x:row>
    <x:row r="443" ht="44" customHeight="1">
      <x:c r="A443" s="28" t="str">
        <x:v>пастернак</x:v>
      </x:c>
      <x:c r="B443" s="28" t="n">
        <x:v>17</x:v>
      </x:c>
      <x:c r="C443" s="28" t="str">
        <x:v>хамон иберико</x:v>
      </x:c>
      <x:c r="D443" s="28" t="n">
        <x:v>5</x:v>
      </x:c>
      <x:c r="E443" s="28" t="str">
        <x:v>Средняя</x:v>
      </x:c>
      <x:c r="F443" s="28" t="n">
        <x:v>1</x:v>
      </x:c>
      <x:c r="G443" s="28" t="str">
        <x:v>умами и солёный контраст</x:v>
      </x:c>
      <x:c r="H443" s="28" t="str">
        <x:v>пюре, суп, запекание, крем, гарнир, соус или десертная разработка с хамон иберико</x:v>
      </x:c>
      <x:c r="I443" s="28" t="str">
        <x:v>The Art &amp; Science of Foodpairing.pdf</x:v>
      </x:c>
      <x:c r="J443" s="28" t="str">
        <x:v>The Art &amp; Science of Foodpairing.pdf: 278</x:v>
      </x:c>
    </x:row>
    <x:row r="444" ht="44" customHeight="1">
      <x:c r="A444" s="28" t="str">
        <x:v>огурец</x:v>
      </x:c>
      <x:c r="B444" s="28" t="n">
        <x:v>1</x:v>
      </x:c>
      <x:c r="C444" s="28" t="str">
        <x:v>авокадо</x:v>
      </x:c>
      <x:c r="D444" s="28" t="n">
        <x:v>10</x:v>
      </x:c>
      <x:c r="E444" s="28" t="str">
        <x:v>Высокая</x:v>
      </x:c>
      <x:c r="F444" s="28" t="n">
        <x:v>2</x:v>
      </x:c>
      <x:c r="G444" s="28" t="str">
        <x:v>сенсорная комплементарность</x:v>
      </x:c>
      <x:c r="H444" s="28" t="str">
        <x:v>сок, кордиал, гаспачо, салат, соус, маринад или коктейльный компонент с авокадо</x:v>
      </x:c>
      <x:c r="I444" s="28" t="str">
        <x:v>Таблица сочетания(1).pdf | Тезариус вкусов (Ники Сегнит)(1).pdf</x:v>
      </x:c>
      <x:c r="J444" s="28" t="str">
        <x:v>Таблица сочетания(1).pdf: 2; Тезариус вкусов (Ники Сегнит)(1).pdf: 491, 531</x:v>
      </x:c>
    </x:row>
    <x:row r="445" ht="44" customHeight="1">
      <x:c r="A445" s="28" t="str">
        <x:v>огурец</x:v>
      </x:c>
      <x:c r="B445" s="28" t="n">
        <x:v>2</x:v>
      </x:c>
      <x:c r="C445" s="28" t="str">
        <x:v>арбуз</x:v>
      </x:c>
      <x:c r="D445" s="28" t="n">
        <x:v>10</x:v>
      </x:c>
      <x:c r="E445" s="28" t="str">
        <x:v>Высокая</x:v>
      </x:c>
      <x:c r="F445" s="28" t="n">
        <x:v>2</x:v>
      </x:c>
      <x:c r="G445" s="28" t="str">
        <x:v>сенсорная комплементарность</x:v>
      </x:c>
      <x:c r="H445" s="28" t="str">
        <x:v>сок, кордиал, гаспачо, салат, соус, маринад или коктейльный компонент с арбуз</x:v>
      </x:c>
      <x:c r="I445" s="28" t="str">
        <x:v>Таблица сочетания(1).pdf | Тезариус вкусов (Ники Сегнит)(1).pdf</x:v>
      </x:c>
      <x:c r="J445" s="28" t="str">
        <x:v>Таблица сочетания(1).pdf: 22; Тезариус вкусов (Ники Сегнит)(1).pdf: 491, 660</x:v>
      </x:c>
    </x:row>
    <x:row r="446" ht="44" customHeight="1">
      <x:c r="A446" s="28" t="str">
        <x:v>огурец</x:v>
      </x:c>
      <x:c r="B446" s="28" t="n">
        <x:v>3</x:v>
      </x:c>
      <x:c r="C446" s="28" t="str">
        <x:v>клубника</x:v>
      </x:c>
      <x:c r="D446" s="28" t="n">
        <x:v>10</x:v>
      </x:c>
      <x:c r="E446" s="28" t="str">
        <x:v>Высокая</x:v>
      </x:c>
      <x:c r="F446" s="28" t="n">
        <x:v>2</x:v>
      </x:c>
      <x:c r="G446" s="28" t="str">
        <x:v>пересечение ароматических семейств; кислотно-сладкий баланс</x:v>
      </x:c>
      <x:c r="H446" s="28" t="str">
        <x:v>сок, кордиал, гаспачо, салат, соус, маринад или коктейльный компонент с клубника</x:v>
      </x:c>
      <x:c r="I446" s="28" t="str">
        <x:v>Таблица сочетания(1).pdf | Тезариус вкусов (Ники Сегнит)(1).pdf</x:v>
      </x:c>
      <x:c r="J446" s="28" t="str">
        <x:v>Таблица сочетания(1).pdf: 6; Тезариус вкусов (Ники Сегнит)(1).pdf: 492, 697</x:v>
      </x:c>
    </x:row>
    <x:row r="447" ht="44" customHeight="1">
      <x:c r="A447" s="28" t="str">
        <x:v>огурец</x:v>
      </x:c>
      <x:c r="B447" s="28" t="n">
        <x:v>4</x:v>
      </x:c>
      <x:c r="C447" s="28" t="str">
        <x:v>мята</x:v>
      </x:c>
      <x:c r="D447" s="28" t="n">
        <x:v>10</x:v>
      </x:c>
      <x:c r="E447" s="28" t="str">
        <x:v>Высокая</x:v>
      </x:c>
      <x:c r="F447" s="28" t="n">
        <x:v>2</x:v>
      </x:c>
      <x:c r="G447" s="28" t="str">
        <x:v>пересечение ароматических семейств</x:v>
      </x:c>
      <x:c r="H447" s="28" t="str">
        <x:v>сок, кордиал, гаспачо, салат, соус, маринад или коктейльный компонент с мята</x:v>
      </x:c>
      <x:c r="I447" s="28" t="str">
        <x:v>Таблица сочетания(1).pdf | Тезариус вкусов (Ники Сегнит)(1).pdf</x:v>
      </x:c>
      <x:c r="J447" s="28" t="str">
        <x:v>Таблица сочетания(1).pdf: 6, 13; Тезариус вкусов (Ники Сегнит)(1).pdf: 495, 869</x:v>
      </x:c>
    </x:row>
    <x:row r="448" ht="44" customHeight="1">
      <x:c r="A448" s="28" t="str">
        <x:v>огурец</x:v>
      </x:c>
      <x:c r="B448" s="28" t="n">
        <x:v>5</x:v>
      </x:c>
      <x:c r="C448" s="28" t="str">
        <x:v>ревень</x:v>
      </x:c>
      <x:c r="D448" s="28" t="n">
        <x:v>10</x:v>
      </x:c>
      <x:c r="E448" s="28" t="str">
        <x:v>Высокая</x:v>
      </x:c>
      <x:c r="F448" s="28" t="n">
        <x:v>2</x:v>
      </x:c>
      <x:c r="G448" s="28" t="str">
        <x:v>кислотно-сладкий баланс</x:v>
      </x:c>
      <x:c r="H448" s="28" t="str">
        <x:v>сок, кордиал, гаспачо, салат, соус, маринад или коктейльный компонент с ревень</x:v>
      </x:c>
      <x:c r="I448" s="28" t="str">
        <x:v>Таблица сочетания(1).pdf | Тезариус вкусов (Ники Сегнит)(1).pdf</x:v>
      </x:c>
      <x:c r="J448" s="28" t="str">
        <x:v>Таблица сочетания(1).pdf: 6, 19; Тезариус вкусов (Ники Сегнит)(1).pdf: 495, 676</x:v>
      </x:c>
    </x:row>
    <x:row r="449" ht="44" customHeight="1">
      <x:c r="A449" s="28" t="str">
        <x:v>огурец</x:v>
      </x:c>
      <x:c r="B449" s="28" t="n">
        <x:v>6</x:v>
      </x:c>
      <x:c r="C449" s="28" t="str">
        <x:v>роза</x:v>
      </x:c>
      <x:c r="D449" s="28" t="n">
        <x:v>10</x:v>
      </x:c>
      <x:c r="E449" s="28" t="str">
        <x:v>Высокая</x:v>
      </x:c>
      <x:c r="F449" s="28" t="n">
        <x:v>2</x:v>
      </x:c>
      <x:c r="G449" s="28" t="str">
        <x:v>пересечение ароматических семейств</x:v>
      </x:c>
      <x:c r="H449" s="28" t="str">
        <x:v>сок, кордиал, гаспачо, салат, соус, маринад или коктейльный компонент с роза</x:v>
      </x:c>
      <x:c r="I449" s="28" t="str">
        <x:v>Таблица сочетания(1).pdf | Тезариус вкусов (Ники Сегнит)(1).pdf</x:v>
      </x:c>
      <x:c r="J449" s="28" t="str">
        <x:v>Таблица сочетания(1).pdf: 19; Тезариус вкусов (Ники Сегнит)(1).pdf: 495, 900</x:v>
      </x:c>
    </x:row>
    <x:row r="450" ht="44" customHeight="1">
      <x:c r="A450" s="28" t="str">
        <x:v>огурец</x:v>
      </x:c>
      <x:c r="B450" s="28" t="n">
        <x:v>7</x:v>
      </x:c>
      <x:c r="C450" s="28" t="str">
        <x:v>укроп</x:v>
      </x:c>
      <x:c r="D450" s="28" t="n">
        <x:v>10</x:v>
      </x:c>
      <x:c r="E450" s="28" t="str">
        <x:v>Высокая</x:v>
      </x:c>
      <x:c r="F450" s="28" t="n">
        <x:v>2</x:v>
      </x:c>
      <x:c r="G450" s="28" t="str">
        <x:v>пересечение ароматических семейств</x:v>
      </x:c>
      <x:c r="H450" s="28" t="str">
        <x:v>сок, кордиал, гаспачо, салат, соус, маринад или коктейльный компонент с укроп</x:v>
      </x:c>
      <x:c r="I450" s="28" t="str">
        <x:v>Таблица сочетания(1).pdf | Тезариус вкусов (Ники Сегнит)(1).pdf</x:v>
      </x:c>
      <x:c r="J450" s="28" t="str">
        <x:v>Таблица сочетания(1).pdf: 6, 7; Тезариус вкусов (Ники Сегнит)(1).pdf: 497, 504</x:v>
      </x:c>
    </x:row>
    <x:row r="451" ht="44" customHeight="1">
      <x:c r="A451" s="28" t="str">
        <x:v>огурец</x:v>
      </x:c>
      <x:c r="B451" s="28" t="n">
        <x:v>8</x:v>
      </x:c>
      <x:c r="C451" s="28" t="str">
        <x:v>апельсин</x:v>
      </x:c>
      <x:c r="D451" s="28" t="n">
        <x:v>9</x:v>
      </x:c>
      <x:c r="E451" s="28" t="str">
        <x:v>Высокая</x:v>
      </x:c>
      <x:c r="F451" s="28" t="n">
        <x:v>2</x:v>
      </x:c>
      <x:c r="G451" s="28" t="str">
        <x:v>кислотно-сладкий баланс</x:v>
      </x:c>
      <x:c r="H451" s="28" t="str">
        <x:v>сок, кордиал, гаспачо, салат, соус, маринад или коктейльный компонент с апельсин</x:v>
      </x:c>
      <x:c r="I451" s="28" t="str">
        <x:v>The Art &amp; Science of Foodpairing.pdf | Таблица сочетания(1).pdf</x:v>
      </x:c>
      <x:c r="J451" s="28" t="str">
        <x:v>Таблица сочетания(1).pdf: 6; The Art &amp; Science of Foodpairing.pdf: 268</x:v>
      </x:c>
    </x:row>
    <x:row r="452" ht="44" customHeight="1">
      <x:c r="A452" s="28" t="str">
        <x:v>огурец</x:v>
      </x:c>
      <x:c r="B452" s="28" t="n">
        <x:v>9</x:v>
      </x:c>
      <x:c r="C452" s="28" t="str">
        <x:v>имбирь</x:v>
      </x:c>
      <x:c r="D452" s="28" t="n">
        <x:v>9</x:v>
      </x:c>
      <x:c r="E452" s="28" t="str">
        <x:v>Высокая</x:v>
      </x:c>
      <x:c r="F452" s="28" t="n">
        <x:v>2</x:v>
      </x:c>
      <x:c r="G452" s="28" t="str">
        <x:v>сенсорная комплементарность</x:v>
      </x:c>
      <x:c r="H452" s="28" t="str">
        <x:v>сок, кордиал, гаспачо, салат, соус, маринад или коктейльный компонент с имбирь</x:v>
      </x:c>
      <x:c r="I452" s="28" t="str">
        <x:v>The Art &amp; Science of Foodpairing.pdf | Таблица сочетания(1).pdf</x:v>
      </x:c>
      <x:c r="J452" s="28" t="str">
        <x:v>Таблица сочетания(1).pdf: 8; The Art &amp; Science of Foodpairing.pdf: 142</x:v>
      </x:c>
    </x:row>
    <x:row r="453" ht="44" customHeight="1">
      <x:c r="A453" s="28" t="str">
        <x:v>огурец</x:v>
      </x:c>
      <x:c r="B453" s="28" t="n">
        <x:v>10</x:v>
      </x:c>
      <x:c r="C453" s="28" t="str">
        <x:v>анис</x:v>
      </x:c>
      <x:c r="D453" s="28" t="n">
        <x:v>6</x:v>
      </x:c>
      <x:c r="E453" s="28" t="str">
        <x:v>Средняя</x:v>
      </x:c>
      <x:c r="F453" s="28" t="n">
        <x:v>1</x:v>
      </x:c>
      <x:c r="G453" s="28" t="str">
        <x:v>сенсорная комплементарность</x:v>
      </x:c>
      <x:c r="H453" s="28" t="str">
        <x:v>сок, кордиал, гаспачо, салат, соус, маринад или коктейльный компонент с анис</x:v>
      </x:c>
      <x:c r="I453" s="28" t="str">
        <x:v>Тезариус вкусов (Ники Сегнит)(1).pdf</x:v>
      </x:c>
      <x:c r="J453" s="28" t="str">
        <x:v>Тезариус вкусов (Ники Сегнит)(1).pdf: 486, 491</x:v>
      </x:c>
    </x:row>
    <x:row r="454" ht="44" customHeight="1">
      <x:c r="A454" s="28" t="str">
        <x:v>огурец</x:v>
      </x:c>
      <x:c r="B454" s="28" t="n">
        <x:v>11</x:v>
      </x:c>
      <x:c r="C454" s="28" t="str">
        <x:v>арахис</x:v>
      </x:c>
      <x:c r="D454" s="28" t="n">
        <x:v>6</x:v>
      </x:c>
      <x:c r="E454" s="28" t="str">
        <x:v>Средняя</x:v>
      </x:c>
      <x:c r="F454" s="28" t="n">
        <x:v>1</x:v>
      </x:c>
      <x:c r="G454" s="28" t="str">
        <x:v>сенсорная комплементарность</x:v>
      </x:c>
      <x:c r="H454" s="28" t="str">
        <x:v>сок, кордиал, гаспачо, салат, соус, маринад или коктейльный компонент с арахис</x:v>
      </x:c>
      <x:c r="I454" s="28" t="str">
        <x:v>Тезариус вкусов (Ники Сегнит)(1).pdf</x:v>
      </x:c>
      <x:c r="J454" s="28" t="str">
        <x:v>Тезариус вкусов (Ники Сегнит)(1).pdf: 56, 491</x:v>
      </x:c>
    </x:row>
    <x:row r="455" ht="44" customHeight="1">
      <x:c r="A455" s="28" t="str">
        <x:v>огурец</x:v>
      </x:c>
      <x:c r="B455" s="28" t="n">
        <x:v>12</x:v>
      </x:c>
      <x:c r="C455" s="28" t="str">
        <x:v>белая рыба</x:v>
      </x:c>
      <x:c r="D455" s="28" t="n">
        <x:v>6</x:v>
      </x:c>
      <x:c r="E455" s="28" t="str">
        <x:v>Средняя</x:v>
      </x:c>
      <x:c r="F455" s="28" t="n">
        <x:v>1</x:v>
      </x:c>
      <x:c r="G455" s="28" t="str">
        <x:v>умами и солёный контраст</x:v>
      </x:c>
      <x:c r="H455" s="28" t="str">
        <x:v>сок, кордиал, гаспачо, салат, соус, маринад или коктейльный компонент с белая рыба</x:v>
      </x:c>
      <x:c r="I455" s="28" t="str">
        <x:v>Тезариус вкусов (Ники Сегнит)(1).pdf</x:v>
      </x:c>
      <x:c r="J455" s="28" t="str">
        <x:v>Тезариус вкусов (Ники Сегнит)(1).pdf: 387, 491</x:v>
      </x:c>
    </x:row>
    <x:row r="456" ht="44" customHeight="1">
      <x:c r="A456" s="28" t="str">
        <x:v>огурец</x:v>
      </x:c>
      <x:c r="B456" s="28" t="n">
        <x:v>13</x:v>
      </x:c>
      <x:c r="C456" s="28" t="str">
        <x:v>водоросли</x:v>
      </x:c>
      <x:c r="D456" s="28" t="n">
        <x:v>6</x:v>
      </x:c>
      <x:c r="E456" s="28" t="str">
        <x:v>Высокая</x:v>
      </x:c>
      <x:c r="F456" s="28" t="n">
        <x:v>1</x:v>
      </x:c>
      <x:c r="G456" s="28" t="str">
        <x:v>сенсорная комплементарность</x:v>
      </x:c>
      <x:c r="H456" s="28" t="str">
        <x:v>сок, кордиал, гаспачо, салат, соус, маринад или коктейльный компонент с водоросли</x:v>
      </x:c>
      <x:c r="I456" s="28" t="str">
        <x:v>The Art &amp; Science of Foodpairing.pdf</x:v>
      </x:c>
      <x:c r="J456" s="28" t="str">
        <x:v>The Art &amp; Science of Foodpairing.pdf: 267</x:v>
      </x:c>
    </x:row>
    <x:row r="457" ht="44" customHeight="1">
      <x:c r="A457" s="28" t="str">
        <x:v>огурец</x:v>
      </x:c>
      <x:c r="B457" s="28" t="n">
        <x:v>14</x:v>
      </x:c>
      <x:c r="C457" s="28" t="str">
        <x:v>дыня</x:v>
      </x:c>
      <x:c r="D457" s="28" t="n">
        <x:v>6</x:v>
      </x:c>
      <x:c r="E457" s="28" t="str">
        <x:v>Средняя</x:v>
      </x:c>
      <x:c r="F457" s="28" t="n">
        <x:v>1</x:v>
      </x:c>
      <x:c r="G457" s="28" t="str">
        <x:v>кислотно-сладкий баланс</x:v>
      </x:c>
      <x:c r="H457" s="28" t="str">
        <x:v>сок, кордиал, гаспачо, салат, соус, маринад или коктейльный компонент с дыня</x:v>
      </x:c>
      <x:c r="I457" s="28" t="str">
        <x:v>Тезариус вкусов (Ники Сегнит)(1).pdf</x:v>
      </x:c>
      <x:c r="J457" s="28" t="str">
        <x:v>Тезариус вкусов (Ники Сегнит)(1).pdf: 492, 740</x:v>
      </x:c>
    </x:row>
    <x:row r="458" ht="44" customHeight="1">
      <x:c r="A458" s="28" t="str">
        <x:v>огурец</x:v>
      </x:c>
      <x:c r="B458" s="28" t="n">
        <x:v>15</x:v>
      </x:c>
      <x:c r="C458" s="28" t="str">
        <x:v>жирная рыба</x:v>
      </x:c>
      <x:c r="D458" s="28" t="n">
        <x:v>6</x:v>
      </x:c>
      <x:c r="E458" s="28" t="str">
        <x:v>Средняя</x:v>
      </x:c>
      <x:c r="F458" s="28" t="n">
        <x:v>1</x:v>
      </x:c>
      <x:c r="G458" s="28" t="str">
        <x:v>умами и солёный контраст</x:v>
      </x:c>
      <x:c r="H458" s="28" t="str">
        <x:v>сок, кордиал, гаспачо, салат, соус, маринад или коктейльный компонент с жирная рыба</x:v>
      </x:c>
      <x:c r="I458" s="28" t="str">
        <x:v>Тезариус вкусов (Ники Сегнит)(1).pdf</x:v>
      </x:c>
      <x:c r="J458" s="28" t="str">
        <x:v>Тезариус вкусов (Ники Сегнит)(1).pdf: 416, 492</x:v>
      </x:c>
    </x:row>
    <x:row r="459" ht="44" customHeight="1">
      <x:c r="A459" s="28" t="str">
        <x:v>огурец</x:v>
      </x:c>
      <x:c r="B459" s="28" t="n">
        <x:v>16</x:v>
      </x:c>
      <x:c r="C459" s="28" t="str">
        <x:v>зира</x:v>
      </x:c>
      <x:c r="D459" s="28" t="n">
        <x:v>6</x:v>
      </x:c>
      <x:c r="E459" s="28" t="str">
        <x:v>Средняя</x:v>
      </x:c>
      <x:c r="F459" s="28" t="n">
        <x:v>1</x:v>
      </x:c>
      <x:c r="G459" s="28" t="str">
        <x:v>сенсорная комплементарность</x:v>
      </x:c>
      <x:c r="H459" s="28" t="str">
        <x:v>сок, кордиал, гаспачо, салат, соус, маринад или коктейльный компонент с зира</x:v>
      </x:c>
      <x:c r="I459" s="28" t="str">
        <x:v>Тезариус вкусов (Ники Сегнит)(1).pdf</x:v>
      </x:c>
      <x:c r="J459" s="28" t="str">
        <x:v>Тезариус вкусов (Ники Сегнит)(1).pdf: 218, 492</x:v>
      </x:c>
    </x:row>
    <x:row r="460" ht="44" customHeight="1">
      <x:c r="A460" s="28" t="str">
        <x:v>огурец</x:v>
      </x:c>
      <x:c r="B460" s="28" t="n">
        <x:v>17</x:v>
      </x:c>
      <x:c r="C460" s="28" t="str">
        <x:v>каперсы</x:v>
      </x:c>
      <x:c r="D460" s="28" t="n">
        <x:v>6</x:v>
      </x:c>
      <x:c r="E460" s="28" t="str">
        <x:v>Средняя</x:v>
      </x:c>
      <x:c r="F460" s="28" t="n">
        <x:v>1</x:v>
      </x:c>
      <x:c r="G460" s="28" t="str">
        <x:v>сенсорная комплементарность</x:v>
      </x:c>
      <x:c r="H460" s="28" t="str">
        <x:v>сок, кордиал, гаспачо, салат, соус, маринад или коктейльный компонент с каперсы</x:v>
      </x:c>
      <x:c r="I460" s="28" t="str">
        <x:v>Тезариус вкусов (Ники Сегнит)(1).pdf</x:v>
      </x:c>
      <x:c r="J460" s="28" t="str">
        <x:v>Тезариус вкусов (Ники Сегнит)(1).pdf: 270, 492</x:v>
      </x:c>
    </x:row>
    <x:row r="461" ht="44" customHeight="1">
      <x:c r="A461" s="28" t="str">
        <x:v>огурец</x:v>
      </x:c>
      <x:c r="B461" s="28" t="n">
        <x:v>18</x:v>
      </x:c>
      <x:c r="C461" s="28" t="str">
        <x:v>козий сыр</x:v>
      </x:c>
      <x:c r="D461" s="28" t="n">
        <x:v>6</x:v>
      </x:c>
      <x:c r="E461" s="28" t="str">
        <x:v>Средняя</x:v>
      </x:c>
      <x:c r="F461" s="28" t="n">
        <x:v>1</x:v>
      </x:c>
      <x:c r="G461" s="28" t="str">
        <x:v>жировая матрица</x:v>
      </x:c>
      <x:c r="H461" s="28" t="str">
        <x:v>сок, кордиал, гаспачо, салат, соус, маринад или коктейльный компонент с козий сыр</x:v>
      </x:c>
      <x:c r="I461" s="28" t="str">
        <x:v>Тезариус вкусов (Ники Сегнит)(1).pdf</x:v>
      </x:c>
      <x:c r="J461" s="28" t="str">
        <x:v>Тезариус вкусов (Ники Сегнит)(1).pdf: 142, 492</x:v>
      </x:c>
    </x:row>
    <x:row r="462" ht="44" customHeight="1">
      <x:c r="A462" s="28" t="str">
        <x:v>огурец</x:v>
      </x:c>
      <x:c r="B462" s="28" t="n">
        <x:v>19</x:v>
      </x:c>
      <x:c r="C462" s="28" t="str">
        <x:v>моллюски</x:v>
      </x:c>
      <x:c r="D462" s="28" t="n">
        <x:v>6</x:v>
      </x:c>
      <x:c r="E462" s="28" t="str">
        <x:v>Средняя</x:v>
      </x:c>
      <x:c r="F462" s="28" t="n">
        <x:v>1</x:v>
      </x:c>
      <x:c r="G462" s="28" t="str">
        <x:v>умами и солёный контраст</x:v>
      </x:c>
      <x:c r="H462" s="28" t="str">
        <x:v>сок, кордиал, гаспачо, салат, соус, маринад или коктейльный компонент с моллюски</x:v>
      </x:c>
      <x:c r="I462" s="28" t="str">
        <x:v>Тезариус вкусов (Ники Сегнит)(1).pdf</x:v>
      </x:c>
      <x:c r="J462" s="28" t="str">
        <x:v>Тезариус вкусов (Ники Сегнит)(1).pdf: 374, 493</x:v>
      </x:c>
    </x:row>
    <x:row r="463" ht="44" customHeight="1">
      <x:c r="A463" s="28" t="str">
        <x:v>огурец</x:v>
      </x:c>
      <x:c r="B463" s="28" t="n">
        <x:v>20</x:v>
      </x:c>
      <x:c r="C463" s="28" t="str">
        <x:v>свинина</x:v>
      </x:c>
      <x:c r="D463" s="28" t="n">
        <x:v>6</x:v>
      </x:c>
      <x:c r="E463" s="28" t="str">
        <x:v>Средняя</x:v>
      </x:c>
      <x:c r="F463" s="28" t="n">
        <x:v>1</x:v>
      </x:c>
      <x:c r="G463" s="28" t="str">
        <x:v>умами и солёный контраст</x:v>
      </x:c>
      <x:c r="H463" s="28" t="str">
        <x:v>сок, кордиал, гаспачо, салат, соус, маринад или коктейльный компонент с свинина</x:v>
      </x:c>
      <x:c r="I463" s="28" t="str">
        <x:v>Тезариус вкусов (Ники Сегнит)(1).pdf</x:v>
      </x:c>
      <x:c r="J463" s="28" t="str">
        <x:v>Тезариус вкусов (Ники Сегнит)(1).pdf: 86, 496</x:v>
      </x:c>
    </x:row>
    <x:row r="464" ht="44" customHeight="1">
      <x:c r="A464" s="28" t="str">
        <x:v>кабачок</x:v>
      </x:c>
      <x:c r="B464" s="28" t="n">
        <x:v>1</x:v>
      </x:c>
      <x:c r="C464" s="28" t="str">
        <x:v>фундук</x:v>
      </x:c>
      <x:c r="D464" s="28" t="n">
        <x:v>6</x:v>
      </x:c>
      <x:c r="E464" s="28" t="str">
        <x:v>Высокая</x:v>
      </x:c>
      <x:c r="F464" s="28" t="n">
        <x:v>1</x:v>
      </x:c>
      <x:c r="G464" s="28" t="str">
        <x:v>общие характерные молекулы; пересечение ароматических семейств</x:v>
      </x:c>
      <x:c r="H464" s="28" t="str">
        <x:v>салат, гарнир, суп, соус, маринад, ферментация или напиток с фундук</x:v>
      </x:c>
      <x:c r="I464" s="28" t="str">
        <x:v>The Art &amp; Science of Foodpairing.pdf</x:v>
      </x:c>
      <x:c r="J464" s="28" t="str">
        <x:v>The Art &amp; Science of Foodpairing.pdf: 332</x:v>
      </x:c>
    </x:row>
    <x:row r="465" ht="44" customHeight="1">
      <x:c r="A465" s="28" t="str">
        <x:v>кабачок</x:v>
      </x:c>
      <x:c r="B465" s="28" t="n">
        <x:v>2</x:v>
      </x:c>
      <x:c r="C465" s="28" t="str">
        <x:v>арбуз</x:v>
      </x:c>
      <x:c r="D465" s="28" t="n">
        <x:v>5</x:v>
      </x:c>
      <x:c r="E465" s="28" t="str">
        <x:v>Средняя</x:v>
      </x:c>
      <x:c r="F465" s="28" t="n">
        <x:v>1</x:v>
      </x:c>
      <x:c r="G465" s="28" t="str">
        <x:v>сенсорная комплементарность</x:v>
      </x:c>
      <x:c r="H465" s="28" t="str">
        <x:v>салат, гарнир, суп, соус, маринад, ферментация или напиток с арбуз</x:v>
      </x:c>
      <x:c r="I465" s="28" t="str">
        <x:v>The Art &amp; Science of Foodpairing.pdf</x:v>
      </x:c>
      <x:c r="J465" s="28" t="str">
        <x:v>The Art &amp; Science of Foodpairing.pdf: 78</x:v>
      </x:c>
    </x:row>
    <x:row r="466" ht="44" customHeight="1">
      <x:c r="A466" s="28" t="str">
        <x:v>кабачок</x:v>
      </x:c>
      <x:c r="B466" s="28" t="n">
        <x:v>3</x:v>
      </x:c>
      <x:c r="C466" s="28" t="str">
        <x:v>манго</x:v>
      </x:c>
      <x:c r="D466" s="28" t="n">
        <x:v>5</x:v>
      </x:c>
      <x:c r="E466" s="28" t="str">
        <x:v>Средняя</x:v>
      </x:c>
      <x:c r="F466" s="28" t="n">
        <x:v>1</x:v>
      </x:c>
      <x:c r="G466" s="28" t="str">
        <x:v>общие характерные молекулы; кислотно-сладкий баланс</x:v>
      </x:c>
      <x:c r="H466" s="28" t="str">
        <x:v>салат, гарнир, суп, соус, маринад, ферментация или напиток с манго</x:v>
      </x:c>
      <x:c r="I466" s="28" t="str">
        <x:v>The Art &amp; Science of Foodpairing.pdf</x:v>
      </x:c>
      <x:c r="J466" s="28" t="str">
        <x:v>The Art &amp; Science of Foodpairing.pdf: 312</x:v>
      </x:c>
    </x:row>
    <x:row r="467" ht="44" customHeight="1">
      <x:c r="A467" s="28" t="str">
        <x:v>кабачок</x:v>
      </x:c>
      <x:c r="B467" s="28" t="n">
        <x:v>4</x:v>
      </x:c>
      <x:c r="C467" s="28" t="str">
        <x:v>шоколад</x:v>
      </x:c>
      <x:c r="D467" s="28" t="n">
        <x:v>5</x:v>
      </x:c>
      <x:c r="E467" s="28" t="str">
        <x:v>Средняя</x:v>
      </x:c>
      <x:c r="F467" s="28" t="n">
        <x:v>1</x:v>
      </x:c>
      <x:c r="G467" s="28" t="str">
        <x:v>общие характерные молекулы; пересечение ароматических семейств</x:v>
      </x:c>
      <x:c r="H467" s="28" t="str">
        <x:v>салат, гарнир, суп, соус, маринад, ферментация или напиток с шоколад</x:v>
      </x:c>
      <x:c r="I467" s="28" t="str">
        <x:v>The Art &amp; Science of Foodpairing.pdf</x:v>
      </x:c>
      <x:c r="J467" s="28" t="str">
        <x:v>The Art &amp; Science of Foodpairing.pdf: 62</x:v>
      </x:c>
    </x:row>
    <x:row r="468" ht="44" customHeight="1">
      <x:c r="A468" s="28" t="str">
        <x:v>фенхель</x:v>
      </x:c>
      <x:c r="B468" s="28" t="n">
        <x:v>1</x:v>
      </x:c>
      <x:c r="C468" s="28" t="str">
        <x:v>апельсин</x:v>
      </x:c>
      <x:c r="D468" s="28" t="n">
        <x:v>9</x:v>
      </x:c>
      <x:c r="E468" s="28" t="str">
        <x:v>Высокая</x:v>
      </x:c>
      <x:c r="F468" s="28" t="n">
        <x:v>2</x:v>
      </x:c>
      <x:c r="G468" s="28" t="str">
        <x:v>общие характерные молекулы; пересечение ароматических семейств; кислотно-сладкий баланс</x:v>
      </x:c>
      <x:c r="H468" s="28" t="str">
        <x:v>салат, гарнир, суп, соус, маринад, ферментация или напиток с апельсин</x:v>
      </x:c>
      <x:c r="I468" s="28" t="str">
        <x:v>The Art &amp; Science of Foodpairing.pdf | Таблица сочетания(1).pdf</x:v>
      </x:c>
      <x:c r="J468" s="28" t="str">
        <x:v>Таблица сочетания(1).pdf: 8; The Art &amp; Science of Foodpairing.pdf: 236</x:v>
      </x:c>
    </x:row>
    <x:row r="469" ht="44" customHeight="1">
      <x:c r="A469" s="28" t="str">
        <x:v>фенхель</x:v>
      </x:c>
      <x:c r="B469" s="28" t="n">
        <x:v>2</x:v>
      </x:c>
      <x:c r="C469" s="28" t="str">
        <x:v>имбирь</x:v>
      </x:c>
      <x:c r="D469" s="28" t="n">
        <x:v>7</x:v>
      </x:c>
      <x:c r="E469" s="28" t="str">
        <x:v>Высокая</x:v>
      </x:c>
      <x:c r="F469" s="28" t="n">
        <x:v>1</x:v>
      </x:c>
      <x:c r="G469" s="28" t="str">
        <x:v>сенсорная комплементарность</x:v>
      </x:c>
      <x:c r="H469" s="28" t="str">
        <x:v>салат, гарнир, суп, соус, маринад, ферментация или напиток с имбирь</x:v>
      </x:c>
      <x:c r="I469" s="28" t="str">
        <x:v>The Art &amp; Science of Foodpairing.pdf</x:v>
      </x:c>
      <x:c r="J469" s="28" t="str">
        <x:v>The Art &amp; Science of Foodpairing.pdf: 142</x:v>
      </x:c>
    </x:row>
    <x:row r="470" ht="44" customHeight="1">
      <x:c r="A470" s="28" t="str">
        <x:v>фенхель</x:v>
      </x:c>
      <x:c r="B470" s="28" t="n">
        <x:v>3</x:v>
      </x:c>
      <x:c r="C470" s="28" t="str">
        <x:v>чёрный перец</x:v>
      </x:c>
      <x:c r="D470" s="28" t="n">
        <x:v>7</x:v>
      </x:c>
      <x:c r="E470" s="28" t="str">
        <x:v>Средняя</x:v>
      </x:c>
      <x:c r="F470" s="28" t="n">
        <x:v>1</x:v>
      </x:c>
      <x:c r="G470" s="28" t="str">
        <x:v>общие характерные молекулы</x:v>
      </x:c>
      <x:c r="H470" s="28" t="str">
        <x:v>салат, гарнир, суп, соус, маринад, ферментация или напиток с чёрный перец</x:v>
      </x:c>
      <x:c r="I470" s="28" t="str">
        <x:v>The Art &amp; Science of Foodpairing.pdf</x:v>
      </x:c>
      <x:c r="J470" s="28" t="str">
        <x:v>The Art &amp; Science of Foodpairing.pdf: 273, 274</x:v>
      </x:c>
    </x:row>
    <x:row r="471" ht="44" customHeight="1">
      <x:c r="A471" s="28" t="str">
        <x:v>фенхель</x:v>
      </x:c>
      <x:c r="B471" s="28" t="n">
        <x:v>4</x:v>
      </x:c>
      <x:c r="C471" s="28" t="str">
        <x:v>груша</x:v>
      </x:c>
      <x:c r="D471" s="28" t="n">
        <x:v>6</x:v>
      </x:c>
      <x:c r="E471" s="28" t="str">
        <x:v>Средняя</x:v>
      </x:c>
      <x:c r="F471" s="28" t="n">
        <x:v>1</x:v>
      </x:c>
      <x:c r="G471" s="28" t="str">
        <x:v>пересечение ароматических семейств; кислотно-сладкий баланс</x:v>
      </x:c>
      <x:c r="H471" s="28" t="str">
        <x:v>салат, гарнир, суп, соус, маринад, ферментация или напиток с груша</x:v>
      </x:c>
      <x:c r="I471" s="28" t="str">
        <x:v>The Art &amp; Science of Foodpairing.pdf</x:v>
      </x:c>
      <x:c r="J471" s="28" t="str">
        <x:v>The Art &amp; Science of Foodpairing.pdf: 350</x:v>
      </x:c>
    </x:row>
    <x:row r="472" ht="44" customHeight="1">
      <x:c r="A472" s="28" t="str">
        <x:v>фенхель</x:v>
      </x:c>
      <x:c r="B472" s="28" t="n">
        <x:v>5</x:v>
      </x:c>
      <x:c r="C472" s="28" t="str">
        <x:v>банан</x:v>
      </x:c>
      <x:c r="D472" s="28" t="n">
        <x:v>5</x:v>
      </x:c>
      <x:c r="E472" s="28" t="str">
        <x:v>Средняя</x:v>
      </x:c>
      <x:c r="F472" s="28" t="n">
        <x:v>1</x:v>
      </x:c>
      <x:c r="G472" s="28" t="str">
        <x:v>кислотно-сладкий баланс</x:v>
      </x:c>
      <x:c r="H472" s="28" t="str">
        <x:v>салат, гарнир, суп, соус, маринад, ферментация или напиток с банан</x:v>
      </x:c>
      <x:c r="I472" s="28" t="str">
        <x:v>The Art &amp; Science of Foodpairing.pdf</x:v>
      </x:c>
      <x:c r="J472" s="28" t="str">
        <x:v>The Art &amp; Science of Foodpairing.pdf: 342</x:v>
      </x:c>
    </x:row>
    <x:row r="473" ht="44" customHeight="1">
      <x:c r="A473" s="28" t="str">
        <x:v>фенхель</x:v>
      </x:c>
      <x:c r="B473" s="28" t="n">
        <x:v>6</x:v>
      </x:c>
      <x:c r="C473" s="28" t="str">
        <x:v>джин</x:v>
      </x:c>
      <x:c r="D473" s="28" t="n">
        <x:v>5</x:v>
      </x:c>
      <x:c r="E473" s="28" t="str">
        <x:v>Средняя</x:v>
      </x:c>
      <x:c r="F473" s="28" t="n">
        <x:v>1</x:v>
      </x:c>
      <x:c r="G473" s="28" t="str">
        <x:v>сенсорная комплементарность</x:v>
      </x:c>
      <x:c r="H473" s="28" t="str">
        <x:v>салат, гарнир, суп, соус, маринад, ферментация или напиток с джин</x:v>
      </x:c>
      <x:c r="I473" s="28" t="str">
        <x:v>The Art &amp; Science of Foodpairing.pdf</x:v>
      </x:c>
      <x:c r="J473" s="28" t="str">
        <x:v>The Art &amp; Science of Foodpairing.pdf: 215</x:v>
      </x:c>
    </x:row>
    <x:row r="474" ht="44" customHeight="1">
      <x:c r="A474" s="28" t="str">
        <x:v>фенхель</x:v>
      </x:c>
      <x:c r="B474" s="28" t="n">
        <x:v>7</x:v>
      </x:c>
      <x:c r="C474" s="28" t="str">
        <x:v>коньяк</x:v>
      </x:c>
      <x:c r="D474" s="28" t="n">
        <x:v>5</x:v>
      </x:c>
      <x:c r="E474" s="28" t="str">
        <x:v>Средняя</x:v>
      </x:c>
      <x:c r="F474" s="28" t="n">
        <x:v>1</x:v>
      </x:c>
      <x:c r="G474" s="28" t="str">
        <x:v>сенсорная комплементарность</x:v>
      </x:c>
      <x:c r="H474" s="28" t="str">
        <x:v>салат, гарнир, суп, соус, маринад, ферментация или напиток с коньяк</x:v>
      </x:c>
      <x:c r="I474" s="28" t="str">
        <x:v>The Art &amp; Science of Foodpairing.pdf</x:v>
      </x:c>
      <x:c r="J474" s="28" t="str">
        <x:v>The Art &amp; Science of Foodpairing.pdf: 123</x:v>
      </x:c>
    </x:row>
    <x:row r="475" ht="44" customHeight="1">
      <x:c r="A475" s="28" t="str">
        <x:v>фенхель</x:v>
      </x:c>
      <x:c r="B475" s="28" t="n">
        <x:v>8</x:v>
      </x:c>
      <x:c r="C475" s="28" t="str">
        <x:v>манго</x:v>
      </x:c>
      <x:c r="D475" s="28" t="n">
        <x:v>5</x:v>
      </x:c>
      <x:c r="E475" s="28" t="str">
        <x:v>Средняя</x:v>
      </x:c>
      <x:c r="F475" s="28" t="n">
        <x:v>1</x:v>
      </x:c>
      <x:c r="G475" s="28" t="str">
        <x:v>кислотно-сладкий баланс</x:v>
      </x:c>
      <x:c r="H475" s="28" t="str">
        <x:v>салат, гарнир, суп, соус, маринад, ферментация или напиток с манго</x:v>
      </x:c>
      <x:c r="I475" s="28" t="str">
        <x:v>The Art &amp; Science of Foodpairing.pdf</x:v>
      </x:c>
      <x:c r="J475" s="28" t="str">
        <x:v>The Art &amp; Science of Foodpairing.pdf: 312</x:v>
      </x:c>
    </x:row>
    <x:row r="476" ht="44" customHeight="1">
      <x:c r="A476" s="28" t="str">
        <x:v>фенхель</x:v>
      </x:c>
      <x:c r="B476" s="28" t="n">
        <x:v>9</x:v>
      </x:c>
      <x:c r="C476" s="28" t="str">
        <x:v>рыба</x:v>
      </x:c>
      <x:c r="D476" s="28" t="n">
        <x:v>5</x:v>
      </x:c>
      <x:c r="E476" s="28" t="str">
        <x:v>Средняя</x:v>
      </x:c>
      <x:c r="F476" s="28" t="n">
        <x:v>1</x:v>
      </x:c>
      <x:c r="G476" s="28" t="str">
        <x:v>умами и солёный контраст</x:v>
      </x:c>
      <x:c r="H476" s="28" t="str">
        <x:v>салат, гарнир, суп, соус, маринад, ферментация или напиток с рыба</x:v>
      </x:c>
      <x:c r="I476" s="28" t="str">
        <x:v>The Art &amp; Science of Foodpairing.pdf</x:v>
      </x:c>
      <x:c r="J476" s="28" t="str">
        <x:v>The Art &amp; Science of Foodpairing.pdf: 104</x:v>
      </x:c>
    </x:row>
    <x:row r="477" ht="44" customHeight="1">
      <x:c r="A477" s="28" t="str">
        <x:v>фенхель</x:v>
      </x:c>
      <x:c r="B477" s="28" t="n">
        <x:v>10</x:v>
      </x:c>
      <x:c r="C477" s="28" t="str">
        <x:v>шоколад</x:v>
      </x:c>
      <x:c r="D477" s="28" t="n">
        <x:v>5</x:v>
      </x:c>
      <x:c r="E477" s="28" t="str">
        <x:v>Средняя</x:v>
      </x:c>
      <x:c r="F477" s="28" t="n">
        <x:v>1</x:v>
      </x:c>
      <x:c r="G477" s="28" t="str">
        <x:v>сенсорная комплементарность</x:v>
      </x:c>
      <x:c r="H477" s="28" t="str">
        <x:v>салат, гарнир, суп, соус, маринад, ферментация или напиток с шоколад</x:v>
      </x:c>
      <x:c r="I477" s="28" t="str">
        <x:v>The Art &amp; Science of Foodpairing.pdf</x:v>
      </x:c>
      <x:c r="J477" s="28" t="str">
        <x:v>The Art &amp; Science of Foodpairing.pdf: 62</x:v>
      </x:c>
    </x:row>
    <x:row r="478" ht="44" customHeight="1">
      <x:c r="A478" s="28" t="str">
        <x:v>фенхель</x:v>
      </x:c>
      <x:c r="B478" s="28" t="n">
        <x:v>11</x:v>
      </x:c>
      <x:c r="C478" s="28" t="str">
        <x:v>анис</x:v>
      </x:c>
      <x:c r="D478" s="28" t="n">
        <x:v>4</x:v>
      </x:c>
      <x:c r="E478" s="28" t="str">
        <x:v>Гипотеза / практическая</x:v>
      </x:c>
      <x:c r="F478" s="28" t="n">
        <x:v>1</x:v>
      </x:c>
      <x:c r="G478" s="28" t="str">
        <x:v>сенсорная комплементарность</x:v>
      </x:c>
      <x:c r="H478" s="28" t="str">
        <x:v>салат, гарнир, суп, соус, маринад, ферментация или напиток с анис</x:v>
      </x:c>
      <x:c r="I478" s="28" t="str">
        <x:v>Таблица сочетания(1).pdf</x:v>
      </x:c>
      <x:c r="J478" s="28" t="str">
        <x:v>Таблица сочетания(1).pdf: 8</x:v>
      </x:c>
    </x:row>
    <x:row r="479" ht="44" customHeight="1">
      <x:c r="A479" s="28" t="str">
        <x:v>фенхель</x:v>
      </x:c>
      <x:c r="B479" s="28" t="n">
        <x:v>12</x:v>
      </x:c>
      <x:c r="C479" s="28" t="str">
        <x:v>кленовый сироп</x:v>
      </x:c>
      <x:c r="D479" s="28" t="n">
        <x:v>4</x:v>
      </x:c>
      <x:c r="E479" s="28" t="str">
        <x:v>Гипотеза / практическая</x:v>
      </x:c>
      <x:c r="F479" s="28" t="n">
        <x:v>1</x:v>
      </x:c>
      <x:c r="G479" s="28" t="str">
        <x:v>пересечение ароматических семейств</x:v>
      </x:c>
      <x:c r="H479" s="28" t="str">
        <x:v>салат, гарнир, суп, соус, маринад, ферментация или напиток с кленовый сироп</x:v>
      </x:c>
      <x:c r="I479" s="28" t="str">
        <x:v>Таблица сочетания(1).pdf</x:v>
      </x:c>
      <x:c r="J479" s="28" t="str">
        <x:v>Таблица сочетания(1).pdf: 8</x:v>
      </x:c>
    </x:row>
    <x:row r="480" ht="44" customHeight="1">
      <x:c r="A480" s="28" t="str">
        <x:v>фенхель</x:v>
      </x:c>
      <x:c r="B480" s="28" t="n">
        <x:v>13</x:v>
      </x:c>
      <x:c r="C480" s="28" t="str">
        <x:v>клубника</x:v>
      </x:c>
      <x:c r="D480" s="28" t="n">
        <x:v>4</x:v>
      </x:c>
      <x:c r="E480" s="28" t="str">
        <x:v>Гипотеза / практическая</x:v>
      </x:c>
      <x:c r="F480" s="28" t="n">
        <x:v>1</x:v>
      </x:c>
      <x:c r="G480" s="28" t="str">
        <x:v>пересечение ароматических семейств; кислотно-сладкий баланс</x:v>
      </x:c>
      <x:c r="H480" s="28" t="str">
        <x:v>салат, гарнир, суп, соус, маринад, ферментация или напиток с клубника</x:v>
      </x:c>
      <x:c r="I480" s="28" t="str">
        <x:v>Таблица сочетания(1).pdf</x:v>
      </x:c>
      <x:c r="J480" s="28" t="str">
        <x:v>Таблица сочетания(1).pdf: 8</x:v>
      </x:c>
    </x:row>
    <x:row r="481" ht="44" customHeight="1">
      <x:c r="A481" s="28" t="str">
        <x:v>фенхель</x:v>
      </x:c>
      <x:c r="B481" s="28" t="n">
        <x:v>14</x:v>
      </x:c>
      <x:c r="C481" s="28" t="str">
        <x:v>лимон</x:v>
      </x:c>
      <x:c r="D481" s="28" t="n">
        <x:v>4</x:v>
      </x:c>
      <x:c r="E481" s="28" t="str">
        <x:v>Гипотеза / практическая</x:v>
      </x:c>
      <x:c r="F481" s="28" t="n">
        <x:v>1</x:v>
      </x:c>
      <x:c r="G481" s="28" t="str">
        <x:v>общие характерные молекулы; кислотно-сладкий баланс</x:v>
      </x:c>
      <x:c r="H481" s="28" t="str">
        <x:v>салат, гарнир, суп, соус, маринад, ферментация или напиток с лимон</x:v>
      </x:c>
      <x:c r="I481" s="28" t="str">
        <x:v>Таблица сочетания(1).pdf</x:v>
      </x:c>
      <x:c r="J481" s="28" t="str">
        <x:v>Таблица сочетания(1).pdf: 8</x:v>
      </x:c>
    </x:row>
    <x:row r="482" ht="44" customHeight="1">
      <x:c r="A482" s="28" t="str">
        <x:v>фенхель</x:v>
      </x:c>
      <x:c r="B482" s="28" t="n">
        <x:v>15</x:v>
      </x:c>
      <x:c r="C482" s="28" t="str">
        <x:v>мята</x:v>
      </x:c>
      <x:c r="D482" s="28" t="n">
        <x:v>4</x:v>
      </x:c>
      <x:c r="E482" s="28" t="str">
        <x:v>Гипотеза / практическая</x:v>
      </x:c>
      <x:c r="F482" s="28" t="n">
        <x:v>1</x:v>
      </x:c>
      <x:c r="G482" s="28" t="str">
        <x:v>пересечение ароматических семейств</x:v>
      </x:c>
      <x:c r="H482" s="28" t="str">
        <x:v>салат, гарнир, суп, соус, маринад, ферментация или напиток с мята</x:v>
      </x:c>
      <x:c r="I482" s="28" t="str">
        <x:v>Таблица сочетания(1).pdf</x:v>
      </x:c>
      <x:c r="J482" s="28" t="str">
        <x:v>Таблица сочетания(1).pdf: 8</x:v>
      </x:c>
    </x:row>
    <x:row r="483" ht="44" customHeight="1">
      <x:c r="A483" s="28" t="str">
        <x:v>фенхель</x:v>
      </x:c>
      <x:c r="B483" s="28" t="n">
        <x:v>16</x:v>
      </x:c>
      <x:c r="C483" s="28" t="str">
        <x:v>мёд</x:v>
      </x:c>
      <x:c r="D483" s="28" t="n">
        <x:v>4</x:v>
      </x:c>
      <x:c r="E483" s="28" t="str">
        <x:v>Гипотеза / практическая</x:v>
      </x:c>
      <x:c r="F483" s="28" t="n">
        <x:v>1</x:v>
      </x:c>
      <x:c r="G483" s="28" t="str">
        <x:v>пересечение ароматических семейств</x:v>
      </x:c>
      <x:c r="H483" s="28" t="str">
        <x:v>салат, гарнир, суп, соус, маринад, ферментация или напиток с мёд</x:v>
      </x:c>
      <x:c r="I483" s="28" t="str">
        <x:v>Таблица сочетания(1).pdf</x:v>
      </x:c>
      <x:c r="J483" s="28" t="str">
        <x:v>Таблица сочетания(1).pdf: 8</x:v>
      </x:c>
    </x:row>
    <x:row r="484" ht="44" customHeight="1">
      <x:c r="A484" s="28" t="str">
        <x:v>фенхель</x:v>
      </x:c>
      <x:c r="B484" s="28" t="n">
        <x:v>17</x:v>
      </x:c>
      <x:c r="C484" s="28" t="str">
        <x:v>ревень</x:v>
      </x:c>
      <x:c r="D484" s="28" t="n">
        <x:v>4</x:v>
      </x:c>
      <x:c r="E484" s="28" t="str">
        <x:v>Гипотеза / практическая</x:v>
      </x:c>
      <x:c r="F484" s="28" t="n">
        <x:v>1</x:v>
      </x:c>
      <x:c r="G484" s="28" t="str">
        <x:v>кислотно-сладкий баланс</x:v>
      </x:c>
      <x:c r="H484" s="28" t="str">
        <x:v>салат, гарнир, суп, соус, маринад, ферментация или напиток с ревень</x:v>
      </x:c>
      <x:c r="I484" s="28" t="str">
        <x:v>Таблица сочетания(1).pdf</x:v>
      </x:c>
      <x:c r="J484" s="28" t="str">
        <x:v>Таблица сочетания(1).pdf: 8</x:v>
      </x:c>
    </x:row>
    <x:row r="485" ht="44" customHeight="1">
      <x:c r="A485" s="28" t="str">
        <x:v>фенхель</x:v>
      </x:c>
      <x:c r="B485" s="28" t="n">
        <x:v>18</x:v>
      </x:c>
      <x:c r="C485" s="28" t="str">
        <x:v>чёрная смородина</x:v>
      </x:c>
      <x:c r="D485" s="28" t="n">
        <x:v>4</x:v>
      </x:c>
      <x:c r="E485" s="28" t="str">
        <x:v>Гипотеза / практическая</x:v>
      </x:c>
      <x:c r="F485" s="28" t="n">
        <x:v>1</x:v>
      </x:c>
      <x:c r="G485" s="28" t="str">
        <x:v>кислотно-сладкий баланс</x:v>
      </x:c>
      <x:c r="H485" s="28" t="str">
        <x:v>салат, гарнир, суп, соус, маринад, ферментация или напиток с чёрная смородина</x:v>
      </x:c>
      <x:c r="I485" s="28" t="str">
        <x:v>Таблица сочетания(1).pdf</x:v>
      </x:c>
      <x:c r="J485" s="28" t="str">
        <x:v>Таблица сочетания(1).pdf: 2</x:v>
      </x:c>
    </x:row>
  </x:sheetData>
  <x:conditionalFormatting sqref="D2:D485">
    <x:cfRule type="dataBar" priority="1">
      <x:dataBar>
        <x:cfvo type="min"/>
        <x:cfvo type="max"/>
        <x:color rgb="FF6D9C77"/>
      </x:dataBar>
      <x:extLst>
        <x:ext xmlns:x14="http://schemas.microsoft.com/office/spreadsheetml/2009/9/main" uri="{B025F937-C7B1-47D3-B67F-A62EFF666E3E}">
          <x14:id>{0499DC2D-F20A-CAD6-A6CD-B0A714ABEFF8}</x14:id>
        </x:ext>
      </x:extLst>
    </x:cfRule>
  </x:conditionalFormatting>
  <x:conditionalFormatting sqref="E2:E485">
    <x:cfRule type="expression" dxfId="33" priority="2">
      <x:formula>E2="Высокая"</x:formula>
    </x:cfRule>
    <x:cfRule type="expression" dxfId="34" priority="3">
      <x:formula>E2="Средняя"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3d306bfb7945b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99DC2D-F20A-CAD6-A6CD-B0A714ABEFF8}">
            <x14:dataBar gradient="1">
              <x14:cfvo type="min"/>
              <x14:cfvo type="max"/>
              <x14:fillColor rgb="FF6D9C77"/>
            </x14:dataBar>
          </x14:cfRule>
          <xm:sqref>D2:D485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45" hidden="0" customWidth="1"/>
    <x:col min="3" max="3" width="54" hidden="0" customWidth="1"/>
    <x:col min="4" max="4" width="57" hidden="0" customWidth="1"/>
    <x:col min="5" max="5" width="52" hidden="0" customWidth="1"/>
    <x:col min="6" max="6" width="50" hidden="0" customWidth="1"/>
    <x:col min="7" max="7" width="53" hidden="0" customWidth="1"/>
    <x:col min="8" max="8" width="40" hidden="0" customWidth="1"/>
  </x:cols>
  <x:sheetData>
    <x:row r="1" ht="34" customHeight="1">
      <x:c r="A1" s="4" t="str">
        <x:v>ТЕХНОЛОГИИ РАБОТЫ С ОВОЩАМИ, КОРНЕПЛОДАМИ И ГРИБАМИ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Технология</x:v>
      </x:c>
      <x:c r="B4" s="20" t="str">
        <x:v>Подходит для</x:v>
      </x:c>
      <x:c r="C4" s="20" t="str">
        <x:v>Основной механизм</x:v>
      </x:c>
      <x:c r="D4" s="20" t="str">
        <x:v>Рабочий подход</x:v>
      </x:c>
      <x:c r="E4" s="20" t="str">
        <x:v>Что раскрывается</x:v>
      </x:c>
      <x:c r="F4" s="20" t="str">
        <x:v>Главный риск</x:v>
      </x:c>
      <x:c r="G4" s="20" t="str">
        <x:v>Как контролировать</x:v>
      </x:c>
      <x:c r="H4" s="20" t="str">
        <x:v>Пример применения</x:v>
      </x:c>
    </x:row>
    <x:row r="5" ht="82" customHeight="1">
      <x:c r="A5" s="28" t="str">
        <x:v>Интенсивное запекание</x:v>
      </x:c>
      <x:c r="B5" s="28" t="str">
        <x:v>корнеплоды, тыква, капуста, цветная капуста, брокколи, лук</x:v>
      </x:c>
      <x:c r="C5" s="28" t="str">
        <x:v>удаление поверхностной воды, карамелизация и реакции Майяра</x:v>
      </x:c>
      <x:c r="D5" s="28" t="str">
        <x:v>сухая поверхность, достаточное расстояние между кусками, масло в умеренном количестве</x:v>
      </x:c>
      <x:c r="E5" s="28" t="str">
        <x:v>сладость, пиразины, фураны, ореховые и жареные ноты</x:v>
      </x:c>
      <x:c r="F5" s="28" t="str">
        <x:v>пересушивание, обугливание и горечь</x:v>
      </x:c>
      <x:c r="G5" s="28" t="str">
        <x:v>контролировать цвет, температуру центра и момент появления жареного аромата</x:v>
      </x:c>
      <x:c r="H5" s="28" t="str">
        <x:v>гарнир, пюре, суп, основа соуса</x:v>
      </x:c>
    </x:row>
    <x:row r="6" ht="82" customHeight="1">
      <x:c r="A6" s="28" t="str">
        <x:v>Бланширование и охлаждение</x:v>
      </x:c>
      <x:c r="B6" s="28" t="str">
        <x:v>горох, фасоль, брокколи, спаржа, зелёные овощи</x:v>
      </x:c>
      <x:c r="C6" s="28" t="str">
        <x:v>быстрая теплопередача размягчает ткани при ограниченной потере зелёной ароматики</x:v>
      </x:c>
      <x:c r="D6" s="28" t="str">
        <x:v>короткий нагрев и немедленное охлаждение</x:v>
      </x:c>
      <x:c r="E6" s="28" t="str">
        <x:v>свежий цвет, хруст и мягкая сладость</x:v>
      </x:c>
      <x:c r="F6" s="28" t="str">
        <x:v>переваривание и вымывание вкуса</x:v>
      </x:c>
      <x:c r="G6" s="28" t="str">
        <x:v>использовать таймер и быстро отделять продукт от воды</x:v>
      </x:c>
      <x:c r="H6" s="28" t="str">
        <x:v>салат, гарнир, пюре, заготовка для сервиса</x:v>
      </x:c>
    </x:row>
    <x:row r="7" ht="82" customHeight="1">
      <x:c r="A7" s="28" t="str">
        <x:v>Обжаривание грибов</x:v>
      </x:c>
      <x:c r="B7" s="28" t="str">
        <x:v>шампиньоны, белые грибы, шиитаке и другие пищевые грибы</x:v>
      </x:c>
      <x:c r="C7" s="28" t="str">
        <x:v>испарение свободной воды и развитие жареных молекул</x:v>
      </x:c>
      <x:c r="D7" s="28" t="str">
        <x:v>не перегружать посуду; жир добавлять после начала испарения воды или небольшими порциями</x:v>
      </x:c>
      <x:c r="E7" s="28" t="str">
        <x:v>умами, пиразины, мясные и ореховые ноты</x:v>
      </x:c>
      <x:c r="F7" s="28" t="str">
        <x:v>тушение в собственной воде вместо обжаривания</x:v>
      </x:c>
      <x:c r="G7" s="28" t="str">
        <x:v>работать партиями и не солить чрезмерно рано</x:v>
      </x:c>
      <x:c r="H7" s="28" t="str">
        <x:v>соус, гарнир, бульон, начинка</x:v>
      </x:c>
    </x:row>
    <x:row r="8" ht="82" customHeight="1">
      <x:c r="A8" s="28" t="str">
        <x:v>Медленная карамелизация</x:v>
      </x:c>
      <x:c r="B8" s="28" t="str">
        <x:v>лук, шалот, чеснок, капуста</x:v>
      </x:c>
      <x:c r="C8" s="28" t="str">
        <x:v>разрушение клеток, испарение воды и постепенное образование сладко-жареного профиля</x:v>
      </x:c>
      <x:c r="D8" s="28" t="str">
        <x:v>низкий или средний нагрев, регулярное перемешивание</x:v>
      </x:c>
      <x:c r="E8" s="28" t="str">
        <x:v>сладость, фураны, мясные и карамельные ноты</x:v>
      </x:c>
      <x:c r="F8" s="28" t="str">
        <x:v>подгорание сернистых продуктов создаёт стойкую горечь</x:v>
      </x:c>
      <x:c r="G8" s="28" t="str">
        <x:v>регулировать нагрев и добавлять воду для деглазирования</x:v>
      </x:c>
      <x:c r="H8" s="28" t="str">
        <x:v>луковый соус, суп, джем, база коктейльного кордиала</x:v>
      </x:c>
    </x:row>
    <x:row r="9" ht="82" customHeight="1">
      <x:c r="A9" s="28" t="str">
        <x:v>Холодное соковыделение</x:v>
      </x:c>
      <x:c r="B9" s="28" t="str">
        <x:v>огурец, томат, сельдерей, морковь, свёкла, перец</x:v>
      </x:c>
      <x:c r="C9" s="28" t="str">
        <x:v>механическое разрушение высвобождает воду, кислоты, сахара и летучие соединения</x:v>
      </x:c>
      <x:c r="D9" s="28" t="str">
        <x:v>работать холодно, исключать лишний воздух, быстро фильтровать и стабилизировать</x:v>
      </x:c>
      <x:c r="E9" s="28" t="str">
        <x:v>зелёные альдегиды, свежесть, цвет и природная кислотность</x:v>
      </x:c>
      <x:c r="F9" s="28" t="str">
        <x:v>окисление, расслоение и микробиологическая нестабильность</x:v>
      </x:c>
      <x:c r="G9" s="28" t="str">
        <x:v>малые партии, холодовая цепь и короткий срок хранения</x:v>
      </x:c>
      <x:c r="H9" s="28" t="str">
        <x:v>гаспачо, кордиал, безалкогольный напиток, коктейль</x:v>
      </x:c>
    </x:row>
    <x:row r="10" ht="82" customHeight="1">
      <x:c r="A10" s="28" t="str">
        <x:v>Осветление и центрифугирование</x:v>
      </x:c>
      <x:c r="B10" s="28" t="str">
        <x:v>томат, огурец, свёкла, морковь, тыква</x:v>
      </x:c>
      <x:c r="C10" s="28" t="str">
        <x:v>разделение взвеси, пектина и водной ароматической фазы</x:v>
      </x:c>
      <x:c r="D10" s="28" t="str">
        <x:v>ферментативное или физическое осветление с контролем времени и температуры</x:v>
      </x:c>
      <x:c r="E10" s="28" t="str">
        <x:v>чистая текстура и более точная дозировка вкуса</x:v>
      </x:c>
      <x:c r="F10" s="28" t="str">
        <x:v>потеря тела, цвета и части связанной ароматики</x:v>
      </x:c>
      <x:c r="G10" s="28" t="str">
        <x:v>сравнивать осветлённую и исходную фракции, возвращать нужную часть мякоти</x:v>
      </x:c>
      <x:c r="H10" s="28" t="str">
        <x:v>прозрачный томатный кордиал, овощная вода, консоме</x:v>
      </x:c>
    </x:row>
    <x:row r="11" ht="82" customHeight="1">
      <x:c r="A11" s="28" t="str">
        <x:v>Ферментация</x:v>
      </x:c>
      <x:c r="B11" s="28" t="str">
        <x:v>капуста, огурец, томат, свёкла, морковь, чеснок и другие овощи</x:v>
      </x:c>
      <x:c r="C11" s="28" t="str">
        <x:v>микроорганизмы превращают сахара в кислоты и новые летучие соединения</x:v>
      </x:c>
      <x:c r="D11" s="28" t="str">
        <x:v>валидированная рецептура соли, чистая тара, контроль температуры, pH и времени</x:v>
      </x:c>
      <x:c r="E11" s="28" t="str">
        <x:v>кислотность, эфиры, умами и сложный аромат</x:v>
      </x:c>
      <x:c r="F11" s="28" t="str">
        <x:v>неуправляемое брожение и загрязнение</x:v>
      </x:c>
      <x:c r="G11" s="28" t="str">
        <x:v>фиксировать параметры каждой партии и соблюдать пищевую безопасность</x:v>
      </x:c>
      <x:c r="H11" s="28" t="str">
        <x:v>кимчи, квашеные овощи, рассол, ферментированный соус</x:v>
      </x:c>
    </x:row>
    <x:row r="12" ht="82" customHeight="1">
      <x:c r="A12" s="28" t="str">
        <x:v>Дегидрация и порошок</x:v>
      </x:c>
      <x:c r="B12" s="28" t="str">
        <x:v>грибы, томат, свёкла, морковь, лук, чеснок</x:v>
      </x:c>
      <x:c r="C12" s="28" t="str">
        <x:v>удаление воды концентрирует вкус и увеличивает срок хранения</x:v>
      </x:c>
      <x:c r="D12" s="28" t="str">
        <x:v>сушить равномерно до стабильной активности воды, хранить герметично</x:v>
      </x:c>
      <x:c r="E12" s="28" t="str">
        <x:v>умами, сладость, землистость и жареные ноты</x:v>
      </x:c>
      <x:c r="F12" s="28" t="str">
        <x:v>окисление, потемнение и поглощение влаги</x:v>
      </x:c>
      <x:c r="G12" s="28" t="str">
        <x:v>не перегревать; молоть непосредственно перед использованием</x:v>
      </x:c>
      <x:c r="H12" s="28" t="str">
        <x:v>приправа, пудра, сухой бульон, гарниш</x:v>
      </x:c>
    </x:row>
    <x:row r="13" ht="82" customHeight="1">
      <x:c r="A13" s="28" t="str">
        <x:v>Жировая экстракция</x:v>
      </x:c>
      <x:c r="B13" s="28" t="str">
        <x:v>грибы, лук, чеснок, морковь, сельдерей, фенхель</x:v>
      </x:c>
      <x:c r="C13" s="28" t="str">
        <x:v>липофильные терпены, лактоны и часть сернистых одорантов переходят в масло или сливки</x:v>
      </x:c>
      <x:c r="D13" s="28" t="str">
        <x:v>мягкий нагрев, отсутствие свободной воды, быстрая фильтрация и охлаждение</x:v>
      </x:c>
      <x:c r="E13" s="28" t="str">
        <x:v>длительный аромат и округлая текстура</x:v>
      </x:c>
      <x:c r="F13" s="28" t="str">
        <x:v>окисление жира и чрезмерная тяжесть</x:v>
      </x:c>
      <x:c r="G13" s="28" t="str">
        <x:v>работать небольшими партиями и защищать от света и кислорода</x:v>
      </x:c>
      <x:c r="H13" s="28" t="str">
        <x:v>ароматическое масло, сливки, beurre blanc, соус</x:v>
      </x:c>
    </x:row>
    <x:row r="14" ht="82" customHeight="1">
      <x:c r="A14" s="28" t="str">
        <x:v>Вакуумная инфузия</x:v>
      </x:c>
      <x:c r="B14" s="28" t="str">
        <x:v>огурец, томат, арбузные овощные гарниры, кабачок, корнеплоды</x:v>
      </x:c>
      <x:c r="C14" s="28" t="str">
        <x:v>пониженное давление удаляет газ из пор и ускоряет проникновение жидкости</x:v>
      </x:c>
      <x:c r="D14" s="28" t="str">
        <x:v>короткие циклы, холодный продукт и умеренное давление</x:v>
      </x:c>
      <x:c r="E14" s="28" t="str">
        <x:v>сохранение формы при насыщении кислотой, рассолом или ароматическим раствором</x:v>
      </x:c>
      <x:c r="F14" s="28" t="str">
        <x:v>разрушение ткани и водянистость</x:v>
      </x:c>
      <x:c r="G14" s="28" t="str">
        <x:v>тестировать по одному циклу и оценивать текстуру</x:v>
      </x:c>
      <x:c r="H14" s="28" t="str">
        <x:v>быстрый маринад, гарнир, пропитанный овощ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85d3a1fb3ac644e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7" hidden="0" customWidth="1"/>
    <x:col min="3" max="3" width="60" hidden="0" customWidth="1"/>
    <x:col min="4" max="4" width="61" hidden="0" customWidth="1"/>
    <x:col min="5" max="5" width="52" hidden="0" customWidth="1"/>
    <x:col min="6" max="6" width="66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БЕЗОПАСНОСТЬ ОВОЩЕЙ, БОБОВЫХ И ГРИБОВ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36" t="str">
        <x:v>ПРАКТИЧЕСКОЕ ПРАВИЛО</x:v>
      </x:c>
      <x:c r="B4" s="36"/>
      <x:c r="C4" s="36"/>
      <x:c r="D4" s="36"/>
      <x:c r="E4" s="36"/>
      <x:c r="F4" s="36"/>
      <x:c r="G4" s="36"/>
      <x:c r="H4" s="36"/>
    </x:row>
    <x:row r="5" ht="94" customHeight="1">
      <x:c r="A5" s="43" t="str">
        <x:v>Сенсорная оценка помогает выявлять порчу, прогоркание и аномальную горечь, но не заменяет контроль поставщика, температуры, сроков хранения и валидированную тепловую обработку. Дикие грибы использовать только после профессиональной идентификации. Зелёные и сильно проросшие клубни картофеля, а также необычно горькие кабачки и тыквенные продукты в работу не принимать.</x:v>
      </x:c>
      <x:c r="B5" s="43"/>
      <x:c r="C5" s="43"/>
      <x:c r="D5" s="43"/>
      <x:c r="E5" s="43"/>
      <x:c r="F5" s="43"/>
      <x:c r="G5" s="43"/>
      <x:c r="H5" s="43"/>
    </x:row>
    <x:row r="6" ht="94" customHeight="1">
      <x:c r="A6" s="43"/>
      <x:c r="B6" s="43"/>
      <x:c r="C6" s="43"/>
      <x:c r="D6" s="43"/>
      <x:c r="E6" s="43"/>
      <x:c r="F6" s="43"/>
      <x:c r="G6" s="43"/>
      <x:c r="H6" s="43"/>
    </x:row>
    <x:row r="7" ht="94" customHeight="1">
      <x:c r="A7" s="43"/>
      <x:c r="B7" s="43"/>
      <x:c r="C7" s="43"/>
      <x:c r="D7" s="43"/>
      <x:c r="E7" s="43"/>
      <x:c r="F7" s="43"/>
      <x:c r="G7" s="43"/>
      <x:c r="H7" s="43"/>
    </x:row>
    <x:row r="8" ht="94" customHeight="1">
      <x:c r="A8" s="43"/>
      <x:c r="B8" s="43"/>
      <x:c r="C8" s="43"/>
      <x:c r="D8" s="43"/>
      <x:c r="E8" s="43"/>
      <x:c r="F8" s="43"/>
      <x:c r="G8" s="43"/>
      <x:c r="H8" s="43"/>
    </x:row>
    <x:row r="9" ht="94" customHeight="1">
      <x:c r="A9" s="43"/>
      <x:c r="B9" s="43"/>
      <x:c r="C9" s="43"/>
      <x:c r="D9" s="43"/>
      <x:c r="E9" s="43"/>
      <x:c r="F9" s="43"/>
      <x:c r="G9" s="43"/>
      <x:c r="H9" s="43"/>
    </x:row>
    <x:row r="11">
      <x:c r="A11" s="20" t="str">
        <x:v>Риск</x:v>
      </x:c>
      <x:c r="B11" s="20" t="str">
        <x:v>Где актуален</x:v>
      </x:c>
      <x:c r="C11" s="20" t="str">
        <x:v>Почему это важно</x:v>
      </x:c>
      <x:c r="D11" s="20" t="str">
        <x:v>Контроль на производстве</x:v>
      </x:c>
      <x:c r="E11" s="20" t="str">
        <x:v>Сенсорный признак</x:v>
      </x:c>
      <x:c r="F11" s="20" t="str">
        <x:v>Официальный источник</x:v>
      </x:c>
    </x:row>
    <x:row r="12" ht="86" customHeight="1">
      <x:c r="A12" s="28" t="str">
        <x:v>Гликоалкалоиды картофеля</x:v>
      </x:c>
      <x:c r="B12" s="28" t="str">
        <x:v>зелёные, повреждённые или сильно проросшие клубни</x:v>
      </x:c>
      <x:c r="C12" s="28" t="str">
        <x:v>гликоалкалоиды способны вызывать острые желудочно-кишечные симптомы; содержание выше в кожуре и позеленевших участках</x:v>
      </x:c>
      <x:c r="D12" s="28" t="str">
        <x:v>не принимать сильно зелёные и проросшие клубни; удалять повреждённые и зелёные участки; соблюдать спецификацию поставщика</x:v>
      </x:c>
      <x:c r="E12" s="28" t="str">
        <x:v>зелёный цвет и выраженная горечь являются основанием для выбраковки</x:v>
      </x:c>
      <x:c r="F12" s="28" t="str">
        <x:v>https://www.efsa.europa.eu/en/news/glycoalkaloids-potatoes-public-health-risks-assessed</x:v>
      </x:c>
    </x:row>
    <x:row r="13" ht="86" customHeight="1">
      <x:c r="A13" s="28" t="str">
        <x:v>Фитогемагглютинин</x:v>
      </x:c>
      <x:c r="B13" s="28" t="str">
        <x:v>сырая и недостаточно приготовленная фасоль, особенно красная</x:v>
      </x:c>
      <x:c r="C13" s="28" t="str">
        <x:v>лектин разрушается достаточной тепловой обработкой, но может сохраняться при неправильном приготовлении</x:v>
      </x:c>
      <x:c r="D13" s="28" t="str">
        <x:v>использовать консервированную фасоль или валидированное замачивание и кипячение; не готовить сухую фасоль только при низкой температуре</x:v>
      </x:c>
      <x:c r="E13" s="28" t="str">
        <x:v>сенсорного теста безопасности нет</x:v>
      </x:c>
      <x:c r="F13" s="28" t="str">
        <x:v>https://www.fda.gov/food/chemical-contaminants-pesticides/natural-toxins-food</x:v>
      </x:c>
    </x:row>
    <x:row r="14" ht="86" customHeight="1">
      <x:c r="A14" s="28" t="str">
        <x:v>Токсины диких грибов</x:v>
      </x:c>
      <x:c r="B14" s="28" t="str">
        <x:v>самостоятельно собранные грибы</x:v>
      </x:c>
      <x:c r="C14" s="28" t="str">
        <x:v>ядовитые виды могут быть похожи на съедобные, а приготовление не гарантирует разрушение токсинов</x:v>
      </x:c>
      <x:c r="D14" s="28" t="str">
        <x:v>не использовать дикие грибы без идентификации компетентным специалистом; сохранять документы поставщика</x:v>
      </x:c>
      <x:c r="E14" s="28" t="str">
        <x:v>вкус, запах и бытовые тесты не подтверждают безопасность</x:v>
      </x:c>
      <x:c r="F14" s="28" t="str">
        <x:v>https://www.cdc.gov/mmwr/volumes/70/wr/mm7010a1.htm</x:v>
      </x:c>
    </x:row>
    <x:row r="15" ht="86" customHeight="1">
      <x:c r="A15" s="28" t="str">
        <x:v>Кукурбитацины</x:v>
      </x:c>
      <x:c r="B15" s="28" t="str">
        <x:v>необычно горькие кабачки и другие тыквенные</x:v>
      </x:c>
      <x:c r="C15" s="28" t="str">
        <x:v>аномальная горечь может быть связана с повышенным содержанием кукурбитацинов</x:v>
      </x:c>
      <x:c r="D15" s="28" t="str">
        <x:v>не использовать продукт с выраженной нетипичной горечью; не пытаться замаскировать её сахаром или специями</x:v>
      </x:c>
      <x:c r="E15" s="28" t="str">
        <x:v>резкая, стойкая и необычная горечь</x:v>
      </x:c>
      <x:c r="F15" s="28" t="str">
        <x:v>https://www.bfr.bund.de/cm/343/vorsicht-beim-verzehr-von-bitteren-zucchini.pdf</x:v>
      </x:c>
    </x:row>
    <x:row r="16" ht="86" customHeight="1">
      <x:c r="A16" s="28" t="str">
        <x:v>Неуправляемая ферментация</x:v>
      </x:c>
      <x:c r="B16" s="28" t="str">
        <x:v>домашние и ресторанные ферментированные овощи</x:v>
      </x:c>
      <x:c r="C16" s="28" t="str">
        <x:v>без контроля соли, pH, температуры и времени процесс становится непредсказуемым</x:v>
      </x:c>
      <x:c r="D16" s="28" t="str">
        <x:v>работать по валидированной технологии, фиксировать параметры, хранить при заданной температуре</x:v>
      </x:c>
      <x:c r="E16" s="28" t="str">
        <x:v>газообразование или запах сами по себе не подтверждают безопасность</x:v>
      </x:c>
      <x:c r="F16" s="28" t="str">
        <x:v>Внутренний план HACCP и нормативные требования региона</x:v>
      </x:c>
    </x:row>
    <x:row r="17" ht="86" customHeight="1">
      <x:c r="A17" s="28" t="str">
        <x:v>Плесень и мягкая гниль</x:v>
      </x:c>
      <x:c r="B17" s="28" t="str">
        <x:v>томаты, лук, корнеплоды, тыква и грибы</x:v>
      </x:c>
      <x:c r="C17" s="28" t="str">
        <x:v>повреждённые ткани позволяют микроорганизмам быстро распространяться</x:v>
      </x:c>
      <x:c r="D17" s="28" t="str">
        <x:v>принимать сухое неповреждённое сырьё; разделять партии; соблюдать температуру и вентиляцию</x:v>
      </x:c>
      <x:c r="E17" s="28" t="str">
        <x:v>плесень, слизь, затхлый запах, проваленная текстура</x:v>
      </x:c>
      <x:c r="F17" s="28" t="str">
        <x:v>Спецификация поставщика и внутренний контроль качества</x:v>
      </x:c>
    </x:row>
    <x:row r="18" ht="86" customHeight="1">
      <x:c r="A18" s="28" t="str">
        <x:v>Перекрёстное загрязнение</x:v>
      </x:c>
      <x:c r="B18" s="28" t="str">
        <x:v>сырые овощи, зелень и готовые продукты</x:v>
      </x:c>
      <x:c r="C18" s="28" t="str">
        <x:v>почва и вода могут переносить патогенные микроорганизмы</x:v>
      </x:c>
      <x:c r="D18" s="28" t="str">
        <x:v>раздельный инвентарь, гигиена рук, мойка по утверждённой процедуре и защита готовой продукции</x:v>
      </x:c>
      <x:c r="E18" s="28" t="str">
        <x:v>сенсорного теста безопасности нет</x:v>
      </x:c>
      <x:c r="F18" s="28" t="str">
        <x:v>Внутренний план HACCP и санитарные нормы региона</x:v>
      </x:c>
    </x:row>
  </x:sheetData>
  <x:mergeCells>
    <x:mergeCell ref="A1:H2"/>
    <x:mergeCell ref="A4:H4"/>
    <x:mergeCell ref="A5:H9"/>
  </x:mergeCells>
  <x:pageMargins left="0.7" right="0.7" top="0.75" bottom="0.75" header="0.3" footer="0.3"/>
  <x:tableParts count="1">
    <x:tablePart xmlns:r="http://schemas.openxmlformats.org/officeDocument/2006/relationships" r:id="Rf7bc190da9a04ec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3" hidden="0" customWidth="1"/>
    <x:col min="3" max="3" width="40" hidden="0" customWidth="1"/>
    <x:col min="4" max="4" width="49" hidden="0" customWidth="1"/>
    <x:col min="5" max="5" width="39" hidden="0" customWidth="1"/>
    <x:col min="6" max="6" width="47" hidden="0" customWidth="1"/>
    <x:col min="7" max="7" width="53" hidden="0" customWidth="1"/>
    <x:col min="8" max="8" width="58" hidden="0" customWidth="1"/>
    <x:col min="9" max="9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Аромапрофиль</x:v>
      </x:c>
      <x:c r="D1" s="20" t="str">
        <x:v>Характерные соединения</x:v>
      </x:c>
      <x:c r="E1" s="20" t="str">
        <x:v>Вкус</x:v>
      </x:c>
      <x:c r="F1" s="20" t="str">
        <x:v>Тройничный эффект</x:v>
      </x:c>
      <x:c r="G1" s="20" t="str">
        <x:v>Матрица</x:v>
      </x:c>
      <x:c r="H1" s="20" t="str">
        <x:v>Комментарий по обработке</x:v>
      </x:c>
      <x:c r="I1" s="20" t="str">
        <x:v>Количество пар</x:v>
      </x:c>
    </x:row>
    <x:row r="2" ht="52" customHeight="1">
      <x:c r="A2" s="28" t="str">
        <x:v>«черный пудинг»</x:v>
      </x:c>
      <x:c r="B2" s="28" t="str">
        <x:v>Прочее</x:v>
      </x:c>
      <x:c r="C2" s="28" t="str">
        <x:v>профиль зависит от конкретного продукта</x:v>
      </x:c>
      <x:c r="D2" s="28" t="str">
        <x:v>нет уточнённого профиля</x:v>
      </x:c>
      <x:c r="E2" s="28" t="str">
        <x:v>вкусовой баланс зависит от конкретного продукта</x:v>
      </x:c>
      <x:c r="F2" s="28" t="str">
        <x:v>обычно минимальный; проверить для острых и охлаждающих компонентов</x:v>
      </x:c>
      <x:c r="G2" s="28" t="str">
        <x:v>матрица зависит от содержания воды, жира, белка и клетчатки</x:v>
      </x:c>
      <x:c r="H2" s="28" t="str">
        <x:v>сорт, зрелость и технология обработки меняют профиль</x:v>
      </x:c>
      <x:c r="I2" s="28" t="n">
        <x:v>2</x:v>
      </x:c>
    </x:row>
    <x:row r="3" ht="52" customHeight="1">
      <x:c r="A3" s="28" t="str">
        <x:v>абрикос</x:v>
      </x:c>
      <x:c r="B3" s="28" t="str">
        <x:v>Фрукты и ягоды</x:v>
      </x:c>
      <x:c r="C3" s="28" t="str">
        <x:v>фруктовый, цветочный и свежий</x:v>
      </x:c>
      <x:c r="D3" s="28" t="str">
        <x:v>альдегиды, эфиры</x:v>
      </x:c>
      <x:c r="E3" s="28" t="str">
        <x:v>вкусовой баланс зависит от конкретного продукта</x:v>
      </x:c>
      <x:c r="F3" s="28" t="str">
        <x:v>обычно минимальный; проверить для острых и охлаждающих компонентов</x:v>
      </x:c>
      <x:c r="G3" s="28" t="str">
        <x:v>матрица зависит от содержания воды, жира, белка и клетчатки</x:v>
      </x:c>
      <x:c r="H3" s="28" t="str">
        <x:v>сорт, зрелость и технология обработки меняют профиль</x:v>
      </x:c>
      <x:c r="I3" s="28" t="n">
        <x:v>5</x:v>
      </x:c>
    </x:row>
    <x:row r="4" ht="52" customHeight="1">
      <x:c r="A4" s="28" t="str">
        <x:v>авокадо</x:v>
      </x:c>
      <x:c r="B4" s="28" t="str">
        <x:v>Прочее</x:v>
      </x:c>
      <x:c r="C4" s="28" t="str">
        <x:v>профиль зависит от конкретного продукта</x:v>
      </x:c>
      <x:c r="D4" s="28" t="str">
        <x:v>нет уточнённого профиля</x:v>
      </x:c>
      <x:c r="E4" s="28" t="str">
        <x:v>вкусовой баланс зависит от конкретного продукта</x:v>
      </x:c>
      <x:c r="F4" s="28" t="str">
        <x:v>обычно минимальный; проверить для острых и охлаждающих компонентов</x:v>
      </x:c>
      <x:c r="G4" s="28" t="str">
        <x:v>матрица зависит от содержания воды, жира, белка и клетчатки</x:v>
      </x:c>
      <x:c r="H4" s="28" t="str">
        <x:v>сорт, зрелость и технология обработки меняют профиль</x:v>
      </x:c>
      <x:c r="I4" s="28" t="n">
        <x:v>3</x:v>
      </x:c>
    </x:row>
    <x:row r="5" ht="52" customHeight="1">
      <x:c r="A5" s="28" t="str">
        <x:v>агава</x:v>
      </x:c>
      <x:c r="B5" s="28" t="str">
        <x:v>Прочее</x:v>
      </x:c>
      <x:c r="C5" s="28" t="str">
        <x:v>профиль зависит от конкретного продукта</x:v>
      </x:c>
      <x:c r="D5" s="28" t="str">
        <x:v>нет уточнённого профиля</x:v>
      </x:c>
      <x:c r="E5" s="28" t="str">
        <x:v>вкусовой баланс зависит от конкретного продукта</x:v>
      </x:c>
      <x:c r="F5" s="28" t="str">
        <x:v>обычно минимальный; проверить для острых и охлаждающих компонентов</x:v>
      </x:c>
      <x:c r="G5" s="28" t="str">
        <x:v>матрица зависит от содержания воды, жира, белка и клетчатки</x:v>
      </x:c>
      <x:c r="H5" s="28" t="str">
        <x:v>сорт, зрелость и технология обработки меняют профиль</x:v>
      </x:c>
      <x:c r="I5" s="28" t="n">
        <x:v>3</x:v>
      </x:c>
    </x:row>
    <x:row r="6" ht="52" customHeight="1">
      <x:c r="A6" s="28" t="str">
        <x:v>айва</x:v>
      </x:c>
      <x:c r="B6" s="28" t="str">
        <x:v>Прочее</x:v>
      </x:c>
      <x:c r="C6" s="28" t="str">
        <x:v>профиль зависит от конкретного продукта</x:v>
      </x:c>
      <x:c r="D6" s="28" t="str">
        <x:v>нет уточнённого профиля</x:v>
      </x:c>
      <x:c r="E6" s="28" t="str">
        <x:v>вкусовой баланс зависит от конкретного продукта</x:v>
      </x:c>
      <x:c r="F6" s="28" t="str">
        <x:v>обычно минимальный; проверить для острых и охлаждающих компонентов</x:v>
      </x:c>
      <x:c r="G6" s="28" t="str">
        <x:v>матрица зависит от содержания воды, жира, белка и клетчатки</x:v>
      </x:c>
      <x:c r="H6" s="28" t="str">
        <x:v>сорт, зрелость и технология обработки меняют профиль</x:v>
      </x:c>
      <x:c r="I6" s="28" t="n">
        <x:v>1</x:v>
      </x:c>
    </x:row>
    <x:row r="7" ht="52" customHeight="1">
      <x:c r="A7" s="28" t="str">
        <x:v>акациевый мёд</x:v>
      </x:c>
      <x:c r="B7" s="28" t="str">
        <x:v>Выпечка, крупы, сахара и десерты</x:v>
      </x:c>
      <x:c r="C7" s="28" t="str">
        <x:v>медовый, сладкий, цветочный</x:v>
      </x:c>
      <x:c r="D7" s="28" t="str">
        <x:v>норизопреноиды, фенилуксусная кислота</x:v>
      </x:c>
      <x:c r="E7" s="28" t="str">
        <x:v>вкусовой баланс зависит от конкретного продукта</x:v>
      </x:c>
      <x:c r="F7" s="28" t="str">
        <x:v>обычно минимальный; проверить для острых и охлаждающих компонентов</x:v>
      </x:c>
      <x:c r="G7" s="28" t="str">
        <x:v>матрица зависит от содержания воды, жира, белка и клетчатки</x:v>
      </x:c>
      <x:c r="H7" s="28" t="str">
        <x:v>сорт, зрелость и технология обработки меняют профиль</x:v>
      </x:c>
      <x:c r="I7" s="28" t="n">
        <x:v>1</x:v>
      </x:c>
    </x:row>
    <x:row r="8" ht="52" customHeight="1">
      <x:c r="A8" s="28" t="str">
        <x:v>актинидия</x:v>
      </x:c>
      <x:c r="B8" s="28" t="str">
        <x:v>Прочее</x:v>
      </x:c>
      <x:c r="C8" s="28" t="str">
        <x:v>профиль зависит от конкретного продукта</x:v>
      </x:c>
      <x:c r="D8" s="28" t="str">
        <x:v>нет уточнённого профиля</x:v>
      </x:c>
      <x:c r="E8" s="28" t="str">
        <x:v>вкусовой баланс зависит от конкретного продукта</x:v>
      </x:c>
      <x:c r="F8" s="28" t="str">
        <x:v>обычно минимальный; проверить для острых и охлаждающих компонентов</x:v>
      </x:c>
      <x:c r="G8" s="28" t="str">
        <x:v>матрица зависит от содержания воды, жира, белка и клетчатки</x:v>
      </x:c>
      <x:c r="H8" s="28" t="str">
        <x:v>сорт, зрелость и технология обработки меняют профиль</x:v>
      </x:c>
      <x:c r="I8" s="28" t="n">
        <x:v>1</x:v>
      </x:c>
    </x:row>
    <x:row r="9" ht="52" customHeight="1">
      <x:c r="A9" s="28" t="str">
        <x:v>ананас</x:v>
      </x:c>
      <x:c r="B9" s="28" t="str">
        <x:v>Фрукты и ягоды</x:v>
      </x:c>
      <x:c r="C9" s="28" t="str">
        <x:v>карамельный, сернистый, фруктовый</x:v>
      </x:c>
      <x:c r="D9" s="28" t="str">
        <x:v>сернистые эфиры, этилбутират</x:v>
      </x:c>
      <x:c r="E9" s="28" t="str">
        <x:v>вкусовой баланс зависит от конкретного продукта</x:v>
      </x:c>
      <x:c r="F9" s="28" t="str">
        <x:v>обычно минимальный; проверить для острых и охлаждающих компонентов</x:v>
      </x:c>
      <x:c r="G9" s="28" t="str">
        <x:v>матрица зависит от содержания воды, жира, белка и клетчатки</x:v>
      </x:c>
      <x:c r="H9" s="28" t="str">
        <x:v>сорт, зрелость и технология обработки меняют профиль</x:v>
      </x:c>
      <x:c r="I9" s="28" t="n">
        <x:v>2</x:v>
      </x:c>
    </x:row>
    <x:row r="10" ht="52" customHeight="1">
      <x:c r="A10" s="28" t="str">
        <x:v>анис</x:v>
      </x:c>
      <x:c r="B10" s="28" t="str">
        <x:v>Прочее</x:v>
      </x:c>
      <x:c r="C10" s="28" t="str">
        <x:v>профиль зависит от конкретного продукта</x:v>
      </x:c>
      <x:c r="D10" s="28" t="str">
        <x:v>нет уточнённого профиля</x:v>
      </x:c>
      <x:c r="E10" s="28" t="str">
        <x:v>вкусовой баланс зависит от конкретного продукта</x:v>
      </x:c>
      <x:c r="F10" s="28" t="str">
        <x:v>обычно минимальный; проверить для острых и охлаждающих компонентов</x:v>
      </x:c>
      <x:c r="G10" s="28" t="str">
        <x:v>матрица зависит от содержания воды, жира, белка и клетчатки</x:v>
      </x:c>
      <x:c r="H10" s="28" t="str">
        <x:v>сорт, зрелость и технология обработки меняют профиль</x:v>
      </x:c>
      <x:c r="I10" s="28" t="n">
        <x:v>10</x:v>
      </x:c>
    </x:row>
    <x:row r="11" ht="52" customHeight="1">
      <x:c r="A11" s="28" t="str">
        <x:v>анчоусы</x:v>
      </x:c>
      <x:c r="B11" s="28" t="str">
        <x:v>Рыба и морепродукты</x:v>
      </x:c>
      <x:c r="C11" s="28" t="str">
        <x:v>морской, солоноватый и умами</x:v>
      </x:c>
      <x:c r="D11" s="28" t="str">
        <x:v>альдегиды, амины</x:v>
      </x:c>
      <x:c r="E11" s="28" t="str">
        <x:v>вкусовой баланс зависит от конкретного продукта</x:v>
      </x:c>
      <x:c r="F11" s="28" t="str">
        <x:v>обычно минимальный; проверить для острых и охлаждающих компонентов</x:v>
      </x:c>
      <x:c r="G11" s="28" t="str">
        <x:v>матрица зависит от содержания воды, жира, белка и клетчатки</x:v>
      </x:c>
      <x:c r="H11" s="28" t="str">
        <x:v>сорт, зрелость и технология обработки меняют профиль</x:v>
      </x:c>
      <x:c r="I11" s="28" t="n">
        <x:v>7</x:v>
      </x:c>
    </x:row>
    <x:row r="12" ht="52" customHeight="1">
      <x:c r="A12" s="28" t="str">
        <x:v>апельсин</x:v>
      </x:c>
      <x:c r="B12" s="28" t="str">
        <x:v>Фрукты и ягоды</x:v>
      </x:c>
      <x:c r="C12" s="28" t="str">
        <x:v>сладкий, цветочный, цитрусовый</x:v>
      </x:c>
      <x:c r="D12" s="28" t="str">
        <x:v>лимонен, линалоол</x:v>
      </x:c>
      <x:c r="E12" s="28" t="str">
        <x:v>вкусовой баланс зависит от конкретного продукта</x:v>
      </x:c>
      <x:c r="F12" s="28" t="str">
        <x:v>обычно минимальный; проверить для острых и охлаждающих компонентов</x:v>
      </x:c>
      <x:c r="G12" s="28" t="str">
        <x:v>матрица зависит от содержания воды, жира, белка и клетчатки</x:v>
      </x:c>
      <x:c r="H12" s="28" t="str">
        <x:v>сорт, зрелость и технология обработки меняют профиль</x:v>
      </x:c>
      <x:c r="I12" s="28" t="n">
        <x:v>9</x:v>
      </x:c>
    </x:row>
    <x:row r="13" ht="52" customHeight="1">
      <x:c r="A13" s="28" t="str">
        <x:v>апельсиновый сок</x:v>
      </x:c>
      <x:c r="B13" s="28" t="str">
        <x:v>Фрукты и ягоды</x:v>
      </x:c>
      <x:c r="C13" s="28" t="str">
        <x:v>сладкий, цветочный, цитрусовый</x:v>
      </x:c>
      <x:c r="D13" s="28" t="str">
        <x:v>лимонен, линалоол</x:v>
      </x:c>
      <x:c r="E13" s="28" t="str">
        <x:v>вкусовой баланс зависит от конкретного продукта</x:v>
      </x:c>
      <x:c r="F13" s="28" t="str">
        <x:v>обычно минимальный; проверить для острых и охлаждающих компонентов</x:v>
      </x:c>
      <x:c r="G13" s="28" t="str">
        <x:v>матрица зависит от содержания воды, жира, белка и клетчатки</x:v>
      </x:c>
      <x:c r="H13" s="28" t="str">
        <x:v>сорт, зрелость и технология обработки меняют профиль</x:v>
      </x:c>
      <x:c r="I13" s="28" t="n">
        <x:v>1</x:v>
      </x:c>
    </x:row>
    <x:row r="14" ht="52" customHeight="1">
      <x:c r="A14" s="28" t="str">
        <x:v>арак</x:v>
      </x:c>
      <x:c r="B14" s="28" t="str">
        <x:v>Прочее</x:v>
      </x:c>
      <x:c r="C14" s="28" t="str">
        <x:v>профиль зависит от конкретного продукта</x:v>
      </x:c>
      <x:c r="D14" s="28" t="str">
        <x:v>нет уточнённого профиля</x:v>
      </x:c>
      <x:c r="E14" s="28" t="str">
        <x:v>вкусовой баланс зависит от конкретного продукта</x:v>
      </x:c>
      <x:c r="F14" s="28" t="str">
        <x:v>обычно минимальный; проверить для острых и охлаждающих компонентов</x:v>
      </x:c>
      <x:c r="G14" s="28" t="str">
        <x:v>матрица зависит от содержания воды, жира, белка и клетчатки</x:v>
      </x:c>
      <x:c r="H14" s="28" t="str">
        <x:v>сорт, зрелость и технология обработки меняют профиль</x:v>
      </x:c>
      <x:c r="I14" s="28" t="n">
        <x:v>1</x:v>
      </x:c>
    </x:row>
    <x:row r="15" ht="52" customHeight="1">
      <x:c r="A15" s="28" t="str">
        <x:v>арахис</x:v>
      </x:c>
      <x:c r="B15" s="28" t="str">
        <x:v>Орехи и семена</x:v>
      </x:c>
      <x:c r="C15" s="28" t="str">
        <x:v>ореховый, жареный и жирный</x:v>
      </x:c>
      <x:c r="D15" s="28" t="str">
        <x:v>альдегиды, пиразины, фураны</x:v>
      </x:c>
      <x:c r="E15" s="28" t="str">
        <x:v>вкусовой баланс зависит от конкретного продукта</x:v>
      </x:c>
      <x:c r="F15" s="28" t="str">
        <x:v>обычно минимальный; проверить для острых и охлаждающих компонентов</x:v>
      </x:c>
      <x:c r="G15" s="28" t="str">
        <x:v>матрица зависит от содержания воды, жира, белка и клетчатки</x:v>
      </x:c>
      <x:c r="H15" s="28" t="str">
        <x:v>сорт, зрелость и технология обработки меняют профиль</x:v>
      </x:c>
      <x:c r="I15" s="28" t="n">
        <x:v>10</x:v>
      </x:c>
    </x:row>
    <x:row r="16" ht="52" customHeight="1">
      <x:c r="A16" s="28" t="str">
        <x:v>арахисовая паста</x:v>
      </x:c>
      <x:c r="B16" s="28" t="str">
        <x:v>Орехи и семена</x:v>
      </x:c>
      <x:c r="C16" s="28" t="str">
        <x:v>ореховый, жареный и жирный</x:v>
      </x:c>
      <x:c r="D16" s="28" t="str">
        <x:v>альдегиды, пиразины, фураны</x:v>
      </x:c>
      <x:c r="E16" s="28" t="str">
        <x:v>вкусовой баланс зависит от конкретного продукта</x:v>
      </x:c>
      <x:c r="F16" s="28" t="str">
        <x:v>обычно минимальный; проверить для острых и охлаждающих компонентов</x:v>
      </x:c>
      <x:c r="G16" s="28" t="str">
        <x:v>матрица зависит от содержания воды, жира, белка и клетчатки</x:v>
      </x:c>
      <x:c r="H16" s="28" t="str">
        <x:v>сорт, зрелость и технология обработки меняют профиль</x:v>
      </x:c>
      <x:c r="I16" s="28" t="n">
        <x:v>1</x:v>
      </x:c>
    </x:row>
    <x:row r="17" ht="52" customHeight="1">
      <x:c r="A17" s="28" t="str">
        <x:v>арбуз</x:v>
      </x:c>
      <x:c r="B17" s="28" t="str">
        <x:v>Прочее</x:v>
      </x:c>
      <x:c r="C17" s="28" t="str">
        <x:v>профиль зависит от конкретного продукта</x:v>
      </x:c>
      <x:c r="D17" s="28" t="str">
        <x:v>нет уточнённого профиля</x:v>
      </x:c>
      <x:c r="E17" s="28" t="str">
        <x:v>вкусовой баланс зависит от конкретного продукта</x:v>
      </x:c>
      <x:c r="F17" s="28" t="str">
        <x:v>обычно минимальный; проверить для острых и охлаждающих компонентов</x:v>
      </x:c>
      <x:c r="G17" s="28" t="str">
        <x:v>матрица зависит от содержания воды, жира, белка и клетчатки</x:v>
      </x:c>
      <x:c r="H17" s="28" t="str">
        <x:v>сорт, зрелость и технология обработки меняют профиль</x:v>
      </x:c>
      <x:c r="I17" s="28" t="n">
        <x:v>9</x:v>
      </x:c>
    </x:row>
    <x:row r="18" ht="52" customHeight="1">
      <x:c r="A18" s="28" t="str">
        <x:v>артишок</x:v>
      </x:c>
      <x:c r="B18" s="28" t="str">
        <x:v>Соцветия и стеблевые овощи</x:v>
      </x:c>
      <x:c r="C18" s="28" t="str">
        <x:v>зелёный, ореховый, травянистый и слегка цветочный</x:v>
      </x:c>
      <x:c r="D18" s="28" t="str">
        <x:v>зелёные альдегиды, сесквитерпеновые лактоны, цинарин</x:v>
      </x:c>
      <x:c r="E18" s="28" t="str">
        <x:v>горечь, сладковатое послевкусие и терпкость</x:v>
      </x:c>
      <x:c r="F18" s="28" t="str">
        <x:v>минимальный</x:v>
      </x:c>
      <x:c r="G18" s="28" t="str">
        <x:v>волокнистые листья и нежное сердце; фенолы быстро окисляются</x:v>
      </x:c>
      <x:c r="H18" s="28" t="str">
        <x:v>кислота ограничивает потемнение; варка и гриль смягчают горечь и усиливают ореховые ноты</x:v>
      </x:c>
      <x:c r="I18" s="28" t="n">
        <x:v>29</x:v>
      </x:c>
    </x:row>
    <x:row r="19" ht="52" customHeight="1">
      <x:c r="A19" s="28" t="str">
        <x:v>асаи</x:v>
      </x:c>
      <x:c r="B19" s="28" t="str">
        <x:v>Прочее</x:v>
      </x:c>
      <x:c r="C19" s="28" t="str">
        <x:v>профиль зависит от конкретного продукта</x:v>
      </x:c>
      <x:c r="D19" s="28" t="str">
        <x:v>нет уточнённого профиля</x:v>
      </x:c>
      <x:c r="E19" s="28" t="str">
        <x:v>вкусовой баланс зависит от конкретного продукта</x:v>
      </x:c>
      <x:c r="F19" s="28" t="str">
        <x:v>обычно минимальный; проверить для острых и охлаждающих компонентов</x:v>
      </x:c>
      <x:c r="G19" s="28" t="str">
        <x:v>матрица зависит от содержания воды, жира, белка и клетчатки</x:v>
      </x:c>
      <x:c r="H19" s="28" t="str">
        <x:v>сорт, зрелость и технология обработки меняют профиль</x:v>
      </x:c>
      <x:c r="I19" s="28" t="n">
        <x:v>1</x:v>
      </x:c>
    </x:row>
    <x:row r="20" ht="52" customHeight="1">
      <x:c r="A20" s="28" t="str">
        <x:v>багет</x:v>
      </x:c>
      <x:c r="B20" s="28" t="str">
        <x:v>Прочее</x:v>
      </x:c>
      <x:c r="C20" s="28" t="str">
        <x:v>профиль зависит от конкретного продукта</x:v>
      </x:c>
      <x:c r="D20" s="28" t="str">
        <x:v>нет уточнённого профиля</x:v>
      </x:c>
      <x:c r="E20" s="28" t="str">
        <x:v>вкусовой баланс зависит от конкретного продукта</x:v>
      </x:c>
      <x:c r="F20" s="28" t="str">
        <x:v>обычно минимальный; проверить для острых и охлаждающих компонентов</x:v>
      </x:c>
      <x:c r="G20" s="28" t="str">
        <x:v>матрица зависит от содержания воды, жира, белка и клетчатки</x:v>
      </x:c>
      <x:c r="H20" s="28" t="str">
        <x:v>сорт, зрелость и технология обработки меняют профиль</x:v>
      </x:c>
      <x:c r="I20" s="28" t="n">
        <x:v>1</x:v>
      </x:c>
    </x:row>
    <x:row r="21" ht="52" customHeight="1">
      <x:c r="A21" s="28" t="str">
        <x:v>базилик</x:v>
      </x:c>
      <x:c r="B21" s="28" t="str">
        <x:v>Травы, цветы и листья</x:v>
      </x:c>
      <x:c r="C21" s="28" t="str">
        <x:v>зелёный, пряный, цветочный</x:v>
      </x:c>
      <x:c r="D21" s="28" t="str">
        <x:v>линалоол, эвгенол</x:v>
      </x:c>
      <x:c r="E21" s="28" t="str">
        <x:v>вкусовой баланс зависит от конкретного продукта</x:v>
      </x:c>
      <x:c r="F21" s="28" t="str">
        <x:v>обычно минимальный; проверить для острых и охлаждающих компонентов</x:v>
      </x:c>
      <x:c r="G21" s="28" t="str">
        <x:v>матрица зависит от содержания воды, жира, белка и клетчатки</x:v>
      </x:c>
      <x:c r="H21" s="28" t="str">
        <x:v>сорт, зрелость и технология обработки меняют профиль</x:v>
      </x:c>
      <x:c r="I21" s="28" t="n">
        <x:v>10</x:v>
      </x:c>
    </x:row>
    <x:row r="22" ht="52" customHeight="1">
      <x:c r="A22" s="28" t="str">
        <x:v>баклажан</x:v>
      </x:c>
      <x:c r="B22" s="28" t="str">
        <x:v>Плодовые овощи</x:v>
      </x:c>
      <x:c r="C22" s="28" t="str">
        <x:v>зелёный, землистый, слегка грибной и дымный после жарки</x:v>
      </x:c>
      <x:c r="D22" s="28" t="str">
        <x:v>1-гексен-3-ол, гексаналь, пиразины, фенольные соединения</x:v>
      </x:c>
      <x:c r="E22" s="28" t="str">
        <x:v>мягкая горечь, слабая сладость и губчатая текстура</x:v>
      </x:c>
      <x:c r="F22" s="28" t="str">
        <x:v>минимальный</x:v>
      </x:c>
      <x:c r="G22" s="28" t="str">
        <x:v>водная пористая мякоть, быстро впитывающая масло и соусы</x:v>
      </x:c>
      <x:c r="H22" s="28" t="str">
        <x:v>гриль и жарка формируют дымные и жареные ноты; соль и нагрев смягчают горечь</x:v>
      </x:c>
      <x:c r="I22" s="28" t="n">
        <x:v>22</x:v>
      </x:c>
    </x:row>
    <x:row r="23" ht="52" customHeight="1">
      <x:c r="A23" s="28" t="str">
        <x:v>бальзамический уксус</x:v>
      </x:c>
      <x:c r="B23" s="28" t="str">
        <x:v>Ферментированные продукты и соусы</x:v>
      </x:c>
      <x:c r="C23" s="28" t="str">
        <x:v>ферментированный, умами и сложный</x:v>
      </x:c>
      <x:c r="D23" s="28" t="str">
        <x:v>пиразины, фураны, эфиры</x:v>
      </x:c>
      <x:c r="E23" s="28" t="str">
        <x:v>вкусовой баланс зависит от конкретного продукта</x:v>
      </x:c>
      <x:c r="F23" s="28" t="str">
        <x:v>обычно минимальный; проверить для острых и охлаждающих компонентов</x:v>
      </x:c>
      <x:c r="G23" s="28" t="str">
        <x:v>матрица зависит от содержания воды, жира, белка и клетчатки</x:v>
      </x:c>
      <x:c r="H23" s="28" t="str">
        <x:v>сорт, зрелость и технология обработки меняют профиль</x:v>
      </x:c>
      <x:c r="I23" s="28" t="n">
        <x:v>5</x:v>
      </x:c>
    </x:row>
    <x:row r="24" ht="52" customHeight="1">
      <x:c r="A24" s="28" t="str">
        <x:v>банан</x:v>
      </x:c>
      <x:c r="B24" s="28" t="str">
        <x:v>Фрукты и ягоды</x:v>
      </x:c>
      <x:c r="C24" s="28" t="str">
        <x:v>фруктовый, цветочный и свежий</x:v>
      </x:c>
      <x:c r="D24" s="28" t="str">
        <x:v>альдегиды, эфиры</x:v>
      </x:c>
      <x:c r="E24" s="28" t="str">
        <x:v>вкусовой баланс зависит от конкретного продукта</x:v>
      </x:c>
      <x:c r="F24" s="28" t="str">
        <x:v>обычно минимальный; проверить для острых и охлаждающих компонентов</x:v>
      </x:c>
      <x:c r="G24" s="28" t="str">
        <x:v>матрица зависит от содержания воды, жира, белка и клетчатки</x:v>
      </x:c>
      <x:c r="H24" s="28" t="str">
        <x:v>сорт, зрелость и технология обработки меняют профиль</x:v>
      </x:c>
      <x:c r="I24" s="28" t="n">
        <x:v>8</x:v>
      </x:c>
    </x:row>
    <x:row r="25" ht="52" customHeight="1">
      <x:c r="A25" s="28" t="str">
        <x:v>баранина</x:v>
      </x:c>
      <x:c r="B25" s="28" t="str">
        <x:v>Мясо и птица</x:v>
      </x:c>
      <x:c r="C25" s="28" t="str">
        <x:v>жареный, мясной и умами</x:v>
      </x:c>
      <x:c r="D25" s="28" t="str">
        <x:v>пиразины, сернистые соединения</x:v>
      </x:c>
      <x:c r="E25" s="28" t="str">
        <x:v>вкусовой баланс зависит от конкретного продукта</x:v>
      </x:c>
      <x:c r="F25" s="28" t="str">
        <x:v>обычно минимальный; проверить для острых и охлаждающих компонентов</x:v>
      </x:c>
      <x:c r="G25" s="28" t="str">
        <x:v>матрица зависит от содержания воды, жира, белка и клетчатки</x:v>
      </x:c>
      <x:c r="H25" s="28" t="str">
        <x:v>сорт, зрелость и технология обработки меняют профиль</x:v>
      </x:c>
      <x:c r="I25" s="28" t="n">
        <x:v>13</x:v>
      </x:c>
    </x:row>
    <x:row r="26" ht="52" customHeight="1">
      <x:c r="A26" s="28" t="str">
        <x:v>барбарис</x:v>
      </x:c>
      <x:c r="B26" s="28" t="str">
        <x:v>Выпечка, крупы, сахара и десерты</x:v>
      </x:c>
      <x:c r="C26" s="28" t="str">
        <x:v>сладкий, карамельный и жареный</x:v>
      </x:c>
      <x:c r="D26" s="28" t="str">
        <x:v>мальтол, пиразины, фураны</x:v>
      </x:c>
      <x:c r="E26" s="28" t="str">
        <x:v>вкусовой баланс зависит от конкретного продукта</x:v>
      </x:c>
      <x:c r="F26" s="28" t="str">
        <x:v>обычно минимальный; проверить для острых и охлаждающих компонентов</x:v>
      </x:c>
      <x:c r="G26" s="28" t="str">
        <x:v>матрица зависит от содержания воды, жира, белка и клетчатки</x:v>
      </x:c>
      <x:c r="H26" s="28" t="str">
        <x:v>сорт, зрелость и технология обработки меняют профиль</x:v>
      </x:c>
      <x:c r="I26" s="28" t="n">
        <x:v>1</x:v>
      </x:c>
    </x:row>
    <x:row r="27" ht="52" customHeight="1">
      <x:c r="A27" s="28" t="str">
        <x:v>батат</x:v>
      </x:c>
      <x:c r="B27" s="28" t="str">
        <x:v>Корнеплоды и клубни</x:v>
      </x:c>
      <x:c r="C27" s="28" t="str">
        <x:v>сладкий, крахмалистый, цветочный, карамельный и ореховый после запекания</x:v>
      </x:c>
      <x:c r="D27" s="28" t="str">
        <x:v>мальтол, норизопреноиды, пиразины, фураны</x:v>
      </x:c>
      <x:c r="E27" s="28" t="str">
        <x:v>заметная сладость, мягкая крахмалистость</x:v>
      </x:c>
      <x:c r="F27" s="28" t="str">
        <x:v>минимальный</x:v>
      </x:c>
      <x:c r="G27" s="28" t="str">
        <x:v>крахмальная матрица с сахарами и каротиноидами</x:v>
      </x:c>
      <x:c r="H27" s="28" t="str">
        <x:v>запекание усиливает мальтол, карамельность и жареные ноты; пюре удерживает жир и специи</x:v>
      </x:c>
      <x:c r="I27" s="28" t="n">
        <x:v>68</x:v>
      </x:c>
    </x:row>
    <x:row r="28" ht="52" customHeight="1">
      <x:c r="A28" s="28" t="str">
        <x:v>бекон</x:v>
      </x:c>
      <x:c r="B28" s="28" t="str">
        <x:v>Мясо и птица</x:v>
      </x:c>
      <x:c r="C28" s="28" t="str">
        <x:v>дымный, жареный, умами</x:v>
      </x:c>
      <x:c r="D28" s="28" t="str">
        <x:v>пиразины, фенолы</x:v>
      </x:c>
      <x:c r="E28" s="28" t="str">
        <x:v>вкусовой баланс зависит от конкретного продукта</x:v>
      </x:c>
      <x:c r="F28" s="28" t="str">
        <x:v>обычно минимальный; проверить для острых и охлаждающих компонентов</x:v>
      </x:c>
      <x:c r="G28" s="28" t="str">
        <x:v>матрица зависит от содержания воды, жира, белка и клетчатки</x:v>
      </x:c>
      <x:c r="H28" s="28" t="str">
        <x:v>сорт, зрелость и технология обработки меняют профиль</x:v>
      </x:c>
      <x:c r="I28" s="28" t="n">
        <x:v>14</x:v>
      </x:c>
    </x:row>
    <x:row r="29" ht="52" customHeight="1">
      <x:c r="A29" s="28" t="str">
        <x:v>белая рыба</x:v>
      </x:c>
      <x:c r="B29" s="28" t="str">
        <x:v>Рыба и морепродукты</x:v>
      </x:c>
      <x:c r="C29" s="28" t="str">
        <x:v>жирный, морской, умами</x:v>
      </x:c>
      <x:c r="D29" s="28" t="str">
        <x:v>альдегиды, амины</x:v>
      </x:c>
      <x:c r="E29" s="28" t="str">
        <x:v>вкусовой баланс зависит от конкретного продукта</x:v>
      </x:c>
      <x:c r="F29" s="28" t="str">
        <x:v>обычно минимальный; проверить для острых и охлаждающих компонентов</x:v>
      </x:c>
      <x:c r="G29" s="28" t="str">
        <x:v>матрица зависит от содержания воды, жира, белка и клетчатки</x:v>
      </x:c>
      <x:c r="H29" s="28" t="str">
        <x:v>сорт, зрелость и технология обработки меняют профиль</x:v>
      </x:c>
      <x:c r="I29" s="28" t="n">
        <x:v>9</x:v>
      </x:c>
    </x:row>
    <x:row r="30" ht="52" customHeight="1">
      <x:c r="A30" s="28" t="str">
        <x:v>бергамот</x:v>
      </x:c>
      <x:c r="B30" s="28" t="str">
        <x:v>Прочее</x:v>
      </x:c>
      <x:c r="C30" s="28" t="str">
        <x:v>профиль зависит от конкретного продукта</x:v>
      </x:c>
      <x:c r="D30" s="28" t="str">
        <x:v>нет уточнённого профиля</x:v>
      </x:c>
      <x:c r="E30" s="28" t="str">
        <x:v>вкусовой баланс зависит от конкретного продукта</x:v>
      </x:c>
      <x:c r="F30" s="28" t="str">
        <x:v>обычно минимальный; проверить для острых и охлаждающих компонентов</x:v>
      </x:c>
      <x:c r="G30" s="28" t="str">
        <x:v>матрица зависит от содержания воды, жира, белка и клетчатки</x:v>
      </x:c>
      <x:c r="H30" s="28" t="str">
        <x:v>сорт, зрелость и технология обработки меняют профиль</x:v>
      </x:c>
      <x:c r="I30" s="28" t="n">
        <x:v>2</x:v>
      </x:c>
    </x:row>
    <x:row r="31" ht="52" customHeight="1">
      <x:c r="A31" s="28" t="str">
        <x:v>бобы</x:v>
      </x:c>
      <x:c r="B31" s="28" t="str">
        <x:v>Бобовые</x:v>
      </x:c>
      <x:c r="C31" s="28" t="str">
        <x:v>зелёный, бобовый и крахмалистый</x:v>
      </x:c>
      <x:c r="D31" s="28" t="str">
        <x:v>альдегиды, метоксипиразины</x:v>
      </x:c>
      <x:c r="E31" s="28" t="str">
        <x:v>вкусовой баланс зависит от конкретного продукта</x:v>
      </x:c>
      <x:c r="F31" s="28" t="str">
        <x:v>обычно минимальный; проверить для острых и охлаждающих компонентов</x:v>
      </x:c>
      <x:c r="G31" s="28" t="str">
        <x:v>матрица зависит от содержания воды, жира, белка и клетчатки</x:v>
      </x:c>
      <x:c r="H31" s="28" t="str">
        <x:v>сорт, зрелость и технология обработки меняют профиль</x:v>
      </x:c>
      <x:c r="I31" s="28" t="n">
        <x:v>1</x:v>
      </x:c>
    </x:row>
    <x:row r="32" ht="52" customHeight="1">
      <x:c r="A32" s="28" t="str">
        <x:v>болгарский перец</x:v>
      </x:c>
      <x:c r="B32" s="28" t="str">
        <x:v>Плодовые овощи</x:v>
      </x:c>
      <x:c r="C32" s="28" t="str">
        <x:v>зелёный, травянистый, фруктовый; у красного — сладкий и жареный</x:v>
      </x:c>
      <x:c r="D32" s="28" t="str">
        <x:v>2-изобутил-3-метоксипиразин, гексаналь, лимонен, эфиры</x:v>
      </x:c>
      <x:c r="E32" s="28" t="str">
        <x:v>хрустящая сладость и лёгкая горечь; зелёный сорт более растительный</x:v>
      </x:c>
      <x:c r="F32" s="28" t="str">
        <x:v>минимальный</x:v>
      </x:c>
      <x:c r="G32" s="28" t="str">
        <x:v>водная плодовая матрица с кожицей и пектинами</x:v>
      </x:c>
      <x:c r="H32" s="28" t="str">
        <x:v>запекание снижает зелёные пиразины и усиливает сладость; снятие кожицы улучшает текстуру</x:v>
      </x:c>
      <x:c r="I32" s="28" t="n">
        <x:v>63</x:v>
      </x:c>
    </x:row>
    <x:row r="33" ht="52" customHeight="1">
      <x:c r="A33" s="28" t="str">
        <x:v>бразильский орех</x:v>
      </x:c>
      <x:c r="B33" s="28" t="str">
        <x:v>Орехи и семена</x:v>
      </x:c>
      <x:c r="C33" s="28" t="str">
        <x:v>ореховый, жареный и жирный</x:v>
      </x:c>
      <x:c r="D33" s="28" t="str">
        <x:v>альдегиды, пиразины, фураны</x:v>
      </x:c>
      <x:c r="E33" s="28" t="str">
        <x:v>вкусовой баланс зависит от конкретного продукта</x:v>
      </x:c>
      <x:c r="F33" s="28" t="str">
        <x:v>обычно минимальный; проверить для острых и охлаждающих компонентов</x:v>
      </x:c>
      <x:c r="G33" s="28" t="str">
        <x:v>матрица зависит от содержания воды, жира, белка и клетчатки</x:v>
      </x:c>
      <x:c r="H33" s="28" t="str">
        <x:v>сорт, зрелость и технология обработки меняют профиль</x:v>
      </x:c>
      <x:c r="I33" s="28" t="n">
        <x:v>1</x:v>
      </x:c>
    </x:row>
    <x:row r="34" ht="52" customHeight="1">
      <x:c r="A34" s="28" t="str">
        <x:v>бри</x:v>
      </x:c>
      <x:c r="B34" s="28" t="str">
        <x:v>Прочее</x:v>
      </x:c>
      <x:c r="C34" s="28" t="str">
        <x:v>профиль зависит от конкретного продукта</x:v>
      </x:c>
      <x:c r="D34" s="28" t="str">
        <x:v>нет уточнённого профиля</x:v>
      </x:c>
      <x:c r="E34" s="28" t="str">
        <x:v>вкусовой баланс зависит от конкретного продукта</x:v>
      </x:c>
      <x:c r="F34" s="28" t="str">
        <x:v>обычно минимальный; проверить для острых и охлаждающих компонентов</x:v>
      </x:c>
      <x:c r="G34" s="28" t="str">
        <x:v>матрица зависит от содержания воды, жира, белка и клетчатки</x:v>
      </x:c>
      <x:c r="H34" s="28" t="str">
        <x:v>сорт, зрелость и технология обработки меняют профиль</x:v>
      </x:c>
      <x:c r="I34" s="28" t="n">
        <x:v>2</x:v>
      </x:c>
    </x:row>
    <x:row r="35" ht="52" customHeight="1">
      <x:c r="A35" s="28" t="str">
        <x:v>бри и камамбер</x:v>
      </x:c>
      <x:c r="B35" s="28" t="str">
        <x:v>Прочее</x:v>
      </x:c>
      <x:c r="C35" s="28" t="str">
        <x:v>профиль зависит от конкретного продукта</x:v>
      </x:c>
      <x:c r="D35" s="28" t="str">
        <x:v>нет уточнённого профиля</x:v>
      </x:c>
      <x:c r="E35" s="28" t="str">
        <x:v>вкусовой баланс зависит от конкретного продукта</x:v>
      </x:c>
      <x:c r="F35" s="28" t="str">
        <x:v>обычно минимальный; проверить для острых и охлаждающих компонентов</x:v>
      </x:c>
      <x:c r="G35" s="28" t="str">
        <x:v>матрица зависит от содержания воды, жира, белка и клетчатки</x:v>
      </x:c>
      <x:c r="H35" s="28" t="str">
        <x:v>сорт, зрелость и технология обработки меняют профиль</x:v>
      </x:c>
      <x:c r="I35" s="28" t="n">
        <x:v>1</x:v>
      </x:c>
    </x:row>
    <x:row r="36" ht="52" customHeight="1">
      <x:c r="A36" s="28" t="str">
        <x:v>бриошь</x:v>
      </x:c>
      <x:c r="B36" s="28" t="str">
        <x:v>Прочее</x:v>
      </x:c>
      <x:c r="C36" s="28" t="str">
        <x:v>профиль зависит от конкретного продукта</x:v>
      </x:c>
      <x:c r="D36" s="28" t="str">
        <x:v>нет уточнённого профиля</x:v>
      </x:c>
      <x:c r="E36" s="28" t="str">
        <x:v>вкусовой баланс зависит от конкретного продукта</x:v>
      </x:c>
      <x:c r="F36" s="28" t="str">
        <x:v>обычно минимальный; проверить для острых и охлаждающих компонентов</x:v>
      </x:c>
      <x:c r="G36" s="28" t="str">
        <x:v>матрица зависит от содержания воды, жира, белка и клетчатки</x:v>
      </x:c>
      <x:c r="H36" s="28" t="str">
        <x:v>сорт, зрелость и технология обработки меняют профиль</x:v>
      </x:c>
      <x:c r="I36" s="28" t="n">
        <x:v>1</x:v>
      </x:c>
    </x:row>
    <x:row r="37" ht="52" customHeight="1">
      <x:c r="A37" s="28" t="str">
        <x:v>брокколи</x:v>
      </x:c>
      <x:c r="B37" s="28" t="str">
        <x:v>Крестоцветные</x:v>
      </x:c>
      <x:c r="C37" s="28" t="str">
        <x:v>зелёный, капустный, сернистый и ореховый после жарки</x:v>
      </x:c>
      <x:c r="D37" s="28" t="str">
        <x:v>гексаналь, диметилсульфид, изотиоцианаты, пиразины</x:v>
      </x:c>
      <x:c r="E37" s="28" t="str">
        <x:v>зелёная горечь, слабая сладость и умами</x:v>
      </x:c>
      <x:c r="F37" s="28" t="str">
        <x:v>слабое горчичное покалывание</x:v>
      </x:c>
      <x:c r="G37" s="28" t="str">
        <x:v>водная волокнистая матрица; соцветия удерживают жир</x:v>
      </x:c>
      <x:c r="H37" s="28" t="str">
        <x:v>бланширование сохраняет цвет; запекание усиливает сладость и жареные ноты</x:v>
      </x:c>
      <x:c r="I37" s="28" t="n">
        <x:v>17</x:v>
      </x:c>
    </x:row>
    <x:row r="38" ht="52" customHeight="1">
      <x:c r="A38" s="28" t="str">
        <x:v>брюква</x:v>
      </x:c>
      <x:c r="B38" s="28" t="str">
        <x:v>Корнеплоды и крестоцветные</x:v>
      </x:c>
      <x:c r="C38" s="28" t="str">
        <x:v>землистый, капустный, сладкий и слегка горчичный</x:v>
      </x:c>
      <x:c r="D38" s="28" t="str">
        <x:v>глюкозинолаты, диметилсульфид, изотиоцианаты, фураны</x:v>
      </x:c>
      <x:c r="E38" s="28" t="str">
        <x:v>сладость, лёгкая горечь и крахмалистость</x:v>
      </x:c>
      <x:c r="F38" s="28" t="str">
        <x:v>умеренное горчичное покалывание</x:v>
      </x:c>
      <x:c r="G38" s="28" t="str">
        <x:v>плотная водно-углеводная матрица</x:v>
      </x:c>
      <x:c r="H38" s="28" t="str">
        <x:v>запекание усиливает сладость и ореховые ноты; варка смягчает горчичность</x:v>
      </x:c>
      <x:c r="I38" s="28" t="n">
        <x:v>9</x:v>
      </x:c>
    </x:row>
    <x:row r="39" ht="52" customHeight="1">
      <x:c r="A39" s="28" t="str">
        <x:v>бурбон</x:v>
      </x:c>
      <x:c r="B39" s="28" t="str">
        <x:v>Алкогольные напитки</x:v>
      </x:c>
      <x:c r="C39" s="28" t="str">
        <x:v>спиртовой, фруктовый или древесный</x:v>
      </x:c>
      <x:c r="D39" s="28" t="str">
        <x:v>альдегиды, эфиры</x:v>
      </x:c>
      <x:c r="E39" s="28" t="str">
        <x:v>вкусовой баланс зависит от конкретного продукта</x:v>
      </x:c>
      <x:c r="F39" s="28" t="str">
        <x:v>обычно минимальный; проверить для острых и охлаждающих компонентов</x:v>
      </x:c>
      <x:c r="G39" s="28" t="str">
        <x:v>матрица зависит от содержания воды, жира, белка и клетчатки</x:v>
      </x:c>
      <x:c r="H39" s="28" t="str">
        <x:v>сорт, зрелость и технология обработки меняют профиль</x:v>
      </x:c>
      <x:c r="I39" s="28" t="n">
        <x:v>1</x:v>
      </x:c>
    </x:row>
    <x:row r="40" ht="52" customHeight="1">
      <x:c r="A40" s="28" t="str">
        <x:v>вакаме</x:v>
      </x:c>
      <x:c r="B40" s="28" t="str">
        <x:v>Прочее</x:v>
      </x:c>
      <x:c r="C40" s="28" t="str">
        <x:v>профиль зависит от конкретного продукта</x:v>
      </x:c>
      <x:c r="D40" s="28" t="str">
        <x:v>нет уточнённого профиля</x:v>
      </x:c>
      <x:c r="E40" s="28" t="str">
        <x:v>вкусовой баланс зависит от конкретного продукта</x:v>
      </x:c>
      <x:c r="F40" s="28" t="str">
        <x:v>обычно минимальный; проверить для острых и охлаждающих компонентов</x:v>
      </x:c>
      <x:c r="G40" s="28" t="str">
        <x:v>матрица зависит от содержания воды, жира, белка и клетчатки</x:v>
      </x:c>
      <x:c r="H40" s="28" t="str">
        <x:v>сорт, зрелость и технология обработки меняют профиль</x:v>
      </x:c>
      <x:c r="I40" s="28" t="n">
        <x:v>1</x:v>
      </x:c>
    </x:row>
    <x:row r="41" ht="52" customHeight="1">
      <x:c r="A41" s="28" t="str">
        <x:v>ваниль</x:v>
      </x:c>
      <x:c r="B41" s="28" t="str">
        <x:v>Специи</x:v>
      </x:c>
      <x:c r="C41" s="28" t="str">
        <x:v>ванильный, древесный, цветочный</x:v>
      </x:c>
      <x:c r="D41" s="28" t="str">
        <x:v>ванилин</x:v>
      </x:c>
      <x:c r="E41" s="28" t="str">
        <x:v>вкусовой баланс зависит от конкретного продукта</x:v>
      </x:c>
      <x:c r="F41" s="28" t="str">
        <x:v>обычно минимальный; проверить для острых и охлаждающих компонентов</x:v>
      </x:c>
      <x:c r="G41" s="28" t="str">
        <x:v>матрица зависит от содержания воды, жира, белка и клетчатки</x:v>
      </x:c>
      <x:c r="H41" s="28" t="str">
        <x:v>сорт, зрелость и технология обработки меняют профиль</x:v>
      </x:c>
      <x:c r="I41" s="28" t="n">
        <x:v>5</x:v>
      </x:c>
    </x:row>
    <x:row r="42" ht="52" customHeight="1">
      <x:c r="A42" s="28" t="str">
        <x:v>ветчина</x:v>
      </x:c>
      <x:c r="B42" s="28" t="str">
        <x:v>Мясо и птица</x:v>
      </x:c>
      <x:c r="C42" s="28" t="str">
        <x:v>жареный, мясной и умами</x:v>
      </x:c>
      <x:c r="D42" s="28" t="str">
        <x:v>пиразины, сернистые соединения</x:v>
      </x:c>
      <x:c r="E42" s="28" t="str">
        <x:v>вкусовой баланс зависит от конкретного продукта</x:v>
      </x:c>
      <x:c r="F42" s="28" t="str">
        <x:v>обычно минимальный; проверить для острых и охлаждающих компонентов</x:v>
      </x:c>
      <x:c r="G42" s="28" t="str">
        <x:v>матрица зависит от содержания воды, жира, белка и клетчатки</x:v>
      </x:c>
      <x:c r="H42" s="28" t="str">
        <x:v>сорт, зрелость и технология обработки меняют профиль</x:v>
      </x:c>
      <x:c r="I42" s="28" t="n">
        <x:v>2</x:v>
      </x:c>
    </x:row>
    <x:row r="43" ht="52" customHeight="1">
      <x:c r="A43" s="28" t="str">
        <x:v>виноград</x:v>
      </x:c>
      <x:c r="B43" s="28" t="str">
        <x:v>Фрукты и ягоды</x:v>
      </x:c>
      <x:c r="C43" s="28" t="str">
        <x:v>фруктовый, цветочный и свежий</x:v>
      </x:c>
      <x:c r="D43" s="28" t="str">
        <x:v>альдегиды, эфиры</x:v>
      </x:c>
      <x:c r="E43" s="28" t="str">
        <x:v>вкусовой баланс зависит от конкретного продукта</x:v>
      </x:c>
      <x:c r="F43" s="28" t="str">
        <x:v>обычно минимальный; проверить для острых и охлаждающих компонентов</x:v>
      </x:c>
      <x:c r="G43" s="28" t="str">
        <x:v>матрица зависит от содержания воды, жира, белка и клетчатки</x:v>
      </x:c>
      <x:c r="H43" s="28" t="str">
        <x:v>сорт, зрелость и технология обработки меняют профиль</x:v>
      </x:c>
      <x:c r="I43" s="28" t="n">
        <x:v>3</x:v>
      </x:c>
    </x:row>
    <x:row r="44" ht="52" customHeight="1">
      <x:c r="A44" s="28" t="str">
        <x:v>вишня</x:v>
      </x:c>
      <x:c r="B44" s="28" t="str">
        <x:v>Фрукты и ягоды</x:v>
      </x:c>
      <x:c r="C44" s="28" t="str">
        <x:v>миндальный, фруктовый</x:v>
      </x:c>
      <x:c r="D44" s="28" t="str">
        <x:v>бензальдегид, эфиры</x:v>
      </x:c>
      <x:c r="E44" s="28" t="str">
        <x:v>вкусовой баланс зависит от конкретного продукта</x:v>
      </x:c>
      <x:c r="F44" s="28" t="str">
        <x:v>обычно минимальный; проверить для острых и охлаждающих компонентов</x:v>
      </x:c>
      <x:c r="G44" s="28" t="str">
        <x:v>матрица зависит от содержания воды, жира, белка и клетчатки</x:v>
      </x:c>
      <x:c r="H44" s="28" t="str">
        <x:v>сорт, зрелость и технология обработки меняют профиль</x:v>
      </x:c>
      <x:c r="I44" s="28" t="n">
        <x:v>2</x:v>
      </x:c>
    </x:row>
    <x:row r="45" ht="52" customHeight="1">
      <x:c r="A45" s="28" t="str">
        <x:v>вишнёвое варенье</x:v>
      </x:c>
      <x:c r="B45" s="28" t="str">
        <x:v>Фрукты и ягоды</x:v>
      </x:c>
      <x:c r="C45" s="28" t="str">
        <x:v>фруктовый, цветочный и свежий</x:v>
      </x:c>
      <x:c r="D45" s="28" t="str">
        <x:v>альдегиды, эфиры</x:v>
      </x:c>
      <x:c r="E45" s="28" t="str">
        <x:v>вкусовой баланс зависит от конкретного продукта</x:v>
      </x:c>
      <x:c r="F45" s="28" t="str">
        <x:v>обычно минимальный; проверить для острых и охлаждающих компонентов</x:v>
      </x:c>
      <x:c r="G45" s="28" t="str">
        <x:v>матрица зависит от содержания воды, жира, белка и клетчатки</x:v>
      </x:c>
      <x:c r="H45" s="28" t="str">
        <x:v>сорт, зрелость и технология обработки меняют профиль</x:v>
      </x:c>
      <x:c r="I45" s="28" t="n">
        <x:v>1</x:v>
      </x:c>
    </x:row>
    <x:row r="46" ht="52" customHeight="1">
      <x:c r="A46" s="28" t="str">
        <x:v>водка</x:v>
      </x:c>
      <x:c r="B46" s="28" t="str">
        <x:v>Алкогольные напитки</x:v>
      </x:c>
      <x:c r="C46" s="28" t="str">
        <x:v>спиртовой, фруктовый или древесный</x:v>
      </x:c>
      <x:c r="D46" s="28" t="str">
        <x:v>альдегиды, эфиры</x:v>
      </x:c>
      <x:c r="E46" s="28" t="str">
        <x:v>вкусовой баланс зависит от конкретного продукта</x:v>
      </x:c>
      <x:c r="F46" s="28" t="str">
        <x:v>обычно минимальный; проверить для острых и охлаждающих компонентов</x:v>
      </x:c>
      <x:c r="G46" s="28" t="str">
        <x:v>матрица зависит от содержания воды, жира, белка и клетчатки</x:v>
      </x:c>
      <x:c r="H46" s="28" t="str">
        <x:v>сорт, зрелость и технология обработки меняют профиль</x:v>
      </x:c>
      <x:c r="I46" s="28" t="n">
        <x:v>2</x:v>
      </x:c>
    </x:row>
    <x:row r="47" ht="52" customHeight="1">
      <x:c r="A47" s="28" t="str">
        <x:v>водоросли</x:v>
      </x:c>
      <x:c r="B47" s="28" t="str">
        <x:v>Прочее</x:v>
      </x:c>
      <x:c r="C47" s="28" t="str">
        <x:v>профиль зависит от конкретного продукта</x:v>
      </x:c>
      <x:c r="D47" s="28" t="str">
        <x:v>нет уточнённого профиля</x:v>
      </x:c>
      <x:c r="E47" s="28" t="str">
        <x:v>вкусовой баланс зависит от конкретного продукта</x:v>
      </x:c>
      <x:c r="F47" s="28" t="str">
        <x:v>обычно минимальный; проверить для острых и охлаждающих компонентов</x:v>
      </x:c>
      <x:c r="G47" s="28" t="str">
        <x:v>матрица зависит от содержания воды, жира, белка и клетчатки</x:v>
      </x:c>
      <x:c r="H47" s="28" t="str">
        <x:v>сорт, зрелость и технология обработки меняют профиль</x:v>
      </x:c>
      <x:c r="I47" s="28" t="n">
        <x:v>4</x:v>
      </x:c>
    </x:row>
    <x:row r="48" ht="52" customHeight="1">
      <x:c r="A48" s="28" t="str">
        <x:v>водоросль грацилярия</x:v>
      </x:c>
      <x:c r="B48" s="28" t="str">
        <x:v>Прочее</x:v>
      </x:c>
      <x:c r="C48" s="28" t="str">
        <x:v>профиль зависит от конкретного продукта</x:v>
      </x:c>
      <x:c r="D48" s="28" t="str">
        <x:v>нет уточнённого профиля</x:v>
      </x:c>
      <x:c r="E48" s="28" t="str">
        <x:v>вкусовой баланс зависит от конкретного продукта</x:v>
      </x:c>
      <x:c r="F48" s="28" t="str">
        <x:v>обычно минимальный; проверить для острых и охлаждающих компонентов</x:v>
      </x:c>
      <x:c r="G48" s="28" t="str">
        <x:v>матрица зависит от содержания воды, жира, белка и клетчатки</x:v>
      </x:c>
      <x:c r="H48" s="28" t="str">
        <x:v>сорт, зрелость и технология обработки меняют профиль</x:v>
      </x:c>
      <x:c r="I48" s="28" t="n">
        <x:v>2</x:v>
      </x:c>
    </x:row>
    <x:row r="49" ht="52" customHeight="1">
      <x:c r="A49" s="28" t="str">
        <x:v>водоросль кодиум</x:v>
      </x:c>
      <x:c r="B49" s="28" t="str">
        <x:v>Прочее</x:v>
      </x:c>
      <x:c r="C49" s="28" t="str">
        <x:v>профиль зависит от конкретного продукта</x:v>
      </x:c>
      <x:c r="D49" s="28" t="str">
        <x:v>нет уточнённого профиля</x:v>
      </x:c>
      <x:c r="E49" s="28" t="str">
        <x:v>вкусовой баланс зависит от конкретного продукта</x:v>
      </x:c>
      <x:c r="F49" s="28" t="str">
        <x:v>обычно минимальный; проверить для острых и охлаждающих компонентов</x:v>
      </x:c>
      <x:c r="G49" s="28" t="str">
        <x:v>матрица зависит от содержания воды, жира, белка и клетчатки</x:v>
      </x:c>
      <x:c r="H49" s="28" t="str">
        <x:v>сорт, зрелость и технология обработки меняют профиль</x:v>
      </x:c>
      <x:c r="I49" s="28" t="n">
        <x:v>1</x:v>
      </x:c>
    </x:row>
    <x:row r="50" ht="52" customHeight="1">
      <x:c r="A50" s="28" t="str">
        <x:v>водяной кресс</x:v>
      </x:c>
      <x:c r="B50" s="28" t="str">
        <x:v>Прочее</x:v>
      </x:c>
      <x:c r="C50" s="28" t="str">
        <x:v>профиль зависит от конкретного продукта</x:v>
      </x:c>
      <x:c r="D50" s="28" t="str">
        <x:v>нет уточнённого профиля</x:v>
      </x:c>
      <x:c r="E50" s="28" t="str">
        <x:v>вкусовой баланс зависит от конкретного продукта</x:v>
      </x:c>
      <x:c r="F50" s="28" t="str">
        <x:v>обычно минимальный; проверить для острых и охлаждающих компонентов</x:v>
      </x:c>
      <x:c r="G50" s="28" t="str">
        <x:v>матрица зависит от содержания воды, жира, белка и клетчатки</x:v>
      </x:c>
      <x:c r="H50" s="28" t="str">
        <x:v>сорт, зрелость и технология обработки меняют профиль</x:v>
      </x:c>
      <x:c r="I50" s="28" t="n">
        <x:v>3</x:v>
      </x:c>
    </x:row>
    <x:row r="51" ht="52" customHeight="1">
      <x:c r="A51" s="28" t="str">
        <x:v>восковое яблоко</x:v>
      </x:c>
      <x:c r="B51" s="28" t="str">
        <x:v>Фрукты и ягоды</x:v>
      </x:c>
      <x:c r="C51" s="28" t="str">
        <x:v>зелёный, свежий, фруктовый</x:v>
      </x:c>
      <x:c r="D51" s="28" t="str">
        <x:v>гексаналь, гексилацетат</x:v>
      </x:c>
      <x:c r="E51" s="28" t="str">
        <x:v>вкусовой баланс зависит от конкретного продукта</x:v>
      </x:c>
      <x:c r="F51" s="28" t="str">
        <x:v>обычно минимальный; проверить для острых и охлаждающих компонентов</x:v>
      </x:c>
      <x:c r="G51" s="28" t="str">
        <x:v>матрица зависит от содержания воды, жира, белка и клетчатки</x:v>
      </x:c>
      <x:c r="H51" s="28" t="str">
        <x:v>сорт, зрелость и технология обработки меняют профиль</x:v>
      </x:c>
      <x:c r="I51" s="28" t="n">
        <x:v>1</x:v>
      </x:c>
    </x:row>
    <x:row r="52" ht="52" customHeight="1">
      <x:c r="A52" s="28" t="str">
        <x:v>вьетнамский рыбный соус</x:v>
      </x:c>
      <x:c r="B52" s="28" t="str">
        <x:v>Рыба и морепродукты</x:v>
      </x:c>
      <x:c r="C52" s="28" t="str">
        <x:v>морской, солоноватый и умами</x:v>
      </x:c>
      <x:c r="D52" s="28" t="str">
        <x:v>альдегиды, амины</x:v>
      </x:c>
      <x:c r="E52" s="28" t="str">
        <x:v>вкусовой баланс зависит от конкретного продукта</x:v>
      </x:c>
      <x:c r="F52" s="28" t="str">
        <x:v>обычно минимальный; проверить для острых и охлаждающих компонентов</x:v>
      </x:c>
      <x:c r="G52" s="28" t="str">
        <x:v>матрица зависит от содержания воды, жира, белка и клетчатки</x:v>
      </x:c>
      <x:c r="H52" s="28" t="str">
        <x:v>сорт, зрелость и технология обработки меняют профиль</x:v>
      </x:c>
      <x:c r="I52" s="28" t="n">
        <x:v>1</x:v>
      </x:c>
    </x:row>
    <x:row r="53" ht="52" customHeight="1">
      <x:c r="A53" s="28" t="str">
        <x:v>гамбургер</x:v>
      </x:c>
      <x:c r="B53" s="28" t="str">
        <x:v>Прочее</x:v>
      </x:c>
      <x:c r="C53" s="28" t="str">
        <x:v>профиль зависит от конкретного продукта</x:v>
      </x:c>
      <x:c r="D53" s="28" t="str">
        <x:v>нет уточнённого профиля</x:v>
      </x:c>
      <x:c r="E53" s="28" t="str">
        <x:v>вкусовой баланс зависит от конкретного продукта</x:v>
      </x:c>
      <x:c r="F53" s="28" t="str">
        <x:v>обычно минимальный; проверить для острых и охлаждающих компонентов</x:v>
      </x:c>
      <x:c r="G53" s="28" t="str">
        <x:v>матрица зависит от содержания воды, жира, белка и клетчатки</x:v>
      </x:c>
      <x:c r="H53" s="28" t="str">
        <x:v>сорт, зрелость и технология обработки меняют профиль</x:v>
      </x:c>
      <x:c r="I53" s="28" t="n">
        <x:v>3</x:v>
      </x:c>
    </x:row>
    <x:row r="54" ht="52" customHeight="1">
      <x:c r="A54" s="28" t="str">
        <x:v>гвоздика</x:v>
      </x:c>
      <x:c r="B54" s="28" t="str">
        <x:v>Специи</x:v>
      </x:c>
      <x:c r="C54" s="28" t="str">
        <x:v>древесный, пряный, фенольный</x:v>
      </x:c>
      <x:c r="D54" s="28" t="str">
        <x:v>эвгенол</x:v>
      </x:c>
      <x:c r="E54" s="28" t="str">
        <x:v>вкусовой баланс зависит от конкретного продукта</x:v>
      </x:c>
      <x:c r="F54" s="28" t="str">
        <x:v>обычно минимальный; проверить для острых и охлаждающих компонентов</x:v>
      </x:c>
      <x:c r="G54" s="28" t="str">
        <x:v>матрица зависит от содержания воды, жира, белка и клетчатки</x:v>
      </x:c>
      <x:c r="H54" s="28" t="str">
        <x:v>сорт, зрелость и технология обработки меняют профиль</x:v>
      </x:c>
      <x:c r="I54" s="28" t="n">
        <x:v>4</x:v>
      </x:c>
    </x:row>
    <x:row r="55" ht="52" customHeight="1">
      <x:c r="A55" s="28" t="str">
        <x:v>гибискус</x:v>
      </x:c>
      <x:c r="B55" s="28" t="str">
        <x:v>Прочее</x:v>
      </x:c>
      <x:c r="C55" s="28" t="str">
        <x:v>профиль зависит от конкретного продукта</x:v>
      </x:c>
      <x:c r="D55" s="28" t="str">
        <x:v>нет уточнённого профиля</x:v>
      </x:c>
      <x:c r="E55" s="28" t="str">
        <x:v>вкусовой баланс зависит от конкретного продукта</x:v>
      </x:c>
      <x:c r="F55" s="28" t="str">
        <x:v>обычно минимальный; проверить для острых и охлаждающих компонентов</x:v>
      </x:c>
      <x:c r="G55" s="28" t="str">
        <x:v>матрица зависит от содержания воды, жира, белка и клетчатки</x:v>
      </x:c>
      <x:c r="H55" s="28" t="str">
        <x:v>сорт, зрелость и технология обработки меняют профиль</x:v>
      </x:c>
      <x:c r="I55" s="28" t="n">
        <x:v>5</x:v>
      </x:c>
    </x:row>
    <x:row r="56" ht="52" customHeight="1">
      <x:c r="A56" s="28" t="str">
        <x:v>говядина</x:v>
      </x:c>
      <x:c r="B56" s="28" t="str">
        <x:v>Мясо и птица</x:v>
      </x:c>
      <x:c r="C56" s="28" t="str">
        <x:v>жареный, мясной и умами</x:v>
      </x:c>
      <x:c r="D56" s="28" t="str">
        <x:v>пиразины, сернистые соединения</x:v>
      </x:c>
      <x:c r="E56" s="28" t="str">
        <x:v>вкусовой баланс зависит от конкретного продукта</x:v>
      </x:c>
      <x:c r="F56" s="28" t="str">
        <x:v>обычно минимальный; проверить для острых и охлаждающих компонентов</x:v>
      </x:c>
      <x:c r="G56" s="28" t="str">
        <x:v>матрица зависит от содержания воды, жира, белка и клетчатки</x:v>
      </x:c>
      <x:c r="H56" s="28" t="str">
        <x:v>сорт, зрелость и технология обработки меняют профиль</x:v>
      </x:c>
      <x:c r="I56" s="28" t="n">
        <x:v>16</x:v>
      </x:c>
    </x:row>
    <x:row r="57" ht="52" customHeight="1">
      <x:c r="A57" s="28" t="str">
        <x:v>говядина сухой выдержки</x:v>
      </x:c>
      <x:c r="B57" s="28" t="str">
        <x:v>Мясо и птица</x:v>
      </x:c>
      <x:c r="C57" s="28" t="str">
        <x:v>жареный, мясной и умами</x:v>
      </x:c>
      <x:c r="D57" s="28" t="str">
        <x:v>пиразины, сернистые соединения</x:v>
      </x:c>
      <x:c r="E57" s="28" t="str">
        <x:v>вкусовой баланс зависит от конкретного продукта</x:v>
      </x:c>
      <x:c r="F57" s="28" t="str">
        <x:v>обычно минимальный; проверить для острых и охлаждающих компонентов</x:v>
      </x:c>
      <x:c r="G57" s="28" t="str">
        <x:v>матрица зависит от содержания воды, жира, белка и клетчатки</x:v>
      </x:c>
      <x:c r="H57" s="28" t="str">
        <x:v>сорт, зрелость и технология обработки меняют профиль</x:v>
      </x:c>
      <x:c r="I57" s="28" t="n">
        <x:v>3</x:v>
      </x:c>
    </x:row>
    <x:row r="58" ht="52" customHeight="1">
      <x:c r="A58" s="28" t="str">
        <x:v>говяжья вырезка</x:v>
      </x:c>
      <x:c r="B58" s="28" t="str">
        <x:v>Прочее</x:v>
      </x:c>
      <x:c r="C58" s="28" t="str">
        <x:v>профиль зависит от конкретного продукта</x:v>
      </x:c>
      <x:c r="D58" s="28" t="str">
        <x:v>нет уточнённого профиля</x:v>
      </x:c>
      <x:c r="E58" s="28" t="str">
        <x:v>вкусовой баланс зависит от конкретного продукта</x:v>
      </x:c>
      <x:c r="F58" s="28" t="str">
        <x:v>обычно минимальный; проверить для острых и охлаждающих компонентов</x:v>
      </x:c>
      <x:c r="G58" s="28" t="str">
        <x:v>матрица зависит от содержания воды, жира, белка и клетчатки</x:v>
      </x:c>
      <x:c r="H58" s="28" t="str">
        <x:v>сорт, зрелость и технология обработки меняют профиль</x:v>
      </x:c>
      <x:c r="I58" s="28" t="n">
        <x:v>2</x:v>
      </x:c>
    </x:row>
    <x:row r="59" ht="52" customHeight="1">
      <x:c r="A59" s="28" t="str">
        <x:v>голубика</x:v>
      </x:c>
      <x:c r="B59" s="28" t="str">
        <x:v>Прочее</x:v>
      </x:c>
      <x:c r="C59" s="28" t="str">
        <x:v>профиль зависит от конкретного продукта</x:v>
      </x:c>
      <x:c r="D59" s="28" t="str">
        <x:v>нет уточнённого профиля</x:v>
      </x:c>
      <x:c r="E59" s="28" t="str">
        <x:v>вкусовой баланс зависит от конкретного продукта</x:v>
      </x:c>
      <x:c r="F59" s="28" t="str">
        <x:v>обычно минимальный; проверить для острых и охлаждающих компонентов</x:v>
      </x:c>
      <x:c r="G59" s="28" t="str">
        <x:v>матрица зависит от содержания воды, жира, белка и клетчатки</x:v>
      </x:c>
      <x:c r="H59" s="28" t="str">
        <x:v>сорт, зрелость и технология обработки меняют профиль</x:v>
      </x:c>
      <x:c r="I59" s="28" t="n">
        <x:v>1</x:v>
      </x:c>
    </x:row>
    <x:row r="60" ht="52" customHeight="1">
      <x:c r="A60" s="28" t="str">
        <x:v>голубой сыр</x:v>
      </x:c>
      <x:c r="B60" s="28" t="str">
        <x:v>Молочные продукты и сыры</x:v>
      </x:c>
      <x:c r="C60" s="28" t="str">
        <x:v>молочный, умами, ферментированный</x:v>
      </x:c>
      <x:c r="D60" s="28" t="str">
        <x:v>диацетил, жирные кислоты</x:v>
      </x:c>
      <x:c r="E60" s="28" t="str">
        <x:v>вкусовой баланс зависит от конкретного продукта</x:v>
      </x:c>
      <x:c r="F60" s="28" t="str">
        <x:v>обычно минимальный; проверить для острых и охлаждающих компонентов</x:v>
      </x:c>
      <x:c r="G60" s="28" t="str">
        <x:v>матрица зависит от содержания воды, жира, белка и клетчатки</x:v>
      </x:c>
      <x:c r="H60" s="28" t="str">
        <x:v>сорт, зрелость и технология обработки меняют профиль</x:v>
      </x:c>
      <x:c r="I60" s="28" t="n">
        <x:v>9</x:v>
      </x:c>
    </x:row>
    <x:row r="61" ht="52" customHeight="1">
      <x:c r="A61" s="28" t="str">
        <x:v>горох</x:v>
      </x:c>
      <x:c r="B61" s="28" t="str">
        <x:v>Бобовые</x:v>
      </x:c>
      <x:c r="C61" s="28" t="str">
        <x:v>зелёный, сладкий, бобовый и слегка цветочный</x:v>
      </x:c>
      <x:c r="D61" s="28" t="str">
        <x:v>гексаналь, метоксипиразины, цис-3-гексенол, эфиры</x:v>
      </x:c>
      <x:c r="E61" s="28" t="str">
        <x:v>сладость, зелёность и мягкая крахмалистость</x:v>
      </x:c>
      <x:c r="F61" s="28" t="str">
        <x:v>минимальный</x:v>
      </x:c>
      <x:c r="G61" s="28" t="str">
        <x:v>водная крахмалисто-белковая матрица</x:v>
      </x:c>
      <x:c r="H61" s="28" t="str">
        <x:v>быстрое бланширование сохраняет свежесть; длительный нагрев даёт крахмалисто-бобовый профиль</x:v>
      </x:c>
      <x:c r="I61" s="28" t="n">
        <x:v>27</x:v>
      </x:c>
    </x:row>
    <x:row r="62" ht="52" customHeight="1">
      <x:c r="A62" s="28" t="str">
        <x:v>горчичная зелень</x:v>
      </x:c>
      <x:c r="B62" s="28" t="str">
        <x:v>Прочее</x:v>
      </x:c>
      <x:c r="C62" s="28" t="str">
        <x:v>профиль зависит от конкретного продукта</x:v>
      </x:c>
      <x:c r="D62" s="28" t="str">
        <x:v>нет уточнённого профиля</x:v>
      </x:c>
      <x:c r="E62" s="28" t="str">
        <x:v>вкусовой баланс зависит от конкретного продукта</x:v>
      </x:c>
      <x:c r="F62" s="28" t="str">
        <x:v>обычно минимальный; проверить для острых и охлаждающих компонентов</x:v>
      </x:c>
      <x:c r="G62" s="28" t="str">
        <x:v>матрица зависит от содержания воды, жира, белка и клетчатки</x:v>
      </x:c>
      <x:c r="H62" s="28" t="str">
        <x:v>сорт, зрелость и технология обработки меняют профиль</x:v>
      </x:c>
      <x:c r="I62" s="28" t="n">
        <x:v>3</x:v>
      </x:c>
    </x:row>
    <x:row r="63" ht="52" customHeight="1">
      <x:c r="A63" s="28" t="str">
        <x:v>грана падано</x:v>
      </x:c>
      <x:c r="B63" s="28" t="str">
        <x:v>Прочее</x:v>
      </x:c>
      <x:c r="C63" s="28" t="str">
        <x:v>профиль зависит от конкретного продукта</x:v>
      </x:c>
      <x:c r="D63" s="28" t="str">
        <x:v>нет уточнённого профиля</x:v>
      </x:c>
      <x:c r="E63" s="28" t="str">
        <x:v>вкусовой баланс зависит от конкретного продукта</x:v>
      </x:c>
      <x:c r="F63" s="28" t="str">
        <x:v>обычно минимальный; проверить для острых и охлаждающих компонентов</x:v>
      </x:c>
      <x:c r="G63" s="28" t="str">
        <x:v>матрица зависит от содержания воды, жира, белка и клетчатки</x:v>
      </x:c>
      <x:c r="H63" s="28" t="str">
        <x:v>сорт, зрелость и технология обработки меняют профиль</x:v>
      </x:c>
      <x:c r="I63" s="28" t="n">
        <x:v>1</x:v>
      </x:c>
    </x:row>
    <x:row r="64" ht="52" customHeight="1">
      <x:c r="A64" s="28" t="str">
        <x:v>гранат</x:v>
      </x:c>
      <x:c r="B64" s="28" t="str">
        <x:v>Прочее</x:v>
      </x:c>
      <x:c r="C64" s="28" t="str">
        <x:v>профиль зависит от конкретного продукта</x:v>
      </x:c>
      <x:c r="D64" s="28" t="str">
        <x:v>нет уточнённого профиля</x:v>
      </x:c>
      <x:c r="E64" s="28" t="str">
        <x:v>вкусовой баланс зависит от конкретного продукта</x:v>
      </x:c>
      <x:c r="F64" s="28" t="str">
        <x:v>обычно минимальный; проверить для острых и охлаждающих компонентов</x:v>
      </x:c>
      <x:c r="G64" s="28" t="str">
        <x:v>матрица зависит от содержания воды, жира, белка и клетчатки</x:v>
      </x:c>
      <x:c r="H64" s="28" t="str">
        <x:v>сорт, зрелость и технология обработки меняют профиль</x:v>
      </x:c>
      <x:c r="I64" s="28" t="n">
        <x:v>3</x:v>
      </x:c>
    </x:row>
    <x:row r="65" ht="52" customHeight="1">
      <x:c r="A65" s="28" t="str">
        <x:v>гранатовый сок</x:v>
      </x:c>
      <x:c r="B65" s="28" t="str">
        <x:v>Прочее</x:v>
      </x:c>
      <x:c r="C65" s="28" t="str">
        <x:v>профиль зависит от конкретного продукта</x:v>
      </x:c>
      <x:c r="D65" s="28" t="str">
        <x:v>нет уточнённого профиля</x:v>
      </x:c>
      <x:c r="E65" s="28" t="str">
        <x:v>вкусовой баланс зависит от конкретного продукта</x:v>
      </x:c>
      <x:c r="F65" s="28" t="str">
        <x:v>обычно минимальный; проверить для острых и охлаждающих компонентов</x:v>
      </x:c>
      <x:c r="G65" s="28" t="str">
        <x:v>матрица зависит от содержания воды, жира, белка и клетчатки</x:v>
      </x:c>
      <x:c r="H65" s="28" t="str">
        <x:v>сорт, зрелость и технология обработки меняют профиль</x:v>
      </x:c>
      <x:c r="I65" s="28" t="n">
        <x:v>1</x:v>
      </x:c>
    </x:row>
    <x:row r="66" ht="52" customHeight="1">
      <x:c r="A66" s="28" t="str">
        <x:v>гребешок</x:v>
      </x:c>
      <x:c r="B66" s="28" t="str">
        <x:v>Рыба и морепродукты</x:v>
      </x:c>
      <x:c r="C66" s="28" t="str">
        <x:v>морской, солоноватый и умами</x:v>
      </x:c>
      <x:c r="D66" s="28" t="str">
        <x:v>альдегиды, амины</x:v>
      </x:c>
      <x:c r="E66" s="28" t="str">
        <x:v>вкусовой баланс зависит от конкретного продукта</x:v>
      </x:c>
      <x:c r="F66" s="28" t="str">
        <x:v>обычно минимальный; проверить для острых и охлаждающих компонентов</x:v>
      </x:c>
      <x:c r="G66" s="28" t="str">
        <x:v>матрица зависит от содержания воды, жира, белка и клетчатки</x:v>
      </x:c>
      <x:c r="H66" s="28" t="str">
        <x:v>сорт, зрелость и технология обработки меняют профиль</x:v>
      </x:c>
      <x:c r="I66" s="28" t="n">
        <x:v>1</x:v>
      </x:c>
    </x:row>
    <x:row r="67" ht="52" customHeight="1">
      <x:c r="A67" s="28" t="str">
        <x:v>грейпфрут</x:v>
      </x:c>
      <x:c r="B67" s="28" t="str">
        <x:v>Фрукты и ягоды</x:v>
      </x:c>
      <x:c r="C67" s="28" t="str">
        <x:v>горький, сернистый, цитрусовый</x:v>
      </x:c>
      <x:c r="D67" s="28" t="str">
        <x:v>лимонен, нооткатон</x:v>
      </x:c>
      <x:c r="E67" s="28" t="str">
        <x:v>вкусовой баланс зависит от конкретного продукта</x:v>
      </x:c>
      <x:c r="F67" s="28" t="str">
        <x:v>обычно минимальный; проверить для острых и охлаждающих компонентов</x:v>
      </x:c>
      <x:c r="G67" s="28" t="str">
        <x:v>матрица зависит от содержания воды, жира, белка и клетчатки</x:v>
      </x:c>
      <x:c r="H67" s="28" t="str">
        <x:v>сорт, зрелость и технология обработки меняют профиль</x:v>
      </x:c>
      <x:c r="I67" s="28" t="n">
        <x:v>1</x:v>
      </x:c>
    </x:row>
    <x:row r="68" ht="52" customHeight="1">
      <x:c r="A68" s="28" t="str">
        <x:v>грейпфрутовый сок</x:v>
      </x:c>
      <x:c r="B68" s="28" t="str">
        <x:v>Фрукты и ягоды</x:v>
      </x:c>
      <x:c r="C68" s="28" t="str">
        <x:v>горький, сернистый, цитрусовый</x:v>
      </x:c>
      <x:c r="D68" s="28" t="str">
        <x:v>лимонен, нооткатон</x:v>
      </x:c>
      <x:c r="E68" s="28" t="str">
        <x:v>вкусовой баланс зависит от конкретного продукта</x:v>
      </x:c>
      <x:c r="F68" s="28" t="str">
        <x:v>обычно минимальный; проверить для острых и охлаждающих компонентов</x:v>
      </x:c>
      <x:c r="G68" s="28" t="str">
        <x:v>матрица зависит от содержания воды, жира, белка и клетчатки</x:v>
      </x:c>
      <x:c r="H68" s="28" t="str">
        <x:v>сорт, зрелость и технология обработки меняют профиль</x:v>
      </x:c>
      <x:c r="I68" s="28" t="n">
        <x:v>1</x:v>
      </x:c>
    </x:row>
    <x:row r="69" ht="52" customHeight="1">
      <x:c r="A69" s="28" t="str">
        <x:v>грецкий орех</x:v>
      </x:c>
      <x:c r="B69" s="28" t="str">
        <x:v>Орехи и семена</x:v>
      </x:c>
      <x:c r="C69" s="28" t="str">
        <x:v>древесный, землистый, ореховый</x:v>
      </x:c>
      <x:c r="D69" s="28" t="str">
        <x:v>альдегиды, пиразины</x:v>
      </x:c>
      <x:c r="E69" s="28" t="str">
        <x:v>вкусовой баланс зависит от конкретного продукта</x:v>
      </x:c>
      <x:c r="F69" s="28" t="str">
        <x:v>обычно минимальный; проверить для острых и охлаждающих компонентов</x:v>
      </x:c>
      <x:c r="G69" s="28" t="str">
        <x:v>матрица зависит от содержания воды, жира, белка и клетчатки</x:v>
      </x:c>
      <x:c r="H69" s="28" t="str">
        <x:v>сорт, зрелость и технология обработки меняют профиль</x:v>
      </x:c>
      <x:c r="I69" s="28" t="n">
        <x:v>10</x:v>
      </x:c>
    </x:row>
    <x:row r="70" ht="52" customHeight="1">
      <x:c r="A70" s="28" t="str">
        <x:v>грибы</x:v>
      </x:c>
      <x:c r="B70" s="28" t="str">
        <x:v>Грибы</x:v>
      </x:c>
      <x:c r="C70" s="28" t="str">
        <x:v>землистый, лесной, жареный, мясной и слегка сернистый</x:v>
      </x:c>
      <x:c r="D70" s="28" t="str">
        <x:v>1-октен-3-ол, 1-октен-3-он, глутамат, метиональ, пиразины</x:v>
      </x:c>
      <x:c r="E70" s="28" t="str">
        <x:v>умами, мягкая сладость и лёгкая горечь</x:v>
      </x:c>
      <x:c r="F70" s="28" t="str">
        <x:v>минимальный</x:v>
      </x:c>
      <x:c r="G70" s="28" t="str">
        <x:v>высокая влажность, хитиновая клеточная структура и природные нуклеотиды; хорошо впитывает жир</x:v>
      </x:c>
      <x:c r="H70" s="28" t="str">
        <x:v>обжарка удаляет воду и усиливает жареные и мясные ноты; сушка концентрирует умами</x:v>
      </x:c>
      <x:c r="I70" s="28" t="n">
        <x:v>53</x:v>
      </x:c>
    </x:row>
    <x:row r="71" ht="52" customHeight="1">
      <x:c r="A71" s="28" t="str">
        <x:v>груша</x:v>
      </x:c>
      <x:c r="B71" s="28" t="str">
        <x:v>Фрукты и ягоды</x:v>
      </x:c>
      <x:c r="C71" s="28" t="str">
        <x:v>сладкий, фруктовый, цветочный</x:v>
      </x:c>
      <x:c r="D71" s="28" t="str">
        <x:v>линалоол, эфиры</x:v>
      </x:c>
      <x:c r="E71" s="28" t="str">
        <x:v>вкусовой баланс зависит от конкретного продукта</x:v>
      </x:c>
      <x:c r="F71" s="28" t="str">
        <x:v>обычно минимальный; проверить для острых и охлаждающих компонентов</x:v>
      </x:c>
      <x:c r="G71" s="28" t="str">
        <x:v>матрица зависит от содержания воды, жира, белка и клетчатки</x:v>
      </x:c>
      <x:c r="H71" s="28" t="str">
        <x:v>сорт, зрелость и технология обработки меняют профиль</x:v>
      </x:c>
      <x:c r="I71" s="28" t="n">
        <x:v>5</x:v>
      </x:c>
    </x:row>
    <x:row r="72" ht="52" customHeight="1">
      <x:c r="A72" s="28" t="str">
        <x:v>грюйер</x:v>
      </x:c>
      <x:c r="B72" s="28" t="str">
        <x:v>Прочее</x:v>
      </x:c>
      <x:c r="C72" s="28" t="str">
        <x:v>профиль зависит от конкретного продукта</x:v>
      </x:c>
      <x:c r="D72" s="28" t="str">
        <x:v>нет уточнённого профиля</x:v>
      </x:c>
      <x:c r="E72" s="28" t="str">
        <x:v>вкусовой баланс зависит от конкретного продукта</x:v>
      </x:c>
      <x:c r="F72" s="28" t="str">
        <x:v>обычно минимальный; проверить для острых и охлаждающих компонентов</x:v>
      </x:c>
      <x:c r="G72" s="28" t="str">
        <x:v>матрица зависит от содержания воды, жира, белка и клетчатки</x:v>
      </x:c>
      <x:c r="H72" s="28" t="str">
        <x:v>сорт, зрелость и технология обработки меняют профиль</x:v>
      </x:c>
      <x:c r="I72" s="28" t="n">
        <x:v>3</x:v>
      </x:c>
    </x:row>
    <x:row r="73" ht="52" customHeight="1">
      <x:c r="A73" s="28" t="str">
        <x:v>гуава</x:v>
      </x:c>
      <x:c r="B73" s="28" t="str">
        <x:v>Фрукты и ягоды</x:v>
      </x:c>
      <x:c r="C73" s="28" t="str">
        <x:v>фруктовый, цветочный и свежий</x:v>
      </x:c>
      <x:c r="D73" s="28" t="str">
        <x:v>альдегиды, эфиры</x:v>
      </x:c>
      <x:c r="E73" s="28" t="str">
        <x:v>вкусовой баланс зависит от конкретного продукта</x:v>
      </x:c>
      <x:c r="F73" s="28" t="str">
        <x:v>обычно минимальный; проверить для острых и охлаждающих компонентов</x:v>
      </x:c>
      <x:c r="G73" s="28" t="str">
        <x:v>матрица зависит от содержания воды, жира, белка и клетчатки</x:v>
      </x:c>
      <x:c r="H73" s="28" t="str">
        <x:v>сорт, зрелость и технология обработки меняют профиль</x:v>
      </x:c>
      <x:c r="I73" s="28" t="n">
        <x:v>3</x:v>
      </x:c>
    </x:row>
    <x:row r="74" ht="52" customHeight="1">
      <x:c r="A74" s="28" t="str">
        <x:v>джин</x:v>
      </x:c>
      <x:c r="B74" s="28" t="str">
        <x:v>Алкогольные напитки</x:v>
      </x:c>
      <x:c r="C74" s="28" t="str">
        <x:v>спиртовой, фруктовый или древесный</x:v>
      </x:c>
      <x:c r="D74" s="28" t="str">
        <x:v>альдегиды, эфиры</x:v>
      </x:c>
      <x:c r="E74" s="28" t="str">
        <x:v>вкусовой баланс зависит от конкретного продукта</x:v>
      </x:c>
      <x:c r="F74" s="28" t="str">
        <x:v>обычно минимальный; проверить для острых и охлаждающих компонентов</x:v>
      </x:c>
      <x:c r="G74" s="28" t="str">
        <x:v>матрица зависит от содержания воды, жира, белка и клетчатки</x:v>
      </x:c>
      <x:c r="H74" s="28" t="str">
        <x:v>сорт, зрелость и технология обработки меняют профиль</x:v>
      </x:c>
      <x:c r="I74" s="28" t="n">
        <x:v>6</x:v>
      </x:c>
    </x:row>
    <x:row r="75" ht="52" customHeight="1">
      <x:c r="A75" s="28" t="str">
        <x:v>дикая утка</x:v>
      </x:c>
      <x:c r="B75" s="28" t="str">
        <x:v>Мясо и птица</x:v>
      </x:c>
      <x:c r="C75" s="28" t="str">
        <x:v>жареный, мясной и умами</x:v>
      </x:c>
      <x:c r="D75" s="28" t="str">
        <x:v>пиразины, сернистые соединения</x:v>
      </x:c>
      <x:c r="E75" s="28" t="str">
        <x:v>вкусовой баланс зависит от конкретного продукта</x:v>
      </x:c>
      <x:c r="F75" s="28" t="str">
        <x:v>обычно минимальный; проверить для острых и охлаждающих компонентов</x:v>
      </x:c>
      <x:c r="G75" s="28" t="str">
        <x:v>матрица зависит от содержания воды, жира, белка и клетчатки</x:v>
      </x:c>
      <x:c r="H75" s="28" t="str">
        <x:v>сорт, зрелость и технология обработки меняют профиль</x:v>
      </x:c>
      <x:c r="I75" s="28" t="n">
        <x:v>1</x:v>
      </x:c>
    </x:row>
    <x:row r="76" ht="52" customHeight="1">
      <x:c r="A76" s="28" t="str">
        <x:v>дикий голубь</x:v>
      </x:c>
      <x:c r="B76" s="28" t="str">
        <x:v>Прочее</x:v>
      </x:c>
      <x:c r="C76" s="28" t="str">
        <x:v>профиль зависит от конкретного продукта</x:v>
      </x:c>
      <x:c r="D76" s="28" t="str">
        <x:v>нет уточнённого профиля</x:v>
      </x:c>
      <x:c r="E76" s="28" t="str">
        <x:v>вкусовой баланс зависит от конкретного продукта</x:v>
      </x:c>
      <x:c r="F76" s="28" t="str">
        <x:v>обычно минимальный; проверить для острых и охлаждающих компонентов</x:v>
      </x:c>
      <x:c r="G76" s="28" t="str">
        <x:v>матрица зависит от содержания воды, жира, белка и клетчатки</x:v>
      </x:c>
      <x:c r="H76" s="28" t="str">
        <x:v>сорт, зрелость и технология обработки меняют профиль</x:v>
      </x:c>
      <x:c r="I76" s="28" t="n">
        <x:v>1</x:v>
      </x:c>
    </x:row>
    <x:row r="77" ht="52" customHeight="1">
      <x:c r="A77" s="28" t="str">
        <x:v>дикий гусь</x:v>
      </x:c>
      <x:c r="B77" s="28" t="str">
        <x:v>Прочее</x:v>
      </x:c>
      <x:c r="C77" s="28" t="str">
        <x:v>профиль зависит от конкретного продукта</x:v>
      </x:c>
      <x:c r="D77" s="28" t="str">
        <x:v>нет уточнённого профиля</x:v>
      </x:c>
      <x:c r="E77" s="28" t="str">
        <x:v>вкусовой баланс зависит от конкретного продукта</x:v>
      </x:c>
      <x:c r="F77" s="28" t="str">
        <x:v>обычно минимальный; проверить для острых и охлаждающих компонентов</x:v>
      </x:c>
      <x:c r="G77" s="28" t="str">
        <x:v>матрица зависит от содержания воды, жира, белка и клетчатки</x:v>
      </x:c>
      <x:c r="H77" s="28" t="str">
        <x:v>сорт, зрелость и технология обработки меняют профиль</x:v>
      </x:c>
      <x:c r="I77" s="28" t="n">
        <x:v>1</x:v>
      </x:c>
    </x:row>
    <x:row r="78" ht="52" customHeight="1">
      <x:c r="A78" s="28" t="str">
        <x:v>дикий рис</x:v>
      </x:c>
      <x:c r="B78" s="28" t="str">
        <x:v>Выпечка, крупы, сахара и десерты</x:v>
      </x:c>
      <x:c r="C78" s="28" t="str">
        <x:v>сладкий, карамельный и жареный</x:v>
      </x:c>
      <x:c r="D78" s="28" t="str">
        <x:v>мальтол, пиразины, фураны</x:v>
      </x:c>
      <x:c r="E78" s="28" t="str">
        <x:v>вкусовой баланс зависит от конкретного продукта</x:v>
      </x:c>
      <x:c r="F78" s="28" t="str">
        <x:v>обычно минимальный; проверить для острых и охлаждающих компонентов</x:v>
      </x:c>
      <x:c r="G78" s="28" t="str">
        <x:v>матрица зависит от содержания воды, жира, белка и клетчатки</x:v>
      </x:c>
      <x:c r="H78" s="28" t="str">
        <x:v>сорт, зрелость и технология обработки меняют профиль</x:v>
      </x:c>
      <x:c r="I78" s="28" t="n">
        <x:v>4</x:v>
      </x:c>
    </x:row>
    <x:row r="79" ht="52" customHeight="1">
      <x:c r="A79" s="28" t="str">
        <x:v>длиннозёрный рис</x:v>
      </x:c>
      <x:c r="B79" s="28" t="str">
        <x:v>Выпечка, крупы, сахара и десерты</x:v>
      </x:c>
      <x:c r="C79" s="28" t="str">
        <x:v>сладкий, карамельный и жареный</x:v>
      </x:c>
      <x:c r="D79" s="28" t="str">
        <x:v>мальтол, пиразины, фураны</x:v>
      </x:c>
      <x:c r="E79" s="28" t="str">
        <x:v>вкусовой баланс зависит от конкретного продукта</x:v>
      </x:c>
      <x:c r="F79" s="28" t="str">
        <x:v>обычно минимальный; проверить для острых и охлаждающих компонентов</x:v>
      </x:c>
      <x:c r="G79" s="28" t="str">
        <x:v>матрица зависит от содержания воды, жира, белка и клетчатки</x:v>
      </x:c>
      <x:c r="H79" s="28" t="str">
        <x:v>сорт, зрелость и технология обработки меняют профиль</x:v>
      </x:c>
      <x:c r="I79" s="28" t="n">
        <x:v>1</x:v>
      </x:c>
    </x:row>
    <x:row r="80" ht="52" customHeight="1">
      <x:c r="A80" s="28" t="str">
        <x:v>длинный перец</x:v>
      </x:c>
      <x:c r="B80" s="28" t="str">
        <x:v>Прочее</x:v>
      </x:c>
      <x:c r="C80" s="28" t="str">
        <x:v>профиль зависит от конкретного продукта</x:v>
      </x:c>
      <x:c r="D80" s="28" t="str">
        <x:v>нет уточнённого профиля</x:v>
      </x:c>
      <x:c r="E80" s="28" t="str">
        <x:v>вкусовой баланс зависит от конкретного продукта</x:v>
      </x:c>
      <x:c r="F80" s="28" t="str">
        <x:v>обычно минимальный; проверить для острых и охлаждающих компонентов</x:v>
      </x:c>
      <x:c r="G80" s="28" t="str">
        <x:v>матрица зависит от содержания воды, жира, белка и клетчатки</x:v>
      </x:c>
      <x:c r="H80" s="28" t="str">
        <x:v>сорт, зрелость и технология обработки меняют профиль</x:v>
      </x:c>
      <x:c r="I80" s="28" t="n">
        <x:v>1</x:v>
      </x:c>
    </x:row>
    <x:row r="81" ht="52" customHeight="1">
      <x:c r="A81" s="28" t="str">
        <x:v>доенджан и кочуджан</x:v>
      </x:c>
      <x:c r="B81" s="28" t="str">
        <x:v>Прочее</x:v>
      </x:c>
      <x:c r="C81" s="28" t="str">
        <x:v>профиль зависит от конкретного продукта</x:v>
      </x:c>
      <x:c r="D81" s="28" t="str">
        <x:v>нет уточнённого профиля</x:v>
      </x:c>
      <x:c r="E81" s="28" t="str">
        <x:v>вкусовой баланс зависит от конкретного продукта</x:v>
      </x:c>
      <x:c r="F81" s="28" t="str">
        <x:v>обычно минимальный; проверить для острых и охлаждающих компонентов</x:v>
      </x:c>
      <x:c r="G81" s="28" t="str">
        <x:v>матрица зависит от содержания воды, жира, белка и клетчатки</x:v>
      </x:c>
      <x:c r="H81" s="28" t="str">
        <x:v>сорт, зрелость и технология обработки меняют профиль</x:v>
      </x:c>
      <x:c r="I81" s="28" t="n">
        <x:v>1</x:v>
      </x:c>
    </x:row>
    <x:row r="82" ht="52" customHeight="1">
      <x:c r="A82" s="28" t="str">
        <x:v>душистый перец</x:v>
      </x:c>
      <x:c r="B82" s="28" t="str">
        <x:v>Специи</x:v>
      </x:c>
      <x:c r="C82" s="28" t="str">
        <x:v>пряный и древесный</x:v>
      </x:c>
      <x:c r="D82" s="28" t="str">
        <x:v>терпены, фенилпропаноиды</x:v>
      </x:c>
      <x:c r="E82" s="28" t="str">
        <x:v>вкусовой баланс зависит от конкретного продукта</x:v>
      </x:c>
      <x:c r="F82" s="28" t="str">
        <x:v>обычно минимальный; проверить для острых и охлаждающих компонентов</x:v>
      </x:c>
      <x:c r="G82" s="28" t="str">
        <x:v>матрица зависит от содержания воды, жира, белка и клетчатки</x:v>
      </x:c>
      <x:c r="H82" s="28" t="str">
        <x:v>сорт, зрелость и технология обработки меняют профиль</x:v>
      </x:c>
      <x:c r="I82" s="28" t="n">
        <x:v>4</x:v>
      </x:c>
    </x:row>
    <x:row r="83" ht="52" customHeight="1">
      <x:c r="A83" s="28" t="str">
        <x:v>дыня</x:v>
      </x:c>
      <x:c r="B83" s="28" t="str">
        <x:v>Фрукты и ягоды</x:v>
      </x:c>
      <x:c r="C83" s="28" t="str">
        <x:v>фруктовый, цветочный и свежий</x:v>
      </x:c>
      <x:c r="D83" s="28" t="str">
        <x:v>альдегиды, эфиры</x:v>
      </x:c>
      <x:c r="E83" s="28" t="str">
        <x:v>вкусовой баланс зависит от конкретного продукта</x:v>
      </x:c>
      <x:c r="F83" s="28" t="str">
        <x:v>обычно минимальный; проверить для острых и охлаждающих компонентов</x:v>
      </x:c>
      <x:c r="G83" s="28" t="str">
        <x:v>матрица зависит от содержания воды, жира, белка и клетчатки</x:v>
      </x:c>
      <x:c r="H83" s="28" t="str">
        <x:v>сорт, зрелость и технология обработки меняют профиль</x:v>
      </x:c>
      <x:c r="I83" s="28" t="n">
        <x:v>5</x:v>
      </x:c>
    </x:row>
    <x:row r="84" ht="52" customHeight="1">
      <x:c r="A84" s="28" t="str">
        <x:v>ежевика</x:v>
      </x:c>
      <x:c r="B84" s="28" t="str">
        <x:v>Прочее</x:v>
      </x:c>
      <x:c r="C84" s="28" t="str">
        <x:v>профиль зависит от конкретного продукта</x:v>
      </x:c>
      <x:c r="D84" s="28" t="str">
        <x:v>нет уточнённого профиля</x:v>
      </x:c>
      <x:c r="E84" s="28" t="str">
        <x:v>вкусовой баланс зависит от конкретного продукта</x:v>
      </x:c>
      <x:c r="F84" s="28" t="str">
        <x:v>обычно минимальный; проверить для острых и охлаждающих компонентов</x:v>
      </x:c>
      <x:c r="G84" s="28" t="str">
        <x:v>матрица зависит от содержания воды, жира, белка и клетчатки</x:v>
      </x:c>
      <x:c r="H84" s="28" t="str">
        <x:v>сорт, зрелость и технология обработки меняют профиль</x:v>
      </x:c>
      <x:c r="I84" s="28" t="n">
        <x:v>2</x:v>
      </x:c>
    </x:row>
    <x:row r="85" ht="52" customHeight="1">
      <x:c r="A85" s="28" t="str">
        <x:v>жаботикаба</x:v>
      </x:c>
      <x:c r="B85" s="28" t="str">
        <x:v>Прочее</x:v>
      </x:c>
      <x:c r="C85" s="28" t="str">
        <x:v>профиль зависит от конкретного продукта</x:v>
      </x:c>
      <x:c r="D85" s="28" t="str">
        <x:v>нет уточнённого профиля</x:v>
      </x:c>
      <x:c r="E85" s="28" t="str">
        <x:v>вкусовой баланс зависит от конкретного продукта</x:v>
      </x:c>
      <x:c r="F85" s="28" t="str">
        <x:v>обычно минимальный; проверить для острых и охлаждающих компонентов</x:v>
      </x:c>
      <x:c r="G85" s="28" t="str">
        <x:v>матрица зависит от содержания воды, жира, белка и клетчатки</x:v>
      </x:c>
      <x:c r="H85" s="28" t="str">
        <x:v>сорт, зрелость и технология обработки меняют профиль</x:v>
      </x:c>
      <x:c r="I85" s="28" t="n">
        <x:v>1</x:v>
      </x:c>
    </x:row>
    <x:row r="86" ht="52" customHeight="1">
      <x:c r="A86" s="28" t="str">
        <x:v>жареная индейка</x:v>
      </x:c>
      <x:c r="B86" s="28" t="str">
        <x:v>Мясо и птица</x:v>
      </x:c>
      <x:c r="C86" s="28" t="str">
        <x:v>жареный, мясной и умами</x:v>
      </x:c>
      <x:c r="D86" s="28" t="str">
        <x:v>пиразины, сернистые соединения</x:v>
      </x:c>
      <x:c r="E86" s="28" t="str">
        <x:v>вкусовой баланс зависит от конкретного продукта</x:v>
      </x:c>
      <x:c r="F86" s="28" t="str">
        <x:v>обычно минимальный; проверить для острых и охлаждающих компонентов</x:v>
      </x:c>
      <x:c r="G86" s="28" t="str">
        <x:v>матрица зависит от содержания воды, жира, белка и клетчатки</x:v>
      </x:c>
      <x:c r="H86" s="28" t="str">
        <x:v>сорт, зрелость и технология обработки меняют профиль</x:v>
      </x:c>
      <x:c r="I86" s="28" t="n">
        <x:v>3</x:v>
      </x:c>
    </x:row>
    <x:row r="87" ht="52" customHeight="1">
      <x:c r="A87" s="28" t="str">
        <x:v>жареная курица</x:v>
      </x:c>
      <x:c r="B87" s="28" t="str">
        <x:v>Мясо и птица</x:v>
      </x:c>
      <x:c r="C87" s="28" t="str">
        <x:v>жареный, мясной и умами</x:v>
      </x:c>
      <x:c r="D87" s="28" t="str">
        <x:v>пиразины, сернистые соединения</x:v>
      </x:c>
      <x:c r="E87" s="28" t="str">
        <x:v>вкусовой баланс зависит от конкретного продукта</x:v>
      </x:c>
      <x:c r="F87" s="28" t="str">
        <x:v>обычно минимальный; проверить для острых и охлаждающих компонентов</x:v>
      </x:c>
      <x:c r="G87" s="28" t="str">
        <x:v>матрица зависит от содержания воды, жира, белка и клетчатки</x:v>
      </x:c>
      <x:c r="H87" s="28" t="str">
        <x:v>сорт, зрелость и технология обработки меняют профиль</x:v>
      </x:c>
      <x:c r="I87" s="28" t="n">
        <x:v>2</x:v>
      </x:c>
    </x:row>
    <x:row r="88" ht="52" customHeight="1">
      <x:c r="A88" s="28" t="str">
        <x:v>жасмин</x:v>
      </x:c>
      <x:c r="B88" s="28" t="str">
        <x:v>Травы, цветы и листья</x:v>
      </x:c>
      <x:c r="C88" s="28" t="str">
        <x:v>зелёный, цветочный и терпеновый</x:v>
      </x:c>
      <x:c r="D88" s="28" t="str">
        <x:v>линалоол, терпены</x:v>
      </x:c>
      <x:c r="E88" s="28" t="str">
        <x:v>вкусовой баланс зависит от конкретного продукта</x:v>
      </x:c>
      <x:c r="F88" s="28" t="str">
        <x:v>обычно минимальный; проверить для острых и охлаждающих компонентов</x:v>
      </x:c>
      <x:c r="G88" s="28" t="str">
        <x:v>матрица зависит от содержания воды, жира, белка и клетчатки</x:v>
      </x:c>
      <x:c r="H88" s="28" t="str">
        <x:v>сорт, зрелость и технология обработки меняют профиль</x:v>
      </x:c>
      <x:c r="I88" s="28" t="n">
        <x:v>6</x:v>
      </x:c>
    </x:row>
    <x:row r="89" ht="52" customHeight="1">
      <x:c r="A89" s="28" t="str">
        <x:v>жирная рыба</x:v>
      </x:c>
      <x:c r="B89" s="28" t="str">
        <x:v>Рыба и морепродукты</x:v>
      </x:c>
      <x:c r="C89" s="28" t="str">
        <x:v>жирный, морской, умами</x:v>
      </x:c>
      <x:c r="D89" s="28" t="str">
        <x:v>альдегиды, амины</x:v>
      </x:c>
      <x:c r="E89" s="28" t="str">
        <x:v>вкусовой баланс зависит от конкретного продукта</x:v>
      </x:c>
      <x:c r="F89" s="28" t="str">
        <x:v>обычно минимальный; проверить для острых и охлаждающих компонентов</x:v>
      </x:c>
      <x:c r="G89" s="28" t="str">
        <x:v>матрица зависит от содержания воды, жира, белка и клетчатки</x:v>
      </x:c>
      <x:c r="H89" s="28" t="str">
        <x:v>сорт, зрелость и технология обработки меняют профиль</x:v>
      </x:c>
      <x:c r="I89" s="28" t="n">
        <x:v>8</x:v>
      </x:c>
    </x:row>
    <x:row r="90" ht="52" customHeight="1">
      <x:c r="A90" s="28" t="str">
        <x:v>зелёная фасоль</x:v>
      </x:c>
      <x:c r="B90" s="28" t="str">
        <x:v>Бобовые</x:v>
      </x:c>
      <x:c r="C90" s="28" t="str">
        <x:v>зелёный, травянистый, бобовый и слегка ореховый</x:v>
      </x:c>
      <x:c r="D90" s="28" t="str">
        <x:v>гексаналь, метоксипиразины, цис-3-гексенол</x:v>
      </x:c>
      <x:c r="E90" s="28" t="str">
        <x:v>зелёность, слабая сладость и хруст</x:v>
      </x:c>
      <x:c r="F90" s="28" t="str">
        <x:v>минимальный</x:v>
      </x:c>
      <x:c r="G90" s="28" t="str">
        <x:v>водная волокнистая бобовая матрица</x:v>
      </x:c>
      <x:c r="H90" s="28" t="str">
        <x:v>бланширование сохраняет хруст; жарка добавляет ореховые ноты</x:v>
      </x:c>
      <x:c r="I90" s="28" t="n">
        <x:v>10</x:v>
      </x:c>
    </x:row>
    <x:row r="91" ht="52" customHeight="1">
      <x:c r="A91" s="28" t="str">
        <x:v>зелёные водоросли</x:v>
      </x:c>
      <x:c r="B91" s="28" t="str">
        <x:v>Прочее</x:v>
      </x:c>
      <x:c r="C91" s="28" t="str">
        <x:v>профиль зависит от конкретного продукта</x:v>
      </x:c>
      <x:c r="D91" s="28" t="str">
        <x:v>нет уточнённого профиля</x:v>
      </x:c>
      <x:c r="E91" s="28" t="str">
        <x:v>вкусовой баланс зависит от конкретного продукта</x:v>
      </x:c>
      <x:c r="F91" s="28" t="str">
        <x:v>обычно минимальный; проверить для острых и охлаждающих компонентов</x:v>
      </x:c>
      <x:c r="G91" s="28" t="str">
        <x:v>матрица зависит от содержания воды, жира, белка и клетчатки</x:v>
      </x:c>
      <x:c r="H91" s="28" t="str">
        <x:v>сорт, зрелость и технология обработки меняют профиль</x:v>
      </x:c>
      <x:c r="I91" s="28" t="n">
        <x:v>1</x:v>
      </x:c>
    </x:row>
    <x:row r="92" ht="52" customHeight="1">
      <x:c r="A92" s="28" t="str">
        <x:v>зелёные оливки</x:v>
      </x:c>
      <x:c r="B92" s="28" t="str">
        <x:v>Прочее</x:v>
      </x:c>
      <x:c r="C92" s="28" t="str">
        <x:v>профиль зависит от конкретного продукта</x:v>
      </x:c>
      <x:c r="D92" s="28" t="str">
        <x:v>нет уточнённого профиля</x:v>
      </x:c>
      <x:c r="E92" s="28" t="str">
        <x:v>вкусовой баланс зависит от конкретного продукта</x:v>
      </x:c>
      <x:c r="F92" s="28" t="str">
        <x:v>обычно минимальный; проверить для острых и охлаждающих компонентов</x:v>
      </x:c>
      <x:c r="G92" s="28" t="str">
        <x:v>матрица зависит от содержания воды, жира, белка и клетчатки</x:v>
      </x:c>
      <x:c r="H92" s="28" t="str">
        <x:v>сорт, зрелость и технология обработки меняют профиль</x:v>
      </x:c>
      <x:c r="I92" s="28" t="n">
        <x:v>1</x:v>
      </x:c>
    </x:row>
    <x:row r="93" ht="52" customHeight="1">
      <x:c r="A93" s="28" t="str">
        <x:v>зелёный чай</x:v>
      </x:c>
      <x:c r="B93" s="28" t="str">
        <x:v>Чай</x:v>
      </x:c>
      <x:c r="C93" s="28" t="str">
        <x:v>цветочный, древесный или зелёный</x:v>
      </x:c>
      <x:c r="D93" s="28" t="str">
        <x:v>линалоол, полифенолы</x:v>
      </x:c>
      <x:c r="E93" s="28" t="str">
        <x:v>вкусовой баланс зависит от конкретного продукта</x:v>
      </x:c>
      <x:c r="F93" s="28" t="str">
        <x:v>обычно минимальный; проверить для острых и охлаждающих компонентов</x:v>
      </x:c>
      <x:c r="G93" s="28" t="str">
        <x:v>матрица зависит от содержания воды, жира, белка и клетчатки</x:v>
      </x:c>
      <x:c r="H93" s="28" t="str">
        <x:v>сорт, зрелость и технология обработки меняют профиль</x:v>
      </x:c>
      <x:c r="I93" s="28" t="n">
        <x:v>2</x:v>
      </x:c>
    </x:row>
    <x:row r="94" ht="52" customHeight="1">
      <x:c r="A94" s="28" t="str">
        <x:v>зира</x:v>
      </x:c>
      <x:c r="B94" s="28" t="str">
        <x:v>Специи</x:v>
      </x:c>
      <x:c r="C94" s="28" t="str">
        <x:v>жареный, землистый, пряный</x:v>
      </x:c>
      <x:c r="D94" s="28" t="str">
        <x:v>куминовый альдегид, терпены</x:v>
      </x:c>
      <x:c r="E94" s="28" t="str">
        <x:v>вкусовой баланс зависит от конкретного продукта</x:v>
      </x:c>
      <x:c r="F94" s="28" t="str">
        <x:v>обычно минимальный; проверить для острых и охлаждающих компонентов</x:v>
      </x:c>
      <x:c r="G94" s="28" t="str">
        <x:v>матрица зависит от содержания воды, жира, белка и клетчатки</x:v>
      </x:c>
      <x:c r="H94" s="28" t="str">
        <x:v>сорт, зрелость и технология обработки меняют профиль</x:v>
      </x:c>
      <x:c r="I94" s="28" t="n">
        <x:v>6</x:v>
      </x:c>
    </x:row>
    <x:row r="95" ht="52" customHeight="1">
      <x:c r="A95" s="28" t="str">
        <x:v>изюм</x:v>
      </x:c>
      <x:c r="B95" s="28" t="str">
        <x:v>Прочее</x:v>
      </x:c>
      <x:c r="C95" s="28" t="str">
        <x:v>профиль зависит от конкретного продукта</x:v>
      </x:c>
      <x:c r="D95" s="28" t="str">
        <x:v>нет уточнённого профиля</x:v>
      </x:c>
      <x:c r="E95" s="28" t="str">
        <x:v>вкусовой баланс зависит от конкретного продукта</x:v>
      </x:c>
      <x:c r="F95" s="28" t="str">
        <x:v>обычно минимальный; проверить для острых и охлаждающих компонентов</x:v>
      </x:c>
      <x:c r="G95" s="28" t="str">
        <x:v>матрица зависит от содержания воды, жира, белка и клетчатки</x:v>
      </x:c>
      <x:c r="H95" s="28" t="str">
        <x:v>сорт, зрелость и технология обработки меняют профиль</x:v>
      </x:c>
      <x:c r="I95" s="28" t="n">
        <x:v>2</x:v>
      </x:c>
    </x:row>
    <x:row r="96" ht="52" customHeight="1">
      <x:c r="A96" s="28" t="str">
        <x:v>имбирь</x:v>
      </x:c>
      <x:c r="B96" s="28" t="str">
        <x:v>Специи</x:v>
      </x:c>
      <x:c r="C96" s="28" t="str">
        <x:v>пряный, тёплый, цитрусовый</x:v>
      </x:c>
      <x:c r="D96" s="28" t="str">
        <x:v>гингеролы, цитраль</x:v>
      </x:c>
      <x:c r="E96" s="28" t="str">
        <x:v>вкусовой баланс зависит от конкретного продукта</x:v>
      </x:c>
      <x:c r="F96" s="28" t="str">
        <x:v>обычно минимальный; проверить для острых и охлаждающих компонентов</x:v>
      </x:c>
      <x:c r="G96" s="28" t="str">
        <x:v>матрица зависит от содержания воды, жира, белка и клетчатки</x:v>
      </x:c>
      <x:c r="H96" s="28" t="str">
        <x:v>сорт, зрелость и технология обработки меняют профиль</x:v>
      </x:c>
      <x:c r="I96" s="28" t="n">
        <x:v>13</x:v>
      </x:c>
    </x:row>
    <x:row r="97" ht="52" customHeight="1">
      <x:c r="A97" s="28" t="str">
        <x:v>индейка</x:v>
      </x:c>
      <x:c r="B97" s="28" t="str">
        <x:v>Мясо и птица</x:v>
      </x:c>
      <x:c r="C97" s="28" t="str">
        <x:v>жареный, мясной и умами</x:v>
      </x:c>
      <x:c r="D97" s="28" t="str">
        <x:v>пиразины, сернистые соединения</x:v>
      </x:c>
      <x:c r="E97" s="28" t="str">
        <x:v>вкусовой баланс зависит от конкретного продукта</x:v>
      </x:c>
      <x:c r="F97" s="28" t="str">
        <x:v>обычно минимальный; проверить для острых и охлаждающих компонентов</x:v>
      </x:c>
      <x:c r="G97" s="28" t="str">
        <x:v>матрица зависит от содержания воды, жира, белка и клетчатки</x:v>
      </x:c>
      <x:c r="H97" s="28" t="str">
        <x:v>сорт, зрелость и технология обработки меняют профиль</x:v>
      </x:c>
      <x:c r="I97" s="28" t="n">
        <x:v>2</x:v>
      </x:c>
    </x:row>
    <x:row r="98" ht="52" customHeight="1">
      <x:c r="A98" s="28" t="str">
        <x:v>инжир</x:v>
      </x:c>
      <x:c r="B98" s="28" t="str">
        <x:v>Фрукты и ягоды</x:v>
      </x:c>
      <x:c r="C98" s="28" t="str">
        <x:v>фруктовый, цветочный и свежий</x:v>
      </x:c>
      <x:c r="D98" s="28" t="str">
        <x:v>альдегиды, эфиры</x:v>
      </x:c>
      <x:c r="E98" s="28" t="str">
        <x:v>вкусовой баланс зависит от конкретного продукта</x:v>
      </x:c>
      <x:c r="F98" s="28" t="str">
        <x:v>обычно минимальный; проверить для острых и охлаждающих компонентов</x:v>
      </x:c>
      <x:c r="G98" s="28" t="str">
        <x:v>матрица зависит от содержания воды, жира, белка и клетчатки</x:v>
      </x:c>
      <x:c r="H98" s="28" t="str">
        <x:v>сорт, зрелость и технология обработки меняют профиль</x:v>
      </x:c>
      <x:c r="I98" s="28" t="n">
        <x:v>3</x:v>
      </x:c>
    </x:row>
    <x:row r="99" ht="52" customHeight="1">
      <x:c r="A99" s="28" t="str">
        <x:v>испанский чоризо</x:v>
      </x:c>
      <x:c r="B99" s="28" t="str">
        <x:v>Прочее</x:v>
      </x:c>
      <x:c r="C99" s="28" t="str">
        <x:v>профиль зависит от конкретного продукта</x:v>
      </x:c>
      <x:c r="D99" s="28" t="str">
        <x:v>нет уточнённого профиля</x:v>
      </x:c>
      <x:c r="E99" s="28" t="str">
        <x:v>вкусовой баланс зависит от конкретного продукта</x:v>
      </x:c>
      <x:c r="F99" s="28" t="str">
        <x:v>обычно минимальный; проверить для острых и охлаждающих компонентов</x:v>
      </x:c>
      <x:c r="G99" s="28" t="str">
        <x:v>матрица зависит от содержания воды, жира, белка и клетчатки</x:v>
      </x:c>
      <x:c r="H99" s="28" t="str">
        <x:v>сорт, зрелость и технология обработки меняют профиль</x:v>
      </x:c>
      <x:c r="I99" s="28" t="n">
        <x:v>3</x:v>
      </x:c>
    </x:row>
    <x:row r="100" ht="52" customHeight="1">
      <x:c r="A100" s="28" t="str">
        <x:v>йогурт</x:v>
      </x:c>
      <x:c r="B100" s="28" t="str">
        <x:v>Плодовые и тыквенные овощи</x:v>
      </x:c>
      <x:c r="C100" s="28" t="str">
        <x:v>зелёный, фруктовый или водянистый</x:v>
      </x:c>
      <x:c r="D100" s="28" t="str">
        <x:v>альдегиды, эфиры</x:v>
      </x:c>
      <x:c r="E100" s="28" t="str">
        <x:v>вкусовой баланс зависит от конкретного продукта</x:v>
      </x:c>
      <x:c r="F100" s="28" t="str">
        <x:v>обычно минимальный; проверить для острых и охлаждающих компонентов</x:v>
      </x:c>
      <x:c r="G100" s="28" t="str">
        <x:v>матрица зависит от содержания воды, жира, белка и клетчатки</x:v>
      </x:c>
      <x:c r="H100" s="28" t="str">
        <x:v>сорт, зрелость и технология обработки меняют профиль</x:v>
      </x:c>
      <x:c r="I100" s="28" t="n">
        <x:v>1</x:v>
      </x:c>
    </x:row>
    <x:row r="101" ht="52" customHeight="1">
      <x:c r="A101" s="28" t="str">
        <x:v>кабан</x:v>
      </x:c>
      <x:c r="B101" s="28" t="str">
        <x:v>Прочее</x:v>
      </x:c>
      <x:c r="C101" s="28" t="str">
        <x:v>профиль зависит от конкретного продукта</x:v>
      </x:c>
      <x:c r="D101" s="28" t="str">
        <x:v>нет уточнённого профиля</x:v>
      </x:c>
      <x:c r="E101" s="28" t="str">
        <x:v>вкусовой баланс зависит от конкретного продукта</x:v>
      </x:c>
      <x:c r="F101" s="28" t="str">
        <x:v>обычно минимальный; проверить для острых и охлаждающих компонентов</x:v>
      </x:c>
      <x:c r="G101" s="28" t="str">
        <x:v>матрица зависит от содержания воды, жира, белка и клетчатки</x:v>
      </x:c>
      <x:c r="H101" s="28" t="str">
        <x:v>сорт, зрелость и технология обработки меняют профиль</x:v>
      </x:c>
      <x:c r="I101" s="28" t="n">
        <x:v>1</x:v>
      </x:c>
    </x:row>
    <x:row r="102" ht="52" customHeight="1">
      <x:c r="A102" s="28" t="str">
        <x:v>кабачок</x:v>
      </x:c>
      <x:c r="B102" s="28" t="str">
        <x:v>Тыквенные</x:v>
      </x:c>
      <x:c r="C102" s="28" t="str">
        <x:v>мягкий зелёный, водянистый, ореховый после жарки</x:v>
      </x:c>
      <x:c r="D102" s="28" t="str">
        <x:v>альдегиды, гексаналь, пиразины, цис-3-гексенол</x:v>
      </x:c>
      <x:c r="E102" s="28" t="str">
        <x:v>нейтральный, водянистый, слегка сладкий</x:v>
      </x:c>
      <x:c r="F102" s="28" t="str">
        <x:v>минимальный</x:v>
      </x:c>
      <x:c r="G102" s="28" t="str">
        <x:v>водная нежная матрица, легко впитывающая жир и соус</x:v>
      </x:c>
      <x:c r="H102" s="28" t="str">
        <x:v>гриль и жарка концентрируют вкус и создают ореховые ноты; соль выводит лишнюю воду</x:v>
      </x:c>
      <x:c r="I102" s="28" t="n">
        <x:v>4</x:v>
      </x:c>
    </x:row>
    <x:row r="103" ht="52" customHeight="1">
      <x:c r="A103" s="28" t="str">
        <x:v>какао-крупка</x:v>
      </x:c>
      <x:c r="B103" s="28" t="str">
        <x:v>Какао и шоколад</x:v>
      </x:c>
      <x:c r="C103" s="28" t="str">
        <x:v>какаовый, жареный и горько-сладкий</x:v>
      </x:c>
      <x:c r="D103" s="28" t="str">
        <x:v>альдегиды, пиразины, фураны</x:v>
      </x:c>
      <x:c r="E103" s="28" t="str">
        <x:v>вкусовой баланс зависит от конкретного продукта</x:v>
      </x:c>
      <x:c r="F103" s="28" t="str">
        <x:v>обычно минимальный; проверить для острых и охлаждающих компонентов</x:v>
      </x:c>
      <x:c r="G103" s="28" t="str">
        <x:v>матрица зависит от содержания воды, жира, белка и клетчатки</x:v>
      </x:c>
      <x:c r="H103" s="28" t="str">
        <x:v>сорт, зрелость и технология обработки меняют профиль</x:v>
      </x:c>
      <x:c r="I103" s="28" t="n">
        <x:v>1</x:v>
      </x:c>
    </x:row>
    <x:row r="104" ht="52" customHeight="1">
      <x:c r="A104" s="28" t="str">
        <x:v>какао-порошок</x:v>
      </x:c>
      <x:c r="B104" s="28" t="str">
        <x:v>Какао и шоколад</x:v>
      </x:c>
      <x:c r="C104" s="28" t="str">
        <x:v>какаовый, жареный и горько-сладкий</x:v>
      </x:c>
      <x:c r="D104" s="28" t="str">
        <x:v>альдегиды, пиразины, фураны</x:v>
      </x:c>
      <x:c r="E104" s="28" t="str">
        <x:v>вкусовой баланс зависит от конкретного продукта</x:v>
      </x:c>
      <x:c r="F104" s="28" t="str">
        <x:v>обычно минимальный; проверить для острых и охлаждающих компонентов</x:v>
      </x:c>
      <x:c r="G104" s="28" t="str">
        <x:v>матрица зависит от содержания воды, жира, белка и клетчатки</x:v>
      </x:c>
      <x:c r="H104" s="28" t="str">
        <x:v>сорт, зрелость и технология обработки меняют профиль</x:v>
      </x:c>
      <x:c r="I104" s="28" t="n">
        <x:v>2</x:v>
      </x:c>
    </x:row>
    <x:row r="105" ht="52" customHeight="1">
      <x:c r="A105" s="28" t="str">
        <x:v>камамбер</x:v>
      </x:c>
      <x:c r="B105" s="28" t="str">
        <x:v>Прочее</x:v>
      </x:c>
      <x:c r="C105" s="28" t="str">
        <x:v>профиль зависит от конкретного продукта</x:v>
      </x:c>
      <x:c r="D105" s="28" t="str">
        <x:v>нет уточнённого профиля</x:v>
      </x:c>
      <x:c r="E105" s="28" t="str">
        <x:v>вкусовой баланс зависит от конкретного продукта</x:v>
      </x:c>
      <x:c r="F105" s="28" t="str">
        <x:v>обычно минимальный; проверить для острых и охлаждающих компонентов</x:v>
      </x:c>
      <x:c r="G105" s="28" t="str">
        <x:v>матрица зависит от содержания воды, жира, белка и клетчатки</x:v>
      </x:c>
      <x:c r="H105" s="28" t="str">
        <x:v>сорт, зрелость и технология обработки меняют профиль</x:v>
      </x:c>
      <x:c r="I105" s="28" t="n">
        <x:v>1</x:v>
      </x:c>
    </x:row>
    <x:row r="106" ht="52" customHeight="1">
      <x:c r="A106" s="28" t="str">
        <x:v>камбала</x:v>
      </x:c>
      <x:c r="B106" s="28" t="str">
        <x:v>Прочее</x:v>
      </x:c>
      <x:c r="C106" s="28" t="str">
        <x:v>профиль зависит от конкретного продукта</x:v>
      </x:c>
      <x:c r="D106" s="28" t="str">
        <x:v>нет уточнённого профиля</x:v>
      </x:c>
      <x:c r="E106" s="28" t="str">
        <x:v>вкусовой баланс зависит от конкретного продукта</x:v>
      </x:c>
      <x:c r="F106" s="28" t="str">
        <x:v>обычно минимальный; проверить для острых и охлаждающих компонентов</x:v>
      </x:c>
      <x:c r="G106" s="28" t="str">
        <x:v>матрица зависит от содержания воды, жира, белка и клетчатки</x:v>
      </x:c>
      <x:c r="H106" s="28" t="str">
        <x:v>сорт, зрелость и технология обработки меняют профиль</x:v>
      </x:c>
      <x:c r="I106" s="28" t="n">
        <x:v>2</x:v>
      </x:c>
    </x:row>
    <x:row r="107" ht="52" customHeight="1">
      <x:c r="A107" s="28" t="str">
        <x:v>канталупа</x:v>
      </x:c>
      <x:c r="B107" s="28" t="str">
        <x:v>Прочее</x:v>
      </x:c>
      <x:c r="C107" s="28" t="str">
        <x:v>профиль зависит от конкретного продукта</x:v>
      </x:c>
      <x:c r="D107" s="28" t="str">
        <x:v>нет уточнённого профиля</x:v>
      </x:c>
      <x:c r="E107" s="28" t="str">
        <x:v>вкусовой баланс зависит от конкретного продукта</x:v>
      </x:c>
      <x:c r="F107" s="28" t="str">
        <x:v>обычно минимальный; проверить для острых и охлаждающих компонентов</x:v>
      </x:c>
      <x:c r="G107" s="28" t="str">
        <x:v>матрица зависит от содержания воды, жира, белка и клетчатки</x:v>
      </x:c>
      <x:c r="H107" s="28" t="str">
        <x:v>сорт, зрелость и технология обработки меняют профиль</x:v>
      </x:c>
      <x:c r="I107" s="28" t="n">
        <x:v>2</x:v>
      </x:c>
    </x:row>
    <x:row r="108" ht="52" customHeight="1">
      <x:c r="A108" s="28" t="str">
        <x:v>каперсы</x:v>
      </x:c>
      <x:c r="B108" s="28" t="str">
        <x:v>Прочее</x:v>
      </x:c>
      <x:c r="C108" s="28" t="str">
        <x:v>профиль зависит от конкретного продукта</x:v>
      </x:c>
      <x:c r="D108" s="28" t="str">
        <x:v>нет уточнённого профиля</x:v>
      </x:c>
      <x:c r="E108" s="28" t="str">
        <x:v>вкусовой баланс зависит от конкретного продукта</x:v>
      </x:c>
      <x:c r="F108" s="28" t="str">
        <x:v>обычно минимальный; проверить для острых и охлаждающих компонентов</x:v>
      </x:c>
      <x:c r="G108" s="28" t="str">
        <x:v>матрица зависит от содержания воды, жира, белка и клетчатки</x:v>
      </x:c>
      <x:c r="H108" s="28" t="str">
        <x:v>сорт, зрелость и технология обработки меняют профиль</x:v>
      </x:c>
      <x:c r="I108" s="28" t="n">
        <x:v>5</x:v>
      </x:c>
    </x:row>
    <x:row r="109" ht="52" customHeight="1">
      <x:c r="A109" s="28" t="str">
        <x:v>капуста</x:v>
      </x:c>
      <x:c r="B109" s="28" t="str">
        <x:v>Крестоцветные</x:v>
      </x:c>
      <x:c r="C109" s="28" t="str">
        <x:v>зелёный, горчичный, сернистый и сладковатый после приготовления</x:v>
      </x:c>
      <x:c r="D109" s="28" t="str">
        <x:v>глюкозинолаты, диметилсульфид, изотиоцианаты, метантиол</x:v>
      </x:c>
      <x:c r="E109" s="28" t="str">
        <x:v>сладость, лёгкая горечь и сернистость</x:v>
      </x:c>
      <x:c r="F109" s="28" t="str">
        <x:v>горчичное покалывание у сырой капусты</x:v>
      </x:c>
      <x:c r="G109" s="28" t="str">
        <x:v>водная волокнистая матрица; антоцианы у красной капусты влияют на цвет</x:v>
      </x:c>
      <x:c r="H109" s="28" t="str">
        <x:v>короткая жарка сохраняет зелёность; длительная варка усиливает сернистый запах; ферментация создаёт кислоту</x:v>
      </x:c>
      <x:c r="I109" s="28" t="n">
        <x:v>33</x:v>
      </x:c>
    </x:row>
    <x:row r="110" ht="52" customHeight="1">
      <x:c r="A110" s="28" t="str">
        <x:v>каракатица</x:v>
      </x:c>
      <x:c r="B110" s="28" t="str">
        <x:v>Рыба и морепродукты</x:v>
      </x:c>
      <x:c r="C110" s="28" t="str">
        <x:v>морской, солоноватый и умами</x:v>
      </x:c>
      <x:c r="D110" s="28" t="str">
        <x:v>альдегиды, амины</x:v>
      </x:c>
      <x:c r="E110" s="28" t="str">
        <x:v>вкусовой баланс зависит от конкретного продукта</x:v>
      </x:c>
      <x:c r="F110" s="28" t="str">
        <x:v>обычно минимальный; проверить для острых и охлаждающих компонентов</x:v>
      </x:c>
      <x:c r="G110" s="28" t="str">
        <x:v>матрица зависит от содержания воды, жира, белка и клетчатки</x:v>
      </x:c>
      <x:c r="H110" s="28" t="str">
        <x:v>сорт, зрелость и технология обработки меняют профиль</x:v>
      </x:c>
      <x:c r="I110" s="28" t="n">
        <x:v>1</x:v>
      </x:c>
    </x:row>
    <x:row r="111" ht="52" customHeight="1">
      <x:c r="A111" s="28" t="str">
        <x:v>карамель</x:v>
      </x:c>
      <x:c r="B111" s="28" t="str">
        <x:v>Выпечка, крупы, сахара и десерты</x:v>
      </x:c>
      <x:c r="C111" s="28" t="str">
        <x:v>жареный, карамельный, сладкий</x:v>
      </x:c>
      <x:c r="D111" s="28" t="str">
        <x:v>мальтол, фураны</x:v>
      </x:c>
      <x:c r="E111" s="28" t="str">
        <x:v>вкусовой баланс зависит от конкретного продукта</x:v>
      </x:c>
      <x:c r="F111" s="28" t="str">
        <x:v>обычно минимальный; проверить для острых и охлаждающих компонентов</x:v>
      </x:c>
      <x:c r="G111" s="28" t="str">
        <x:v>матрица зависит от содержания воды, жира, белка и клетчатки</x:v>
      </x:c>
      <x:c r="H111" s="28" t="str">
        <x:v>сорт, зрелость и технология обработки меняют профиль</x:v>
      </x:c>
      <x:c r="I111" s="28" t="n">
        <x:v>1</x:v>
      </x:c>
    </x:row>
    <x:row r="112" ht="52" customHeight="1">
      <x:c r="A112" s="28" t="str">
        <x:v>кардамон</x:v>
      </x:c>
      <x:c r="B112" s="28" t="str">
        <x:v>Специи</x:v>
      </x:c>
      <x:c r="C112" s="28" t="str">
        <x:v>камфорный, цветочный, цитрусовый</x:v>
      </x:c>
      <x:c r="D112" s="28" t="str">
        <x:v>1,8-цинеол, линалоол</x:v>
      </x:c>
      <x:c r="E112" s="28" t="str">
        <x:v>вкусовой баланс зависит от конкретного продукта</x:v>
      </x:c>
      <x:c r="F112" s="28" t="str">
        <x:v>обычно минимальный; проверить для острых и охлаждающих компонентов</x:v>
      </x:c>
      <x:c r="G112" s="28" t="str">
        <x:v>матрица зависит от содержания воды, жира, белка и клетчатки</x:v>
      </x:c>
      <x:c r="H112" s="28" t="str">
        <x:v>сорт, зрелость и технология обработки меняют профиль</x:v>
      </x:c>
      <x:c r="I112" s="28" t="n">
        <x:v>10</x:v>
      </x:c>
    </x:row>
    <x:row r="113" ht="52" customHeight="1">
      <x:c r="A113" s="28" t="str">
        <x:v>картофель</x:v>
      </x:c>
      <x:c r="B113" s="28" t="str">
        <x:v>Корнеплоды и клубни</x:v>
      </x:c>
      <x:c r="C113" s="28" t="str">
        <x:v>крахмалистый, землистый, ореховый и жареный после нагрева</x:v>
      </x:c>
      <x:c r="D113" s="28" t="str">
        <x:v>2-ацетил-1-пирролин, альдегиды, метиональ, пиразины</x:v>
      </x:c>
      <x:c r="E113" s="28" t="str">
        <x:v>нейтральный, крахмалистый, мягко сладкий и солеподдерживающий</x:v>
      </x:c>
      <x:c r="F113" s="28" t="str">
        <x:v>минимальный</x:v>
      </x:c>
      <x:c r="G113" s="28" t="str">
        <x:v>крахмальная водная матрица; структура зависит от сорта и желатинизации крахмала</x:v>
      </x:c>
      <x:c r="H113" s="28" t="str">
        <x:v>варка даёт мягкие сернисто-крахмальные ноты; жарка и запекание создают Майяр и хруст</x:v>
      </x:c>
      <x:c r="I113" s="28" t="n">
        <x:v>110</x:v>
      </x:c>
    </x:row>
    <x:row r="114" ht="52" customHeight="1">
      <x:c r="A114" s="28" t="str">
        <x:v>картофель фри</x:v>
      </x:c>
      <x:c r="B114" s="28" t="str">
        <x:v>Корнеплоды и клубни</x:v>
      </x:c>
      <x:c r="C114" s="28" t="str">
        <x:v>землистый, сладкий или крахмалистый</x:v>
      </x:c>
      <x:c r="D114" s="28" t="str">
        <x:v>альдегиды, фураны</x:v>
      </x:c>
      <x:c r="E114" s="28" t="str">
        <x:v>вкусовой баланс зависит от конкретного продукта</x:v>
      </x:c>
      <x:c r="F114" s="28" t="str">
        <x:v>обычно минимальный; проверить для острых и охлаждающих компонентов</x:v>
      </x:c>
      <x:c r="G114" s="28" t="str">
        <x:v>матрица зависит от содержания воды, жира, белка и клетчатки</x:v>
      </x:c>
      <x:c r="H114" s="28" t="str">
        <x:v>сорт, зрелость и технология обработки меняют профиль</x:v>
      </x:c>
      <x:c r="I114" s="28" t="n">
        <x:v>1</x:v>
      </x:c>
    </x:row>
    <x:row r="115" ht="52" customHeight="1">
      <x:c r="A115" s="28" t="str">
        <x:v>каштаны</x:v>
      </x:c>
      <x:c r="B115" s="28" t="str">
        <x:v>Орехи и семена</x:v>
      </x:c>
      <x:c r="C115" s="28" t="str">
        <x:v>ореховый, жареный и жирный</x:v>
      </x:c>
      <x:c r="D115" s="28" t="str">
        <x:v>альдегиды, пиразины, фураны</x:v>
      </x:c>
      <x:c r="E115" s="28" t="str">
        <x:v>вкусовой баланс зависит от конкретного продукта</x:v>
      </x:c>
      <x:c r="F115" s="28" t="str">
        <x:v>обычно минимальный; проверить для острых и охлаждающих компонентов</x:v>
      </x:c>
      <x:c r="G115" s="28" t="str">
        <x:v>матрица зависит от содержания воды, жира, белка и клетчатки</x:v>
      </x:c>
      <x:c r="H115" s="28" t="str">
        <x:v>сорт, зрелость и технология обработки меняют профиль</x:v>
      </x:c>
      <x:c r="I115" s="28" t="n">
        <x:v>4</x:v>
      </x:c>
    </x:row>
    <x:row r="116" ht="52" customHeight="1">
      <x:c r="A116" s="28" t="str">
        <x:v>кетчуп</x:v>
      </x:c>
      <x:c r="B116" s="28" t="str">
        <x:v>Прочее</x:v>
      </x:c>
      <x:c r="C116" s="28" t="str">
        <x:v>профиль зависит от конкретного продукта</x:v>
      </x:c>
      <x:c r="D116" s="28" t="str">
        <x:v>нет уточнённого профиля</x:v>
      </x:c>
      <x:c r="E116" s="28" t="str">
        <x:v>вкусовой баланс зависит от конкретного продукта</x:v>
      </x:c>
      <x:c r="F116" s="28" t="str">
        <x:v>обычно минимальный; проверить для острых и охлаждающих компонентов</x:v>
      </x:c>
      <x:c r="G116" s="28" t="str">
        <x:v>матрица зависит от содержания воды, жира, белка и клетчатки</x:v>
      </x:c>
      <x:c r="H116" s="28" t="str">
        <x:v>сорт, зрелость и технология обработки меняют профиль</x:v>
      </x:c>
      <x:c r="I116" s="28" t="n">
        <x:v>1</x:v>
      </x:c>
    </x:row>
    <x:row r="117" ht="52" customHeight="1">
      <x:c r="A117" s="28" t="str">
        <x:v>кефаль</x:v>
      </x:c>
      <x:c r="B117" s="28" t="str">
        <x:v>Рыба и морепродукты</x:v>
      </x:c>
      <x:c r="C117" s="28" t="str">
        <x:v>морской, солоноватый и умами</x:v>
      </x:c>
      <x:c r="D117" s="28" t="str">
        <x:v>альдегиды, амины</x:v>
      </x:c>
      <x:c r="E117" s="28" t="str">
        <x:v>вкусовой баланс зависит от конкретного продукта</x:v>
      </x:c>
      <x:c r="F117" s="28" t="str">
        <x:v>обычно минимальный; проверить для острых и охлаждающих компонентов</x:v>
      </x:c>
      <x:c r="G117" s="28" t="str">
        <x:v>матрица зависит от содержания воды, жира, белка и клетчатки</x:v>
      </x:c>
      <x:c r="H117" s="28" t="str">
        <x:v>сорт, зрелость и технология обработки меняют профиль</x:v>
      </x:c>
      <x:c r="I117" s="28" t="n">
        <x:v>5</x:v>
      </x:c>
    </x:row>
    <x:row r="118" ht="52" customHeight="1">
      <x:c r="A118" s="28" t="str">
        <x:v>кефир</x:v>
      </x:c>
      <x:c r="B118" s="28" t="str">
        <x:v>Прочее</x:v>
      </x:c>
      <x:c r="C118" s="28" t="str">
        <x:v>профиль зависит от конкретного продукта</x:v>
      </x:c>
      <x:c r="D118" s="28" t="str">
        <x:v>нет уточнённого профиля</x:v>
      </x:c>
      <x:c r="E118" s="28" t="str">
        <x:v>вкусовой баланс зависит от конкретного продукта</x:v>
      </x:c>
      <x:c r="F118" s="28" t="str">
        <x:v>обычно минимальный; проверить для острых и охлаждающих компонентов</x:v>
      </x:c>
      <x:c r="G118" s="28" t="str">
        <x:v>матрица зависит от содержания воды, жира, белка и клетчатки</x:v>
      </x:c>
      <x:c r="H118" s="28" t="str">
        <x:v>сорт, зрелость и технология обработки меняют профиль</x:v>
      </x:c>
      <x:c r="I118" s="28" t="n">
        <x:v>1</x:v>
      </x:c>
    </x:row>
    <x:row r="119" ht="52" customHeight="1">
      <x:c r="A119" s="28" t="str">
        <x:v>кешью</x:v>
      </x:c>
      <x:c r="B119" s="28" t="str">
        <x:v>Прочее</x:v>
      </x:c>
      <x:c r="C119" s="28" t="str">
        <x:v>профиль зависит от конкретного продукта</x:v>
      </x:c>
      <x:c r="D119" s="28" t="str">
        <x:v>нет уточнённого профиля</x:v>
      </x:c>
      <x:c r="E119" s="28" t="str">
        <x:v>вкусовой баланс зависит от конкретного продукта</x:v>
      </x:c>
      <x:c r="F119" s="28" t="str">
        <x:v>обычно минимальный; проверить для острых и охлаждающих компонентов</x:v>
      </x:c>
      <x:c r="G119" s="28" t="str">
        <x:v>матрица зависит от содержания воды, жира, белка и клетчатки</x:v>
      </x:c>
      <x:c r="H119" s="28" t="str">
        <x:v>сорт, зрелость и технология обработки меняют профиль</x:v>
      </x:c>
      <x:c r="I119" s="28" t="n">
        <x:v>3</x:v>
      </x:c>
    </x:row>
    <x:row r="120" ht="52" customHeight="1">
      <x:c r="A120" s="28" t="str">
        <x:v>киви</x:v>
      </x:c>
      <x:c r="B120" s="28" t="str">
        <x:v>Фрукты и ягоды</x:v>
      </x:c>
      <x:c r="C120" s="28" t="str">
        <x:v>фруктовый, цветочный и свежий</x:v>
      </x:c>
      <x:c r="D120" s="28" t="str">
        <x:v>альдегиды, эфиры</x:v>
      </x:c>
      <x:c r="E120" s="28" t="str">
        <x:v>вкусовой баланс зависит от конкретного продукта</x:v>
      </x:c>
      <x:c r="F120" s="28" t="str">
        <x:v>обычно минимальный; проверить для острых и охлаждающих компонентов</x:v>
      </x:c>
      <x:c r="G120" s="28" t="str">
        <x:v>матрица зависит от содержания воды, жира, белка и клетчатки</x:v>
      </x:c>
      <x:c r="H120" s="28" t="str">
        <x:v>сорт, зрелость и технология обработки меняют профиль</x:v>
      </x:c>
      <x:c r="I120" s="28" t="n">
        <x:v>1</x:v>
      </x:c>
    </x:row>
    <x:row r="121" ht="52" customHeight="1">
      <x:c r="A121" s="28" t="str">
        <x:v>кимчи</x:v>
      </x:c>
      <x:c r="B121" s="28" t="str">
        <x:v>Ферментированные продукты и соусы</x:v>
      </x:c>
      <x:c r="C121" s="28" t="str">
        <x:v>ферментированный, умами и сложный</x:v>
      </x:c>
      <x:c r="D121" s="28" t="str">
        <x:v>пиразины, фураны, эфиры</x:v>
      </x:c>
      <x:c r="E121" s="28" t="str">
        <x:v>вкусовой баланс зависит от конкретного продукта</x:v>
      </x:c>
      <x:c r="F121" s="28" t="str">
        <x:v>обычно минимальный; проверить для острых и охлаждающих компонентов</x:v>
      </x:c>
      <x:c r="G121" s="28" t="str">
        <x:v>матрица зависит от содержания воды, жира, белка и клетчатки</x:v>
      </x:c>
      <x:c r="H121" s="28" t="str">
        <x:v>сорт, зрелость и технология обработки меняют профиль</x:v>
      </x:c>
      <x:c r="I121" s="28" t="n">
        <x:v>6</x:v>
      </x:c>
    </x:row>
    <x:row r="122" ht="52" customHeight="1">
      <x:c r="A122" s="28" t="str">
        <x:v>киноа</x:v>
      </x:c>
      <x:c r="B122" s="28" t="str">
        <x:v>Прочее</x:v>
      </x:c>
      <x:c r="C122" s="28" t="str">
        <x:v>профиль зависит от конкретного продукта</x:v>
      </x:c>
      <x:c r="D122" s="28" t="str">
        <x:v>нет уточнённого профиля</x:v>
      </x:c>
      <x:c r="E122" s="28" t="str">
        <x:v>вкусовой баланс зависит от конкретного продукта</x:v>
      </x:c>
      <x:c r="F122" s="28" t="str">
        <x:v>обычно минимальный; проверить для острых и охлаждающих компонентов</x:v>
      </x:c>
      <x:c r="G122" s="28" t="str">
        <x:v>матрица зависит от содержания воды, жира, белка и клетчатки</x:v>
      </x:c>
      <x:c r="H122" s="28" t="str">
        <x:v>сорт, зрелость и технология обработки меняют профиль</x:v>
      </x:c>
      <x:c r="I122" s="28" t="n">
        <x:v>1</x:v>
      </x:c>
    </x:row>
    <x:row r="123" ht="52" customHeight="1">
      <x:c r="A123" s="28" t="str">
        <x:v>кленовый сироп</x:v>
      </x:c>
      <x:c r="B123" s="28" t="str">
        <x:v>Выпечка, крупы, сахара и десерты</x:v>
      </x:c>
      <x:c r="C123" s="28" t="str">
        <x:v>сладкий, карамельный и жареный</x:v>
      </x:c>
      <x:c r="D123" s="28" t="str">
        <x:v>мальтол, пиразины, фураны</x:v>
      </x:c>
      <x:c r="E123" s="28" t="str">
        <x:v>вкусовой баланс зависит от конкретного продукта</x:v>
      </x:c>
      <x:c r="F123" s="28" t="str">
        <x:v>обычно минимальный; проверить для острых и охлаждающих компонентов</x:v>
      </x:c>
      <x:c r="G123" s="28" t="str">
        <x:v>матрица зависит от содержания воды, жира, белка и клетчатки</x:v>
      </x:c>
      <x:c r="H123" s="28" t="str">
        <x:v>сорт, зрелость и технология обработки меняют профиль</x:v>
      </x:c>
      <x:c r="I123" s="28" t="n">
        <x:v>1</x:v>
      </x:c>
    </x:row>
    <x:row r="124" ht="52" customHeight="1">
      <x:c r="A124" s="28" t="str">
        <x:v>клубника</x:v>
      </x:c>
      <x:c r="B124" s="28" t="str">
        <x:v>Фрукты и ягоды</x:v>
      </x:c>
      <x:c r="C124" s="28" t="str">
        <x:v>зелёный, карамельный, фруктовый</x:v>
      </x:c>
      <x:c r="D124" s="28" t="str">
        <x:v>фуранеол, эфиры</x:v>
      </x:c>
      <x:c r="E124" s="28" t="str">
        <x:v>вкусовой баланс зависит от конкретного продукта</x:v>
      </x:c>
      <x:c r="F124" s="28" t="str">
        <x:v>обычно минимальный; проверить для острых и охлаждающих компонентов</x:v>
      </x:c>
      <x:c r="G124" s="28" t="str">
        <x:v>матрица зависит от содержания воды, жира, белка и клетчатки</x:v>
      </x:c>
      <x:c r="H124" s="28" t="str">
        <x:v>сорт, зрелость и технология обработки меняют профиль</x:v>
      </x:c>
      <x:c r="I124" s="28" t="n">
        <x:v>8</x:v>
      </x:c>
    </x:row>
    <x:row r="125" ht="52" customHeight="1">
      <x:c r="A125" s="28" t="str">
        <x:v>клюква</x:v>
      </x:c>
      <x:c r="B125" s="28" t="str">
        <x:v>Прочее</x:v>
      </x:c>
      <x:c r="C125" s="28" t="str">
        <x:v>профиль зависит от конкретного продукта</x:v>
      </x:c>
      <x:c r="D125" s="28" t="str">
        <x:v>нет уточнённого профиля</x:v>
      </x:c>
      <x:c r="E125" s="28" t="str">
        <x:v>вкусовой баланс зависит от конкретного продукта</x:v>
      </x:c>
      <x:c r="F125" s="28" t="str">
        <x:v>обычно минимальный; проверить для острых и охлаждающих компонентов</x:v>
      </x:c>
      <x:c r="G125" s="28" t="str">
        <x:v>матрица зависит от содержания воды, жира, белка и клетчатки</x:v>
      </x:c>
      <x:c r="H125" s="28" t="str">
        <x:v>сорт, зрелость и технология обработки меняют профиль</x:v>
      </x:c>
      <x:c r="I125" s="28" t="n">
        <x:v>3</x:v>
      </x:c>
    </x:row>
    <x:row r="126" ht="52" customHeight="1">
      <x:c r="A126" s="28" t="str">
        <x:v>клюквенный сок</x:v>
      </x:c>
      <x:c r="B126" s="28" t="str">
        <x:v>Прочее</x:v>
      </x:c>
      <x:c r="C126" s="28" t="str">
        <x:v>профиль зависит от конкретного продукта</x:v>
      </x:c>
      <x:c r="D126" s="28" t="str">
        <x:v>нет уточнённого профиля</x:v>
      </x:c>
      <x:c r="E126" s="28" t="str">
        <x:v>вкусовой баланс зависит от конкретного продукта</x:v>
      </x:c>
      <x:c r="F126" s="28" t="str">
        <x:v>обычно минимальный; проверить для острых и охлаждающих компонентов</x:v>
      </x:c>
      <x:c r="G126" s="28" t="str">
        <x:v>матрица зависит от содержания воды, жира, белка и клетчатки</x:v>
      </x:c>
      <x:c r="H126" s="28" t="str">
        <x:v>сорт, зрелость и технология обработки меняют профиль</x:v>
      </x:c>
      <x:c r="I126" s="28" t="n">
        <x:v>1</x:v>
      </x:c>
    </x:row>
    <x:row r="127" ht="52" customHeight="1">
      <x:c r="A127" s="28" t="str">
        <x:v>козий сыр</x:v>
      </x:c>
      <x:c r="B127" s="28" t="str">
        <x:v>Молочные продукты и сыры</x:v>
      </x:c>
      <x:c r="C127" s="28" t="str">
        <x:v>молочный, умами, ферментированный</x:v>
      </x:c>
      <x:c r="D127" s="28" t="str">
        <x:v>диацетил, жирные кислоты</x:v>
      </x:c>
      <x:c r="E127" s="28" t="str">
        <x:v>вкусовой баланс зависит от конкретного продукта</x:v>
      </x:c>
      <x:c r="F127" s="28" t="str">
        <x:v>обычно минимальный; проверить для острых и охлаждающих компонентов</x:v>
      </x:c>
      <x:c r="G127" s="28" t="str">
        <x:v>матрица зависит от содержания воды, жира, белка и клетчатки</x:v>
      </x:c>
      <x:c r="H127" s="28" t="str">
        <x:v>сорт, зрелость и технология обработки меняют профиль</x:v>
      </x:c>
      <x:c r="I127" s="28" t="n">
        <x:v>5</x:v>
      </x:c>
    </x:row>
    <x:row r="128" ht="52" customHeight="1">
      <x:c r="A128" s="28" t="str">
        <x:v>козий сыр и молоко</x:v>
      </x:c>
      <x:c r="B128" s="28" t="str">
        <x:v>Молочные продукты и сыры</x:v>
      </x:c>
      <x:c r="C128" s="28" t="str">
        <x:v>молочный, умами, ферментированный</x:v>
      </x:c>
      <x:c r="D128" s="28" t="str">
        <x:v>диацетил, жирные кислоты</x:v>
      </x:c>
      <x:c r="E128" s="28" t="str">
        <x:v>вкусовой баланс зависит от конкретного продукта</x:v>
      </x:c>
      <x:c r="F128" s="28" t="str">
        <x:v>обычно минимальный; проверить для острых и охлаждающих компонентов</x:v>
      </x:c>
      <x:c r="G128" s="28" t="str">
        <x:v>матрица зависит от содержания воды, жира, белка и клетчатки</x:v>
      </x:c>
      <x:c r="H128" s="28" t="str">
        <x:v>сорт, зрелость и технология обработки меняют профиль</x:v>
      </x:c>
      <x:c r="I128" s="28" t="n">
        <x:v>3</x:v>
      </x:c>
    </x:row>
    <x:row r="129" ht="52" customHeight="1">
      <x:c r="A129" s="28" t="str">
        <x:v>кокос</x:v>
      </x:c>
      <x:c r="B129" s="28" t="str">
        <x:v>Прочее</x:v>
      </x:c>
      <x:c r="C129" s="28" t="str">
        <x:v>лактонный, сливочный</x:v>
      </x:c>
      <x:c r="D129" s="28" t="str">
        <x:v>лактоны</x:v>
      </x:c>
      <x:c r="E129" s="28" t="str">
        <x:v>вкусовой баланс зависит от конкретного продукта</x:v>
      </x:c>
      <x:c r="F129" s="28" t="str">
        <x:v>обычно минимальный; проверить для острых и охлаждающих компонентов</x:v>
      </x:c>
      <x:c r="G129" s="28" t="str">
        <x:v>матрица зависит от содержания воды, жира, белка и клетчатки</x:v>
      </x:c>
      <x:c r="H129" s="28" t="str">
        <x:v>сорт, зрелость и технология обработки меняют профиль</x:v>
      </x:c>
      <x:c r="I129" s="28" t="n">
        <x:v>6</x:v>
      </x:c>
    </x:row>
    <x:row r="130" ht="52" customHeight="1">
      <x:c r="A130" s="28" t="str">
        <x:v>колбаса</x:v>
      </x:c>
      <x:c r="B130" s="28" t="str">
        <x:v>Прочее</x:v>
      </x:c>
      <x:c r="C130" s="28" t="str">
        <x:v>профиль зависит от конкретного продукта</x:v>
      </x:c>
      <x:c r="D130" s="28" t="str">
        <x:v>нет уточнённого профиля</x:v>
      </x:c>
      <x:c r="E130" s="28" t="str">
        <x:v>вкусовой баланс зависит от конкретного продукта</x:v>
      </x:c>
      <x:c r="F130" s="28" t="str">
        <x:v>обычно минимальный; проверить для острых и охлаждающих компонентов</x:v>
      </x:c>
      <x:c r="G130" s="28" t="str">
        <x:v>матрица зависит от содержания воды, жира, белка и клетчатки</x:v>
      </x:c>
      <x:c r="H130" s="28" t="str">
        <x:v>сорт, зрелость и технология обработки меняют профиль</x:v>
      </x:c>
      <x:c r="I130" s="28" t="n">
        <x:v>1</x:v>
      </x:c>
    </x:row>
    <x:row r="131" ht="52" customHeight="1">
      <x:c r="A131" s="28" t="str">
        <x:v>колумбийский кофе</x:v>
      </x:c>
      <x:c r="B131" s="28" t="str">
        <x:v>Кофе</x:v>
      </x:c>
      <x:c r="C131" s="28" t="str">
        <x:v>жареный, карамельный, ореховый</x:v>
      </x:c>
      <x:c r="D131" s="28" t="str">
        <x:v>гваякол, пиразины, фураны</x:v>
      </x:c>
      <x:c r="E131" s="28" t="str">
        <x:v>вкусовой баланс зависит от конкретного продукта</x:v>
      </x:c>
      <x:c r="F131" s="28" t="str">
        <x:v>обычно минимальный; проверить для острых и охлаждающих компонентов</x:v>
      </x:c>
      <x:c r="G131" s="28" t="str">
        <x:v>матрица зависит от содержания воды, жира, белка и клетчатки</x:v>
      </x:c>
      <x:c r="H131" s="28" t="str">
        <x:v>сорт, зрелость и технология обработки меняют профиль</x:v>
      </x:c>
      <x:c r="I131" s="28" t="n">
        <x:v>1</x:v>
      </x:c>
    </x:row>
    <x:row r="132" ht="52" customHeight="1">
      <x:c r="A132" s="28" t="str">
        <x:v>кольраби</x:v>
      </x:c>
      <x:c r="B132" s="28" t="str">
        <x:v>Прочее</x:v>
      </x:c>
      <x:c r="C132" s="28" t="str">
        <x:v>профиль зависит от конкретного продукта</x:v>
      </x:c>
      <x:c r="D132" s="28" t="str">
        <x:v>нет уточнённого профиля</x:v>
      </x:c>
      <x:c r="E132" s="28" t="str">
        <x:v>вкусовой баланс зависит от конкретного продукта</x:v>
      </x:c>
      <x:c r="F132" s="28" t="str">
        <x:v>обычно минимальный; проверить для острых и охлаждающих компонентов</x:v>
      </x:c>
      <x:c r="G132" s="28" t="str">
        <x:v>матрица зависит от содержания воды, жира, белка и клетчатки</x:v>
      </x:c>
      <x:c r="H132" s="28" t="str">
        <x:v>сорт, зрелость и технология обработки меняют профиль</x:v>
      </x:c>
      <x:c r="I132" s="28" t="n">
        <x:v>2</x:v>
      </x:c>
    </x:row>
    <x:row r="133" ht="52" customHeight="1">
      <x:c r="A133" s="28" t="str">
        <x:v>комбу</x:v>
      </x:c>
      <x:c r="B133" s="28" t="str">
        <x:v>Прочее</x:v>
      </x:c>
      <x:c r="C133" s="28" t="str">
        <x:v>профиль зависит от конкретного продукта</x:v>
      </x:c>
      <x:c r="D133" s="28" t="str">
        <x:v>нет уточнённого профиля</x:v>
      </x:c>
      <x:c r="E133" s="28" t="str">
        <x:v>вкусовой баланс зависит от конкретного продукта</x:v>
      </x:c>
      <x:c r="F133" s="28" t="str">
        <x:v>обычно минимальный; проверить для острых и охлаждающих компонентов</x:v>
      </x:c>
      <x:c r="G133" s="28" t="str">
        <x:v>матрица зависит от содержания воды, жира, белка и клетчатки</x:v>
      </x:c>
      <x:c r="H133" s="28" t="str">
        <x:v>сорт, зрелость и технология обработки меняют профиль</x:v>
      </x:c>
      <x:c r="I133" s="28" t="n">
        <x:v>1</x:v>
      </x:c>
    </x:row>
    <x:row r="134" ht="52" customHeight="1">
      <x:c r="A134" s="28" t="str">
        <x:v>коньяк</x:v>
      </x:c>
      <x:c r="B134" s="28" t="str">
        <x:v>Алкогольные напитки</x:v>
      </x:c>
      <x:c r="C134" s="28" t="str">
        <x:v>спиртовой, фруктовый или древесный</x:v>
      </x:c>
      <x:c r="D134" s="28" t="str">
        <x:v>альдегиды, эфиры</x:v>
      </x:c>
      <x:c r="E134" s="28" t="str">
        <x:v>вкусовой баланс зависит от конкретного продукта</x:v>
      </x:c>
      <x:c r="F134" s="28" t="str">
        <x:v>обычно минимальный; проверить для острых и охлаждающих компонентов</x:v>
      </x:c>
      <x:c r="G134" s="28" t="str">
        <x:v>матрица зависит от содержания воды, жира, белка и клетчатки</x:v>
      </x:c>
      <x:c r="H134" s="28" t="str">
        <x:v>сорт, зрелость и технология обработки меняют профиль</x:v>
      </x:c>
      <x:c r="I134" s="28" t="n">
        <x:v>9</x:v>
      </x:c>
    </x:row>
    <x:row r="135" ht="52" customHeight="1">
      <x:c r="A135" s="28" t="str">
        <x:v>копченая рыба</x:v>
      </x:c>
      <x:c r="B135" s="28" t="str">
        <x:v>Рыба и морепродукты</x:v>
      </x:c>
      <x:c r="C135" s="28" t="str">
        <x:v>жирный, морской, умами</x:v>
      </x:c>
      <x:c r="D135" s="28" t="str">
        <x:v>альдегиды, амины</x:v>
      </x:c>
      <x:c r="E135" s="28" t="str">
        <x:v>вкусовой баланс зависит от конкретного продукта</x:v>
      </x:c>
      <x:c r="F135" s="28" t="str">
        <x:v>обычно минимальный; проверить для острых и охлаждающих компонентов</x:v>
      </x:c>
      <x:c r="G135" s="28" t="str">
        <x:v>матрица зависит от содержания воды, жира, белка и клетчатки</x:v>
      </x:c>
      <x:c r="H135" s="28" t="str">
        <x:v>сорт, зрелость и технология обработки меняют профиль</x:v>
      </x:c>
      <x:c r="I135" s="28" t="n">
        <x:v>4</x:v>
      </x:c>
    </x:row>
    <x:row r="136" ht="52" customHeight="1">
      <x:c r="A136" s="28" t="str">
        <x:v>копчёный лосось</x:v>
      </x:c>
      <x:c r="B136" s="28" t="str">
        <x:v>Рыба и морепродукты</x:v>
      </x:c>
      <x:c r="C136" s="28" t="str">
        <x:v>морской, солоноватый и умами</x:v>
      </x:c>
      <x:c r="D136" s="28" t="str">
        <x:v>альдегиды, амины</x:v>
      </x:c>
      <x:c r="E136" s="28" t="str">
        <x:v>вкусовой баланс зависит от конкретного продукта</x:v>
      </x:c>
      <x:c r="F136" s="28" t="str">
        <x:v>обычно минимальный; проверить для острых и охлаждающих компонентов</x:v>
      </x:c>
      <x:c r="G136" s="28" t="str">
        <x:v>матрица зависит от содержания воды, жира, белка и клетчатки</x:v>
      </x:c>
      <x:c r="H136" s="28" t="str">
        <x:v>сорт, зрелость и технология обработки меняют профиль</x:v>
      </x:c>
      <x:c r="I136" s="28" t="n">
        <x:v>2</x:v>
      </x:c>
    </x:row>
    <x:row r="137" ht="52" customHeight="1">
      <x:c r="A137" s="28" t="str">
        <x:v>корейский рыбный соус</x:v>
      </x:c>
      <x:c r="B137" s="28" t="str">
        <x:v>Рыба и морепродукты</x:v>
      </x:c>
      <x:c r="C137" s="28" t="str">
        <x:v>морской, солоноватый и умами</x:v>
      </x:c>
      <x:c r="D137" s="28" t="str">
        <x:v>альдегиды, амины</x:v>
      </x:c>
      <x:c r="E137" s="28" t="str">
        <x:v>вкусовой баланс зависит от конкретного продукта</x:v>
      </x:c>
      <x:c r="F137" s="28" t="str">
        <x:v>обычно минимальный; проверить для острых и охлаждающих компонентов</x:v>
      </x:c>
      <x:c r="G137" s="28" t="str">
        <x:v>матрица зависит от содержания воды, жира, белка и клетчатки</x:v>
      </x:c>
      <x:c r="H137" s="28" t="str">
        <x:v>сорт, зрелость и технология обработки меняют профиль</x:v>
      </x:c>
      <x:c r="I137" s="28" t="n">
        <x:v>1</x:v>
      </x:c>
    </x:row>
    <x:row r="138" ht="52" customHeight="1">
      <x:c r="A138" s="28" t="str">
        <x:v>кориандр</x:v>
      </x:c>
      <x:c r="B138" s="28" t="str">
        <x:v>Прочее</x:v>
      </x:c>
      <x:c r="C138" s="28" t="str">
        <x:v>профиль зависит от конкретного продукта</x:v>
      </x:c>
      <x:c r="D138" s="28" t="str">
        <x:v>нет уточнённого профиля</x:v>
      </x:c>
      <x:c r="E138" s="28" t="str">
        <x:v>вкусовой баланс зависит от конкретного продукта</x:v>
      </x:c>
      <x:c r="F138" s="28" t="str">
        <x:v>обычно минимальный; проверить для острых и охлаждающих компонентов</x:v>
      </x:c>
      <x:c r="G138" s="28" t="str">
        <x:v>матрица зависит от содержания воды, жира, белка и клетчатки</x:v>
      </x:c>
      <x:c r="H138" s="28" t="str">
        <x:v>сорт, зрелость и технология обработки меняют профиль</x:v>
      </x:c>
      <x:c r="I138" s="28" t="n">
        <x:v>1</x:v>
      </x:c>
    </x:row>
    <x:row r="139" ht="52" customHeight="1">
      <x:c r="A139" s="28" t="str">
        <x:v>корица</x:v>
      </x:c>
      <x:c r="B139" s="28" t="str">
        <x:v>Специи</x:v>
      </x:c>
      <x:c r="C139" s="28" t="str">
        <x:v>древесный, пряный, сладкий</x:v>
      </x:c>
      <x:c r="D139" s="28" t="str">
        <x:v>циннамальдегид, эвгенол</x:v>
      </x:c>
      <x:c r="E139" s="28" t="str">
        <x:v>вкусовой баланс зависит от конкретного продукта</x:v>
      </x:c>
      <x:c r="F139" s="28" t="str">
        <x:v>обычно минимальный; проверить для острых и охлаждающих компонентов</x:v>
      </x:c>
      <x:c r="G139" s="28" t="str">
        <x:v>матрица зависит от содержания воды, жира, белка и клетчатки</x:v>
      </x:c>
      <x:c r="H139" s="28" t="str">
        <x:v>сорт, зрелость и технология обработки меняют профиль</x:v>
      </x:c>
      <x:c r="I139" s="28" t="n">
        <x:v>8</x:v>
      </x:c>
    </x:row>
    <x:row r="140" ht="52" customHeight="1">
      <x:c r="A140" s="28" t="str">
        <x:v>корица и кассия</x:v>
      </x:c>
      <x:c r="B140" s="28" t="str">
        <x:v>Специи</x:v>
      </x:c>
      <x:c r="C140" s="28" t="str">
        <x:v>древесный, пряный, сладкий</x:v>
      </x:c>
      <x:c r="D140" s="28" t="str">
        <x:v>циннамальдегид, эвгенол</x:v>
      </x:c>
      <x:c r="E140" s="28" t="str">
        <x:v>вкусовой баланс зависит от конкретного продукта</x:v>
      </x:c>
      <x:c r="F140" s="28" t="str">
        <x:v>обычно минимальный; проверить для острых и охлаждающих компонентов</x:v>
      </x:c>
      <x:c r="G140" s="28" t="str">
        <x:v>матрица зависит от содержания воды, жира, белка и клетчатки</x:v>
      </x:c>
      <x:c r="H140" s="28" t="str">
        <x:v>сорт, зрелость и технология обработки меняют профиль</x:v>
      </x:c>
      <x:c r="I140" s="28" t="n">
        <x:v>3</x:v>
      </x:c>
    </x:row>
    <x:row r="141" ht="52" customHeight="1">
      <x:c r="A141" s="28" t="str">
        <x:v>костный мозг</x:v>
      </x:c>
      <x:c r="B141" s="28" t="str">
        <x:v>Прочее</x:v>
      </x:c>
      <x:c r="C141" s="28" t="str">
        <x:v>профиль зависит от конкретного продукта</x:v>
      </x:c>
      <x:c r="D141" s="28" t="str">
        <x:v>нет уточнённого профиля</x:v>
      </x:c>
      <x:c r="E141" s="28" t="str">
        <x:v>вкусовой баланс зависит от конкретного продукта</x:v>
      </x:c>
      <x:c r="F141" s="28" t="str">
        <x:v>обычно минимальный; проверить для острых и охлаждающих компонентов</x:v>
      </x:c>
      <x:c r="G141" s="28" t="str">
        <x:v>матрица зависит от содержания воды, жира, белка и клетчатки</x:v>
      </x:c>
      <x:c r="H141" s="28" t="str">
        <x:v>сорт, зрелость и технология обработки меняют профиль</x:v>
      </x:c>
      <x:c r="I141" s="28" t="n">
        <x:v>2</x:v>
      </x:c>
    </x:row>
    <x:row r="142" ht="52" customHeight="1">
      <x:c r="A142" s="28" t="str">
        <x:v>кофе</x:v>
      </x:c>
      <x:c r="B142" s="28" t="str">
        <x:v>Кофе</x:v>
      </x:c>
      <x:c r="C142" s="28" t="str">
        <x:v>жареный, карамельный, ореховый</x:v>
      </x:c>
      <x:c r="D142" s="28" t="str">
        <x:v>гваякол, пиразины, фураны</x:v>
      </x:c>
      <x:c r="E142" s="28" t="str">
        <x:v>вкусовой баланс зависит от конкретного продукта</x:v>
      </x:c>
      <x:c r="F142" s="28" t="str">
        <x:v>обычно минимальный; проверить для острых и охлаждающих компонентов</x:v>
      </x:c>
      <x:c r="G142" s="28" t="str">
        <x:v>матрица зависит от содержания воды, жира, белка и клетчатки</x:v>
      </x:c>
      <x:c r="H142" s="28" t="str">
        <x:v>сорт, зрелость и технология обработки меняют профиль</x:v>
      </x:c>
      <x:c r="I142" s="28" t="n">
        <x:v>9</x:v>
      </x:c>
    </x:row>
    <x:row r="143" ht="52" customHeight="1">
      <x:c r="A143" s="28" t="str">
        <x:v>кочуджан</x:v>
      </x:c>
      <x:c r="B143" s="28" t="str">
        <x:v>Прочее</x:v>
      </x:c>
      <x:c r="C143" s="28" t="str">
        <x:v>профиль зависит от конкретного продукта</x:v>
      </x:c>
      <x:c r="D143" s="28" t="str">
        <x:v>нет уточнённого профиля</x:v>
      </x:c>
      <x:c r="E143" s="28" t="str">
        <x:v>вкусовой баланс зависит от конкретного продукта</x:v>
      </x:c>
      <x:c r="F143" s="28" t="str">
        <x:v>обычно минимальный; проверить для острых и охлаждающих компонентов</x:v>
      </x:c>
      <x:c r="G143" s="28" t="str">
        <x:v>матрица зависит от содержания воды, жира, белка и клетчатки</x:v>
      </x:c>
      <x:c r="H143" s="28" t="str">
        <x:v>сорт, зрелость и технология обработки меняют профиль</x:v>
      </x:c>
      <x:c r="I143" s="28" t="n">
        <x:v>1</x:v>
      </x:c>
    </x:row>
    <x:row r="144" ht="52" customHeight="1">
      <x:c r="A144" s="28" t="str">
        <x:v>краб</x:v>
      </x:c>
      <x:c r="B144" s="28" t="str">
        <x:v>Рыба и морепродукты</x:v>
      </x:c>
      <x:c r="C144" s="28" t="str">
        <x:v>морской, солоноватый и умами</x:v>
      </x:c>
      <x:c r="D144" s="28" t="str">
        <x:v>альдегиды, амины</x:v>
      </x:c>
      <x:c r="E144" s="28" t="str">
        <x:v>вкусовой баланс зависит от конкретного продукта</x:v>
      </x:c>
      <x:c r="F144" s="28" t="str">
        <x:v>обычно минимальный; проверить для острых и охлаждающих компонентов</x:v>
      </x:c>
      <x:c r="G144" s="28" t="str">
        <x:v>матрица зависит от содержания воды, жира, белка и клетчатки</x:v>
      </x:c>
      <x:c r="H144" s="28" t="str">
        <x:v>сорт, зрелость и технология обработки меняют профиль</x:v>
      </x:c>
      <x:c r="I144" s="28" t="n">
        <x:v>3</x:v>
      </x:c>
    </x:row>
    <x:row r="145" ht="52" customHeight="1">
      <x:c r="A145" s="28" t="str">
        <x:v>красный болгарский перец</x:v>
      </x:c>
      <x:c r="B145" s="28" t="str">
        <x:v>Плодовые и тыквенные овощи</x:v>
      </x:c>
      <x:c r="C145" s="28" t="str">
        <x:v>зелёный, фруктовый или водянистый</x:v>
      </x:c>
      <x:c r="D145" s="28" t="str">
        <x:v>альдегиды, эфиры</x:v>
      </x:c>
      <x:c r="E145" s="28" t="str">
        <x:v>вкусовой баланс зависит от конкретного продукта</x:v>
      </x:c>
      <x:c r="F145" s="28" t="str">
        <x:v>обычно минимальный; проверить для острых и охлаждающих компонентов</x:v>
      </x:c>
      <x:c r="G145" s="28" t="str">
        <x:v>матрица зависит от содержания воды, жира, белка и клетчатки</x:v>
      </x:c>
      <x:c r="H145" s="28" t="str">
        <x:v>сорт, зрелость и технология обработки меняют профиль</x:v>
      </x:c>
      <x:c r="I145" s="28" t="n">
        <x:v>1</x:v>
      </x:c>
    </x:row>
    <x:row r="146" ht="52" customHeight="1">
      <x:c r="A146" s="28" t="str">
        <x:v>красный виноград</x:v>
      </x:c>
      <x:c r="B146" s="28" t="str">
        <x:v>Фрукты и ягоды</x:v>
      </x:c>
      <x:c r="C146" s="28" t="str">
        <x:v>фруктовый, цветочный и свежий</x:v>
      </x:c>
      <x:c r="D146" s="28" t="str">
        <x:v>альдегиды, эфиры</x:v>
      </x:c>
      <x:c r="E146" s="28" t="str">
        <x:v>вкусовой баланс зависит от конкретного продукта</x:v>
      </x:c>
      <x:c r="F146" s="28" t="str">
        <x:v>обычно минимальный; проверить для острых и охлаждающих компонентов</x:v>
      </x:c>
      <x:c r="G146" s="28" t="str">
        <x:v>матрица зависит от содержания воды, жира, белка и клетчатки</x:v>
      </x:c>
      <x:c r="H146" s="28" t="str">
        <x:v>сорт, зрелость и технология обработки меняют профиль</x:v>
      </x:c>
      <x:c r="I146" s="28" t="n">
        <x:v>1</x:v>
      </x:c>
    </x:row>
    <x:row r="147" ht="52" customHeight="1">
      <x:c r="A147" s="28" t="str">
        <x:v>красный луциан</x:v>
      </x:c>
      <x:c r="B147" s="28" t="str">
        <x:v>Рыба и морепродукты</x:v>
      </x:c>
      <x:c r="C147" s="28" t="str">
        <x:v>морской, солоноватый и умами</x:v>
      </x:c>
      <x:c r="D147" s="28" t="str">
        <x:v>альдегиды, амины</x:v>
      </x:c>
      <x:c r="E147" s="28" t="str">
        <x:v>вкусовой баланс зависит от конкретного продукта</x:v>
      </x:c>
      <x:c r="F147" s="28" t="str">
        <x:v>обычно минимальный; проверить для острых и охлаждающих компонентов</x:v>
      </x:c>
      <x:c r="G147" s="28" t="str">
        <x:v>матрица зависит от содержания воды, жира, белка и клетчатки</x:v>
      </x:c>
      <x:c r="H147" s="28" t="str">
        <x:v>сорт, зрелость и технология обработки меняют профиль</x:v>
      </x:c>
      <x:c r="I147" s="28" t="n">
        <x:v>1</x:v>
      </x:c>
    </x:row>
    <x:row r="148" ht="52" customHeight="1">
      <x:c r="A148" s="28" t="str">
        <x:v>красный щавель</x:v>
      </x:c>
      <x:c r="B148" s="28" t="str">
        <x:v>Прочее</x:v>
      </x:c>
      <x:c r="C148" s="28" t="str">
        <x:v>профиль зависит от конкретного продукта</x:v>
      </x:c>
      <x:c r="D148" s="28" t="str">
        <x:v>нет уточнённого профиля</x:v>
      </x:c>
      <x:c r="E148" s="28" t="str">
        <x:v>вкусовой баланс зависит от конкретного продукта</x:v>
      </x:c>
      <x:c r="F148" s="28" t="str">
        <x:v>обычно минимальный; проверить для острых и охлаждающих компонентов</x:v>
      </x:c>
      <x:c r="G148" s="28" t="str">
        <x:v>матрица зависит от содержания воды, жира, белка и клетчатки</x:v>
      </x:c>
      <x:c r="H148" s="28" t="str">
        <x:v>сорт, зрелость и технология обработки меняют профиль</x:v>
      </x:c>
      <x:c r="I148" s="28" t="n">
        <x:v>1</x:v>
      </x:c>
    </x:row>
    <x:row r="149" ht="52" customHeight="1">
      <x:c r="A149" s="28" t="str">
        <x:v>креветка</x:v>
      </x:c>
      <x:c r="B149" s="28" t="str">
        <x:v>Рыба и морепродукты</x:v>
      </x:c>
      <x:c r="C149" s="28" t="str">
        <x:v>морской, солоноватый и умами</x:v>
      </x:c>
      <x:c r="D149" s="28" t="str">
        <x:v>альдегиды, амины</x:v>
      </x:c>
      <x:c r="E149" s="28" t="str">
        <x:v>вкусовой баланс зависит от конкретного продукта</x:v>
      </x:c>
      <x:c r="F149" s="28" t="str">
        <x:v>обычно минимальный; проверить для острых и охлаждающих компонентов</x:v>
      </x:c>
      <x:c r="G149" s="28" t="str">
        <x:v>матрица зависит от содержания воды, жира, белка и клетчатки</x:v>
      </x:c>
      <x:c r="H149" s="28" t="str">
        <x:v>сорт, зрелость и технология обработки меняют профиль</x:v>
      </x:c>
      <x:c r="I149" s="28" t="n">
        <x:v>1</x:v>
      </x:c>
    </x:row>
    <x:row r="150" ht="52" customHeight="1">
      <x:c r="A150" s="28" t="str">
        <x:v>креветки</x:v>
      </x:c>
      <x:c r="B150" s="28" t="str">
        <x:v>Рыба и морепродукты</x:v>
      </x:c>
      <x:c r="C150" s="28" t="str">
        <x:v>морской, солоноватый и умами</x:v>
      </x:c>
      <x:c r="D150" s="28" t="str">
        <x:v>альдегиды, амины</x:v>
      </x:c>
      <x:c r="E150" s="28" t="str">
        <x:v>вкусовой баланс зависит от конкретного продукта</x:v>
      </x:c>
      <x:c r="F150" s="28" t="str">
        <x:v>обычно минимальный; проверить для острых и охлаждающих компонентов</x:v>
      </x:c>
      <x:c r="G150" s="28" t="str">
        <x:v>матрица зависит от содержания воды, жира, белка и клетчатки</x:v>
      </x:c>
      <x:c r="H150" s="28" t="str">
        <x:v>сорт, зрелость и технология обработки меняют профиль</x:v>
      </x:c>
      <x:c r="I150" s="28" t="n">
        <x:v>2</x:v>
      </x:c>
    </x:row>
    <x:row r="151" ht="52" customHeight="1">
      <x:c r="A151" s="28" t="str">
        <x:v>кумкват</x:v>
      </x:c>
      <x:c r="B151" s="28" t="str">
        <x:v>Прочее</x:v>
      </x:c>
      <x:c r="C151" s="28" t="str">
        <x:v>профиль зависит от конкретного продукта</x:v>
      </x:c>
      <x:c r="D151" s="28" t="str">
        <x:v>нет уточнённого профиля</x:v>
      </x:c>
      <x:c r="E151" s="28" t="str">
        <x:v>вкусовой баланс зависит от конкретного продукта</x:v>
      </x:c>
      <x:c r="F151" s="28" t="str">
        <x:v>обычно минимальный; проверить для острых и охлаждающих компонентов</x:v>
      </x:c>
      <x:c r="G151" s="28" t="str">
        <x:v>матрица зависит от содержания воды, жира, белка и клетчатки</x:v>
      </x:c>
      <x:c r="H151" s="28" t="str">
        <x:v>сорт, зрелость и технология обработки меняют профиль</x:v>
      </x:c>
      <x:c r="I151" s="28" t="n">
        <x:v>2</x:v>
      </x:c>
    </x:row>
    <x:row r="152" ht="52" customHeight="1">
      <x:c r="A152" s="28" t="str">
        <x:v>кунжут</x:v>
      </x:c>
      <x:c r="B152" s="28" t="str">
        <x:v>Орехи и семена</x:v>
      </x:c>
      <x:c r="C152" s="28" t="str">
        <x:v>ореховый, жареный и жирный</x:v>
      </x:c>
      <x:c r="D152" s="28" t="str">
        <x:v>альдегиды, пиразины, фураны</x:v>
      </x:c>
      <x:c r="E152" s="28" t="str">
        <x:v>вкусовой баланс зависит от конкретного продукта</x:v>
      </x:c>
      <x:c r="F152" s="28" t="str">
        <x:v>обычно минимальный; проверить для острых и охлаждающих компонентов</x:v>
      </x:c>
      <x:c r="G152" s="28" t="str">
        <x:v>матрица зависит от содержания воды, жира, белка и клетчатки</x:v>
      </x:c>
      <x:c r="H152" s="28" t="str">
        <x:v>сорт, зрелость и технология обработки меняют профиль</x:v>
      </x:c>
      <x:c r="I152" s="28" t="n">
        <x:v>2</x:v>
      </x:c>
    </x:row>
    <x:row r="153" ht="52" customHeight="1">
      <x:c r="A153" s="28" t="str">
        <x:v>кунжут, халва и тахини</x:v>
      </x:c>
      <x:c r="B153" s="28" t="str">
        <x:v>Орехи и семена</x:v>
      </x:c>
      <x:c r="C153" s="28" t="str">
        <x:v>ореховый, жареный и жирный</x:v>
      </x:c>
      <x:c r="D153" s="28" t="str">
        <x:v>альдегиды, пиразины, фураны</x:v>
      </x:c>
      <x:c r="E153" s="28" t="str">
        <x:v>вкусовой баланс зависит от конкретного продукта</x:v>
      </x:c>
      <x:c r="F153" s="28" t="str">
        <x:v>обычно минимальный; проверить для острых и охлаждающих компонентов</x:v>
      </x:c>
      <x:c r="G153" s="28" t="str">
        <x:v>матрица зависит от содержания воды, жира, белка и клетчатки</x:v>
      </x:c>
      <x:c r="H153" s="28" t="str">
        <x:v>сорт, зрелость и технология обработки меняют профиль</x:v>
      </x:c>
      <x:c r="I153" s="28" t="n">
        <x:v>9</x:v>
      </x:c>
    </x:row>
    <x:row r="154" ht="52" customHeight="1">
      <x:c r="A154" s="28" t="str">
        <x:v>кунжутная халва</x:v>
      </x:c>
      <x:c r="B154" s="28" t="str">
        <x:v>Орехи и семена</x:v>
      </x:c>
      <x:c r="C154" s="28" t="str">
        <x:v>ореховый, жареный и жирный</x:v>
      </x:c>
      <x:c r="D154" s="28" t="str">
        <x:v>альдегиды, пиразины, фураны</x:v>
      </x:c>
      <x:c r="E154" s="28" t="str">
        <x:v>вкусовой баланс зависит от конкретного продукта</x:v>
      </x:c>
      <x:c r="F154" s="28" t="str">
        <x:v>обычно минимальный; проверить для острых и охлаждающих компонентов</x:v>
      </x:c>
      <x:c r="G154" s="28" t="str">
        <x:v>матрица зависит от содержания воды, жира, белка и клетчатки</x:v>
      </x:c>
      <x:c r="H154" s="28" t="str">
        <x:v>сорт, зрелость и технология обработки меняют профиль</x:v>
      </x:c>
      <x:c r="I154" s="28" t="n">
        <x:v>1</x:v>
      </x:c>
    </x:row>
    <x:row r="155" ht="52" customHeight="1">
      <x:c r="A155" s="28" t="str">
        <x:v>курица</x:v>
      </x:c>
      <x:c r="B155" s="28" t="str">
        <x:v>Мясо и птица</x:v>
      </x:c>
      <x:c r="C155" s="28" t="str">
        <x:v>жареный, мясной и умами</x:v>
      </x:c>
      <x:c r="D155" s="28" t="str">
        <x:v>пиразины, сернистые соединения</x:v>
      </x:c>
      <x:c r="E155" s="28" t="str">
        <x:v>вкусовой баланс зависит от конкретного продукта</x:v>
      </x:c>
      <x:c r="F155" s="28" t="str">
        <x:v>обычно минимальный; проверить для острых и охлаждающих компонентов</x:v>
      </x:c>
      <x:c r="G155" s="28" t="str">
        <x:v>матрица зависит от содержания воды, жира, белка и клетчатки</x:v>
      </x:c>
      <x:c r="H155" s="28" t="str">
        <x:v>сорт, зрелость и технология обработки меняют профиль</x:v>
      </x:c>
      <x:c r="I155" s="28" t="n">
        <x:v>3</x:v>
      </x:c>
    </x:row>
    <x:row r="156" ht="52" customHeight="1">
      <x:c r="A156" s="28" t="str">
        <x:v>куркума</x:v>
      </x:c>
      <x:c r="B156" s="28" t="str">
        <x:v>Прочее</x:v>
      </x:c>
      <x:c r="C156" s="28" t="str">
        <x:v>профиль зависит от конкретного продукта</x:v>
      </x:c>
      <x:c r="D156" s="28" t="str">
        <x:v>нет уточнённого профиля</x:v>
      </x:c>
      <x:c r="E156" s="28" t="str">
        <x:v>вкусовой баланс зависит от конкретного продукта</x:v>
      </x:c>
      <x:c r="F156" s="28" t="str">
        <x:v>обычно минимальный; проверить для острых и охлаждающих компонентов</x:v>
      </x:c>
      <x:c r="G156" s="28" t="str">
        <x:v>матрица зависит от содержания воды, жира, белка и клетчатки</x:v>
      </x:c>
      <x:c r="H156" s="28" t="str">
        <x:v>сорт, зрелость и технология обработки меняют профиль</x:v>
      </x:c>
      <x:c r="I156" s="28" t="n">
        <x:v>3</x:v>
      </x:c>
    </x:row>
    <x:row r="157" ht="52" customHeight="1">
      <x:c r="A157" s="28" t="str">
        <x:v>лаванда</x:v>
      </x:c>
      <x:c r="B157" s="28" t="str">
        <x:v>Прочее</x:v>
      </x:c>
      <x:c r="C157" s="28" t="str">
        <x:v>профиль зависит от конкретного продукта</x:v>
      </x:c>
      <x:c r="D157" s="28" t="str">
        <x:v>нет уточнённого профиля</x:v>
      </x:c>
      <x:c r="E157" s="28" t="str">
        <x:v>вкусовой баланс зависит от конкретного продукта</x:v>
      </x:c>
      <x:c r="F157" s="28" t="str">
        <x:v>обычно минимальный; проверить для острых и охлаждающих компонентов</x:v>
      </x:c>
      <x:c r="G157" s="28" t="str">
        <x:v>матрица зависит от содержания воды, жира, белка и клетчатки</x:v>
      </x:c>
      <x:c r="H157" s="28" t="str">
        <x:v>сорт, зрелость и технология обработки меняют профиль</x:v>
      </x:c>
      <x:c r="I157" s="28" t="n">
        <x:v>2</x:v>
      </x:c>
    </x:row>
    <x:row r="158" ht="52" customHeight="1">
      <x:c r="A158" s="28" t="str">
        <x:v>лавровый лист и семена кориандра</x:v>
      </x:c>
      <x:c r="B158" s="28" t="str">
        <x:v>Специи</x:v>
      </x:c>
      <x:c r="C158" s="28" t="str">
        <x:v>пряный, цветочный, цитрусовый</x:v>
      </x:c>
      <x:c r="D158" s="28" t="str">
        <x:v>лимонен, линалоол</x:v>
      </x:c>
      <x:c r="E158" s="28" t="str">
        <x:v>вкусовой баланс зависит от конкретного продукта</x:v>
      </x:c>
      <x:c r="F158" s="28" t="str">
        <x:v>обычно минимальный; проверить для острых и охлаждающих компонентов</x:v>
      </x:c>
      <x:c r="G158" s="28" t="str">
        <x:v>матрица зависит от содержания воды, жира, белка и клетчатки</x:v>
      </x:c>
      <x:c r="H158" s="28" t="str">
        <x:v>сорт, зрелость и технология обработки меняют профиль</x:v>
      </x:c>
      <x:c r="I158" s="28" t="n">
        <x:v>1</x:v>
      </x:c>
    </x:row>
    <x:row r="159" ht="52" customHeight="1">
      <x:c r="A159" s="28" t="str">
        <x:v>лайм</x:v>
      </x:c>
      <x:c r="B159" s="28" t="str">
        <x:v>Фрукты и ягоды</x:v>
      </x:c>
      <x:c r="C159" s="28" t="str">
        <x:v>зелёный, кислый, цитрусовый</x:v>
      </x:c>
      <x:c r="D159" s="28" t="str">
        <x:v>лимонен, цитраль</x:v>
      </x:c>
      <x:c r="E159" s="28" t="str">
        <x:v>вкусовой баланс зависит от конкретного продукта</x:v>
      </x:c>
      <x:c r="F159" s="28" t="str">
        <x:v>обычно минимальный; проверить для острых и охлаждающих компонентов</x:v>
      </x:c>
      <x:c r="G159" s="28" t="str">
        <x:v>матрица зависит от содержания воды, жира, белка и клетчатки</x:v>
      </x:c>
      <x:c r="H159" s="28" t="str">
        <x:v>сорт, зрелость и технология обработки меняют профиль</x:v>
      </x:c>
      <x:c r="I159" s="28" t="n">
        <x:v>4</x:v>
      </x:c>
    </x:row>
    <x:row r="160" ht="52" customHeight="1">
      <x:c r="A160" s="28" t="str">
        <x:v>лангустин</x:v>
      </x:c>
      <x:c r="B160" s="28" t="str">
        <x:v>Рыба и морепродукты</x:v>
      </x:c>
      <x:c r="C160" s="28" t="str">
        <x:v>морской, солоноватый и умами</x:v>
      </x:c>
      <x:c r="D160" s="28" t="str">
        <x:v>альдегиды, амины</x:v>
      </x:c>
      <x:c r="E160" s="28" t="str">
        <x:v>вкусовой баланс зависит от конкретного продукта</x:v>
      </x:c>
      <x:c r="F160" s="28" t="str">
        <x:v>обычно минимальный; проверить для острых и охлаждающих компонентов</x:v>
      </x:c>
      <x:c r="G160" s="28" t="str">
        <x:v>матрица зависит от содержания воды, жира, белка и клетчатки</x:v>
      </x:c>
      <x:c r="H160" s="28" t="str">
        <x:v>сорт, зрелость и технология обработки меняют профиль</x:v>
      </x:c>
      <x:c r="I160" s="28" t="n">
        <x:v>1</x:v>
      </x:c>
    </x:row>
    <x:row r="161" ht="52" customHeight="1">
      <x:c r="A161" s="28" t="str">
        <x:v>лапша соба</x:v>
      </x:c>
      <x:c r="B161" s="28" t="str">
        <x:v>Прочее</x:v>
      </x:c>
      <x:c r="C161" s="28" t="str">
        <x:v>профиль зависит от конкретного продукта</x:v>
      </x:c>
      <x:c r="D161" s="28" t="str">
        <x:v>нет уточнённого профиля</x:v>
      </x:c>
      <x:c r="E161" s="28" t="str">
        <x:v>вкусовой баланс зависит от конкретного продукта</x:v>
      </x:c>
      <x:c r="F161" s="28" t="str">
        <x:v>обычно минимальный; проверить для острых и охлаждающих компонентов</x:v>
      </x:c>
      <x:c r="G161" s="28" t="str">
        <x:v>матрица зависит от содержания воды, жира, белка и клетчатки</x:v>
      </x:c>
      <x:c r="H161" s="28" t="str">
        <x:v>сорт, зрелость и технология обработки меняют профиль</x:v>
      </x:c>
      <x:c r="I161" s="28" t="n">
        <x:v>1</x:v>
      </x:c>
    </x:row>
    <x:row r="162" ht="52" customHeight="1">
      <x:c r="A162" s="28" t="str">
        <x:v>лемонграсс</x:v>
      </x:c>
      <x:c r="B162" s="28" t="str">
        <x:v>Травы, цветы и листья</x:v>
      </x:c>
      <x:c r="C162" s="28" t="str">
        <x:v>зелёный, цветочный и терпеновый</x:v>
      </x:c>
      <x:c r="D162" s="28" t="str">
        <x:v>линалоол, терпены</x:v>
      </x:c>
      <x:c r="E162" s="28" t="str">
        <x:v>вкусовой баланс зависит от конкретного продукта</x:v>
      </x:c>
      <x:c r="F162" s="28" t="str">
        <x:v>обычно минимальный; проверить для острых и охлаждающих компонентов</x:v>
      </x:c>
      <x:c r="G162" s="28" t="str">
        <x:v>матрица зависит от содержания воды, жира, белка и клетчатки</x:v>
      </x:c>
      <x:c r="H162" s="28" t="str">
        <x:v>сорт, зрелость и технология обработки меняют профиль</x:v>
      </x:c>
      <x:c r="I162" s="28" t="n">
        <x:v>3</x:v>
      </x:c>
    </x:row>
    <x:row r="163" ht="52" customHeight="1">
      <x:c r="A163" s="28" t="str">
        <x:v>лепестки розы</x:v>
      </x:c>
      <x:c r="B163" s="28" t="str">
        <x:v>Прочее</x:v>
      </x:c>
      <x:c r="C163" s="28" t="str">
        <x:v>профиль зависит от конкретного продукта</x:v>
      </x:c>
      <x:c r="D163" s="28" t="str">
        <x:v>нет уточнённого профиля</x:v>
      </x:c>
      <x:c r="E163" s="28" t="str">
        <x:v>вкусовой баланс зависит от конкретного продукта</x:v>
      </x:c>
      <x:c r="F163" s="28" t="str">
        <x:v>обычно минимальный; проверить для острых и охлаждающих компонентов</x:v>
      </x:c>
      <x:c r="G163" s="28" t="str">
        <x:v>матрица зависит от содержания воды, жира, белка и клетчатки</x:v>
      </x:c>
      <x:c r="H163" s="28" t="str">
        <x:v>сорт, зрелость и технология обработки меняют профиль</x:v>
      </x:c>
      <x:c r="I163" s="28" t="n">
        <x:v>1</x:v>
      </x:c>
    </x:row>
    <x:row r="164" ht="52" customHeight="1">
      <x:c r="A164" s="28" t="str">
        <x:v>летний трюфель</x:v>
      </x:c>
      <x:c r="B164" s="28" t="str">
        <x:v>Грибы</x:v>
      </x:c>
      <x:c r="C164" s="28" t="str">
        <x:v>землистый, грибной и умами</x:v>
      </x:c>
      <x:c r="D164" s="28" t="str">
        <x:v>1-октен-3-ол, сернистые соединения</x:v>
      </x:c>
      <x:c r="E164" s="28" t="str">
        <x:v>вкусовой баланс зависит от конкретного продукта</x:v>
      </x:c>
      <x:c r="F164" s="28" t="str">
        <x:v>обычно минимальный; проверить для острых и охлаждающих компонентов</x:v>
      </x:c>
      <x:c r="G164" s="28" t="str">
        <x:v>матрица зависит от содержания воды, жира, белка и клетчатки</x:v>
      </x:c>
      <x:c r="H164" s="28" t="str">
        <x:v>сорт, зрелость и технология обработки меняют профиль</x:v>
      </x:c>
      <x:c r="I164" s="28" t="n">
        <x:v>1</x:v>
      </x:c>
    </x:row>
    <x:row r="165" ht="52" customHeight="1">
      <x:c r="A165" s="28" t="str">
        <x:v>ликёр бенедиктин</x:v>
      </x:c>
      <x:c r="B165" s="28" t="str">
        <x:v>Прочее</x:v>
      </x:c>
      <x:c r="C165" s="28" t="str">
        <x:v>профиль зависит от конкретного продукта</x:v>
      </x:c>
      <x:c r="D165" s="28" t="str">
        <x:v>нет уточнённого профиля</x:v>
      </x:c>
      <x:c r="E165" s="28" t="str">
        <x:v>вкусовой баланс зависит от конкретного продукта</x:v>
      </x:c>
      <x:c r="F165" s="28" t="str">
        <x:v>обычно минимальный; проверить для острых и охлаждающих компонентов</x:v>
      </x:c>
      <x:c r="G165" s="28" t="str">
        <x:v>матрица зависит от содержания воды, жира, белка и клетчатки</x:v>
      </x:c>
      <x:c r="H165" s="28" t="str">
        <x:v>сорт, зрелость и технология обработки меняют профиль</x:v>
      </x:c>
      <x:c r="I165" s="28" t="n">
        <x:v>1</x:v>
      </x:c>
    </x:row>
    <x:row r="166" ht="52" customHeight="1">
      <x:c r="A166" s="28" t="str">
        <x:v>лимон</x:v>
      </x:c>
      <x:c r="B166" s="28" t="str">
        <x:v>Фрукты и ягоды</x:v>
      </x:c>
      <x:c r="C166" s="28" t="str">
        <x:v>кислый, свежий, цитрусовый</x:v>
      </x:c>
      <x:c r="D166" s="28" t="str">
        <x:v>лимонен, цитраль</x:v>
      </x:c>
      <x:c r="E166" s="28" t="str">
        <x:v>вкусовой баланс зависит от конкретного продукта</x:v>
      </x:c>
      <x:c r="F166" s="28" t="str">
        <x:v>обычно минимальный; проверить для острых и охлаждающих компонентов</x:v>
      </x:c>
      <x:c r="G166" s="28" t="str">
        <x:v>матрица зависит от содержания воды, жира, белка и клетчатки</x:v>
      </x:c>
      <x:c r="H166" s="28" t="str">
        <x:v>сорт, зрелость и технология обработки меняют профиль</x:v>
      </x:c>
      <x:c r="I166" s="28" t="n">
        <x:v>6</x:v>
      </x:c>
    </x:row>
    <x:row r="167" ht="52" customHeight="1">
      <x:c r="A167" s="28" t="str">
        <x:v>лимон и лайм</x:v>
      </x:c>
      <x:c r="B167" s="28" t="str">
        <x:v>Фрукты и ягоды</x:v>
      </x:c>
      <x:c r="C167" s="28" t="str">
        <x:v>кислый, свежий, цитрусовый</x:v>
      </x:c>
      <x:c r="D167" s="28" t="str">
        <x:v>лимонен, цитраль</x:v>
      </x:c>
      <x:c r="E167" s="28" t="str">
        <x:v>вкусовой баланс зависит от конкретного продукта</x:v>
      </x:c>
      <x:c r="F167" s="28" t="str">
        <x:v>обычно минимальный; проверить для острых и охлаждающих компонентов</x:v>
      </x:c>
      <x:c r="G167" s="28" t="str">
        <x:v>матрица зависит от содержания воды, жира, белка и клетчатки</x:v>
      </x:c>
      <x:c r="H167" s="28" t="str">
        <x:v>сорт, зрелость и технология обработки меняют профиль</x:v>
      </x:c>
      <x:c r="I167" s="28" t="n">
        <x:v>1</x:v>
      </x:c>
    </x:row>
    <x:row r="168" ht="52" customHeight="1">
      <x:c r="A168" s="28" t="str">
        <x:v>лимонная вербена</x:v>
      </x:c>
      <x:c r="B168" s="28" t="str">
        <x:v>Фрукты и ягоды</x:v>
      </x:c>
      <x:c r="C168" s="28" t="str">
        <x:v>кислый, свежий, цитрусовый</x:v>
      </x:c>
      <x:c r="D168" s="28" t="str">
        <x:v>лимонен, цитраль</x:v>
      </x:c>
      <x:c r="E168" s="28" t="str">
        <x:v>вкусовой баланс зависит от конкретного продукта</x:v>
      </x:c>
      <x:c r="F168" s="28" t="str">
        <x:v>обычно минимальный; проверить для острых и охлаждающих компонентов</x:v>
      </x:c>
      <x:c r="G168" s="28" t="str">
        <x:v>матрица зависит от содержания воды, жира, белка и клетчатки</x:v>
      </x:c>
      <x:c r="H168" s="28" t="str">
        <x:v>сорт, зрелость и технология обработки меняют профиль</x:v>
      </x:c>
      <x:c r="I168" s="28" t="n">
        <x:v>1</x:v>
      </x:c>
    </x:row>
    <x:row r="169" ht="52" customHeight="1">
      <x:c r="A169" s="28" t="str">
        <x:v>лимонный мирт</x:v>
      </x:c>
      <x:c r="B169" s="28" t="str">
        <x:v>Фрукты и ягоды</x:v>
      </x:c>
      <x:c r="C169" s="28" t="str">
        <x:v>кислый, свежий, цитрусовый</x:v>
      </x:c>
      <x:c r="D169" s="28" t="str">
        <x:v>лимонен, цитраль</x:v>
      </x:c>
      <x:c r="E169" s="28" t="str">
        <x:v>вкусовой баланс зависит от конкретного продукта</x:v>
      </x:c>
      <x:c r="F169" s="28" t="str">
        <x:v>обычно минимальный; проверить для острых и охлаждающих компонентов</x:v>
      </x:c>
      <x:c r="G169" s="28" t="str">
        <x:v>матрица зависит от содержания воды, жира, белка и клетчатки</x:v>
      </x:c>
      <x:c r="H169" s="28" t="str">
        <x:v>сорт, зрелость и технология обработки меняют профиль</x:v>
      </x:c>
      <x:c r="I169" s="28" t="n">
        <x:v>1</x:v>
      </x:c>
    </x:row>
    <x:row r="170" ht="52" customHeight="1">
      <x:c r="A170" s="28" t="str">
        <x:v>лимонный тимьян</x:v>
      </x:c>
      <x:c r="B170" s="28" t="str">
        <x:v>Фрукты и ягоды</x:v>
      </x:c>
      <x:c r="C170" s="28" t="str">
        <x:v>кислый, свежий, цитрусовый</x:v>
      </x:c>
      <x:c r="D170" s="28" t="str">
        <x:v>лимонен, цитраль</x:v>
      </x:c>
      <x:c r="E170" s="28" t="str">
        <x:v>вкусовой баланс зависит от конкретного продукта</x:v>
      </x:c>
      <x:c r="F170" s="28" t="str">
        <x:v>обычно минимальный; проверить для острых и охлаждающих компонентов</x:v>
      </x:c>
      <x:c r="G170" s="28" t="str">
        <x:v>матрица зависит от содержания воды, жира, белка и клетчатки</x:v>
      </x:c>
      <x:c r="H170" s="28" t="str">
        <x:v>сорт, зрелость и технология обработки меняют профиль</x:v>
      </x:c>
      <x:c r="I170" s="28" t="n">
        <x:v>1</x:v>
      </x:c>
    </x:row>
    <x:row r="171" ht="52" customHeight="1">
      <x:c r="A171" s="28" t="str">
        <x:v>лисички</x:v>
      </x:c>
      <x:c r="B171" s="28" t="str">
        <x:v>Прочее</x:v>
      </x:c>
      <x:c r="C171" s="28" t="str">
        <x:v>профиль зависит от конкретного продукта</x:v>
      </x:c>
      <x:c r="D171" s="28" t="str">
        <x:v>нет уточнённого профиля</x:v>
      </x:c>
      <x:c r="E171" s="28" t="str">
        <x:v>вкусовой баланс зависит от конкретного продукта</x:v>
      </x:c>
      <x:c r="F171" s="28" t="str">
        <x:v>обычно минимальный; проверить для острых и охлаждающих компонентов</x:v>
      </x:c>
      <x:c r="G171" s="28" t="str">
        <x:v>матрица зависит от содержания воды, жира, белка и клетчатки</x:v>
      </x:c>
      <x:c r="H171" s="28" t="str">
        <x:v>сорт, зрелость и технология обработки меняют профиль</x:v>
      </x:c>
      <x:c r="I171" s="28" t="n">
        <x:v>1</x:v>
      </x:c>
    </x:row>
    <x:row r="172" ht="52" customHeight="1">
      <x:c r="A172" s="28" t="str">
        <x:v>лист карри</x:v>
      </x:c>
      <x:c r="B172" s="28" t="str">
        <x:v>Прочее</x:v>
      </x:c>
      <x:c r="C172" s="28" t="str">
        <x:v>профиль зависит от конкретного продукта</x:v>
      </x:c>
      <x:c r="D172" s="28" t="str">
        <x:v>нет уточнённого профиля</x:v>
      </x:c>
      <x:c r="E172" s="28" t="str">
        <x:v>вкусовой баланс зависит от конкретного продукта</x:v>
      </x:c>
      <x:c r="F172" s="28" t="str">
        <x:v>обычно минимальный; проверить для острых и охлаждающих компонентов</x:v>
      </x:c>
      <x:c r="G172" s="28" t="str">
        <x:v>матрица зависит от содержания воды, жира, белка и клетчатки</x:v>
      </x:c>
      <x:c r="H172" s="28" t="str">
        <x:v>сорт, зрелость и технология обработки меняют профиль</x:v>
      </x:c>
      <x:c r="I172" s="28" t="n">
        <x:v>1</x:v>
      </x:c>
    </x:row>
    <x:row r="173" ht="52" customHeight="1">
      <x:c r="A173" s="28" t="str">
        <x:v>лист муиньи</x:v>
      </x:c>
      <x:c r="B173" s="28" t="str">
        <x:v>Прочее</x:v>
      </x:c>
      <x:c r="C173" s="28" t="str">
        <x:v>профиль зависит от конкретного продукта</x:v>
      </x:c>
      <x:c r="D173" s="28" t="str">
        <x:v>нет уточнённого профиля</x:v>
      </x:c>
      <x:c r="E173" s="28" t="str">
        <x:v>вкусовой баланс зависит от конкретного продукта</x:v>
      </x:c>
      <x:c r="F173" s="28" t="str">
        <x:v>обычно минимальный; проверить для острых и охлаждающих компонентов</x:v>
      </x:c>
      <x:c r="G173" s="28" t="str">
        <x:v>матрица зависит от содержания воды, жира, белка и клетчатки</x:v>
      </x:c>
      <x:c r="H173" s="28" t="str">
        <x:v>сорт, зрелость и технология обработки меняют профиль</x:v>
      </x:c>
      <x:c r="I173" s="28" t="n">
        <x:v>1</x:v>
      </x:c>
    </x:row>
    <x:row r="174" ht="52" customHeight="1">
      <x:c r="A174" s="28" t="str">
        <x:v>лист настурции</x:v>
      </x:c>
      <x:c r="B174" s="28" t="str">
        <x:v>Прочее</x:v>
      </x:c>
      <x:c r="C174" s="28" t="str">
        <x:v>профиль зависит от конкретного продукта</x:v>
      </x:c>
      <x:c r="D174" s="28" t="str">
        <x:v>нет уточнённого профиля</x:v>
      </x:c>
      <x:c r="E174" s="28" t="str">
        <x:v>вкусовой баланс зависит от конкретного продукта</x:v>
      </x:c>
      <x:c r="F174" s="28" t="str">
        <x:v>обычно минимальный; проверить для острых и охлаждающих компонентов</x:v>
      </x:c>
      <x:c r="G174" s="28" t="str">
        <x:v>матрица зависит от содержания воды, жира, белка и клетчатки</x:v>
      </x:c>
      <x:c r="H174" s="28" t="str">
        <x:v>сорт, зрелость и технология обработки меняют профиль</x:v>
      </x:c>
      <x:c r="I174" s="28" t="n">
        <x:v>1</x:v>
      </x:c>
    </x:row>
    <x:row r="175" ht="52" customHeight="1">
      <x:c r="A175" s="28" t="str">
        <x:v>листья душистой герани</x:v>
      </x:c>
      <x:c r="B175" s="28" t="str">
        <x:v>Прочее</x:v>
      </x:c>
      <x:c r="C175" s="28" t="str">
        <x:v>профиль зависит от конкретного продукта</x:v>
      </x:c>
      <x:c r="D175" s="28" t="str">
        <x:v>нет уточнённого профиля</x:v>
      </x:c>
      <x:c r="E175" s="28" t="str">
        <x:v>вкусовой баланс зависит от конкретного продукта</x:v>
      </x:c>
      <x:c r="F175" s="28" t="str">
        <x:v>обычно минимальный; проверить для острых и охлаждающих компонентов</x:v>
      </x:c>
      <x:c r="G175" s="28" t="str">
        <x:v>матрица зависит от содержания воды, жира, белка и клетчатки</x:v>
      </x:c>
      <x:c r="H175" s="28" t="str">
        <x:v>сорт, зрелость и технология обработки меняют профиль</x:v>
      </x:c>
      <x:c r="I175" s="28" t="n">
        <x:v>1</x:v>
      </x:c>
    </x:row>
    <x:row r="176" ht="52" customHeight="1">
      <x:c r="A176" s="28" t="str">
        <x:v>листья кориандра</x:v>
      </x:c>
      <x:c r="B176" s="28" t="str">
        <x:v>Травы, цветы и листья</x:v>
      </x:c>
      <x:c r="C176" s="28" t="str">
        <x:v>зелёный, цветочный и терпеновый</x:v>
      </x:c>
      <x:c r="D176" s="28" t="str">
        <x:v>линалоол, терпены</x:v>
      </x:c>
      <x:c r="E176" s="28" t="str">
        <x:v>вкусовой баланс зависит от конкретного продукта</x:v>
      </x:c>
      <x:c r="F176" s="28" t="str">
        <x:v>обычно минимальный; проверить для острых и охлаждающих компонентов</x:v>
      </x:c>
      <x:c r="G176" s="28" t="str">
        <x:v>матрица зависит от содержания воды, жира, белка и клетчатки</x:v>
      </x:c>
      <x:c r="H176" s="28" t="str">
        <x:v>сорт, зрелость и технология обработки меняют профиль</x:v>
      </x:c>
      <x:c r="I176" s="28" t="n">
        <x:v>6</x:v>
      </x:c>
    </x:row>
    <x:row r="177" ht="52" customHeight="1">
      <x:c r="A177" s="28" t="str">
        <x:v>листья тмина</x:v>
      </x:c>
      <x:c r="B177" s="28" t="str">
        <x:v>Прочее</x:v>
      </x:c>
      <x:c r="C177" s="28" t="str">
        <x:v>профиль зависит от конкретного продукта</x:v>
      </x:c>
      <x:c r="D177" s="28" t="str">
        <x:v>нет уточнённого профиля</x:v>
      </x:c>
      <x:c r="E177" s="28" t="str">
        <x:v>вкусовой баланс зависит от конкретного продукта</x:v>
      </x:c>
      <x:c r="F177" s="28" t="str">
        <x:v>обычно минимальный; проверить для острых и охлаждающих компонентов</x:v>
      </x:c>
      <x:c r="G177" s="28" t="str">
        <x:v>матрица зависит от содержания воды, жира, белка и клетчатки</x:v>
      </x:c>
      <x:c r="H177" s="28" t="str">
        <x:v>сорт, зрелость и технология обработки меняют профиль</x:v>
      </x:c>
      <x:c r="I177" s="28" t="n">
        <x:v>2</x:v>
      </x:c>
    </x:row>
    <x:row r="178" ht="52" customHeight="1">
      <x:c r="A178" s="28" t="str">
        <x:v>листья эвкалипта</x:v>
      </x:c>
      <x:c r="B178" s="28" t="str">
        <x:v>Прочее</x:v>
      </x:c>
      <x:c r="C178" s="28" t="str">
        <x:v>профиль зависит от конкретного продукта</x:v>
      </x:c>
      <x:c r="D178" s="28" t="str">
        <x:v>нет уточнённого профиля</x:v>
      </x:c>
      <x:c r="E178" s="28" t="str">
        <x:v>вкусовой баланс зависит от конкретного продукта</x:v>
      </x:c>
      <x:c r="F178" s="28" t="str">
        <x:v>обычно минимальный; проверить для острых и охлаждающих компонентов</x:v>
      </x:c>
      <x:c r="G178" s="28" t="str">
        <x:v>матрица зависит от содержания воды, жира, белка и клетчатки</x:v>
      </x:c>
      <x:c r="H178" s="28" t="str">
        <x:v>сорт, зрелость и технология обработки меняют профиль</x:v>
      </x:c>
      <x:c r="I178" s="28" t="n">
        <x:v>1</x:v>
      </x:c>
    </x:row>
    <x:row r="179" ht="52" customHeight="1">
      <x:c r="A179" s="28" t="str">
        <x:v>личи</x:v>
      </x:c>
      <x:c r="B179" s="28" t="str">
        <x:v>Фрукты и ягоды</x:v>
      </x:c>
      <x:c r="C179" s="28" t="str">
        <x:v>фруктовый, цветочный и свежий</x:v>
      </x:c>
      <x:c r="D179" s="28" t="str">
        <x:v>альдегиды, эфиры</x:v>
      </x:c>
      <x:c r="E179" s="28" t="str">
        <x:v>вкусовой баланс зависит от конкретного продукта</x:v>
      </x:c>
      <x:c r="F179" s="28" t="str">
        <x:v>обычно минимальный; проверить для острых и охлаждающих компонентов</x:v>
      </x:c>
      <x:c r="G179" s="28" t="str">
        <x:v>матрица зависит от содержания воды, жира, белка и клетчатки</x:v>
      </x:c>
      <x:c r="H179" s="28" t="str">
        <x:v>сорт, зрелость и технология обработки меняют профиль</x:v>
      </x:c>
      <x:c r="I179" s="28" t="n">
        <x:v>1</x:v>
      </x:c>
    </x:row>
    <x:row r="180" ht="52" customHeight="1">
      <x:c r="A180" s="28" t="str">
        <x:v>лобстер</x:v>
      </x:c>
      <x:c r="B180" s="28" t="str">
        <x:v>Прочее</x:v>
      </x:c>
      <x:c r="C180" s="28" t="str">
        <x:v>профиль зависит от конкретного продукта</x:v>
      </x:c>
      <x:c r="D180" s="28" t="str">
        <x:v>нет уточнённого профиля</x:v>
      </x:c>
      <x:c r="E180" s="28" t="str">
        <x:v>вкусовой баланс зависит от конкретного продукта</x:v>
      </x:c>
      <x:c r="F180" s="28" t="str">
        <x:v>обычно минимальный; проверить для острых и охлаждающих компонентов</x:v>
      </x:c>
      <x:c r="G180" s="28" t="str">
        <x:v>матрица зависит от содержания воды, жира, белка и клетчатки</x:v>
      </x:c>
      <x:c r="H180" s="28" t="str">
        <x:v>сорт, зрелость и технология обработки меняют профиль</x:v>
      </x:c>
      <x:c r="I180" s="28" t="n">
        <x:v>1</x:v>
      </x:c>
    </x:row>
    <x:row r="181" ht="52" customHeight="1">
      <x:c r="A181" s="28" t="str">
        <x:v>логанова ягода</x:v>
      </x:c>
      <x:c r="B181" s="28" t="str">
        <x:v>Фрукты и ягоды</x:v>
      </x:c>
      <x:c r="C181" s="28" t="str">
        <x:v>фруктовый, цветочный и свежий</x:v>
      </x:c>
      <x:c r="D181" s="28" t="str">
        <x:v>альдегиды, эфиры</x:v>
      </x:c>
      <x:c r="E181" s="28" t="str">
        <x:v>вкусовой баланс зависит от конкретного продукта</x:v>
      </x:c>
      <x:c r="F181" s="28" t="str">
        <x:v>обычно минимальный; проверить для острых и охлаждающих компонентов</x:v>
      </x:c>
      <x:c r="G181" s="28" t="str">
        <x:v>матрица зависит от содержания воды, жира, белка и клетчатки</x:v>
      </x:c>
      <x:c r="H181" s="28" t="str">
        <x:v>сорт, зрелость и технология обработки меняют профиль</x:v>
      </x:c>
      <x:c r="I181" s="28" t="n">
        <x:v>1</x:v>
      </x:c>
    </x:row>
    <x:row r="182" ht="52" customHeight="1">
      <x:c r="A182" s="28" t="str">
        <x:v>лосось</x:v>
      </x:c>
      <x:c r="B182" s="28" t="str">
        <x:v>Рыба и морепродукты</x:v>
      </x:c>
      <x:c r="C182" s="28" t="str">
        <x:v>морской, солоноватый и умами</x:v>
      </x:c>
      <x:c r="D182" s="28" t="str">
        <x:v>альдегиды, амины</x:v>
      </x:c>
      <x:c r="E182" s="28" t="str">
        <x:v>вкусовой баланс зависит от конкретного продукта</x:v>
      </x:c>
      <x:c r="F182" s="28" t="str">
        <x:v>обычно минимальный; проверить для острых и охлаждающих компонентов</x:v>
      </x:c>
      <x:c r="G182" s="28" t="str">
        <x:v>матрица зависит от содержания воды, жира, белка и клетчатки</x:v>
      </x:c>
      <x:c r="H182" s="28" t="str">
        <x:v>сорт, зрелость и технология обработки меняют профиль</x:v>
      </x:c>
      <x:c r="I182" s="28" t="n">
        <x:v>6</x:v>
      </x:c>
    </x:row>
    <x:row r="183" ht="52" customHeight="1">
      <x:c r="A183" s="28" t="str">
        <x:v>лук</x:v>
      </x:c>
      <x:c r="B183" s="28" t="str">
        <x:v>Луковые овощи</x:v>
      </x:c>
      <x:c r="C183" s="28" t="str">
        <x:v>сернистый, сладкий, зелёный; после жарки — карамельный и мясной</x:v>
      </x:c>
      <x:c r="D183" s="28" t="str">
        <x:v>диаллилдисульфид, пропантиаль-S-оксид, тиосульфинаты, фураны</x:v>
      </x:c>
      <x:c r="E183" s="28" t="str">
        <x:v>жгучесть в сыром виде, сладость после приготовления, умами-поддержка</x:v>
      </x:c>
      <x:c r="F183" s="28" t="str">
        <x:v>слезоточивое и жгучее воздействие сернистых соединений</x:v>
      </x:c>
      <x:c r="G183" s="28" t="str">
        <x:v>водная клеточная матрица с сахарами и серосодержащими предшественниками</x:v>
      </x:c>
      <x:c r="H183" s="28" t="str">
        <x:v>нарезка запускает ферментативные реакции; медленная жарка создаёт карамельные и Майяр-ноты</x:v>
      </x:c>
      <x:c r="I183" s="28" t="n">
        <x:v>34</x:v>
      </x:c>
    </x:row>
    <x:row r="184" ht="52" customHeight="1">
      <x:c r="A184" s="28" t="str">
        <x:v>лук-порей</x:v>
      </x:c>
      <x:c r="B184" s="28" t="str">
        <x:v>Луковые овощи</x:v>
      </x:c>
      <x:c r="C184" s="28" t="str">
        <x:v>сернистый, сладкий и жареный</x:v>
      </x:c>
      <x:c r="D184" s="28" t="str">
        <x:v>сернистые соединения, тиосульфинаты</x:v>
      </x:c>
      <x:c r="E184" s="28" t="str">
        <x:v>вкусовой баланс зависит от конкретного продукта</x:v>
      </x:c>
      <x:c r="F184" s="28" t="str">
        <x:v>обычно минимальный; проверить для острых и охлаждающих компонентов</x:v>
      </x:c>
      <x:c r="G184" s="28" t="str">
        <x:v>матрица зависит от содержания воды, жира, белка и клетчатки</x:v>
      </x:c>
      <x:c r="H184" s="28" t="str">
        <x:v>сорт, зрелость и технология обработки меняют профиль</x:v>
      </x:c>
      <x:c r="I184" s="28" t="n">
        <x:v>2</x:v>
      </x:c>
    </x:row>
    <x:row r="185" ht="52" customHeight="1">
      <x:c r="A185" s="28" t="str">
        <x:v>мадера мальвазия</x:v>
      </x:c>
      <x:c r="B185" s="28" t="str">
        <x:v>Прочее</x:v>
      </x:c>
      <x:c r="C185" s="28" t="str">
        <x:v>профиль зависит от конкретного продукта</x:v>
      </x:c>
      <x:c r="D185" s="28" t="str">
        <x:v>нет уточнённого профиля</x:v>
      </x:c>
      <x:c r="E185" s="28" t="str">
        <x:v>вкусовой баланс зависит от конкретного продукта</x:v>
      </x:c>
      <x:c r="F185" s="28" t="str">
        <x:v>обычно минимальный; проверить для острых и охлаждающих компонентов</x:v>
      </x:c>
      <x:c r="G185" s="28" t="str">
        <x:v>матрица зависит от содержания воды, жира, белка и клетчатки</x:v>
      </x:c>
      <x:c r="H185" s="28" t="str">
        <x:v>сорт, зрелость и технология обработки меняют профиль</x:v>
      </x:c>
      <x:c r="I185" s="28" t="n">
        <x:v>1</x:v>
      </x:c>
    </x:row>
    <x:row r="186" ht="52" customHeight="1">
      <x:c r="A186" s="28" t="str">
        <x:v>майоран</x:v>
      </x:c>
      <x:c r="B186" s="28" t="str">
        <x:v>Прочее</x:v>
      </x:c>
      <x:c r="C186" s="28" t="str">
        <x:v>профиль зависит от конкретного продукта</x:v>
      </x:c>
      <x:c r="D186" s="28" t="str">
        <x:v>нет уточнённого профиля</x:v>
      </x:c>
      <x:c r="E186" s="28" t="str">
        <x:v>вкусовой баланс зависит от конкретного продукта</x:v>
      </x:c>
      <x:c r="F186" s="28" t="str">
        <x:v>обычно минимальный; проверить для острых и охлаждающих компонентов</x:v>
      </x:c>
      <x:c r="G186" s="28" t="str">
        <x:v>матрица зависит от содержания воды, жира, белка и клетчатки</x:v>
      </x:c>
      <x:c r="H186" s="28" t="str">
        <x:v>сорт, зрелость и технология обработки меняют профиль</x:v>
      </x:c>
      <x:c r="I186" s="28" t="n">
        <x:v>1</x:v>
      </x:c>
    </x:row>
    <x:row r="187" ht="52" customHeight="1">
      <x:c r="A187" s="28" t="str">
        <x:v>мак</x:v>
      </x:c>
      <x:c r="B187" s="28" t="str">
        <x:v>Прочее</x:v>
      </x:c>
      <x:c r="C187" s="28" t="str">
        <x:v>профиль зависит от конкретного продукта</x:v>
      </x:c>
      <x:c r="D187" s="28" t="str">
        <x:v>нет уточнённого профиля</x:v>
      </x:c>
      <x:c r="E187" s="28" t="str">
        <x:v>вкусовой баланс зависит от конкретного продукта</x:v>
      </x:c>
      <x:c r="F187" s="28" t="str">
        <x:v>обычно минимальный; проверить для острых и охлаждающих компонентов</x:v>
      </x:c>
      <x:c r="G187" s="28" t="str">
        <x:v>матрица зависит от содержания воды, жира, белка и клетчатки</x:v>
      </x:c>
      <x:c r="H187" s="28" t="str">
        <x:v>сорт, зрелость и технология обработки меняют профиль</x:v>
      </x:c>
      <x:c r="I187" s="28" t="n">
        <x:v>1</x:v>
      </x:c>
    </x:row>
    <x:row r="188" ht="52" customHeight="1">
      <x:c r="A188" s="28" t="str">
        <x:v>макадамия</x:v>
      </x:c>
      <x:c r="B188" s="28" t="str">
        <x:v>Прочее</x:v>
      </x:c>
      <x:c r="C188" s="28" t="str">
        <x:v>профиль зависит от конкретного продукта</x:v>
      </x:c>
      <x:c r="D188" s="28" t="str">
        <x:v>нет уточнённого профиля</x:v>
      </x:c>
      <x:c r="E188" s="28" t="str">
        <x:v>вкусовой баланс зависит от конкретного продукта</x:v>
      </x:c>
      <x:c r="F188" s="28" t="str">
        <x:v>обычно минимальный; проверить для острых и охлаждающих компонентов</x:v>
      </x:c>
      <x:c r="G188" s="28" t="str">
        <x:v>матрица зависит от содержания воды, жира, белка и клетчатки</x:v>
      </x:c>
      <x:c r="H188" s="28" t="str">
        <x:v>сорт, зрелость и технология обработки меняют профиль</x:v>
      </x:c>
      <x:c r="I188" s="28" t="n">
        <x:v>1</x:v>
      </x:c>
    </x:row>
    <x:row r="189" ht="52" customHeight="1">
      <x:c r="A189" s="28" t="str">
        <x:v>малина</x:v>
      </x:c>
      <x:c r="B189" s="28" t="str">
        <x:v>Фрукты и ягоды</x:v>
      </x:c>
      <x:c r="C189" s="28" t="str">
        <x:v>цветочный, ягодный</x:v>
      </x:c>
      <x:c r="D189" s="28" t="str">
        <x:v>иононы, малиновый кетон</x:v>
      </x:c>
      <x:c r="E189" s="28" t="str">
        <x:v>вкусовой баланс зависит от конкретного продукта</x:v>
      </x:c>
      <x:c r="F189" s="28" t="str">
        <x:v>обычно минимальный; проверить для острых и охлаждающих компонентов</x:v>
      </x:c>
      <x:c r="G189" s="28" t="str">
        <x:v>матрица зависит от содержания воды, жира, белка и клетчатки</x:v>
      </x:c>
      <x:c r="H189" s="28" t="str">
        <x:v>сорт, зрелость и технология обработки меняют профиль</x:v>
      </x:c>
      <x:c r="I189" s="28" t="n">
        <x:v>2</x:v>
      </x:c>
    </x:row>
    <x:row r="190" ht="52" customHeight="1">
      <x:c r="A190" s="28" t="str">
        <x:v>манго</x:v>
      </x:c>
      <x:c r="B190" s="28" t="str">
        <x:v>Фрукты и ягоды</x:v>
      </x:c>
      <x:c r="C190" s="28" t="str">
        <x:v>фруктовый, цветочный и свежий</x:v>
      </x:c>
      <x:c r="D190" s="28" t="str">
        <x:v>альдегиды, эфиры</x:v>
      </x:c>
      <x:c r="E190" s="28" t="str">
        <x:v>вкусовой баланс зависит от конкретного продукта</x:v>
      </x:c>
      <x:c r="F190" s="28" t="str">
        <x:v>обычно минимальный; проверить для острых и охлаждающих компонентов</x:v>
      </x:c>
      <x:c r="G190" s="28" t="str">
        <x:v>матрица зависит от содержания воды, жира, белка и клетчатки</x:v>
      </x:c>
      <x:c r="H190" s="28" t="str">
        <x:v>сорт, зрелость и технология обработки меняют профиль</x:v>
      </x:c>
      <x:c r="I190" s="28" t="n">
        <x:v>10</x:v>
      </x:c>
    </x:row>
    <x:row r="191" ht="52" customHeight="1">
      <x:c r="A191" s="28" t="str">
        <x:v>мангольд</x:v>
      </x:c>
      <x:c r="B191" s="28" t="str">
        <x:v>Фрукты и ягоды</x:v>
      </x:c>
      <x:c r="C191" s="28" t="str">
        <x:v>фруктовый, цветочный и свежий</x:v>
      </x:c>
      <x:c r="D191" s="28" t="str">
        <x:v>альдегиды, эфиры</x:v>
      </x:c>
      <x:c r="E191" s="28" t="str">
        <x:v>вкусовой баланс зависит от конкретного продукта</x:v>
      </x:c>
      <x:c r="F191" s="28" t="str">
        <x:v>обычно минимальный; проверить для острых и охлаждающих компонентов</x:v>
      </x:c>
      <x:c r="G191" s="28" t="str">
        <x:v>матрица зависит от содержания воды, жира, белка и клетчатки</x:v>
      </x:c>
      <x:c r="H191" s="28" t="str">
        <x:v>сорт, зрелость и технология обработки меняют профиль</x:v>
      </x:c>
      <x:c r="I191" s="28" t="n">
        <x:v>1</x:v>
      </x:c>
    </x:row>
    <x:row r="192" ht="52" customHeight="1">
      <x:c r="A192" s="28" t="str">
        <x:v>мангостин</x:v>
      </x:c>
      <x:c r="B192" s="28" t="str">
        <x:v>Фрукты и ягоды</x:v>
      </x:c>
      <x:c r="C192" s="28" t="str">
        <x:v>фруктовый, цветочный и свежий</x:v>
      </x:c>
      <x:c r="D192" s="28" t="str">
        <x:v>альдегиды, эфиры</x:v>
      </x:c>
      <x:c r="E192" s="28" t="str">
        <x:v>вкусовой баланс зависит от конкретного продукта</x:v>
      </x:c>
      <x:c r="F192" s="28" t="str">
        <x:v>обычно минимальный; проверить для острых и охлаждающих компонентов</x:v>
      </x:c>
      <x:c r="G192" s="28" t="str">
        <x:v>матрица зависит от содержания воды, жира, белка и клетчатки</x:v>
      </x:c>
      <x:c r="H192" s="28" t="str">
        <x:v>сорт, зрелость и технология обработки меняют профиль</x:v>
      </x:c>
      <x:c r="I192" s="28" t="n">
        <x:v>1</x:v>
      </x:c>
    </x:row>
    <x:row r="193" ht="52" customHeight="1">
      <x:c r="A193" s="28" t="str">
        <x:v>мандарин</x:v>
      </x:c>
      <x:c r="B193" s="28" t="str">
        <x:v>Прочее</x:v>
      </x:c>
      <x:c r="C193" s="28" t="str">
        <x:v>профиль зависит от конкретного продукта</x:v>
      </x:c>
      <x:c r="D193" s="28" t="str">
        <x:v>нет уточнённого профиля</x:v>
      </x:c>
      <x:c r="E193" s="28" t="str">
        <x:v>вкусовой баланс зависит от конкретного продукта</x:v>
      </x:c>
      <x:c r="F193" s="28" t="str">
        <x:v>обычно минимальный; проверить для острых и охлаждающих компонентов</x:v>
      </x:c>
      <x:c r="G193" s="28" t="str">
        <x:v>матрица зависит от содержания воды, жира, белка и клетчатки</x:v>
      </x:c>
      <x:c r="H193" s="28" t="str">
        <x:v>сорт, зрелость и технология обработки меняют профиль</x:v>
      </x:c>
      <x:c r="I193" s="28" t="n">
        <x:v>1</x:v>
      </x:c>
    </x:row>
    <x:row r="194" ht="52" customHeight="1">
      <x:c r="A194" s="28" t="str">
        <x:v>мандариновая цедра</x:v>
      </x:c>
      <x:c r="B194" s="28" t="str">
        <x:v>Прочее</x:v>
      </x:c>
      <x:c r="C194" s="28" t="str">
        <x:v>профиль зависит от конкретного продукта</x:v>
      </x:c>
      <x:c r="D194" s="28" t="str">
        <x:v>нет уточнённого профиля</x:v>
      </x:c>
      <x:c r="E194" s="28" t="str">
        <x:v>вкусовой баланс зависит от конкретного продукта</x:v>
      </x:c>
      <x:c r="F194" s="28" t="str">
        <x:v>обычно минимальный; проверить для острых и охлаждающих компонентов</x:v>
      </x:c>
      <x:c r="G194" s="28" t="str">
        <x:v>матрица зависит от содержания воды, жира, белка и клетчатки</x:v>
      </x:c>
      <x:c r="H194" s="28" t="str">
        <x:v>сорт, зрелость и технология обработки меняют профиль</x:v>
      </x:c>
      <x:c r="I194" s="28" t="n">
        <x:v>1</x:v>
      </x:c>
    </x:row>
    <x:row r="195" ht="52" customHeight="1">
      <x:c r="A195" s="28" t="str">
        <x:v>маниок</x:v>
      </x:c>
      <x:c r="B195" s="28" t="str">
        <x:v>Прочее</x:v>
      </x:c>
      <x:c r="C195" s="28" t="str">
        <x:v>профиль зависит от конкретного продукта</x:v>
      </x:c>
      <x:c r="D195" s="28" t="str">
        <x:v>нет уточнённого профиля</x:v>
      </x:c>
      <x:c r="E195" s="28" t="str">
        <x:v>вкусовой баланс зависит от конкретного продукта</x:v>
      </x:c>
      <x:c r="F195" s="28" t="str">
        <x:v>обычно минимальный; проверить для острых и охлаждающих компонентов</x:v>
      </x:c>
      <x:c r="G195" s="28" t="str">
        <x:v>матрица зависит от содержания воды, жира, белка и клетчатки</x:v>
      </x:c>
      <x:c r="H195" s="28" t="str">
        <x:v>сорт, зрелость и технология обработки меняют профиль</x:v>
      </x:c>
      <x:c r="I195" s="28" t="n">
        <x:v>7</x:v>
      </x:c>
    </x:row>
    <x:row r="196" ht="52" customHeight="1">
      <x:c r="A196" s="28" t="str">
        <x:v>маракуйя</x:v>
      </x:c>
      <x:c r="B196" s="28" t="str">
        <x:v>Прочее</x:v>
      </x:c>
      <x:c r="C196" s="28" t="str">
        <x:v>профиль зависит от конкретного продукта</x:v>
      </x:c>
      <x:c r="D196" s="28" t="str">
        <x:v>нет уточнённого профиля</x:v>
      </x:c>
      <x:c r="E196" s="28" t="str">
        <x:v>вкусовой баланс зависит от конкретного продукта</x:v>
      </x:c>
      <x:c r="F196" s="28" t="str">
        <x:v>обычно минимальный; проверить для острых и охлаждающих компонентов</x:v>
      </x:c>
      <x:c r="G196" s="28" t="str">
        <x:v>матрица зависит от содержания воды, жира, белка и клетчатки</x:v>
      </x:c>
      <x:c r="H196" s="28" t="str">
        <x:v>сорт, зрелость и технология обработки меняют профиль</x:v>
      </x:c>
      <x:c r="I196" s="28" t="n">
        <x:v>3</x:v>
      </x:c>
    </x:row>
    <x:row r="197" ht="52" customHeight="1">
      <x:c r="A197" s="28" t="str">
        <x:v>матча</x:v>
      </x:c>
      <x:c r="B197" s="28" t="str">
        <x:v>Чай</x:v>
      </x:c>
      <x:c r="C197" s="28" t="str">
        <x:v>цветочный, древесный или зелёный</x:v>
      </x:c>
      <x:c r="D197" s="28" t="str">
        <x:v>линалоол, полифенолы</x:v>
      </x:c>
      <x:c r="E197" s="28" t="str">
        <x:v>вкусовой баланс зависит от конкретного продукта</x:v>
      </x:c>
      <x:c r="F197" s="28" t="str">
        <x:v>обычно минимальный; проверить для острых и охлаждающих компонентов</x:v>
      </x:c>
      <x:c r="G197" s="28" t="str">
        <x:v>матрица зависит от содержания воды, жира, белка и клетчатки</x:v>
      </x:c>
      <x:c r="H197" s="28" t="str">
        <x:v>сорт, зрелость и технология обработки меняют профиль</x:v>
      </x:c>
      <x:c r="I197" s="28" t="n">
        <x:v>1</x:v>
      </x:c>
    </x:row>
    <x:row r="198" ht="52" customHeight="1">
      <x:c r="A198" s="28" t="str">
        <x:v>мацутакэ</x:v>
      </x:c>
      <x:c r="B198" s="28" t="str">
        <x:v>Прочее</x:v>
      </x:c>
      <x:c r="C198" s="28" t="str">
        <x:v>профиль зависит от конкретного продукта</x:v>
      </x:c>
      <x:c r="D198" s="28" t="str">
        <x:v>нет уточнённого профиля</x:v>
      </x:c>
      <x:c r="E198" s="28" t="str">
        <x:v>вкусовой баланс зависит от конкретного продукта</x:v>
      </x:c>
      <x:c r="F198" s="28" t="str">
        <x:v>обычно минимальный; проверить для острых и охлаждающих компонентов</x:v>
      </x:c>
      <x:c r="G198" s="28" t="str">
        <x:v>матрица зависит от содержания воды, жира, белка и клетчатки</x:v>
      </x:c>
      <x:c r="H198" s="28" t="str">
        <x:v>сорт, зрелость и технология обработки меняют профиль</x:v>
      </x:c>
      <x:c r="I198" s="28" t="n">
        <x:v>2</x:v>
      </x:c>
    </x:row>
    <x:row r="199" ht="52" customHeight="1">
      <x:c r="A199" s="28" t="str">
        <x:v>мелисса</x:v>
      </x:c>
      <x:c r="B199" s="28" t="str">
        <x:v>Прочее</x:v>
      </x:c>
      <x:c r="C199" s="28" t="str">
        <x:v>профиль зависит от конкретного продукта</x:v>
      </x:c>
      <x:c r="D199" s="28" t="str">
        <x:v>нет уточнённого профиля</x:v>
      </x:c>
      <x:c r="E199" s="28" t="str">
        <x:v>вкусовой баланс зависит от конкретного продукта</x:v>
      </x:c>
      <x:c r="F199" s="28" t="str">
        <x:v>обычно минимальный; проверить для острых и охлаждающих компонентов</x:v>
      </x:c>
      <x:c r="G199" s="28" t="str">
        <x:v>матрица зависит от содержания воды, жира, белка и клетчатки</x:v>
      </x:c>
      <x:c r="H199" s="28" t="str">
        <x:v>сорт, зрелость и технология обработки меняют профиль</x:v>
      </x:c>
      <x:c r="I199" s="28" t="n">
        <x:v>1</x:v>
      </x:c>
    </x:row>
    <x:row r="200" ht="52" customHeight="1">
      <x:c r="A200" s="28" t="str">
        <x:v>мерланг</x:v>
      </x:c>
      <x:c r="B200" s="28" t="str">
        <x:v>Прочее</x:v>
      </x:c>
      <x:c r="C200" s="28" t="str">
        <x:v>профиль зависит от конкретного продукта</x:v>
      </x:c>
      <x:c r="D200" s="28" t="str">
        <x:v>нет уточнённого профиля</x:v>
      </x:c>
      <x:c r="E200" s="28" t="str">
        <x:v>вкусовой баланс зависит от конкретного продукта</x:v>
      </x:c>
      <x:c r="F200" s="28" t="str">
        <x:v>обычно минимальный; проверить для острых и охлаждающих компонентов</x:v>
      </x:c>
      <x:c r="G200" s="28" t="str">
        <x:v>матрица зависит от содержания воды, жира, белка и клетчатки</x:v>
      </x:c>
      <x:c r="H200" s="28" t="str">
        <x:v>сорт, зрелость и технология обработки меняют профиль</x:v>
      </x:c>
      <x:c r="I200" s="28" t="n">
        <x:v>1</x:v>
      </x:c>
    </x:row>
    <x:row r="201" ht="52" customHeight="1">
      <x:c r="A201" s="28" t="str">
        <x:v>микрозелень шисо</x:v>
      </x:c>
      <x:c r="B201" s="28" t="str">
        <x:v>Прочее</x:v>
      </x:c>
      <x:c r="C201" s="28" t="str">
        <x:v>профиль зависит от конкретного продукта</x:v>
      </x:c>
      <x:c r="D201" s="28" t="str">
        <x:v>нет уточнённого профиля</x:v>
      </x:c>
      <x:c r="E201" s="28" t="str">
        <x:v>вкусовой баланс зависит от конкретного продукта</x:v>
      </x:c>
      <x:c r="F201" s="28" t="str">
        <x:v>обычно минимальный; проверить для острых и охлаждающих компонентов</x:v>
      </x:c>
      <x:c r="G201" s="28" t="str">
        <x:v>матрица зависит от содержания воды, жира, белка и клетчатки</x:v>
      </x:c>
      <x:c r="H201" s="28" t="str">
        <x:v>сорт, зрелость и технология обработки меняют профиль</x:v>
      </x:c>
      <x:c r="I201" s="28" t="n">
        <x:v>1</x:v>
      </x:c>
    </x:row>
    <x:row r="202" ht="52" customHeight="1">
      <x:c r="A202" s="28" t="str">
        <x:v>миндаль</x:v>
      </x:c>
      <x:c r="B202" s="28" t="str">
        <x:v>Орехи и семена</x:v>
      </x:c>
      <x:c r="C202" s="28" t="str">
        <x:v>жареный, миндальный, ореховый</x:v>
      </x:c>
      <x:c r="D202" s="28" t="str">
        <x:v>бензальдегид, пиразины</x:v>
      </x:c>
      <x:c r="E202" s="28" t="str">
        <x:v>вкусовой баланс зависит от конкретного продукта</x:v>
      </x:c>
      <x:c r="F202" s="28" t="str">
        <x:v>обычно минимальный; проверить для острых и охлаждающих компонентов</x:v>
      </x:c>
      <x:c r="G202" s="28" t="str">
        <x:v>матрица зависит от содержания воды, жира, белка и клетчатки</x:v>
      </x:c>
      <x:c r="H202" s="28" t="str">
        <x:v>сорт, зрелость и технология обработки меняют профиль</x:v>
      </x:c>
      <x:c r="I202" s="28" t="n">
        <x:v>5</x:v>
      </x:c>
    </x:row>
    <x:row r="203" ht="52" customHeight="1">
      <x:c r="A203" s="28" t="str">
        <x:v>можжевельник</x:v>
      </x:c>
      <x:c r="B203" s="28" t="str">
        <x:v>Прочее</x:v>
      </x:c>
      <x:c r="C203" s="28" t="str">
        <x:v>профиль зависит от конкретного продукта</x:v>
      </x:c>
      <x:c r="D203" s="28" t="str">
        <x:v>нет уточнённого профиля</x:v>
      </x:c>
      <x:c r="E203" s="28" t="str">
        <x:v>вкусовой баланс зависит от конкретного продукта</x:v>
      </x:c>
      <x:c r="F203" s="28" t="str">
        <x:v>обычно минимальный; проверить для острых и охлаждающих компонентов</x:v>
      </x:c>
      <x:c r="G203" s="28" t="str">
        <x:v>матрица зависит от содержания воды, жира, белка и клетчатки</x:v>
      </x:c>
      <x:c r="H203" s="28" t="str">
        <x:v>сорт, зрелость и технология обработки меняют профиль</x:v>
      </x:c>
      <x:c r="I203" s="28" t="n">
        <x:v>3</x:v>
      </x:c>
    </x:row>
    <x:row r="204" ht="52" customHeight="1">
      <x:c r="A204" s="28" t="str">
        <x:v>моллюски</x:v>
      </x:c>
      <x:c r="B204" s="28" t="str">
        <x:v>Рыба и морепродукты</x:v>
      </x:c>
      <x:c r="C204" s="28" t="str">
        <x:v>морской, солоноватый и умами</x:v>
      </x:c>
      <x:c r="D204" s="28" t="str">
        <x:v>альдегиды, амины</x:v>
      </x:c>
      <x:c r="E204" s="28" t="str">
        <x:v>вкусовой баланс зависит от конкретного продукта</x:v>
      </x:c>
      <x:c r="F204" s="28" t="str">
        <x:v>обычно минимальный; проверить для острых и охлаждающих компонентов</x:v>
      </x:c>
      <x:c r="G204" s="28" t="str">
        <x:v>матрица зависит от содержания воды, жира, белка и клетчатки</x:v>
      </x:c>
      <x:c r="H204" s="28" t="str">
        <x:v>сорт, зрелость и технология обработки меняют профиль</x:v>
      </x:c>
      <x:c r="I204" s="28" t="n">
        <x:v>15</x:v>
      </x:c>
    </x:row>
    <x:row r="205" ht="52" customHeight="1">
      <x:c r="A205" s="28" t="str">
        <x:v>молочный шоколад</x:v>
      </x:c>
      <x:c r="B205" s="28" t="str">
        <x:v>Какао и шоколад</x:v>
      </x:c>
      <x:c r="C205" s="28" t="str">
        <x:v>жареный, какаовый, карамельный</x:v>
      </x:c>
      <x:c r="D205" s="28" t="str">
        <x:v>пиразины, фураны</x:v>
      </x:c>
      <x:c r="E205" s="28" t="str">
        <x:v>вкусовой баланс зависит от конкретного продукта</x:v>
      </x:c>
      <x:c r="F205" s="28" t="str">
        <x:v>обычно минимальный; проверить для острых и охлаждающих компонентов</x:v>
      </x:c>
      <x:c r="G205" s="28" t="str">
        <x:v>матрица зависит от содержания воды, жира, белка и клетчатки</x:v>
      </x:c>
      <x:c r="H205" s="28" t="str">
        <x:v>сорт, зрелость и технология обработки меняют профиль</x:v>
      </x:c>
      <x:c r="I205" s="28" t="n">
        <x:v>1</x:v>
      </x:c>
    </x:row>
    <x:row r="206" ht="52" customHeight="1">
      <x:c r="A206" s="28" t="str">
        <x:v>мольва</x:v>
      </x:c>
      <x:c r="B206" s="28" t="str">
        <x:v>Прочее</x:v>
      </x:c>
      <x:c r="C206" s="28" t="str">
        <x:v>профиль зависит от конкретного продукта</x:v>
      </x:c>
      <x:c r="D206" s="28" t="str">
        <x:v>нет уточнённого профиля</x:v>
      </x:c>
      <x:c r="E206" s="28" t="str">
        <x:v>вкусовой баланс зависит от конкретного продукта</x:v>
      </x:c>
      <x:c r="F206" s="28" t="str">
        <x:v>обычно минимальный; проверить для острых и охлаждающих компонентов</x:v>
      </x:c>
      <x:c r="G206" s="28" t="str">
        <x:v>матрица зависит от содержания воды, жира, белка и клетчатки</x:v>
      </x:c>
      <x:c r="H206" s="28" t="str">
        <x:v>сорт, зрелость и технология обработки меняют профиль</x:v>
      </x:c>
      <x:c r="I206" s="28" t="n">
        <x:v>1</x:v>
      </x:c>
    </x:row>
    <x:row r="207" ht="52" customHeight="1">
      <x:c r="A207" s="28" t="str">
        <x:v>морковь</x:v>
      </x:c>
      <x:c r="B207" s="28" t="str">
        <x:v>Корнеплоды</x:v>
      </x:c>
      <x:c r="C207" s="28" t="str">
        <x:v>сладкий, землистый, древесный и слегка цитрусовый</x:v>
      </x:c>
      <x:c r="D207" s="28" t="str">
        <x:v>β-ионон, каротол, пинены, терпинолен</x:v>
      </x:c>
      <x:c r="E207" s="28" t="str">
        <x:v>сладость, землистость и слабая горечь</x:v>
      </x:c>
      <x:c r="F207" s="28" t="str">
        <x:v>минимальный</x:v>
      </x:c>
      <x:c r="G207" s="28" t="str">
        <x:v>водно-клетчаточная матрица с сахарами и каротиноидами</x:v>
      </x:c>
      <x:c r="H207" s="28" t="str">
        <x:v>запекание концентрирует сладость и древесно-пряные ноты; сок сохраняет зелёность</x:v>
      </x:c>
      <x:c r="I207" s="28" t="n">
        <x:v>91</x:v>
      </x:c>
    </x:row>
    <x:row r="208" ht="52" customHeight="1">
      <x:c r="A208" s="28" t="str">
        <x:v>морской гребешок</x:v>
      </x:c>
      <x:c r="B208" s="28" t="str">
        <x:v>Рыба и морепродукты</x:v>
      </x:c>
      <x:c r="C208" s="28" t="str">
        <x:v>морской, солоноватый и умами</x:v>
      </x:c>
      <x:c r="D208" s="28" t="str">
        <x:v>альдегиды, амины</x:v>
      </x:c>
      <x:c r="E208" s="28" t="str">
        <x:v>вкусовой баланс зависит от конкретного продукта</x:v>
      </x:c>
      <x:c r="F208" s="28" t="str">
        <x:v>обычно минимальный; проверить для острых и охлаждающих компонентов</x:v>
      </x:c>
      <x:c r="G208" s="28" t="str">
        <x:v>матрица зависит от содержания воды, жира, белка и клетчатки</x:v>
      </x:c>
      <x:c r="H208" s="28" t="str">
        <x:v>сорт, зрелость и технология обработки меняют профиль</x:v>
      </x:c>
      <x:c r="I208" s="28" t="n">
        <x:v>1</x:v>
      </x:c>
    </x:row>
    <x:row r="209" ht="52" customHeight="1">
      <x:c r="A209" s="28" t="str">
        <x:v>морской угорь</x:v>
      </x:c>
      <x:c r="B209" s="28" t="str">
        <x:v>Прочее</x:v>
      </x:c>
      <x:c r="C209" s="28" t="str">
        <x:v>профиль зависит от конкретного продукта</x:v>
      </x:c>
      <x:c r="D209" s="28" t="str">
        <x:v>нет уточнённого профиля</x:v>
      </x:c>
      <x:c r="E209" s="28" t="str">
        <x:v>вкусовой баланс зависит от конкретного продукта</x:v>
      </x:c>
      <x:c r="F209" s="28" t="str">
        <x:v>обычно минимальный; проверить для острых и охлаждающих компонентов</x:v>
      </x:c>
      <x:c r="G209" s="28" t="str">
        <x:v>матрица зависит от содержания воды, жира, белка и клетчатки</x:v>
      </x:c>
      <x:c r="H209" s="28" t="str">
        <x:v>сорт, зрелость и технология обработки меняют профиль</x:v>
      </x:c>
      <x:c r="I209" s="28" t="n">
        <x:v>1</x:v>
      </x:c>
    </x:row>
    <x:row r="210" ht="52" customHeight="1">
      <x:c r="A210" s="28" t="str">
        <x:v>морской язык</x:v>
      </x:c>
      <x:c r="B210" s="28" t="str">
        <x:v>Рыба и морепродукты</x:v>
      </x:c>
      <x:c r="C210" s="28" t="str">
        <x:v>морской, солоноватый и умами</x:v>
      </x:c>
      <x:c r="D210" s="28" t="str">
        <x:v>альдегиды, амины</x:v>
      </x:c>
      <x:c r="E210" s="28" t="str">
        <x:v>вкусовой баланс зависит от конкретного продукта</x:v>
      </x:c>
      <x:c r="F210" s="28" t="str">
        <x:v>обычно минимальный; проверить для острых и охлаждающих компонентов</x:v>
      </x:c>
      <x:c r="G210" s="28" t="str">
        <x:v>матрица зависит от содержания воды, жира, белка и клетчатки</x:v>
      </x:c>
      <x:c r="H210" s="28" t="str">
        <x:v>сорт, зрелость и технология обработки меняют профиль</x:v>
      </x:c>
      <x:c r="I210" s="28" t="n">
        <x:v>2</x:v>
      </x:c>
    </x:row>
    <x:row r="211" ht="52" customHeight="1">
      <x:c r="A211" s="28" t="str">
        <x:v>морской ёж</x:v>
      </x:c>
      <x:c r="B211" s="28" t="str">
        <x:v>Прочее</x:v>
      </x:c>
      <x:c r="C211" s="28" t="str">
        <x:v>профиль зависит от конкретного продукта</x:v>
      </x:c>
      <x:c r="D211" s="28" t="str">
        <x:v>нет уточнённого профиля</x:v>
      </x:c>
      <x:c r="E211" s="28" t="str">
        <x:v>вкусовой баланс зависит от конкретного продукта</x:v>
      </x:c>
      <x:c r="F211" s="28" t="str">
        <x:v>обычно минимальный; проверить для острых и охлаждающих компонентов</x:v>
      </x:c>
      <x:c r="G211" s="28" t="str">
        <x:v>матрица зависит от содержания воды, жира, белка и клетчатки</x:v>
      </x:c>
      <x:c r="H211" s="28" t="str">
        <x:v>сорт, зрелость и технология обработки меняют профиль</x:v>
      </x:c>
      <x:c r="I211" s="28" t="n">
        <x:v>2</x:v>
      </x:c>
    </x:row>
    <x:row r="212" ht="52" customHeight="1">
      <x:c r="A212" s="28" t="str">
        <x:v>моцарелла буйволицы</x:v>
      </x:c>
      <x:c r="B212" s="28" t="str">
        <x:v>Прочее</x:v>
      </x:c>
      <x:c r="C212" s="28" t="str">
        <x:v>профиль зависит от конкретного продукта</x:v>
      </x:c>
      <x:c r="D212" s="28" t="str">
        <x:v>нет уточнённого профиля</x:v>
      </x:c>
      <x:c r="E212" s="28" t="str">
        <x:v>вкусовой баланс зависит от конкретного продукта</x:v>
      </x:c>
      <x:c r="F212" s="28" t="str">
        <x:v>обычно минимальный; проверить для острых и охлаждающих компонентов</x:v>
      </x:c>
      <x:c r="G212" s="28" t="str">
        <x:v>матрица зависит от содержания воды, жира, белка и клетчатки</x:v>
      </x:c>
      <x:c r="H212" s="28" t="str">
        <x:v>сорт, зрелость и технология обработки меняют профиль</x:v>
      </x:c>
      <x:c r="I212" s="28" t="n">
        <x:v>1</x:v>
      </x:c>
    </x:row>
    <x:row r="213" ht="52" customHeight="1">
      <x:c r="A213" s="28" t="str">
        <x:v>муравьи саува</x:v>
      </x:c>
      <x:c r="B213" s="28" t="str">
        <x:v>Прочее</x:v>
      </x:c>
      <x:c r="C213" s="28" t="str">
        <x:v>профиль зависит от конкретного продукта</x:v>
      </x:c>
      <x:c r="D213" s="28" t="str">
        <x:v>нет уточнённого профиля</x:v>
      </x:c>
      <x:c r="E213" s="28" t="str">
        <x:v>вкусовой баланс зависит от конкретного продукта</x:v>
      </x:c>
      <x:c r="F213" s="28" t="str">
        <x:v>обычно минимальный; проверить для острых и охлаждающих компонентов</x:v>
      </x:c>
      <x:c r="G213" s="28" t="str">
        <x:v>матрица зависит от содержания воды, жира, белка и клетчатки</x:v>
      </x:c>
      <x:c r="H213" s="28" t="str">
        <x:v>сорт, зрелость и технология обработки меняют профиль</x:v>
      </x:c>
      <x:c r="I213" s="28" t="n">
        <x:v>1</x:v>
      </x:c>
    </x:row>
    <x:row r="214" ht="52" customHeight="1">
      <x:c r="A214" s="28" t="str">
        <x:v>мускатный орех</x:v>
      </x:c>
      <x:c r="B214" s="28" t="str">
        <x:v>Рыба и морепродукты</x:v>
      </x:c>
      <x:c r="C214" s="28" t="str">
        <x:v>камфорный, ореховый, пряный</x:v>
      </x:c>
      <x:c r="D214" s="28" t="str">
        <x:v>пинены, сабинен</x:v>
      </x:c>
      <x:c r="E214" s="28" t="str">
        <x:v>вкусовой баланс зависит от конкретного продукта</x:v>
      </x:c>
      <x:c r="F214" s="28" t="str">
        <x:v>обычно минимальный; проверить для острых и охлаждающих компонентов</x:v>
      </x:c>
      <x:c r="G214" s="28" t="str">
        <x:v>матрица зависит от содержания воды, жира, белка и клетчатки</x:v>
      </x:c>
      <x:c r="H214" s="28" t="str">
        <x:v>сорт, зрелость и технология обработки меняют профиль</x:v>
      </x:c>
      <x:c r="I214" s="28" t="n">
        <x:v>11</x:v>
      </x:c>
    </x:row>
    <x:row r="215" ht="52" customHeight="1">
      <x:c r="A215" s="28" t="str">
        <x:v>мушмула</x:v>
      </x:c>
      <x:c r="B215" s="28" t="str">
        <x:v>Прочее</x:v>
      </x:c>
      <x:c r="C215" s="28" t="str">
        <x:v>профиль зависит от конкретного продукта</x:v>
      </x:c>
      <x:c r="D215" s="28" t="str">
        <x:v>нет уточнённого профиля</x:v>
      </x:c>
      <x:c r="E215" s="28" t="str">
        <x:v>вкусовой баланс зависит от конкретного продукта</x:v>
      </x:c>
      <x:c r="F215" s="28" t="str">
        <x:v>обычно минимальный; проверить для острых и охлаждающих компонентов</x:v>
      </x:c>
      <x:c r="G215" s="28" t="str">
        <x:v>матрица зависит от содержания воды, жира, белка и клетчатки</x:v>
      </x:c>
      <x:c r="H215" s="28" t="str">
        <x:v>сорт, зрелость и технология обработки меняют профиль</x:v>
      </x:c>
      <x:c r="I215" s="28" t="n">
        <x:v>1</x:v>
      </x:c>
    </x:row>
    <x:row r="216" ht="52" customHeight="1">
      <x:c r="A216" s="28" t="str">
        <x:v>мягкий сыр</x:v>
      </x:c>
      <x:c r="B216" s="28" t="str">
        <x:v>Молочные продукты и сыры</x:v>
      </x:c>
      <x:c r="C216" s="28" t="str">
        <x:v>молочный, умами, ферментированный</x:v>
      </x:c>
      <x:c r="D216" s="28" t="str">
        <x:v>диацетил, жирные кислоты</x:v>
      </x:c>
      <x:c r="E216" s="28" t="str">
        <x:v>вкусовой баланс зависит от конкретного продукта</x:v>
      </x:c>
      <x:c r="F216" s="28" t="str">
        <x:v>обычно минимальный; проверить для острых и охлаждающих компонентов</x:v>
      </x:c>
      <x:c r="G216" s="28" t="str">
        <x:v>матрица зависит от содержания воды, жира, белка и клетчатки</x:v>
      </x:c>
      <x:c r="H216" s="28" t="str">
        <x:v>сорт, зрелость и технология обработки меняют профиль</x:v>
      </x:c>
      <x:c r="I216" s="28" t="n">
        <x:v>6</x:v>
      </x:c>
    </x:row>
    <x:row r="217" ht="52" customHeight="1">
      <x:c r="A217" s="28" t="str">
        <x:v>мясо</x:v>
      </x:c>
      <x:c r="B217" s="28" t="str">
        <x:v>Мясо и птица</x:v>
      </x:c>
      <x:c r="C217" s="28" t="str">
        <x:v>жареный, жирный, умами</x:v>
      </x:c>
      <x:c r="D217" s="28" t="str">
        <x:v>пиразины, сернистые соединения</x:v>
      </x:c>
      <x:c r="E217" s="28" t="str">
        <x:v>вкусовой баланс зависит от конкретного продукта</x:v>
      </x:c>
      <x:c r="F217" s="28" t="str">
        <x:v>обычно минимальный; проверить для острых и охлаждающих компонентов</x:v>
      </x:c>
      <x:c r="G217" s="28" t="str">
        <x:v>матрица зависит от содержания воды, жира, белка и клетчатки</x:v>
      </x:c>
      <x:c r="H217" s="28" t="str">
        <x:v>сорт, зрелость и технология обработки меняют профиль</x:v>
      </x:c>
      <x:c r="I217" s="28" t="n">
        <x:v>6</x:v>
      </x:c>
    </x:row>
    <x:row r="218" ht="52" customHeight="1">
      <x:c r="A218" s="28" t="str">
        <x:v>мята</x:v>
      </x:c>
      <x:c r="B218" s="28" t="str">
        <x:v>Травы, цветы и листья</x:v>
      </x:c>
      <x:c r="C218" s="28" t="str">
        <x:v>зелёный, холодящий</x:v>
      </x:c>
      <x:c r="D218" s="28" t="str">
        <x:v>ментол</x:v>
      </x:c>
      <x:c r="E218" s="28" t="str">
        <x:v>вкусовой баланс зависит от конкретного продукта</x:v>
      </x:c>
      <x:c r="F218" s="28" t="str">
        <x:v>обычно минимальный; проверить для острых и охлаждающих компонентов</x:v>
      </x:c>
      <x:c r="G218" s="28" t="str">
        <x:v>матрица зависит от содержания воды, жира, белка и клетчатки</x:v>
      </x:c>
      <x:c r="H218" s="28" t="str">
        <x:v>сорт, зрелость и технология обработки меняют профиль</x:v>
      </x:c>
      <x:c r="I218" s="28" t="n">
        <x:v>13</x:v>
      </x:c>
    </x:row>
    <x:row r="219" ht="52" customHeight="1">
      <x:c r="A219" s="28" t="str">
        <x:v>мята колосистая</x:v>
      </x:c>
      <x:c r="B219" s="28" t="str">
        <x:v>Травы, цветы и листья</x:v>
      </x:c>
      <x:c r="C219" s="28" t="str">
        <x:v>зелёный, холодящий</x:v>
      </x:c>
      <x:c r="D219" s="28" t="str">
        <x:v>ментол</x:v>
      </x:c>
      <x:c r="E219" s="28" t="str">
        <x:v>вкусовой баланс зависит от конкретного продукта</x:v>
      </x:c>
      <x:c r="F219" s="28" t="str">
        <x:v>обычно минимальный; проверить для острых и охлаждающих компонентов</x:v>
      </x:c>
      <x:c r="G219" s="28" t="str">
        <x:v>матрица зависит от содержания воды, жира, белка и клетчатки</x:v>
      </x:c>
      <x:c r="H219" s="28" t="str">
        <x:v>сорт, зрелость и технология обработки меняют профиль</x:v>
      </x:c>
      <x:c r="I219" s="28" t="n">
        <x:v>2</x:v>
      </x:c>
    </x:row>
    <x:row r="220" ht="52" customHeight="1">
      <x:c r="A220" s="28" t="str">
        <x:v>мёд</x:v>
      </x:c>
      <x:c r="B220" s="28" t="str">
        <x:v>Выпечка, крупы, сахара и десерты</x:v>
      </x:c>
      <x:c r="C220" s="28" t="str">
        <x:v>медовый, сладкий, цветочный</x:v>
      </x:c>
      <x:c r="D220" s="28" t="str">
        <x:v>норизопреноиды, фенилуксусная кислота</x:v>
      </x:c>
      <x:c r="E220" s="28" t="str">
        <x:v>вкусовой баланс зависит от конкретного продукта</x:v>
      </x:c>
      <x:c r="F220" s="28" t="str">
        <x:v>обычно минимальный; проверить для острых и охлаждающих компонентов</x:v>
      </x:c>
      <x:c r="G220" s="28" t="str">
        <x:v>матрица зависит от содержания воды, жира, белка и клетчатки</x:v>
      </x:c>
      <x:c r="H220" s="28" t="str">
        <x:v>сорт, зрелость и технология обработки меняют профиль</x:v>
      </x:c>
      <x:c r="I220" s="28" t="n">
        <x:v>4</x:v>
      </x:c>
    </x:row>
    <x:row r="221" ht="52" customHeight="1">
      <x:c r="A221" s="28" t="str">
        <x:v>нори</x:v>
      </x:c>
      <x:c r="B221" s="28" t="str">
        <x:v>Прочее</x:v>
      </x:c>
      <x:c r="C221" s="28" t="str">
        <x:v>профиль зависит от конкретного продукта</x:v>
      </x:c>
      <x:c r="D221" s="28" t="str">
        <x:v>нет уточнённого профиля</x:v>
      </x:c>
      <x:c r="E221" s="28" t="str">
        <x:v>вкусовой баланс зависит от конкретного продукта</x:v>
      </x:c>
      <x:c r="F221" s="28" t="str">
        <x:v>обычно минимальный; проверить для острых и охлаждающих компонентов</x:v>
      </x:c>
      <x:c r="G221" s="28" t="str">
        <x:v>матрица зависит от содержания воды, жира, белка и клетчатки</x:v>
      </x:c>
      <x:c r="H221" s="28" t="str">
        <x:v>сорт, зрелость и технология обработки меняют профиль</x:v>
      </x:c>
      <x:c r="I221" s="28" t="n">
        <x:v>1</x:v>
      </x:c>
    </x:row>
    <x:row r="222" ht="52" customHeight="1">
      <x:c r="A222" s="28" t="str">
        <x:v>нут</x:v>
      </x:c>
      <x:c r="B222" s="28" t="str">
        <x:v>Бобовые</x:v>
      </x:c>
      <x:c r="C222" s="28" t="str">
        <x:v>зелёный, бобовый и крахмалистый</x:v>
      </x:c>
      <x:c r="D222" s="28" t="str">
        <x:v>альдегиды, метоксипиразины</x:v>
      </x:c>
      <x:c r="E222" s="28" t="str">
        <x:v>вкусовой баланс зависит от конкретного продукта</x:v>
      </x:c>
      <x:c r="F222" s="28" t="str">
        <x:v>обычно минимальный; проверить для острых и охлаждающих компонентов</x:v>
      </x:c>
      <x:c r="G222" s="28" t="str">
        <x:v>матрица зависит от содержания воды, жира, белка и клетчатки</x:v>
      </x:c>
      <x:c r="H222" s="28" t="str">
        <x:v>сорт, зрелость и технология обработки меняют профиль</x:v>
      </x:c>
      <x:c r="I222" s="28" t="n">
        <x:v>1</x:v>
      </x:c>
    </x:row>
    <x:row r="223" ht="52" customHeight="1">
      <x:c r="A223" s="28" t="str">
        <x:v>овощной бульон</x:v>
      </x:c>
      <x:c r="B223" s="28" t="str">
        <x:v>Прочее</x:v>
      </x:c>
      <x:c r="C223" s="28" t="str">
        <x:v>профиль зависит от конкретного продукта</x:v>
      </x:c>
      <x:c r="D223" s="28" t="str">
        <x:v>нет уточнённого профиля</x:v>
      </x:c>
      <x:c r="E223" s="28" t="str">
        <x:v>вкусовой баланс зависит от конкретного продукта</x:v>
      </x:c>
      <x:c r="F223" s="28" t="str">
        <x:v>обычно минимальный; проверить для острых и охлаждающих компонентов</x:v>
      </x:c>
      <x:c r="G223" s="28" t="str">
        <x:v>матрица зависит от содержания воды, жира, белка и клетчатки</x:v>
      </x:c>
      <x:c r="H223" s="28" t="str">
        <x:v>сорт, зрелость и технология обработки меняют профиль</x:v>
      </x:c>
      <x:c r="I223" s="28" t="n">
        <x:v>2</x:v>
      </x:c>
    </x:row>
    <x:row r="224" ht="52" customHeight="1">
      <x:c r="A224" s="28" t="str">
        <x:v>огурец</x:v>
      </x:c>
      <x:c r="B224" s="28" t="str">
        <x:v>Тыквенные</x:v>
      </x:c>
      <x:c r="C224" s="28" t="str">
        <x:v>зелёный, водянистый, свежий и дынный</x:v>
      </x:c>
      <x:c r="D224" s="28" t="str">
        <x:v>(E)-2-ноненаль, (E,Z)-2,6-нонадиеналь, гексаналь</x:v>
      </x:c>
      <x:c r="E224" s="28" t="str">
        <x:v>свежесть, водянистость, слабая сладость и иногда горечь кожицы</x:v>
      </x:c>
      <x:c r="F224" s="28" t="str">
        <x:v>прохладно-зелёное ощущение</x:v>
      </x:c>
      <x:c r="G224" s="28" t="str">
        <x:v>почти полностью водная хрустящая матрица; летучие альдегиды быстро теряются</x:v>
      </x:c>
      <x:c r="H224" s="28" t="str">
        <x:v>холодное применение сохраняет свежесть; соль вытягивает воду; нагрев разрушает характерный профиль</x:v>
      </x:c>
      <x:c r="I224" s="28" t="n">
        <x:v>70</x:v>
      </x:c>
    </x:row>
    <x:row r="225" ht="52" customHeight="1">
      <x:c r="A225" s="28" t="str">
        <x:v>огуречная трава</x:v>
      </x:c>
      <x:c r="B225" s="28" t="str">
        <x:v>Плодовые и тыквенные овощи</x:v>
      </x:c>
      <x:c r="C225" s="28" t="str">
        <x:v>зелёный, фруктовый или водянистый</x:v>
      </x:c>
      <x:c r="D225" s="28" t="str">
        <x:v>альдегиды, эфиры</x:v>
      </x:c>
      <x:c r="E225" s="28" t="str">
        <x:v>вкусовой баланс зависит от конкретного продукта</x:v>
      </x:c>
      <x:c r="F225" s="28" t="str">
        <x:v>обычно минимальный; проверить для острых и охлаждающих компонентов</x:v>
      </x:c>
      <x:c r="G225" s="28" t="str">
        <x:v>матрица зависит от содержания воды, жира, белка и клетчатки</x:v>
      </x:c>
      <x:c r="H225" s="28" t="str">
        <x:v>сорт, зрелость и технология обработки меняют профиль</x:v>
      </x:c>
      <x:c r="I225" s="28" t="n">
        <x:v>1</x:v>
      </x:c>
    </x:row>
    <x:row r="226" ht="52" customHeight="1">
      <x:c r="A226" s="28" t="str">
        <x:v>одуванчик</x:v>
      </x:c>
      <x:c r="B226" s="28" t="str">
        <x:v>Прочее</x:v>
      </x:c>
      <x:c r="C226" s="28" t="str">
        <x:v>профиль зависит от конкретного продукта</x:v>
      </x:c>
      <x:c r="D226" s="28" t="str">
        <x:v>нет уточнённого профиля</x:v>
      </x:c>
      <x:c r="E226" s="28" t="str">
        <x:v>вкусовой баланс зависит от конкретного продукта</x:v>
      </x:c>
      <x:c r="F226" s="28" t="str">
        <x:v>обычно минимальный; проверить для острых и охлаждающих компонентов</x:v>
      </x:c>
      <x:c r="G226" s="28" t="str">
        <x:v>матрица зависит от содержания воды, жира, белка и клетчатки</x:v>
      </x:c>
      <x:c r="H226" s="28" t="str">
        <x:v>сорт, зрелость и технология обработки меняют профиль</x:v>
      </x:c>
      <x:c r="I226" s="28" t="n">
        <x:v>1</x:v>
      </x:c>
    </x:row>
    <x:row r="227" ht="52" customHeight="1">
      <x:c r="A227" s="28" t="str">
        <x:v>оленина</x:v>
      </x:c>
      <x:c r="B227" s="28" t="str">
        <x:v>Прочее</x:v>
      </x:c>
      <x:c r="C227" s="28" t="str">
        <x:v>профиль зависит от конкретного продукта</x:v>
      </x:c>
      <x:c r="D227" s="28" t="str">
        <x:v>нет уточнённого профиля</x:v>
      </x:c>
      <x:c r="E227" s="28" t="str">
        <x:v>вкусовой баланс зависит от конкретного продукта</x:v>
      </x:c>
      <x:c r="F227" s="28" t="str">
        <x:v>обычно минимальный; проверить для острых и охлаждающих компонентов</x:v>
      </x:c>
      <x:c r="G227" s="28" t="str">
        <x:v>матрица зависит от содержания воды, жира, белка и клетчатки</x:v>
      </x:c>
      <x:c r="H227" s="28" t="str">
        <x:v>сорт, зрелость и технология обработки меняют профиль</x:v>
      </x:c>
      <x:c r="I227" s="28" t="n">
        <x:v>2</x:v>
      </x:c>
    </x:row>
    <x:row r="228" ht="52" customHeight="1">
      <x:c r="A228" s="28" t="str">
        <x:v>оливки</x:v>
      </x:c>
      <x:c r="B228" s="28" t="str">
        <x:v>Прочее</x:v>
      </x:c>
      <x:c r="C228" s="28" t="str">
        <x:v>профиль зависит от конкретного продукта</x:v>
      </x:c>
      <x:c r="D228" s="28" t="str">
        <x:v>нет уточнённого профиля</x:v>
      </x:c>
      <x:c r="E228" s="28" t="str">
        <x:v>вкусовой баланс зависит от конкретного продукта</x:v>
      </x:c>
      <x:c r="F228" s="28" t="str">
        <x:v>обычно минимальный; проверить для острых и охлаждающих компонентов</x:v>
      </x:c>
      <x:c r="G228" s="28" t="str">
        <x:v>матрица зависит от содержания воды, жира, белка и клетчатки</x:v>
      </x:c>
      <x:c r="H228" s="28" t="str">
        <x:v>сорт, зрелость и технология обработки меняют профиль</x:v>
      </x:c>
      <x:c r="I228" s="28" t="n">
        <x:v>6</x:v>
      </x:c>
    </x:row>
    <x:row r="229" ht="52" customHeight="1">
      <x:c r="A229" s="28" t="str">
        <x:v>оливковое масло</x:v>
      </x:c>
      <x:c r="B229" s="28" t="str">
        <x:v>Масла и жиры</x:v>
      </x:c>
      <x:c r="C229" s="28" t="str">
        <x:v>жирный и мягкий</x:v>
      </x:c>
      <x:c r="D229" s="28" t="str">
        <x:v>альдегиды, лактоны</x:v>
      </x:c>
      <x:c r="E229" s="28" t="str">
        <x:v>вкусовой баланс зависит от конкретного продукта</x:v>
      </x:c>
      <x:c r="F229" s="28" t="str">
        <x:v>обычно минимальный; проверить для острых и охлаждающих компонентов</x:v>
      </x:c>
      <x:c r="G229" s="28" t="str">
        <x:v>матрица зависит от содержания воды, жира, белка и клетчатки</x:v>
      </x:c>
      <x:c r="H229" s="28" t="str">
        <x:v>сорт, зрелость и технология обработки меняют профиль</x:v>
      </x:c>
      <x:c r="I229" s="28" t="n">
        <x:v>6</x:v>
      </x:c>
    </x:row>
    <x:row r="230" ht="52" customHeight="1">
      <x:c r="A230" s="28" t="str">
        <x:v>оливковое масло мансанилья</x:v>
      </x:c>
      <x:c r="B230" s="28" t="str">
        <x:v>Масла и жиры</x:v>
      </x:c>
      <x:c r="C230" s="28" t="str">
        <x:v>жирный и мягкий</x:v>
      </x:c>
      <x:c r="D230" s="28" t="str">
        <x:v>альдегиды, лактоны</x:v>
      </x:c>
      <x:c r="E230" s="28" t="str">
        <x:v>вкусовой баланс зависит от конкретного продукта</x:v>
      </x:c>
      <x:c r="F230" s="28" t="str">
        <x:v>обычно минимальный; проверить для острых и охлаждающих компонентов</x:v>
      </x:c>
      <x:c r="G230" s="28" t="str">
        <x:v>матрица зависит от содержания воды, жира, белка и клетчатки</x:v>
      </x:c>
      <x:c r="H230" s="28" t="str">
        <x:v>сорт, зрелость и технология обработки меняют профиль</x:v>
      </x:c>
      <x:c r="I230" s="28" t="n">
        <x:v>1</x:v>
      </x:c>
    </x:row>
    <x:row r="231" ht="52" customHeight="1">
      <x:c r="A231" s="28" t="str">
        <x:v>оливковое масло пикваль</x:v>
      </x:c>
      <x:c r="B231" s="28" t="str">
        <x:v>Масла и жиры</x:v>
      </x:c>
      <x:c r="C231" s="28" t="str">
        <x:v>жирный и мягкий</x:v>
      </x:c>
      <x:c r="D231" s="28" t="str">
        <x:v>альдегиды, лактоны</x:v>
      </x:c>
      <x:c r="E231" s="28" t="str">
        <x:v>вкусовой баланс зависит от конкретного продукта</x:v>
      </x:c>
      <x:c r="F231" s="28" t="str">
        <x:v>обычно минимальный; проверить для острых и охлаждающих компонентов</x:v>
      </x:c>
      <x:c r="G231" s="28" t="str">
        <x:v>матрица зависит от содержания воды, жира, белка и клетчатки</x:v>
      </x:c>
      <x:c r="H231" s="28" t="str">
        <x:v>сорт, зрелость и технология обработки меняют профиль</x:v>
      </x:c>
      <x:c r="I231" s="28" t="n">
        <x:v>3</x:v>
      </x:c>
    </x:row>
    <x:row r="232" ht="52" customHeight="1">
      <x:c r="A232" s="28" t="str">
        <x:v>пак-чой</x:v>
      </x:c>
      <x:c r="B232" s="28" t="str">
        <x:v>Прочее</x:v>
      </x:c>
      <x:c r="C232" s="28" t="str">
        <x:v>профиль зависит от конкретного продукта</x:v>
      </x:c>
      <x:c r="D232" s="28" t="str">
        <x:v>нет уточнённого профиля</x:v>
      </x:c>
      <x:c r="E232" s="28" t="str">
        <x:v>вкусовой баланс зависит от конкретного продукта</x:v>
      </x:c>
      <x:c r="F232" s="28" t="str">
        <x:v>обычно минимальный; проверить для острых и охлаждающих компонентов</x:v>
      </x:c>
      <x:c r="G232" s="28" t="str">
        <x:v>матрица зависит от содержания воды, жира, белка и клетчатки</x:v>
      </x:c>
      <x:c r="H232" s="28" t="str">
        <x:v>сорт, зрелость и технология обработки меняют профиль</x:v>
      </x:c>
      <x:c r="I232" s="28" t="n">
        <x:v>1</x:v>
      </x:c>
    </x:row>
    <x:row r="233" ht="52" customHeight="1">
      <x:c r="A233" s="28" t="str">
        <x:v>пандан</x:v>
      </x:c>
      <x:c r="B233" s="28" t="str">
        <x:v>Прочее</x:v>
      </x:c>
      <x:c r="C233" s="28" t="str">
        <x:v>профиль зависит от конкретного продукта</x:v>
      </x:c>
      <x:c r="D233" s="28" t="str">
        <x:v>нет уточнённого профиля</x:v>
      </x:c>
      <x:c r="E233" s="28" t="str">
        <x:v>вкусовой баланс зависит от конкретного продукта</x:v>
      </x:c>
      <x:c r="F233" s="28" t="str">
        <x:v>обычно минимальный; проверить для острых и охлаждающих компонентов</x:v>
      </x:c>
      <x:c r="G233" s="28" t="str">
        <x:v>матрица зависит от содержания воды, жира, белка и клетчатки</x:v>
      </x:c>
      <x:c r="H233" s="28" t="str">
        <x:v>сорт, зрелость и технология обработки меняют профиль</x:v>
      </x:c>
      <x:c r="I233" s="28" t="n">
        <x:v>1</x:v>
      </x:c>
    </x:row>
    <x:row r="234" ht="52" customHeight="1">
      <x:c r="A234" s="28" t="str">
        <x:v>папайя</x:v>
      </x:c>
      <x:c r="B234" s="28" t="str">
        <x:v>Прочее</x:v>
      </x:c>
      <x:c r="C234" s="28" t="str">
        <x:v>профиль зависит от конкретного продукта</x:v>
      </x:c>
      <x:c r="D234" s="28" t="str">
        <x:v>нет уточнённого профиля</x:v>
      </x:c>
      <x:c r="E234" s="28" t="str">
        <x:v>вкусовой баланс зависит от конкретного продукта</x:v>
      </x:c>
      <x:c r="F234" s="28" t="str">
        <x:v>обычно минимальный; проверить для острых и охлаждающих компонентов</x:v>
      </x:c>
      <x:c r="G234" s="28" t="str">
        <x:v>матрица зависит от содержания воды, жира, белка и клетчатки</x:v>
      </x:c>
      <x:c r="H234" s="28" t="str">
        <x:v>сорт, зрелость и технология обработки меняют профиль</x:v>
      </x:c>
      <x:c r="I234" s="28" t="n">
        <x:v>2</x:v>
      </x:c>
    </x:row>
    <x:row r="235" ht="52" customHeight="1">
      <x:c r="A235" s="28" t="str">
        <x:v>пармезан</x:v>
      </x:c>
      <x:c r="B235" s="28" t="str">
        <x:v>Прочее</x:v>
      </x:c>
      <x:c r="C235" s="28" t="str">
        <x:v>профиль зависит от конкретного продукта</x:v>
      </x:c>
      <x:c r="D235" s="28" t="str">
        <x:v>нет уточнённого профиля</x:v>
      </x:c>
      <x:c r="E235" s="28" t="str">
        <x:v>вкусовой баланс зависит от конкретного продукта</x:v>
      </x:c>
      <x:c r="F235" s="28" t="str">
        <x:v>обычно минимальный; проверить для острых и охлаждающих компонентов</x:v>
      </x:c>
      <x:c r="G235" s="28" t="str">
        <x:v>матрица зависит от содержания воды, жира, белка и клетчатки</x:v>
      </x:c>
      <x:c r="H235" s="28" t="str">
        <x:v>сорт, зрелость и технология обработки меняют профиль</x:v>
      </x:c>
      <x:c r="I235" s="28" t="n">
        <x:v>7</x:v>
      </x:c>
    </x:row>
    <x:row r="236" ht="52" customHeight="1">
      <x:c r="A236" s="28" t="str">
        <x:v>паста</x:v>
      </x:c>
      <x:c r="B236" s="28" t="str">
        <x:v>Выпечка, крупы, сахара и десерты</x:v>
      </x:c>
      <x:c r="C236" s="28" t="str">
        <x:v>сладкий, карамельный и жареный</x:v>
      </x:c>
      <x:c r="D236" s="28" t="str">
        <x:v>мальтол, пиразины, фураны</x:v>
      </x:c>
      <x:c r="E236" s="28" t="str">
        <x:v>вкусовой баланс зависит от конкретного продукта</x:v>
      </x:c>
      <x:c r="F236" s="28" t="str">
        <x:v>обычно минимальный; проверить для острых и охлаждающих компонентов</x:v>
      </x:c>
      <x:c r="G236" s="28" t="str">
        <x:v>матрица зависит от содержания воды, жира, белка и клетчатки</x:v>
      </x:c>
      <x:c r="H236" s="28" t="str">
        <x:v>сорт, зрелость и технология обработки меняют профиль</x:v>
      </x:c>
      <x:c r="I236" s="28" t="n">
        <x:v>1</x:v>
      </x:c>
    </x:row>
    <x:row r="237" ht="52" customHeight="1">
      <x:c r="A237" s="28" t="str">
        <x:v>паста карри мадрас</x:v>
      </x:c>
      <x:c r="B237" s="28" t="str">
        <x:v>Выпечка, крупы, сахара и десерты</x:v>
      </x:c>
      <x:c r="C237" s="28" t="str">
        <x:v>сладкий, карамельный и жареный</x:v>
      </x:c>
      <x:c r="D237" s="28" t="str">
        <x:v>мальтол, пиразины, фураны</x:v>
      </x:c>
      <x:c r="E237" s="28" t="str">
        <x:v>вкусовой баланс зависит от конкретного продукта</x:v>
      </x:c>
      <x:c r="F237" s="28" t="str">
        <x:v>обычно минимальный; проверить для острых и охлаждающих компонентов</x:v>
      </x:c>
      <x:c r="G237" s="28" t="str">
        <x:v>матрица зависит от содержания воды, жира, белка и клетчатки</x:v>
      </x:c>
      <x:c r="H237" s="28" t="str">
        <x:v>сорт, зрелость и технология обработки меняют профиль</x:v>
      </x:c>
      <x:c r="I237" s="28" t="n">
        <x:v>2</x:v>
      </x:c>
    </x:row>
    <x:row r="238" ht="52" customHeight="1">
      <x:c r="A238" s="28" t="str">
        <x:v>паста тикка масала</x:v>
      </x:c>
      <x:c r="B238" s="28" t="str">
        <x:v>Выпечка, крупы, сахара и десерты</x:v>
      </x:c>
      <x:c r="C238" s="28" t="str">
        <x:v>сладкий, карамельный и жареный</x:v>
      </x:c>
      <x:c r="D238" s="28" t="str">
        <x:v>мальтол, пиразины, фураны</x:v>
      </x:c>
      <x:c r="E238" s="28" t="str">
        <x:v>вкусовой баланс зависит от конкретного продукта</x:v>
      </x:c>
      <x:c r="F238" s="28" t="str">
        <x:v>обычно минимальный; проверить для острых и охлаждающих компонентов</x:v>
      </x:c>
      <x:c r="G238" s="28" t="str">
        <x:v>матрица зависит от содержания воды, жира, белка и клетчатки</x:v>
      </x:c>
      <x:c r="H238" s="28" t="str">
        <x:v>сорт, зрелость и технология обработки меняют профиль</x:v>
      </x:c>
      <x:c r="I238" s="28" t="n">
        <x:v>3</x:v>
      </x:c>
    </x:row>
    <x:row r="239" ht="52" customHeight="1">
      <x:c r="A239" s="28" t="str">
        <x:v>пастернак</x:v>
      </x:c>
      <x:c r="B239" s="28" t="str">
        <x:v>Корнеплоды</x:v>
      </x:c>
      <x:c r="C239" s="28" t="str">
        <x:v>сладкий, пряный, древесный и слегка анисовый</x:v>
      </x:c>
      <x:c r="D239" s="28" t="str">
        <x:v>пинены, терпены, фенольные соединения, фураны</x:v>
      </x:c>
      <x:c r="E239" s="28" t="str">
        <x:v>заметная сладость, землистость и лёгкая горечь</x:v>
      </x:c>
      <x:c r="F239" s="28" t="str">
        <x:v>минимальный</x:v>
      </x:c>
      <x:c r="G239" s="28" t="str">
        <x:v>крахмалисто-волокнистый корнеплод с ароматическим маслом</x:v>
      </x:c>
      <x:c r="H239" s="28" t="str">
        <x:v>запекание усиливает сладость и ореховые ноты; пюре хорошо принимает сливочный жир</x:v>
      </x:c>
      <x:c r="I239" s="28" t="n">
        <x:v>21</x:v>
      </x:c>
    </x:row>
    <x:row r="240" ht="52" customHeight="1">
      <x:c r="A240" s="28" t="str">
        <x:v>пекан</x:v>
      </x:c>
      <x:c r="B240" s="28" t="str">
        <x:v>Прочее</x:v>
      </x:c>
      <x:c r="C240" s="28" t="str">
        <x:v>профиль зависит от конкретного продукта</x:v>
      </x:c>
      <x:c r="D240" s="28" t="str">
        <x:v>нет уточнённого профиля</x:v>
      </x:c>
      <x:c r="E240" s="28" t="str">
        <x:v>вкусовой баланс зависит от конкретного продукта</x:v>
      </x:c>
      <x:c r="F240" s="28" t="str">
        <x:v>обычно минимальный; проверить для острых и охлаждающих компонентов</x:v>
      </x:c>
      <x:c r="G240" s="28" t="str">
        <x:v>матрица зависит от содержания воды, жира, белка и клетчатки</x:v>
      </x:c>
      <x:c r="H240" s="28" t="str">
        <x:v>сорт, зрелость и технология обработки меняют профиль</x:v>
      </x:c>
      <x:c r="I240" s="28" t="n">
        <x:v>2</x:v>
      </x:c>
    </x:row>
    <x:row r="241" ht="52" customHeight="1">
      <x:c r="A241" s="28" t="str">
        <x:v>пекинская утка</x:v>
      </x:c>
      <x:c r="B241" s="28" t="str">
        <x:v>Мясо и птица</x:v>
      </x:c>
      <x:c r="C241" s="28" t="str">
        <x:v>жареный, мясной и умами</x:v>
      </x:c>
      <x:c r="D241" s="28" t="str">
        <x:v>пиразины, сернистые соединения</x:v>
      </x:c>
      <x:c r="E241" s="28" t="str">
        <x:v>вкусовой баланс зависит от конкретного продукта</x:v>
      </x:c>
      <x:c r="F241" s="28" t="str">
        <x:v>обычно минимальный; проверить для острых и охлаждающих компонентов</x:v>
      </x:c>
      <x:c r="G241" s="28" t="str">
        <x:v>матрица зависит от содержания воды, жира, белка и клетчатки</x:v>
      </x:c>
      <x:c r="H241" s="28" t="str">
        <x:v>сорт, зрелость и технология обработки меняют профиль</x:v>
      </x:c>
      <x:c r="I241" s="28" t="n">
        <x:v>3</x:v>
      </x:c>
    </x:row>
    <x:row r="242" ht="52" customHeight="1">
      <x:c r="A242" s="28" t="str">
        <x:v>пепперони</x:v>
      </x:c>
      <x:c r="B242" s="28" t="str">
        <x:v>Прочее</x:v>
      </x:c>
      <x:c r="C242" s="28" t="str">
        <x:v>профиль зависит от конкретного продукта</x:v>
      </x:c>
      <x:c r="D242" s="28" t="str">
        <x:v>нет уточнённого профиля</x:v>
      </x:c>
      <x:c r="E242" s="28" t="str">
        <x:v>вкусовой баланс зависит от конкретного продукта</x:v>
      </x:c>
      <x:c r="F242" s="28" t="str">
        <x:v>обычно минимальный; проверить для острых и охлаждающих компонентов</x:v>
      </x:c>
      <x:c r="G242" s="28" t="str">
        <x:v>матрица зависит от содержания воды, жира, белка и клетчатки</x:v>
      </x:c>
      <x:c r="H242" s="28" t="str">
        <x:v>сорт, зрелость и технология обработки меняют профиль</x:v>
      </x:c>
      <x:c r="I242" s="28" t="n">
        <x:v>1</x:v>
      </x:c>
    </x:row>
    <x:row r="243" ht="52" customHeight="1">
      <x:c r="A243" s="28" t="str">
        <x:v>перец</x:v>
      </x:c>
      <x:c r="B243" s="28" t="str">
        <x:v>Прочее</x:v>
      </x:c>
      <x:c r="C243" s="28" t="str">
        <x:v>профиль зависит от конкретного продукта</x:v>
      </x:c>
      <x:c r="D243" s="28" t="str">
        <x:v>нет уточнённого профиля</x:v>
      </x:c>
      <x:c r="E243" s="28" t="str">
        <x:v>вкусовой баланс зависит от конкретного продукта</x:v>
      </x:c>
      <x:c r="F243" s="28" t="str">
        <x:v>обычно минимальный; проверить для острых и охлаждающих компонентов</x:v>
      </x:c>
      <x:c r="G243" s="28" t="str">
        <x:v>матрица зависит от содержания воды, жира, белка и клетчатки</x:v>
      </x:c>
      <x:c r="H243" s="28" t="str">
        <x:v>сорт, зрелость и технология обработки меняют профиль</x:v>
      </x:c>
      <x:c r="I243" s="28" t="n">
        <x:v>1</x:v>
      </x:c>
    </x:row>
    <x:row r="244" ht="52" customHeight="1">
      <x:c r="A244" s="28" t="str">
        <x:v>персик</x:v>
      </x:c>
      <x:c r="B244" s="28" t="str">
        <x:v>Фрукты и ягоды</x:v>
      </x:c>
      <x:c r="C244" s="28" t="str">
        <x:v>фруктовый, цветочный и свежий</x:v>
      </x:c>
      <x:c r="D244" s="28" t="str">
        <x:v>альдегиды, эфиры</x:v>
      </x:c>
      <x:c r="E244" s="28" t="str">
        <x:v>вкусовой баланс зависит от конкретного продукта</x:v>
      </x:c>
      <x:c r="F244" s="28" t="str">
        <x:v>обычно минимальный; проверить для острых и охлаждающих компонентов</x:v>
      </x:c>
      <x:c r="G244" s="28" t="str">
        <x:v>матрица зависит от содержания воды, жира, белка и клетчатки</x:v>
      </x:c>
      <x:c r="H244" s="28" t="str">
        <x:v>сорт, зрелость и технология обработки меняют профиль</x:v>
      </x:c>
      <x:c r="I244" s="28" t="n">
        <x:v>1</x:v>
      </x:c>
    </x:row>
    <x:row r="245" ht="52" customHeight="1">
      <x:c r="A245" s="28" t="str">
        <x:v>песочное печенье</x:v>
      </x:c>
      <x:c r="B245" s="28" t="str">
        <x:v>Мясо и птица</x:v>
      </x:c>
      <x:c r="C245" s="28" t="str">
        <x:v>жареный, мясной и умами</x:v>
      </x:c>
      <x:c r="D245" s="28" t="str">
        <x:v>пиразины, сернистые соединения</x:v>
      </x:c>
      <x:c r="E245" s="28" t="str">
        <x:v>вкусовой баланс зависит от конкретного продукта</x:v>
      </x:c>
      <x:c r="F245" s="28" t="str">
        <x:v>обычно минимальный; проверить для острых и охлаждающих компонентов</x:v>
      </x:c>
      <x:c r="G245" s="28" t="str">
        <x:v>матрица зависит от содержания воды, жира, белка и клетчатки</x:v>
      </x:c>
      <x:c r="H245" s="28" t="str">
        <x:v>сорт, зрелость и технология обработки меняют профиль</x:v>
      </x:c>
      <x:c r="I245" s="28" t="n">
        <x:v>1</x:v>
      </x:c>
    </x:row>
    <x:row r="246" ht="52" customHeight="1">
      <x:c r="A246" s="28" t="str">
        <x:v>петрушка</x:v>
      </x:c>
      <x:c r="B246" s="28" t="str">
        <x:v>Травы, цветы и листья</x:v>
      </x:c>
      <x:c r="C246" s="28" t="str">
        <x:v>зелёный, травянистый</x:v>
      </x:c>
      <x:c r="D246" s="28" t="str">
        <x:v>апиол, п-ментатриен</x:v>
      </x:c>
      <x:c r="E246" s="28" t="str">
        <x:v>вкусовой баланс зависит от конкретного продукта</x:v>
      </x:c>
      <x:c r="F246" s="28" t="str">
        <x:v>обычно минимальный; проверить для острых и охлаждающих компонентов</x:v>
      </x:c>
      <x:c r="G246" s="28" t="str">
        <x:v>матрица зависит от содержания воды, жира, белка и клетчатки</x:v>
      </x:c>
      <x:c r="H246" s="28" t="str">
        <x:v>сорт, зрелость и технология обработки меняют профиль</x:v>
      </x:c>
      <x:c r="I246" s="28" t="n">
        <x:v>6</x:v>
      </x:c>
    </x:row>
    <x:row r="247" ht="52" customHeight="1">
      <x:c r="A247" s="28" t="str">
        <x:v>печень</x:v>
      </x:c>
      <x:c r="B247" s="28" t="str">
        <x:v>Мясо и птица</x:v>
      </x:c>
      <x:c r="C247" s="28" t="str">
        <x:v>жареный, мясной и умами</x:v>
      </x:c>
      <x:c r="D247" s="28" t="str">
        <x:v>пиразины, сернистые соединения</x:v>
      </x:c>
      <x:c r="E247" s="28" t="str">
        <x:v>вкусовой баланс зависит от конкретного продукта</x:v>
      </x:c>
      <x:c r="F247" s="28" t="str">
        <x:v>обычно минимальный; проверить для острых и охлаждающих компонентов</x:v>
      </x:c>
      <x:c r="G247" s="28" t="str">
        <x:v>матрица зависит от содержания воды, жира, белка и клетчатки</x:v>
      </x:c>
      <x:c r="H247" s="28" t="str">
        <x:v>сорт, зрелость и технология обработки меняют профиль</x:v>
      </x:c>
      <x:c r="I247" s="28" t="n">
        <x:v>3</x:v>
      </x:c>
    </x:row>
    <x:row r="248" ht="52" customHeight="1">
      <x:c r="A248" s="28" t="str">
        <x:v>пиво</x:v>
      </x:c>
      <x:c r="B248" s="28" t="str">
        <x:v>Алкогольные напитки</x:v>
      </x:c>
      <x:c r="C248" s="28" t="str">
        <x:v>спиртовой, фруктовый или древесный</x:v>
      </x:c>
      <x:c r="D248" s="28" t="str">
        <x:v>альдегиды, эфиры</x:v>
      </x:c>
      <x:c r="E248" s="28" t="str">
        <x:v>вкусовой баланс зависит от конкретного продукта</x:v>
      </x:c>
      <x:c r="F248" s="28" t="str">
        <x:v>обычно минимальный; проверить для острых и охлаждающих компонентов</x:v>
      </x:c>
      <x:c r="G248" s="28" t="str">
        <x:v>матрица зависит от содержания воды, жира, белка и клетчатки</x:v>
      </x:c>
      <x:c r="H248" s="28" t="str">
        <x:v>сорт, зрелость и технология обработки меняют профиль</x:v>
      </x:c>
      <x:c r="I248" s="28" t="n">
        <x:v>1</x:v>
      </x:c>
    </x:row>
    <x:row r="249" ht="52" customHeight="1">
      <x:c r="A249" s="28" t="str">
        <x:v>попкорн</x:v>
      </x:c>
      <x:c r="B249" s="28" t="str">
        <x:v>Выпечка, крупы, сахара и десерты</x:v>
      </x:c>
      <x:c r="C249" s="28" t="str">
        <x:v>сладкий, карамельный и жареный</x:v>
      </x:c>
      <x:c r="D249" s="28" t="str">
        <x:v>мальтол, пиразины, фураны</x:v>
      </x:c>
      <x:c r="E249" s="28" t="str">
        <x:v>вкусовой баланс зависит от конкретного продукта</x:v>
      </x:c>
      <x:c r="F249" s="28" t="str">
        <x:v>обычно минимальный; проверить для острых и охлаждающих компонентов</x:v>
      </x:c>
      <x:c r="G249" s="28" t="str">
        <x:v>матрица зависит от содержания воды, жира, белка и клетчатки</x:v>
      </x:c>
      <x:c r="H249" s="28" t="str">
        <x:v>сорт, зрелость и технология обработки меняют профиль</x:v>
      </x:c>
      <x:c r="I249" s="28" t="n">
        <x:v>1</x:v>
      </x:c>
    </x:row>
    <x:row r="250" ht="52" customHeight="1">
      <x:c r="A250" s="28" t="str">
        <x:v>пралине из миндаля и фундука</x:v>
      </x:c>
      <x:c r="B250" s="28" t="str">
        <x:v>Орехи и семена</x:v>
      </x:c>
      <x:c r="C250" s="28" t="str">
        <x:v>жареный, какаовый, ореховый</x:v>
      </x:c>
      <x:c r="D250" s="28" t="str">
        <x:v>пиразины, фильбертон</x:v>
      </x:c>
      <x:c r="E250" s="28" t="str">
        <x:v>вкусовой баланс зависит от конкретного продукта</x:v>
      </x:c>
      <x:c r="F250" s="28" t="str">
        <x:v>обычно минимальный; проверить для острых и охлаждающих компонентов</x:v>
      </x:c>
      <x:c r="G250" s="28" t="str">
        <x:v>матрица зависит от содержания воды, жира, белка и клетчатки</x:v>
      </x:c>
      <x:c r="H250" s="28" t="str">
        <x:v>сорт, зрелость и технология обработки меняют профиль</x:v>
      </x:c>
      <x:c r="I250" s="28" t="n">
        <x:v>1</x:v>
      </x:c>
    </x:row>
    <x:row r="251" ht="52" customHeight="1">
      <x:c r="A251" s="28" t="str">
        <x:v>прошутто</x:v>
      </x:c>
      <x:c r="B251" s="28" t="str">
        <x:v>Мясо и птица</x:v>
      </x:c>
      <x:c r="C251" s="28" t="str">
        <x:v>жареный, мясной и умами</x:v>
      </x:c>
      <x:c r="D251" s="28" t="str">
        <x:v>пиразины, сернистые соединения</x:v>
      </x:c>
      <x:c r="E251" s="28" t="str">
        <x:v>вкусовой баланс зависит от конкретного продукта</x:v>
      </x:c>
      <x:c r="F251" s="28" t="str">
        <x:v>обычно минимальный; проверить для острых и охлаждающих компонентов</x:v>
      </x:c>
      <x:c r="G251" s="28" t="str">
        <x:v>матрица зависит от содержания воды, жира, белка и клетчатки</x:v>
      </x:c>
      <x:c r="H251" s="28" t="str">
        <x:v>сорт, зрелость и технология обработки меняют профиль</x:v>
      </x:c>
      <x:c r="I251" s="28" t="n">
        <x:v>6</x:v>
      </x:c>
    </x:row>
    <x:row r="252" ht="52" customHeight="1">
      <x:c r="A252" s="28" t="str">
        <x:v>пурпурный шалфей</x:v>
      </x:c>
      <x:c r="B252" s="28" t="str">
        <x:v>Травы, цветы и листья</x:v>
      </x:c>
      <x:c r="C252" s="28" t="str">
        <x:v>древесный, камфорный</x:v>
      </x:c>
      <x:c r="D252" s="28" t="str">
        <x:v>1,8-цинеол, туйон</x:v>
      </x:c>
      <x:c r="E252" s="28" t="str">
        <x:v>вкусовой баланс зависит от конкретного продукта</x:v>
      </x:c>
      <x:c r="F252" s="28" t="str">
        <x:v>обычно минимальный; проверить для острых и охлаждающих компонентов</x:v>
      </x:c>
      <x:c r="G252" s="28" t="str">
        <x:v>матрица зависит от содержания воды, жира, белка и клетчатки</x:v>
      </x:c>
      <x:c r="H252" s="28" t="str">
        <x:v>сорт, зрелость и технология обработки меняют профиль</x:v>
      </x:c>
      <x:c r="I252" s="28" t="n">
        <x:v>1</x:v>
      </x:c>
    </x:row>
    <x:row r="253" ht="52" customHeight="1">
      <x:c r="A253" s="28" t="str">
        <x:v>пюре имбиря</x:v>
      </x:c>
      <x:c r="B253" s="28" t="str">
        <x:v>Специи</x:v>
      </x:c>
      <x:c r="C253" s="28" t="str">
        <x:v>пряный и древесный</x:v>
      </x:c>
      <x:c r="D253" s="28" t="str">
        <x:v>терпены, фенилпропаноиды</x:v>
      </x:c>
      <x:c r="E253" s="28" t="str">
        <x:v>вкусовой баланс зависит от конкретного продукта</x:v>
      </x:c>
      <x:c r="F253" s="28" t="str">
        <x:v>обычно минимальный; проверить для острых и охлаждающих компонентов</x:v>
      </x:c>
      <x:c r="G253" s="28" t="str">
        <x:v>матрица зависит от содержания воды, жира, белка и клетчатки</x:v>
      </x:c>
      <x:c r="H253" s="28" t="str">
        <x:v>сорт, зрелость и технология обработки меняют профиль</x:v>
      </x:c>
      <x:c r="I253" s="28" t="n">
        <x:v>1</x:v>
      </x:c>
    </x:row>
    <x:row r="254" ht="52" customHeight="1">
      <x:c r="A254" s="28" t="str">
        <x:v>пюре маракуйи</x:v>
      </x:c>
      <x:c r="B254" s="28" t="str">
        <x:v>Прочее</x:v>
      </x:c>
      <x:c r="C254" s="28" t="str">
        <x:v>профиль зависит от конкретного продукта</x:v>
      </x:c>
      <x:c r="D254" s="28" t="str">
        <x:v>нет уточнённого профиля</x:v>
      </x:c>
      <x:c r="E254" s="28" t="str">
        <x:v>вкусовой баланс зависит от конкретного продукта</x:v>
      </x:c>
      <x:c r="F254" s="28" t="str">
        <x:v>обычно минимальный; проверить для острых и охлаждающих компонентов</x:v>
      </x:c>
      <x:c r="G254" s="28" t="str">
        <x:v>матрица зависит от содержания воды, жира, белка и клетчатки</x:v>
      </x:c>
      <x:c r="H254" s="28" t="str">
        <x:v>сорт, зрелость и технология обработки меняют профиль</x:v>
      </x:c>
      <x:c r="I254" s="28" t="n">
        <x:v>1</x:v>
      </x:c>
    </x:row>
    <x:row r="255" ht="52" customHeight="1">
      <x:c r="A255" s="28" t="str">
        <x:v>пюре хрена</x:v>
      </x:c>
      <x:c r="B255" s="28" t="str">
        <x:v>Прочее</x:v>
      </x:c>
      <x:c r="C255" s="28" t="str">
        <x:v>профиль зависит от конкретного продукта</x:v>
      </x:c>
      <x:c r="D255" s="28" t="str">
        <x:v>нет уточнённого профиля</x:v>
      </x:c>
      <x:c r="E255" s="28" t="str">
        <x:v>вкусовой баланс зависит от конкретного продукта</x:v>
      </x:c>
      <x:c r="F255" s="28" t="str">
        <x:v>обычно минимальный; проверить для острых и охлаждающих компонентов</x:v>
      </x:c>
      <x:c r="G255" s="28" t="str">
        <x:v>матрица зависит от содержания воды, жира, белка и клетчатки</x:v>
      </x:c>
      <x:c r="H255" s="28" t="str">
        <x:v>сорт, зрелость и технология обработки меняют профиль</x:v>
      </x:c>
      <x:c r="I255" s="28" t="n">
        <x:v>1</x:v>
      </x:c>
    </x:row>
    <x:row r="256" ht="52" customHeight="1">
      <x:c r="A256" s="28" t="str">
        <x:v>рапсовое масло</x:v>
      </x:c>
      <x:c r="B256" s="28" t="str">
        <x:v>Масла и жиры</x:v>
      </x:c>
      <x:c r="C256" s="28" t="str">
        <x:v>жирный и мягкий</x:v>
      </x:c>
      <x:c r="D256" s="28" t="str">
        <x:v>альдегиды, лактоны</x:v>
      </x:c>
      <x:c r="E256" s="28" t="str">
        <x:v>вкусовой баланс зависит от конкретного продукта</x:v>
      </x:c>
      <x:c r="F256" s="28" t="str">
        <x:v>обычно минимальный; проверить для острых и охлаждающих компонентов</x:v>
      </x:c>
      <x:c r="G256" s="28" t="str">
        <x:v>матрица зависит от содержания воды, жира, белка и клетчатки</x:v>
      </x:c>
      <x:c r="H256" s="28" t="str">
        <x:v>сорт, зрелость и технология обработки меняют профиль</x:v>
      </x:c>
      <x:c r="I256" s="28" t="n">
        <x:v>1</x:v>
      </x:c>
    </x:row>
    <x:row r="257" ht="52" customHeight="1">
      <x:c r="A257" s="28" t="str">
        <x:v>рапсовый мёд</x:v>
      </x:c>
      <x:c r="B257" s="28" t="str">
        <x:v>Выпечка, крупы, сахара и десерты</x:v>
      </x:c>
      <x:c r="C257" s="28" t="str">
        <x:v>медовый, сладкий, цветочный</x:v>
      </x:c>
      <x:c r="D257" s="28" t="str">
        <x:v>норизопреноиды, фенилуксусная кислота</x:v>
      </x:c>
      <x:c r="E257" s="28" t="str">
        <x:v>вкусовой баланс зависит от конкретного продукта</x:v>
      </x:c>
      <x:c r="F257" s="28" t="str">
        <x:v>обычно минимальный; проверить для острых и охлаждающих компонентов</x:v>
      </x:c>
      <x:c r="G257" s="28" t="str">
        <x:v>матрица зависит от содержания воды, жира, белка и клетчатки</x:v>
      </x:c>
      <x:c r="H257" s="28" t="str">
        <x:v>сорт, зрелость и технология обработки меняют профиль</x:v>
      </x:c>
      <x:c r="I257" s="28" t="n">
        <x:v>2</x:v>
      </x:c>
    </x:row>
    <x:row r="258" ht="52" customHeight="1">
      <x:c r="A258" s="28" t="str">
        <x:v>рассольный сыр</x:v>
      </x:c>
      <x:c r="B258" s="28" t="str">
        <x:v>Молочные продукты и сыры</x:v>
      </x:c>
      <x:c r="C258" s="28" t="str">
        <x:v>молочный, умами, ферментированный</x:v>
      </x:c>
      <x:c r="D258" s="28" t="str">
        <x:v>диацетил, жирные кислоты</x:v>
      </x:c>
      <x:c r="E258" s="28" t="str">
        <x:v>вкусовой баланс зависит от конкретного продукта</x:v>
      </x:c>
      <x:c r="F258" s="28" t="str">
        <x:v>обычно минимальный; проверить для острых и охлаждающих компонентов</x:v>
      </x:c>
      <x:c r="G258" s="28" t="str">
        <x:v>матрица зависит от содержания воды, жира, белка и клетчатки</x:v>
      </x:c>
      <x:c r="H258" s="28" t="str">
        <x:v>сорт, зрелость и технология обработки меняют профиль</x:v>
      </x:c>
      <x:c r="I258" s="28" t="n">
        <x:v>2</x:v>
      </x:c>
    </x:row>
    <x:row r="259" ht="52" customHeight="1">
      <x:c r="A259" s="28" t="str">
        <x:v>ревень</x:v>
      </x:c>
      <x:c r="B259" s="28" t="str">
        <x:v>Фрукты и ягоды</x:v>
      </x:c>
      <x:c r="C259" s="28" t="str">
        <x:v>фруктовый, цветочный и свежий</x:v>
      </x:c>
      <x:c r="D259" s="28" t="str">
        <x:v>альдегиды, эфиры</x:v>
      </x:c>
      <x:c r="E259" s="28" t="str">
        <x:v>вкусовой баланс зависит от конкретного продукта</x:v>
      </x:c>
      <x:c r="F259" s="28" t="str">
        <x:v>обычно минимальный; проверить для острых и охлаждающих компонентов</x:v>
      </x:c>
      <x:c r="G259" s="28" t="str">
        <x:v>матрица зависит от содержания воды, жира, белка и клетчатки</x:v>
      </x:c>
      <x:c r="H259" s="28" t="str">
        <x:v>сорт, зрелость и технология обработки меняют профиль</x:v>
      </x:c>
      <x:c r="I259" s="28" t="n">
        <x:v>2</x:v>
      </x:c>
    </x:row>
    <x:row r="260" ht="52" customHeight="1">
      <x:c r="A260" s="28" t="str">
        <x:v>редис</x:v>
      </x:c>
      <x:c r="B260" s="28" t="str">
        <x:v>Корнеплоды и крестоцветные</x:v>
      </x:c>
      <x:c r="C260" s="28" t="str">
        <x:v>горчичный, зелёный, перечный и водянистый</x:v>
      </x:c>
      <x:c r="D260" s="28" t="str">
        <x:v>зелёные альдегиды, изотиоцианаты, метантиол</x:v>
      </x:c>
      <x:c r="E260" s="28" t="str">
        <x:v>хруст, водянистость и острая горечь</x:v>
      </x:c>
      <x:c r="F260" s="28" t="str">
        <x:v>выраженное горчичное покалывание</x:v>
      </x:c>
      <x:c r="G260" s="28" t="str">
        <x:v>водная хрустящая матрица с низкой сладостью</x:v>
      </x:c>
      <x:c r="H260" s="28" t="str">
        <x:v>соль, кислота и маринование смягчают остроту; нагрев снижает изотиоцианаты</x:v>
      </x:c>
      <x:c r="I260" s="28" t="n">
        <x:v>9</x:v>
      </x:c>
    </x:row>
    <x:row r="261" ht="52" customHeight="1">
      <x:c r="A261" s="28" t="str">
        <x:v>репа</x:v>
      </x:c>
      <x:c r="B261" s="28" t="str">
        <x:v>Корнеплоды и крестоцветные</x:v>
      </x:c>
      <x:c r="C261" s="28" t="str">
        <x:v>горчичный, зелёный, землистый и мягко сладкий</x:v>
      </x:c>
      <x:c r="D261" s="28" t="str">
        <x:v>глюкозинолаты, изотиоцианаты, сернистые соединения</x:v>
      </x:c>
      <x:c r="E261" s="28" t="str">
        <x:v>умеренная сладость, горечь и перечность</x:v>
      </x:c>
      <x:c r="F261" s="28" t="str">
        <x:v>горчичное покалывание</x:v>
      </x:c>
      <x:c r="G261" s="28" t="str">
        <x:v>водная хрустящая матрица, после нагрева становится мягкой</x:v>
      </x:c>
      <x:c r="H261" s="28" t="str">
        <x:v>молодая репа подходит для сырого применения; запекание смягчает остроту и усиливает сладость</x:v>
      </x:c>
      <x:c r="I261" s="28" t="n">
        <x:v>6</x:v>
      </x:c>
    </x:row>
    <x:row r="262" ht="52" customHeight="1">
      <x:c r="A262" s="28" t="str">
        <x:v>рис басмати</x:v>
      </x:c>
      <x:c r="B262" s="28" t="str">
        <x:v>Выпечка, крупы, сахара и десерты</x:v>
      </x:c>
      <x:c r="C262" s="28" t="str">
        <x:v>сладкий, карамельный и жареный</x:v>
      </x:c>
      <x:c r="D262" s="28" t="str">
        <x:v>мальтол, пиразины, фураны</x:v>
      </x:c>
      <x:c r="E262" s="28" t="str">
        <x:v>вкусовой баланс зависит от конкретного продукта</x:v>
      </x:c>
      <x:c r="F262" s="28" t="str">
        <x:v>обычно минимальный; проверить для острых и охлаждающих компонентов</x:v>
      </x:c>
      <x:c r="G262" s="28" t="str">
        <x:v>матрица зависит от содержания воды, жира, белка и клетчатки</x:v>
      </x:c>
      <x:c r="H262" s="28" t="str">
        <x:v>сорт, зрелость и технология обработки меняют профиль</x:v>
      </x:c>
      <x:c r="I262" s="28" t="n">
        <x:v>2</x:v>
      </x:c>
    </x:row>
    <x:row r="263" ht="52" customHeight="1">
      <x:c r="A263" s="28" t="str">
        <x:v>роза</x:v>
      </x:c>
      <x:c r="B263" s="28" t="str">
        <x:v>Травы, цветы и листья</x:v>
      </x:c>
      <x:c r="C263" s="28" t="str">
        <x:v>зелёный, цветочный и терпеновый</x:v>
      </x:c>
      <x:c r="D263" s="28" t="str">
        <x:v>линалоол, терпены</x:v>
      </x:c>
      <x:c r="E263" s="28" t="str">
        <x:v>вкусовой баланс зависит от конкретного продукта</x:v>
      </x:c>
      <x:c r="F263" s="28" t="str">
        <x:v>обычно минимальный; проверить для острых и охлаждающих компонентов</x:v>
      </x:c>
      <x:c r="G263" s="28" t="str">
        <x:v>матрица зависит от содержания воды, жира, белка и клетчатки</x:v>
      </x:c>
      <x:c r="H263" s="28" t="str">
        <x:v>сорт, зрелость и технология обработки меняют профиль</x:v>
      </x:c>
      <x:c r="I263" s="28" t="n">
        <x:v>1</x:v>
      </x:c>
    </x:row>
    <x:row r="264" ht="52" customHeight="1">
      <x:c r="A264" s="28" t="str">
        <x:v>розмарин</x:v>
      </x:c>
      <x:c r="B264" s="28" t="str">
        <x:v>Травы, цветы и листья</x:v>
      </x:c>
      <x:c r="C264" s="28" t="str">
        <x:v>древесный, камфорный, хвойный</x:v>
      </x:c>
      <x:c r="D264" s="28" t="str">
        <x:v>1,8-цинеол, пинены</x:v>
      </x:c>
      <x:c r="E264" s="28" t="str">
        <x:v>вкусовой баланс зависит от конкретного продукта</x:v>
      </x:c>
      <x:c r="F264" s="28" t="str">
        <x:v>обычно минимальный; проверить для острых и охлаждающих компонентов</x:v>
      </x:c>
      <x:c r="G264" s="28" t="str">
        <x:v>матрица зависит от содержания воды, жира, белка и клетчатки</x:v>
      </x:c>
      <x:c r="H264" s="28" t="str">
        <x:v>сорт, зрелость и технология обработки меняют профиль</x:v>
      </x:c>
      <x:c r="I264" s="28" t="n">
        <x:v>9</x:v>
      </x:c>
    </x:row>
    <x:row r="265" ht="52" customHeight="1">
      <x:c r="A265" s="28" t="str">
        <x:v>руккола</x:v>
      </x:c>
      <x:c r="B265" s="28" t="str">
        <x:v>Прочее</x:v>
      </x:c>
      <x:c r="C265" s="28" t="str">
        <x:v>профиль зависит от конкретного продукта</x:v>
      </x:c>
      <x:c r="D265" s="28" t="str">
        <x:v>нет уточнённого профиля</x:v>
      </x:c>
      <x:c r="E265" s="28" t="str">
        <x:v>вкусовой баланс зависит от конкретного продукта</x:v>
      </x:c>
      <x:c r="F265" s="28" t="str">
        <x:v>обычно минимальный; проверить для острых и охлаждающих компонентов</x:v>
      </x:c>
      <x:c r="G265" s="28" t="str">
        <x:v>матрица зависит от содержания воды, жира, белка и клетчатки</x:v>
      </x:c>
      <x:c r="H265" s="28" t="str">
        <x:v>сорт, зрелость и технология обработки меняют профиль</x:v>
      </x:c>
      <x:c r="I265" s="28" t="n">
        <x:v>1</x:v>
      </x:c>
    </x:row>
    <x:row r="266" ht="52" customHeight="1">
      <x:c r="A266" s="28" t="str">
        <x:v>рыба</x:v>
      </x:c>
      <x:c r="B266" s="28" t="str">
        <x:v>Рыба и морепродукты</x:v>
      </x:c>
      <x:c r="C266" s="28" t="str">
        <x:v>жирный, морской, умами</x:v>
      </x:c>
      <x:c r="D266" s="28" t="str">
        <x:v>альдегиды, амины</x:v>
      </x:c>
      <x:c r="E266" s="28" t="str">
        <x:v>вкусовой баланс зависит от конкретного продукта</x:v>
      </x:c>
      <x:c r="F266" s="28" t="str">
        <x:v>обычно минимальный; проверить для острых и охлаждающих компонентов</x:v>
      </x:c>
      <x:c r="G266" s="28" t="str">
        <x:v>матрица зависит от содержания воды, жира, белка и клетчатки</x:v>
      </x:c>
      <x:c r="H266" s="28" t="str">
        <x:v>сорт, зрелость и технология обработки меняют профиль</x:v>
      </x:c>
      <x:c r="I266" s="28" t="n">
        <x:v>8</x:v>
      </x:c>
    </x:row>
    <x:row r="267" ht="52" customHeight="1">
      <x:c r="A267" s="28" t="str">
        <x:v>салат и огурец</x:v>
      </x:c>
      <x:c r="B267" s="28" t="str">
        <x:v>Плодовые и тыквенные овощи</x:v>
      </x:c>
      <x:c r="C267" s="28" t="str">
        <x:v>зелёный, фруктовый или водянистый</x:v>
      </x:c>
      <x:c r="D267" s="28" t="str">
        <x:v>альдегиды, эфиры</x:v>
      </x:c>
      <x:c r="E267" s="28" t="str">
        <x:v>вкусовой баланс зависит от конкретного продукта</x:v>
      </x:c>
      <x:c r="F267" s="28" t="str">
        <x:v>обычно минимальный; проверить для острых и охлаждающих компонентов</x:v>
      </x:c>
      <x:c r="G267" s="28" t="str">
        <x:v>матрица зависит от содержания воды, жира, белка и клетчатки</x:v>
      </x:c>
      <x:c r="H267" s="28" t="str">
        <x:v>сорт, зрелость и технология обработки меняют профиль</x:v>
      </x:c>
      <x:c r="I267" s="28" t="n">
        <x:v>1</x:v>
      </x:c>
    </x:row>
    <x:row r="268" ht="52" customHeight="1">
      <x:c r="A268" s="28" t="str">
        <x:v>салями</x:v>
      </x:c>
      <x:c r="B268" s="28" t="str">
        <x:v>Прочее</x:v>
      </x:c>
      <x:c r="C268" s="28" t="str">
        <x:v>профиль зависит от конкретного продукта</x:v>
      </x:c>
      <x:c r="D268" s="28" t="str">
        <x:v>нет уточнённого профиля</x:v>
      </x:c>
      <x:c r="E268" s="28" t="str">
        <x:v>вкусовой баланс зависит от конкретного продукта</x:v>
      </x:c>
      <x:c r="F268" s="28" t="str">
        <x:v>обычно минимальный; проверить для острых и охлаждающих компонентов</x:v>
      </x:c>
      <x:c r="G268" s="28" t="str">
        <x:v>матрица зависит от содержания воды, жира, белка и клетчатки</x:v>
      </x:c>
      <x:c r="H268" s="28" t="str">
        <x:v>сорт, зрелость и технология обработки меняют профиль</x:v>
      </x:c>
      <x:c r="I268" s="28" t="n">
        <x:v>1</x:v>
      </x:c>
    </x:row>
    <x:row r="269" ht="52" customHeight="1">
      <x:c r="A269" s="28" t="str">
        <x:v>салями милано</x:v>
      </x:c>
      <x:c r="B269" s="28" t="str">
        <x:v>Прочее</x:v>
      </x:c>
      <x:c r="C269" s="28" t="str">
        <x:v>профиль зависит от конкретного продукта</x:v>
      </x:c>
      <x:c r="D269" s="28" t="str">
        <x:v>нет уточнённого профиля</x:v>
      </x:c>
      <x:c r="E269" s="28" t="str">
        <x:v>вкусовой баланс зависит от конкретного продукта</x:v>
      </x:c>
      <x:c r="F269" s="28" t="str">
        <x:v>обычно минимальный; проверить для острых и охлаждающих компонентов</x:v>
      </x:c>
      <x:c r="G269" s="28" t="str">
        <x:v>матрица зависит от содержания воды, жира, белка и клетчатки</x:v>
      </x:c>
      <x:c r="H269" s="28" t="str">
        <x:v>сорт, зрелость и технология обработки меняют профиль</x:v>
      </x:c>
      <x:c r="I269" s="28" t="n">
        <x:v>1</x:v>
      </x:c>
    </x:row>
    <x:row r="270" ht="52" customHeight="1">
      <x:c r="A270" s="28" t="str">
        <x:v>сардина</x:v>
      </x:c>
      <x:c r="B270" s="28" t="str">
        <x:v>Рыба и морепродукты</x:v>
      </x:c>
      <x:c r="C270" s="28" t="str">
        <x:v>морской, солоноватый и умами</x:v>
      </x:c>
      <x:c r="D270" s="28" t="str">
        <x:v>альдегиды, амины</x:v>
      </x:c>
      <x:c r="E270" s="28" t="str">
        <x:v>вкусовой баланс зависит от конкретного продукта</x:v>
      </x:c>
      <x:c r="F270" s="28" t="str">
        <x:v>обычно минимальный; проверить для острых и охлаждающих компонентов</x:v>
      </x:c>
      <x:c r="G270" s="28" t="str">
        <x:v>матрица зависит от содержания воды, жира, белка и клетчатки</x:v>
      </x:c>
      <x:c r="H270" s="28" t="str">
        <x:v>сорт, зрелость и технология обработки меняют профиль</x:v>
      </x:c>
      <x:c r="I270" s="28" t="n">
        <x:v>1</x:v>
      </x:c>
    </x:row>
    <x:row r="271" ht="52" customHeight="1">
      <x:c r="A271" s="28" t="str">
        <x:v>свиная грудинка</x:v>
      </x:c>
      <x:c r="B271" s="28" t="str">
        <x:v>Мясо и птица</x:v>
      </x:c>
      <x:c r="C271" s="28" t="str">
        <x:v>жареный, мясной и умами</x:v>
      </x:c>
      <x:c r="D271" s="28" t="str">
        <x:v>пиразины, сернистые соединения</x:v>
      </x:c>
      <x:c r="E271" s="28" t="str">
        <x:v>вкусовой баланс зависит от конкретного продукта</x:v>
      </x:c>
      <x:c r="F271" s="28" t="str">
        <x:v>обычно минимальный; проверить для острых и охлаждающих компонентов</x:v>
      </x:c>
      <x:c r="G271" s="28" t="str">
        <x:v>матрица зависит от содержания воды, жира, белка и клетчатки</x:v>
      </x:c>
      <x:c r="H271" s="28" t="str">
        <x:v>сорт, зрелость и технология обработки меняют профиль</x:v>
      </x:c>
      <x:c r="I271" s="28" t="n">
        <x:v>2</x:v>
      </x:c>
    </x:row>
    <x:row r="272" ht="52" customHeight="1">
      <x:c r="A272" s="28" t="str">
        <x:v>свинина</x:v>
      </x:c>
      <x:c r="B272" s="28" t="str">
        <x:v>Мясо и птица</x:v>
      </x:c>
      <x:c r="C272" s="28" t="str">
        <x:v>жареный, мясной и умами</x:v>
      </x:c>
      <x:c r="D272" s="28" t="str">
        <x:v>пиразины, сернистые соединения</x:v>
      </x:c>
      <x:c r="E272" s="28" t="str">
        <x:v>вкусовой баланс зависит от конкретного продукта</x:v>
      </x:c>
      <x:c r="F272" s="28" t="str">
        <x:v>обычно минимальный; проверить для острых и охлаждающих компонентов</x:v>
      </x:c>
      <x:c r="G272" s="28" t="str">
        <x:v>матрица зависит от содержания воды, жира, белка и клетчатки</x:v>
      </x:c>
      <x:c r="H272" s="28" t="str">
        <x:v>сорт, зрелость и технология обработки меняют профиль</x:v>
      </x:c>
      <x:c r="I272" s="28" t="n">
        <x:v>15</x:v>
      </x:c>
    </x:row>
    <x:row r="273" ht="52" customHeight="1">
      <x:c r="A273" s="28" t="str">
        <x:v>свёкла</x:v>
      </x:c>
      <x:c r="B273" s="28" t="str">
        <x:v>Корнеплоды</x:v>
      </x:c>
      <x:c r="C273" s="28" t="str">
        <x:v>землистый, сладкий, минеральный и слегка зелёный</x:v>
      </x:c>
      <x:c r="D273" s="28" t="str">
        <x:v>альдегиды, бетаин, геосмин, метоксипиразины</x:v>
      </x:c>
      <x:c r="E273" s="28" t="str">
        <x:v>сладость, землистость и умеренная терпкость</x:v>
      </x:c>
      <x:c r="F273" s="28" t="str">
        <x:v>минимальный</x:v>
      </x:c>
      <x:c r="G273" s="28" t="str">
        <x:v>водная сахаристая матрица с пигментами беталаинами</x:v>
      </x:c>
      <x:c r="H273" s="28" t="str">
        <x:v>запекание концентрирует сладость; кислота снижает ощущение землистости; ферментация добавляет молочную кислоту</x:v>
      </x:c>
      <x:c r="I273" s="28" t="n">
        <x:v>90</x:v>
      </x:c>
    </x:row>
    <x:row r="274" ht="52" customHeight="1">
      <x:c r="A274" s="28" t="str">
        <x:v>сельдерей</x:v>
      </x:c>
      <x:c r="B274" s="28" t="str">
        <x:v>Стеблевые овощи</x:v>
      </x:c>
      <x:c r="C274" s="28" t="str">
        <x:v>зелёный, травянистый, пряный, слегка анисовый</x:v>
      </x:c>
      <x:c r="D274" s="28" t="str">
        <x:v>3-н-бутилфталид, лимонен, селинен, фталиды</x:v>
      </x:c>
      <x:c r="E274" s="28" t="str">
        <x:v>солоноватый, зелёный, горьковатый</x:v>
      </x:c>
      <x:c r="F274" s="28" t="str">
        <x:v>свежее прохладно-зелёное ощущение</x:v>
      </x:c>
      <x:c r="G274" s="28" t="str">
        <x:v>водная волокнистая матрица с ароматическим маслом</x:v>
      </x:c>
      <x:c r="H274" s="28" t="str">
        <x:v>свежий сок сохраняет зелёность; тушение смягчает горечь и переводит профиль в бульонный</x:v>
      </x:c>
      <x:c r="I274" s="28" t="n">
        <x:v>27</x:v>
      </x:c>
    </x:row>
    <x:row r="275" ht="52" customHeight="1">
      <x:c r="A275" s="28" t="str">
        <x:v>сельдерей корневой</x:v>
      </x:c>
      <x:c r="B275" s="28" t="str">
        <x:v>Корнеплоды</x:v>
      </x:c>
      <x:c r="C275" s="28" t="str">
        <x:v>землистый, ореховый, сельдерейно-пряный и слегка грибной</x:v>
      </x:c>
      <x:c r="D275" s="28" t="str">
        <x:v>лимонен, метиональ, селинен, фталиды</x:v>
      </x:c>
      <x:c r="E275" s="28" t="str">
        <x:v>умеренная сладость, землистость и лёгкая горечь</x:v>
      </x:c>
      <x:c r="F275" s="28" t="str">
        <x:v>минимальный</x:v>
      </x:c>
      <x:c r="G275" s="28" t="str">
        <x:v>плотная крахмалисто-волокнистая матрица</x:v>
      </x:c>
      <x:c r="H275" s="28" t="str">
        <x:v>запекание усиливает сладость и ореховые ноты; пюре хорошо переносит сливочный жир</x:v>
      </x:c>
      <x:c r="I275" s="28" t="n">
        <x:v>63</x:v>
      </x:c>
    </x:row>
    <x:row r="276" ht="52" customHeight="1">
      <x:c r="A276" s="28" t="str">
        <x:v>семена кориандра</x:v>
      </x:c>
      <x:c r="B276" s="28" t="str">
        <x:v>Специи</x:v>
      </x:c>
      <x:c r="C276" s="28" t="str">
        <x:v>пряный, цветочный, цитрусовый</x:v>
      </x:c>
      <x:c r="D276" s="28" t="str">
        <x:v>лимонен, линалоол</x:v>
      </x:c>
      <x:c r="E276" s="28" t="str">
        <x:v>вкусовой баланс зависит от конкретного продукта</x:v>
      </x:c>
      <x:c r="F276" s="28" t="str">
        <x:v>обычно минимальный; проверить для острых и охлаждающих компонентов</x:v>
      </x:c>
      <x:c r="G276" s="28" t="str">
        <x:v>матрица зависит от содержания воды, жира, белка и клетчатки</x:v>
      </x:c>
      <x:c r="H276" s="28" t="str">
        <x:v>сорт, зрелость и технология обработки меняют профиль</x:v>
      </x:c>
      <x:c r="I276" s="28" t="n">
        <x:v>1</x:v>
      </x:c>
    </x:row>
    <x:row r="277" ht="52" customHeight="1">
      <x:c r="A277" s="28" t="str">
        <x:v>семена нигеллы</x:v>
      </x:c>
      <x:c r="B277" s="28" t="str">
        <x:v>Орехи и семена</x:v>
      </x:c>
      <x:c r="C277" s="28" t="str">
        <x:v>ореховый, жареный и жирный</x:v>
      </x:c>
      <x:c r="D277" s="28" t="str">
        <x:v>альдегиды, пиразины, фураны</x:v>
      </x:c>
      <x:c r="E277" s="28" t="str">
        <x:v>вкусовой баланс зависит от конкретного продукта</x:v>
      </x:c>
      <x:c r="F277" s="28" t="str">
        <x:v>обычно минимальный; проверить для острых и охлаждающих компонентов</x:v>
      </x:c>
      <x:c r="G277" s="28" t="str">
        <x:v>матрица зависит от содержания воды, жира, белка и клетчатки</x:v>
      </x:c>
      <x:c r="H277" s="28" t="str">
        <x:v>сорт, зрелость и технология обработки меняют профиль</x:v>
      </x:c>
      <x:c r="I277" s="28" t="n">
        <x:v>2</x:v>
      </x:c>
    </x:row>
    <x:row r="278" ht="52" customHeight="1">
      <x:c r="A278" s="28" t="str">
        <x:v>сибас</x:v>
      </x:c>
      <x:c r="B278" s="28" t="str">
        <x:v>Рыба и морепродукты</x:v>
      </x:c>
      <x:c r="C278" s="28" t="str">
        <x:v>морской, солоноватый и умами</x:v>
      </x:c>
      <x:c r="D278" s="28" t="str">
        <x:v>альдегиды, амины</x:v>
      </x:c>
      <x:c r="E278" s="28" t="str">
        <x:v>вкусовой баланс зависит от конкретного продукта</x:v>
      </x:c>
      <x:c r="F278" s="28" t="str">
        <x:v>обычно минимальный; проверить для острых и охлаждающих компонентов</x:v>
      </x:c>
      <x:c r="G278" s="28" t="str">
        <x:v>матрица зависит от содержания воды, жира, белка и клетчатки</x:v>
      </x:c>
      <x:c r="H278" s="28" t="str">
        <x:v>сорт, зрелость и технология обработки меняют профиль</x:v>
      </x:c>
      <x:c r="I278" s="28" t="n">
        <x:v>1</x:v>
      </x:c>
    </x:row>
    <x:row r="279" ht="52" customHeight="1">
      <x:c r="A279" s="28" t="str">
        <x:v>скат</x:v>
      </x:c>
      <x:c r="B279" s="28" t="str">
        <x:v>Рыба и морепродукты</x:v>
      </x:c>
      <x:c r="C279" s="28" t="str">
        <x:v>морской, солоноватый и умами</x:v>
      </x:c>
      <x:c r="D279" s="28" t="str">
        <x:v>альдегиды, амины</x:v>
      </x:c>
      <x:c r="E279" s="28" t="str">
        <x:v>вкусовой баланс зависит от конкретного продукта</x:v>
      </x:c>
      <x:c r="F279" s="28" t="str">
        <x:v>обычно минимальный; проверить для острых и охлаждающих компонентов</x:v>
      </x:c>
      <x:c r="G279" s="28" t="str">
        <x:v>матрица зависит от содержания воды, жира, белка и клетчатки</x:v>
      </x:c>
      <x:c r="H279" s="28" t="str">
        <x:v>сорт, зрелость и технология обработки меняют профиль</x:v>
      </x:c>
      <x:c r="I279" s="28" t="n">
        <x:v>2</x:v>
      </x:c>
    </x:row>
    <x:row r="280" ht="52" customHeight="1">
      <x:c r="A280" s="28" t="str">
        <x:v>скорцонера</x:v>
      </x:c>
      <x:c r="B280" s="28" t="str">
        <x:v>Прочее</x:v>
      </x:c>
      <x:c r="C280" s="28" t="str">
        <x:v>профиль зависит от конкретного продукта</x:v>
      </x:c>
      <x:c r="D280" s="28" t="str">
        <x:v>нет уточнённого профиля</x:v>
      </x:c>
      <x:c r="E280" s="28" t="str">
        <x:v>вкусовой баланс зависит от конкретного продукта</x:v>
      </x:c>
      <x:c r="F280" s="28" t="str">
        <x:v>обычно минимальный; проверить для острых и охлаждающих компонентов</x:v>
      </x:c>
      <x:c r="G280" s="28" t="str">
        <x:v>матрица зависит от содержания воды, жира, белка и клетчатки</x:v>
      </x:c>
      <x:c r="H280" s="28" t="str">
        <x:v>сорт, зрелость и технология обработки меняют профиль</x:v>
      </x:c>
      <x:c r="I280" s="28" t="n">
        <x:v>1</x:v>
      </x:c>
    </x:row>
    <x:row r="281" ht="52" customHeight="1">
      <x:c r="A281" s="28" t="str">
        <x:v>скумбрия</x:v>
      </x:c>
      <x:c r="B281" s="28" t="str">
        <x:v>Прочее</x:v>
      </x:c>
      <x:c r="C281" s="28" t="str">
        <x:v>профиль зависит от конкретного продукта</x:v>
      </x:c>
      <x:c r="D281" s="28" t="str">
        <x:v>нет уточнённого профиля</x:v>
      </x:c>
      <x:c r="E281" s="28" t="str">
        <x:v>вкусовой баланс зависит от конкретного продукта</x:v>
      </x:c>
      <x:c r="F281" s="28" t="str">
        <x:v>обычно минимальный; проверить для острых и охлаждающих компонентов</x:v>
      </x:c>
      <x:c r="G281" s="28" t="str">
        <x:v>матрица зависит от содержания воды, жира, белка и клетчатки</x:v>
      </x:c>
      <x:c r="H281" s="28" t="str">
        <x:v>сорт, зрелость и технология обработки меняют профиль</x:v>
      </x:c>
      <x:c r="I281" s="28" t="n">
        <x:v>1</x:v>
      </x:c>
    </x:row>
    <x:row r="282" ht="52" customHeight="1">
      <x:c r="A282" s="28" t="str">
        <x:v>сладкая паприка</x:v>
      </x:c>
      <x:c r="B282" s="28" t="str">
        <x:v>Прочее</x:v>
      </x:c>
      <x:c r="C282" s="28" t="str">
        <x:v>профиль зависит от конкретного продукта</x:v>
      </x:c>
      <x:c r="D282" s="28" t="str">
        <x:v>нет уточнённого профиля</x:v>
      </x:c>
      <x:c r="E282" s="28" t="str">
        <x:v>вкусовой баланс зависит от конкретного продукта</x:v>
      </x:c>
      <x:c r="F282" s="28" t="str">
        <x:v>обычно минимальный; проверить для острых и охлаждающих компонентов</x:v>
      </x:c>
      <x:c r="G282" s="28" t="str">
        <x:v>матрица зависит от содержания воды, жира, белка и клетчатки</x:v>
      </x:c>
      <x:c r="H282" s="28" t="str">
        <x:v>сорт, зрелость и технология обработки меняют профиль</x:v>
      </x:c>
      <x:c r="I282" s="28" t="n">
        <x:v>2</x:v>
      </x:c>
    </x:row>
    <x:row r="283" ht="52" customHeight="1">
      <x:c r="A283" s="28" t="str">
        <x:v>слива</x:v>
      </x:c>
      <x:c r="B283" s="28" t="str">
        <x:v>Фрукты и ягоды</x:v>
      </x:c>
      <x:c r="C283" s="28" t="str">
        <x:v>фруктовый, цветочный и свежий</x:v>
      </x:c>
      <x:c r="D283" s="28" t="str">
        <x:v>альдегиды, эфиры</x:v>
      </x:c>
      <x:c r="E283" s="28" t="str">
        <x:v>вкусовой баланс зависит от конкретного продукта</x:v>
      </x:c>
      <x:c r="F283" s="28" t="str">
        <x:v>обычно минимальный; проверить для острых и охлаждающих компонентов</x:v>
      </x:c>
      <x:c r="G283" s="28" t="str">
        <x:v>матрица зависит от содержания воды, жира, белка и клетчатки</x:v>
      </x:c>
      <x:c r="H283" s="28" t="str">
        <x:v>сорт, зрелость и технология обработки меняют профиль</x:v>
      </x:c>
      <x:c r="I283" s="28" t="n">
        <x:v>1</x:v>
      </x:c>
    </x:row>
    <x:row r="284" ht="52" customHeight="1">
      <x:c r="A284" s="28" t="str">
        <x:v>сливовый бренди</x:v>
      </x:c>
      <x:c r="B284" s="28" t="str">
        <x:v>Фрукты и ягоды</x:v>
      </x:c>
      <x:c r="C284" s="28" t="str">
        <x:v>фруктовый, цветочный и свежий</x:v>
      </x:c>
      <x:c r="D284" s="28" t="str">
        <x:v>альдегиды, эфиры</x:v>
      </x:c>
      <x:c r="E284" s="28" t="str">
        <x:v>вкусовой баланс зависит от конкретного продукта</x:v>
      </x:c>
      <x:c r="F284" s="28" t="str">
        <x:v>обычно минимальный; проверить для острых и охлаждающих компонентов</x:v>
      </x:c>
      <x:c r="G284" s="28" t="str">
        <x:v>матрица зависит от содержания воды, жира, белка и клетчатки</x:v>
      </x:c>
      <x:c r="H284" s="28" t="str">
        <x:v>сорт, зрелость и технология обработки меняют профиль</x:v>
      </x:c>
      <x:c r="I284" s="28" t="n">
        <x:v>1</x:v>
      </x:c>
    </x:row>
    <x:row r="285" ht="52" customHeight="1">
      <x:c r="A285" s="28" t="str">
        <x:v>сливочное масло</x:v>
      </x:c>
      <x:c r="B285" s="28" t="str">
        <x:v>Фрукты и ягоды</x:v>
      </x:c>
      <x:c r="C285" s="28" t="str">
        <x:v>жирный, сливочный</x:v>
      </x:c>
      <x:c r="D285" s="28" t="str">
        <x:v>диацетил, лактоны</x:v>
      </x:c>
      <x:c r="E285" s="28" t="str">
        <x:v>вкусовой баланс зависит от конкретного продукта</x:v>
      </x:c>
      <x:c r="F285" s="28" t="str">
        <x:v>обычно минимальный; проверить для острых и охлаждающих компонентов</x:v>
      </x:c>
      <x:c r="G285" s="28" t="str">
        <x:v>матрица зависит от содержания воды, жира, белка и клетчатки</x:v>
      </x:c>
      <x:c r="H285" s="28" t="str">
        <x:v>сорт, зрелость и технология обработки меняют профиль</x:v>
      </x:c>
      <x:c r="I285" s="28" t="n">
        <x:v>1</x:v>
      </x:c>
    </x:row>
    <x:row r="286" ht="52" customHeight="1">
      <x:c r="A286" s="28" t="str">
        <x:v>см. также имбирь</x:v>
      </x:c>
      <x:c r="B286" s="28" t="str">
        <x:v>Специи</x:v>
      </x:c>
      <x:c r="C286" s="28" t="str">
        <x:v>пряный, тёплый, цитрусовый</x:v>
      </x:c>
      <x:c r="D286" s="28" t="str">
        <x:v>гингеролы, цитраль</x:v>
      </x:c>
      <x:c r="E286" s="28" t="str">
        <x:v>вкусовой баланс зависит от конкретного продукта</x:v>
      </x:c>
      <x:c r="F286" s="28" t="str">
        <x:v>обычно минимальный; проверить для острых и охлаждающих компонентов</x:v>
      </x:c>
      <x:c r="G286" s="28" t="str">
        <x:v>матрица зависит от содержания воды, жира, белка и клетчатки</x:v>
      </x:c>
      <x:c r="H286" s="28" t="str">
        <x:v>сорт, зрелость и технология обработки меняют профиль</x:v>
      </x:c>
      <x:c r="I286" s="28" t="n">
        <x:v>1</x:v>
      </x:c>
    </x:row>
    <x:row r="287" ht="52" customHeight="1">
      <x:c r="A287" s="28" t="str">
        <x:v>сметана</x:v>
      </x:c>
      <x:c r="B287" s="28" t="str">
        <x:v>Молочные продукты и сыры</x:v>
      </x:c>
      <x:c r="C287" s="28" t="str">
        <x:v>молочный, сливочный и ферментированный</x:v>
      </x:c>
      <x:c r="D287" s="28" t="str">
        <x:v>диацетил, жирные кислоты, лактоны</x:v>
      </x:c>
      <x:c r="E287" s="28" t="str">
        <x:v>вкусовой баланс зависит от конкретного продукта</x:v>
      </x:c>
      <x:c r="F287" s="28" t="str">
        <x:v>обычно минимальный; проверить для острых и охлаждающих компонентов</x:v>
      </x:c>
      <x:c r="G287" s="28" t="str">
        <x:v>матрица зависит от содержания воды, жира, белка и клетчатки</x:v>
      </x:c>
      <x:c r="H287" s="28" t="str">
        <x:v>сорт, зрелость и технология обработки меняют профиль</x:v>
      </x:c>
      <x:c r="I287" s="28" t="n">
        <x:v>2</x:v>
      </x:c>
    </x:row>
    <x:row r="288" ht="52" customHeight="1">
      <x:c r="A288" s="28" t="str">
        <x:v>сметана и лимон</x:v>
      </x:c>
      <x:c r="B288" s="28" t="str">
        <x:v>Фрукты и ягоды</x:v>
      </x:c>
      <x:c r="C288" s="28" t="str">
        <x:v>кислый, свежий, цитрусовый</x:v>
      </x:c>
      <x:c r="D288" s="28" t="str">
        <x:v>лимонен, цитраль</x:v>
      </x:c>
      <x:c r="E288" s="28" t="str">
        <x:v>вкусовой баланс зависит от конкретного продукта</x:v>
      </x:c>
      <x:c r="F288" s="28" t="str">
        <x:v>обычно минимальный; проверить для острых и охлаждающих компонентов</x:v>
      </x:c>
      <x:c r="G288" s="28" t="str">
        <x:v>матрица зависит от содержания воды, жира, белка и клетчатки</x:v>
      </x:c>
      <x:c r="H288" s="28" t="str">
        <x:v>сорт, зрелость и технология обработки меняют профиль</x:v>
      </x:c>
      <x:c r="I288" s="28" t="n">
        <x:v>1</x:v>
      </x:c>
    </x:row>
    <x:row r="289" ht="52" customHeight="1">
      <x:c r="A289" s="28" t="str">
        <x:v>совиньон блан</x:v>
      </x:c>
      <x:c r="B289" s="28" t="str">
        <x:v>Прочее</x:v>
      </x:c>
      <x:c r="C289" s="28" t="str">
        <x:v>профиль зависит от конкретного продукта</x:v>
      </x:c>
      <x:c r="D289" s="28" t="str">
        <x:v>нет уточнённого профиля</x:v>
      </x:c>
      <x:c r="E289" s="28" t="str">
        <x:v>вкусовой баланс зависит от конкретного продукта</x:v>
      </x:c>
      <x:c r="F289" s="28" t="str">
        <x:v>обычно минимальный; проверить для острых и охлаждающих компонентов</x:v>
      </x:c>
      <x:c r="G289" s="28" t="str">
        <x:v>матрица зависит от содержания воды, жира, белка и клетчатки</x:v>
      </x:c>
      <x:c r="H289" s="28" t="str">
        <x:v>сорт, зрелость и технология обработки меняют профиль</x:v>
      </x:c>
      <x:c r="I289" s="28" t="n">
        <x:v>1</x:v>
      </x:c>
    </x:row>
    <x:row r="290" ht="52" customHeight="1">
      <x:c r="A290" s="28" t="str">
        <x:v>соевая паста</x:v>
      </x:c>
      <x:c r="B290" s="28" t="str">
        <x:v>Выпечка, крупы, сахара и десерты</x:v>
      </x:c>
      <x:c r="C290" s="28" t="str">
        <x:v>сладкий, карамельный и жареный</x:v>
      </x:c>
      <x:c r="D290" s="28" t="str">
        <x:v>мальтол, пиразины, фураны</x:v>
      </x:c>
      <x:c r="E290" s="28" t="str">
        <x:v>вкусовой баланс зависит от конкретного продукта</x:v>
      </x:c>
      <x:c r="F290" s="28" t="str">
        <x:v>обычно минимальный; проверить для острых и охлаждающих компонентов</x:v>
      </x:c>
      <x:c r="G290" s="28" t="str">
        <x:v>матрица зависит от содержания воды, жира, белка и клетчатки</x:v>
      </x:c>
      <x:c r="H290" s="28" t="str">
        <x:v>сорт, зрелость и технология обработки меняют профиль</x:v>
      </x:c>
      <x:c r="I290" s="28" t="n">
        <x:v>1</x:v>
      </x:c>
    </x:row>
    <x:row r="291" ht="52" customHeight="1">
      <x:c r="A291" s="28" t="str">
        <x:v>соевые сливки</x:v>
      </x:c>
      <x:c r="B291" s="28" t="str">
        <x:v>Фрукты и ягоды</x:v>
      </x:c>
      <x:c r="C291" s="28" t="str">
        <x:v>фруктовый, цветочный и свежий</x:v>
      </x:c>
      <x:c r="D291" s="28" t="str">
        <x:v>альдегиды, эфиры</x:v>
      </x:c>
      <x:c r="E291" s="28" t="str">
        <x:v>вкусовой баланс зависит от конкретного продукта</x:v>
      </x:c>
      <x:c r="F291" s="28" t="str">
        <x:v>обычно минимальный; проверить для острых и охлаждающих компонентов</x:v>
      </x:c>
      <x:c r="G291" s="28" t="str">
        <x:v>матрица зависит от содержания воды, жира, белка и клетчатки</x:v>
      </x:c>
      <x:c r="H291" s="28" t="str">
        <x:v>сорт, зрелость и технология обработки меняют профиль</x:v>
      </x:c>
      <x:c r="I291" s="28" t="n">
        <x:v>1</x:v>
      </x:c>
    </x:row>
    <x:row r="292" ht="52" customHeight="1">
      <x:c r="A292" s="28" t="str">
        <x:v>соевый напиток</x:v>
      </x:c>
      <x:c r="B292" s="28" t="str">
        <x:v>Прочее</x:v>
      </x:c>
      <x:c r="C292" s="28" t="str">
        <x:v>профиль зависит от конкретного продукта</x:v>
      </x:c>
      <x:c r="D292" s="28" t="str">
        <x:v>нет уточнённого профиля</x:v>
      </x:c>
      <x:c r="E292" s="28" t="str">
        <x:v>вкусовой баланс зависит от конкретного продукта</x:v>
      </x:c>
      <x:c r="F292" s="28" t="str">
        <x:v>обычно минимальный; проверить для острых и охлаждающих компонентов</x:v>
      </x:c>
      <x:c r="G292" s="28" t="str">
        <x:v>матрица зависит от содержания воды, жира, белка и клетчатки</x:v>
      </x:c>
      <x:c r="H292" s="28" t="str">
        <x:v>сорт, зрелость и технология обработки меняют профиль</x:v>
      </x:c>
      <x:c r="I292" s="28" t="n">
        <x:v>1</x:v>
      </x:c>
    </x:row>
    <x:row r="293" ht="52" customHeight="1">
      <x:c r="A293" s="28" t="str">
        <x:v>соевый соус</x:v>
      </x:c>
      <x:c r="B293" s="28" t="str">
        <x:v>Ферментированные продукты и соусы</x:v>
      </x:c>
      <x:c r="C293" s="28" t="str">
        <x:v>жареный, умами, ферментированный</x:v>
      </x:c>
      <x:c r="D293" s="28" t="str">
        <x:v>пиразины, фураны, эфиры</x:v>
      </x:c>
      <x:c r="E293" s="28" t="str">
        <x:v>вкусовой баланс зависит от конкретного продукта</x:v>
      </x:c>
      <x:c r="F293" s="28" t="str">
        <x:v>обычно минимальный; проверить для острых и охлаждающих компонентов</x:v>
      </x:c>
      <x:c r="G293" s="28" t="str">
        <x:v>матрица зависит от содержания воды, жира, белка и клетчатки</x:v>
      </x:c>
      <x:c r="H293" s="28" t="str">
        <x:v>сорт, зрелость и технология обработки меняют профиль</x:v>
      </x:c>
      <x:c r="I293" s="28" t="n">
        <x:v>4</x:v>
      </x:c>
    </x:row>
    <x:row r="294" ht="52" customHeight="1">
      <x:c r="A294" s="28" t="str">
        <x:v>соевый соус сайсикоми</x:v>
      </x:c>
      <x:c r="B294" s="28" t="str">
        <x:v>Ферментированные продукты и соусы</x:v>
      </x:c>
      <x:c r="C294" s="28" t="str">
        <x:v>жареный, умами, ферментированный</x:v>
      </x:c>
      <x:c r="D294" s="28" t="str">
        <x:v>пиразины, фураны, эфиры</x:v>
      </x:c>
      <x:c r="E294" s="28" t="str">
        <x:v>вкусовой баланс зависит от конкретного продукта</x:v>
      </x:c>
      <x:c r="F294" s="28" t="str">
        <x:v>обычно минимальный; проверить для острых и охлаждающих компонентов</x:v>
      </x:c>
      <x:c r="G294" s="28" t="str">
        <x:v>матрица зависит от содержания воды, жира, белка и клетчатки</x:v>
      </x:c>
      <x:c r="H294" s="28" t="str">
        <x:v>сорт, зрелость и технология обработки меняют профиль</x:v>
      </x:c>
      <x:c r="I294" s="28" t="n">
        <x:v>1</x:v>
      </x:c>
    </x:row>
    <x:row r="295" ht="52" customHeight="1">
      <x:c r="A295" s="28" t="str">
        <x:v>сок бузины</x:v>
      </x:c>
      <x:c r="B295" s="28" t="str">
        <x:v>Травы, цветы и листья</x:v>
      </x:c>
      <x:c r="C295" s="28" t="str">
        <x:v>зелёный, цветочный и терпеновый</x:v>
      </x:c>
      <x:c r="D295" s="28" t="str">
        <x:v>линалоол, терпены</x:v>
      </x:c>
      <x:c r="E295" s="28" t="str">
        <x:v>вкусовой баланс зависит от конкретного продукта</x:v>
      </x:c>
      <x:c r="F295" s="28" t="str">
        <x:v>обычно минимальный; проверить для острых и охлаждающих компонентов</x:v>
      </x:c>
      <x:c r="G295" s="28" t="str">
        <x:v>матрица зависит от содержания воды, жира, белка и клетчатки</x:v>
      </x:c>
      <x:c r="H295" s="28" t="str">
        <x:v>сорт, зрелость и технология обработки меняют профиль</x:v>
      </x:c>
      <x:c r="I295" s="28" t="n">
        <x:v>1</x:v>
      </x:c>
    </x:row>
    <x:row r="296" ht="52" customHeight="1">
      <x:c r="A296" s="28" t="str">
        <x:v>солод</x:v>
      </x:c>
      <x:c r="B296" s="28" t="str">
        <x:v>Прочее</x:v>
      </x:c>
      <x:c r="C296" s="28" t="str">
        <x:v>профиль зависит от конкретного продукта</x:v>
      </x:c>
      <x:c r="D296" s="28" t="str">
        <x:v>нет уточнённого профиля</x:v>
      </x:c>
      <x:c r="E296" s="28" t="str">
        <x:v>вкусовой баланс зависит от конкретного продукта</x:v>
      </x:c>
      <x:c r="F296" s="28" t="str">
        <x:v>обычно минимальный; проверить для острых и охлаждающих компонентов</x:v>
      </x:c>
      <x:c r="G296" s="28" t="str">
        <x:v>матрица зависит от содержания воды, жира, белка и клетчатки</x:v>
      </x:c>
      <x:c r="H296" s="28" t="str">
        <x:v>сорт, зрелость и технология обработки меняют профиль</x:v>
      </x:c>
      <x:c r="I296" s="28" t="n">
        <x:v>1</x:v>
      </x:c>
    </x:row>
    <x:row r="297" ht="52" customHeight="1">
      <x:c r="A297" s="28" t="str">
        <x:v>солёные анчоусы</x:v>
      </x:c>
      <x:c r="B297" s="28" t="str">
        <x:v>Рыба и морепродукты</x:v>
      </x:c>
      <x:c r="C297" s="28" t="str">
        <x:v>морской, солоноватый и умами</x:v>
      </x:c>
      <x:c r="D297" s="28" t="str">
        <x:v>альдегиды, амины</x:v>
      </x:c>
      <x:c r="E297" s="28" t="str">
        <x:v>вкусовой баланс зависит от конкретного продукта</x:v>
      </x:c>
      <x:c r="F297" s="28" t="str">
        <x:v>обычно минимальный; проверить для острых и охлаждающих компонентов</x:v>
      </x:c>
      <x:c r="G297" s="28" t="str">
        <x:v>матрица зависит от содержания воды, жира, белка и клетчатки</x:v>
      </x:c>
      <x:c r="H297" s="28" t="str">
        <x:v>сорт, зрелость и технология обработки меняют профиль</x:v>
      </x:c>
      <x:c r="I297" s="28" t="n">
        <x:v>1</x:v>
      </x:c>
    </x:row>
    <x:row r="298" ht="52" customHeight="1">
      <x:c r="A298" s="28" t="str">
        <x:v>соус тартар</x:v>
      </x:c>
      <x:c r="B298" s="28" t="str">
        <x:v>Прочее</x:v>
      </x:c>
      <x:c r="C298" s="28" t="str">
        <x:v>профиль зависит от конкретного продукта</x:v>
      </x:c>
      <x:c r="D298" s="28" t="str">
        <x:v>нет уточнённого профиля</x:v>
      </x:c>
      <x:c r="E298" s="28" t="str">
        <x:v>вкусовой баланс зависит от конкретного продукта</x:v>
      </x:c>
      <x:c r="F298" s="28" t="str">
        <x:v>обычно минимальный; проверить для острых и охлаждающих компонентов</x:v>
      </x:c>
      <x:c r="G298" s="28" t="str">
        <x:v>матрица зависит от содержания воды, жира, белка и клетчатки</x:v>
      </x:c>
      <x:c r="H298" s="28" t="str">
        <x:v>сорт, зрелость и технология обработки меняют профиль</x:v>
      </x:c>
      <x:c r="I298" s="28" t="n">
        <x:v>1</x:v>
      </x:c>
    </x:row>
    <x:row r="299" ht="52" customHeight="1">
      <x:c r="A299" s="28" t="str">
        <x:v>соус тукупи</x:v>
      </x:c>
      <x:c r="B299" s="28" t="str">
        <x:v>Прочее</x:v>
      </x:c>
      <x:c r="C299" s="28" t="str">
        <x:v>профиль зависит от конкретного продукта</x:v>
      </x:c>
      <x:c r="D299" s="28" t="str">
        <x:v>нет уточнённого профиля</x:v>
      </x:c>
      <x:c r="E299" s="28" t="str">
        <x:v>вкусовой баланс зависит от конкретного продукта</x:v>
      </x:c>
      <x:c r="F299" s="28" t="str">
        <x:v>обычно минимальный; проверить для острых и охлаждающих компонентов</x:v>
      </x:c>
      <x:c r="G299" s="28" t="str">
        <x:v>матрица зависит от содержания воды, жира, белка и клетчатки</x:v>
      </x:c>
      <x:c r="H299" s="28" t="str">
        <x:v>сорт, зрелость и технология обработки меняют профиль</x:v>
      </x:c>
      <x:c r="I299" s="28" t="n">
        <x:v>1</x:v>
      </x:c>
    </x:row>
    <x:row r="300" ht="52" customHeight="1">
      <x:c r="A300" s="28" t="str">
        <x:v>соус чили</x:v>
      </x:c>
      <x:c r="B300" s="28" t="str">
        <x:v>Специи</x:v>
      </x:c>
      <x:c r="C300" s="28" t="str">
        <x:v>пряный и древесный</x:v>
      </x:c>
      <x:c r="D300" s="28" t="str">
        <x:v>терпены, фенилпропаноиды</x:v>
      </x:c>
      <x:c r="E300" s="28" t="str">
        <x:v>вкусовой баланс зависит от конкретного продукта</x:v>
      </x:c>
      <x:c r="F300" s="28" t="str">
        <x:v>обычно минимальный; проверить для острых и охлаждающих компонентов</x:v>
      </x:c>
      <x:c r="G300" s="28" t="str">
        <x:v>матрица зависит от содержания воды, жира, белка и клетчатки</x:v>
      </x:c>
      <x:c r="H300" s="28" t="str">
        <x:v>сорт, зрелость и технология обработки меняют профиль</x:v>
      </x:c>
      <x:c r="I300" s="28" t="n">
        <x:v>2</x:v>
      </x:c>
    </x:row>
    <x:row r="301" ht="52" customHeight="1">
      <x:c r="A301" s="28" t="str">
        <x:v>спаржа</x:v>
      </x:c>
      <x:c r="B301" s="28" t="str">
        <x:v>Побеговые овощи</x:v>
      </x:c>
      <x:c r="C301" s="28" t="str">
        <x:v>зелёный, сернистый, ореховый и слегка сладкий</x:v>
      </x:c>
      <x:c r="D301" s="28" t="str">
        <x:v>аспарагусовая кислота, диметилсульфид, метантиол, пиразины</x:v>
      </x:c>
      <x:c r="E301" s="28" t="str">
        <x:v>слабая сладость, зелёная горечь и умами</x:v>
      </x:c>
      <x:c r="F301" s="28" t="str">
        <x:v>минимальный</x:v>
      </x:c>
      <x:c r="G301" s="28" t="str">
        <x:v>водная волокнистая матрица; поверхность хорошо покрывается жиром</x:v>
      </x:c>
      <x:c r="H301" s="28" t="str">
        <x:v>гриль и запекание создают ореховые и картофельные ноты; короткая варка сохраняет зелёность</x:v>
      </x:c>
      <x:c r="I301" s="28" t="n">
        <x:v>29</x:v>
      </x:c>
    </x:row>
    <x:row r="302" ht="52" customHeight="1">
      <x:c r="A302" s="28" t="str">
        <x:v>стилтон</x:v>
      </x:c>
      <x:c r="B302" s="28" t="str">
        <x:v>Прочее</x:v>
      </x:c>
      <x:c r="C302" s="28" t="str">
        <x:v>профиль зависит от конкретного продукта</x:v>
      </x:c>
      <x:c r="D302" s="28" t="str">
        <x:v>нет уточнённого профиля</x:v>
      </x:c>
      <x:c r="E302" s="28" t="str">
        <x:v>вкусовой баланс зависит от конкретного продукта</x:v>
      </x:c>
      <x:c r="F302" s="28" t="str">
        <x:v>обычно минимальный; проверить для острых и охлаждающих компонентов</x:v>
      </x:c>
      <x:c r="G302" s="28" t="str">
        <x:v>матрица зависит от содержания воды, жира, белка и клетчатки</x:v>
      </x:c>
      <x:c r="H302" s="28" t="str">
        <x:v>сорт, зрелость и технология обработки меняют профиль</x:v>
      </x:c>
      <x:c r="I302" s="28" t="n">
        <x:v>3</x:v>
      </x:c>
    </x:row>
    <x:row r="303" ht="52" customHeight="1">
      <x:c r="A303" s="28" t="str">
        <x:v>сушёный барбарис</x:v>
      </x:c>
      <x:c r="B303" s="28" t="str">
        <x:v>Выпечка, крупы, сахара и десерты</x:v>
      </x:c>
      <x:c r="C303" s="28" t="str">
        <x:v>сладкий, карамельный и жареный</x:v>
      </x:c>
      <x:c r="D303" s="28" t="str">
        <x:v>мальтол, пиразины, фураны</x:v>
      </x:c>
      <x:c r="E303" s="28" t="str">
        <x:v>вкусовой баланс зависит от конкретного продукта</x:v>
      </x:c>
      <x:c r="F303" s="28" t="str">
        <x:v>обычно минимальный; проверить для острых и охлаждающих компонентов</x:v>
      </x:c>
      <x:c r="G303" s="28" t="str">
        <x:v>матрица зависит от содержания воды, жира, белка и клетчатки</x:v>
      </x:c>
      <x:c r="H303" s="28" t="str">
        <x:v>сорт, зрелость и технология обработки меняют профиль</x:v>
      </x:c>
      <x:c r="I303" s="28" t="n">
        <x:v>1</x:v>
      </x:c>
    </x:row>
    <x:row r="304" ht="52" customHeight="1">
      <x:c r="A304" s="28" t="str">
        <x:v>сушёный корень дягиля</x:v>
      </x:c>
      <x:c r="B304" s="28" t="str">
        <x:v>Прочее</x:v>
      </x:c>
      <x:c r="C304" s="28" t="str">
        <x:v>профиль зависит от конкретного продукта</x:v>
      </x:c>
      <x:c r="D304" s="28" t="str">
        <x:v>нет уточнённого профиля</x:v>
      </x:c>
      <x:c r="E304" s="28" t="str">
        <x:v>вкусовой баланс зависит от конкретного продукта</x:v>
      </x:c>
      <x:c r="F304" s="28" t="str">
        <x:v>обычно минимальный; проверить для острых и охлаждающих компонентов</x:v>
      </x:c>
      <x:c r="G304" s="28" t="str">
        <x:v>матрица зависит от содержания воды, жира, белка и клетчатки</x:v>
      </x:c>
      <x:c r="H304" s="28" t="str">
        <x:v>сорт, зрелость и технология обработки меняют профиль</x:v>
      </x:c>
      <x:c r="I304" s="28" t="n">
        <x:v>1</x:v>
      </x:c>
    </x:row>
    <x:row r="305" ht="52" customHeight="1">
      <x:c r="A305" s="28" t="str">
        <x:v>сыр</x:v>
      </x:c>
      <x:c r="B305" s="28" t="str">
        <x:v>Молочные продукты и сыры</x:v>
      </x:c>
      <x:c r="C305" s="28" t="str">
        <x:v>молочный, умами, ферментированный</x:v>
      </x:c>
      <x:c r="D305" s="28" t="str">
        <x:v>диацетил, жирные кислоты</x:v>
      </x:c>
      <x:c r="E305" s="28" t="str">
        <x:v>вкусовой баланс зависит от конкретного продукта</x:v>
      </x:c>
      <x:c r="F305" s="28" t="str">
        <x:v>обычно минимальный; проверить для острых и охлаждающих компонентов</x:v>
      </x:c>
      <x:c r="G305" s="28" t="str">
        <x:v>матрица зависит от содержания воды, жира, белка и клетчатки</x:v>
      </x:c>
      <x:c r="H305" s="28" t="str">
        <x:v>сорт, зрелость и технология обработки меняют профиль</x:v>
      </x:c>
      <x:c r="I305" s="28" t="n">
        <x:v>5</x:v>
      </x:c>
    </x:row>
    <x:row r="306" ht="52" customHeight="1">
      <x:c r="A306" s="28" t="str">
        <x:v>сыр ронкаль</x:v>
      </x:c>
      <x:c r="B306" s="28" t="str">
        <x:v>Молочные продукты и сыры</x:v>
      </x:c>
      <x:c r="C306" s="28" t="str">
        <x:v>молочный, умами, ферментированный</x:v>
      </x:c>
      <x:c r="D306" s="28" t="str">
        <x:v>диацетил, жирные кислоты</x:v>
      </x:c>
      <x:c r="E306" s="28" t="str">
        <x:v>вкусовой баланс зависит от конкретного продукта</x:v>
      </x:c>
      <x:c r="F306" s="28" t="str">
        <x:v>обычно минимальный; проверить для острых и охлаждающих компонентов</x:v>
      </x:c>
      <x:c r="G306" s="28" t="str">
        <x:v>матрица зависит от содержания воды, жира, белка и клетчатки</x:v>
      </x:c>
      <x:c r="H306" s="28" t="str">
        <x:v>сорт, зрелость и технология обработки меняют профиль</x:v>
      </x:c>
      <x:c r="I306" s="28" t="n">
        <x:v>1</x:v>
      </x:c>
    </x:row>
    <x:row r="307" ht="52" customHeight="1">
      <x:c r="A307" s="28" t="str">
        <x:v>сычуаньский перец</x:v>
      </x:c>
      <x:c r="B307" s="28" t="str">
        <x:v>Специи</x:v>
      </x:c>
      <x:c r="C307" s="28" t="str">
        <x:v>пряный и древесный</x:v>
      </x:c>
      <x:c r="D307" s="28" t="str">
        <x:v>терпены, фенилпропаноиды</x:v>
      </x:c>
      <x:c r="E307" s="28" t="str">
        <x:v>вкусовой баланс зависит от конкретного продукта</x:v>
      </x:c>
      <x:c r="F307" s="28" t="str">
        <x:v>обычно минимальный; проверить для острых и охлаждающих компонентов</x:v>
      </x:c>
      <x:c r="G307" s="28" t="str">
        <x:v>матрица зависит от содержания воды, жира, белка и клетчатки</x:v>
      </x:c>
      <x:c r="H307" s="28" t="str">
        <x:v>сорт, зрелость и технология обработки меняют профиль</x:v>
      </x:c>
      <x:c r="I307" s="28" t="n">
        <x:v>2</x:v>
      </x:c>
    </x:row>
    <x:row r="308" ht="52" customHeight="1">
      <x:c r="A308" s="28" t="str">
        <x:v>таитянская ваниль</x:v>
      </x:c>
      <x:c r="B308" s="28" t="str">
        <x:v>Специи</x:v>
      </x:c>
      <x:c r="C308" s="28" t="str">
        <x:v>ванильный, древесный, цветочный</x:v>
      </x:c>
      <x:c r="D308" s="28" t="str">
        <x:v>ванилин</x:v>
      </x:c>
      <x:c r="E308" s="28" t="str">
        <x:v>вкусовой баланс зависит от конкретного продукта</x:v>
      </x:c>
      <x:c r="F308" s="28" t="str">
        <x:v>обычно минимальный; проверить для острых и охлаждающих компонентов</x:v>
      </x:c>
      <x:c r="G308" s="28" t="str">
        <x:v>матрица зависит от содержания воды, жира, белка и клетчатки</x:v>
      </x:c>
      <x:c r="H308" s="28" t="str">
        <x:v>сорт, зрелость и технология обработки меняют профиль</x:v>
      </x:c>
      <x:c r="I308" s="28" t="n">
        <x:v>1</x:v>
      </x:c>
    </x:row>
    <x:row r="309" ht="52" customHeight="1">
      <x:c r="A309" s="28" t="str">
        <x:v>тамаринд</x:v>
      </x:c>
      <x:c r="B309" s="28" t="str">
        <x:v>Прочее</x:v>
      </x:c>
      <x:c r="C309" s="28" t="str">
        <x:v>профиль зависит от конкретного продукта</x:v>
      </x:c>
      <x:c r="D309" s="28" t="str">
        <x:v>нет уточнённого профиля</x:v>
      </x:c>
      <x:c r="E309" s="28" t="str">
        <x:v>вкусовой баланс зависит от конкретного продукта</x:v>
      </x:c>
      <x:c r="F309" s="28" t="str">
        <x:v>обычно минимальный; проверить для острых и охлаждающих компонентов</x:v>
      </x:c>
      <x:c r="G309" s="28" t="str">
        <x:v>матрица зависит от содержания воды, жира, белка и клетчатки</x:v>
      </x:c>
      <x:c r="H309" s="28" t="str">
        <x:v>сорт, зрелость и технология обработки меняют профиль</x:v>
      </x:c>
      <x:c r="I309" s="28" t="n">
        <x:v>1</x:v>
      </x:c>
    </x:row>
    <x:row r="310" ht="52" customHeight="1">
      <x:c r="A310" s="28" t="str">
        <x:v>твердый сыр</x:v>
      </x:c>
      <x:c r="B310" s="28" t="str">
        <x:v>Молочные продукты и сыры</x:v>
      </x:c>
      <x:c r="C310" s="28" t="str">
        <x:v>молочный, умами, ферментированный</x:v>
      </x:c>
      <x:c r="D310" s="28" t="str">
        <x:v>диацетил, жирные кислоты</x:v>
      </x:c>
      <x:c r="E310" s="28" t="str">
        <x:v>вкусовой баланс зависит от конкретного продукта</x:v>
      </x:c>
      <x:c r="F310" s="28" t="str">
        <x:v>обычно минимальный; проверить для острых и охлаждающих компонентов</x:v>
      </x:c>
      <x:c r="G310" s="28" t="str">
        <x:v>матрица зависит от содержания воды, жира, белка и клетчатки</x:v>
      </x:c>
      <x:c r="H310" s="28" t="str">
        <x:v>сорт, зрелость и технология обработки меняют профиль</x:v>
      </x:c>
      <x:c r="I310" s="28" t="n">
        <x:v>10</x:v>
      </x:c>
    </x:row>
    <x:row r="311" ht="52" customHeight="1">
      <x:c r="A311" s="28" t="str">
        <x:v>телятина</x:v>
      </x:c>
      <x:c r="B311" s="28" t="str">
        <x:v>Прочее</x:v>
      </x:c>
      <x:c r="C311" s="28" t="str">
        <x:v>профиль зависит от конкретного продукта</x:v>
      </x:c>
      <x:c r="D311" s="28" t="str">
        <x:v>нет уточнённого профиля</x:v>
      </x:c>
      <x:c r="E311" s="28" t="str">
        <x:v>вкусовой баланс зависит от конкретного продукта</x:v>
      </x:c>
      <x:c r="F311" s="28" t="str">
        <x:v>обычно минимальный; проверить для острых и охлаждающих компонентов</x:v>
      </x:c>
      <x:c r="G311" s="28" t="str">
        <x:v>матрица зависит от содержания воды, жира, белка и клетчатки</x:v>
      </x:c>
      <x:c r="H311" s="28" t="str">
        <x:v>сорт, зрелость и технология обработки меняют профиль</x:v>
      </x:c>
      <x:c r="I311" s="28" t="n">
        <x:v>1</x:v>
      </x:c>
    </x:row>
    <x:row r="312" ht="52" customHeight="1">
      <x:c r="A312" s="28" t="str">
        <x:v>телячьи зобные железы</x:v>
      </x:c>
      <x:c r="B312" s="28" t="str">
        <x:v>Прочее</x:v>
      </x:c>
      <x:c r="C312" s="28" t="str">
        <x:v>профиль зависит от конкретного продукта</x:v>
      </x:c>
      <x:c r="D312" s="28" t="str">
        <x:v>нет уточнённого профиля</x:v>
      </x:c>
      <x:c r="E312" s="28" t="str">
        <x:v>вкусовой баланс зависит от конкретного продукта</x:v>
      </x:c>
      <x:c r="F312" s="28" t="str">
        <x:v>обычно минимальный; проверить для острых и охлаждающих компонентов</x:v>
      </x:c>
      <x:c r="G312" s="28" t="str">
        <x:v>матрица зависит от содержания воды, жира, белка и клетчатки</x:v>
      </x:c>
      <x:c r="H312" s="28" t="str">
        <x:v>сорт, зрелость и технология обработки меняют профиль</x:v>
      </x:c>
      <x:c r="I312" s="28" t="n">
        <x:v>2</x:v>
      </x:c>
    </x:row>
    <x:row r="313" ht="52" customHeight="1">
      <x:c r="A313" s="28" t="str">
        <x:v>тимьян</x:v>
      </x:c>
      <x:c r="B313" s="28" t="str">
        <x:v>Травы, цветы и листья</x:v>
      </x:c>
      <x:c r="C313" s="28" t="str">
        <x:v>древесный, зелёный, фенольный</x:v>
      </x:c>
      <x:c r="D313" s="28" t="str">
        <x:v>карвакрол, тимол</x:v>
      </x:c>
      <x:c r="E313" s="28" t="str">
        <x:v>вкусовой баланс зависит от конкретного продукта</x:v>
      </x:c>
      <x:c r="F313" s="28" t="str">
        <x:v>обычно минимальный; проверить для острых и охлаждающих компонентов</x:v>
      </x:c>
      <x:c r="G313" s="28" t="str">
        <x:v>матрица зависит от содержания воды, жира, белка и клетчатки</x:v>
      </x:c>
      <x:c r="H313" s="28" t="str">
        <x:v>сорт, зрелость и технология обработки меняют профиль</x:v>
      </x:c>
      <x:c r="I313" s="28" t="n">
        <x:v>8</x:v>
      </x:c>
    </x:row>
    <x:row r="314" ht="52" customHeight="1">
      <x:c r="A314" s="28" t="str">
        <x:v>томат</x:v>
      </x:c>
      <x:c r="B314" s="28" t="str">
        <x:v>Плодовые овощи</x:v>
      </x:c>
      <x:c r="C314" s="28" t="str">
        <x:v>зелёный, фруктовый, листовой, сернистый и умами</x:v>
      </x:c>
      <x:c r="D314" s="28" t="str">
        <x:v>β-ионон, гексаналь, глутамат, метиональ, цис-3-гексеналь</x:v>
      </x:c>
      <x:c r="E314" s="28" t="str">
        <x:v>кислотность, сладость, умами и лёгкая горечь кожицы</x:v>
      </x:c>
      <x:c r="F314" s="28" t="str">
        <x:v>минимальный</x:v>
      </x:c>
      <x:c r="G314" s="28" t="str">
        <x:v>водная кислая матрица с пектином и глутаматом</x:v>
      </x:c>
      <x:c r="H314" s="28" t="str">
        <x:v>нагрев концентрирует умами и сладость, снижает зелёные ноты; сушка усиливает фруктово-умами профиль</x:v>
      </x:c>
      <x:c r="I314" s="28" t="n">
        <x:v>103</x:v>
      </x:c>
    </x:row>
    <x:row r="315" ht="52" customHeight="1">
      <x:c r="A315" s="28" t="str">
        <x:v>томат черри</x:v>
      </x:c>
      <x:c r="B315" s="28" t="str">
        <x:v>Плодовые и тыквенные овощи</x:v>
      </x:c>
      <x:c r="C315" s="28" t="str">
        <x:v>зелёный, фруктовый или водянистый</x:v>
      </x:c>
      <x:c r="D315" s="28" t="str">
        <x:v>альдегиды, эфиры</x:v>
      </x:c>
      <x:c r="E315" s="28" t="str">
        <x:v>вкусовой баланс зависит от конкретного продукта</x:v>
      </x:c>
      <x:c r="F315" s="28" t="str">
        <x:v>обычно минимальный; проверить для острых и охлаждающих компонентов</x:v>
      </x:c>
      <x:c r="G315" s="28" t="str">
        <x:v>матрица зависит от содержания воды, жира, белка и клетчатки</x:v>
      </x:c>
      <x:c r="H315" s="28" t="str">
        <x:v>сорт, зрелость и технология обработки меняют профиль</x:v>
      </x:c>
      <x:c r="I315" s="28" t="n">
        <x:v>1</x:v>
      </x:c>
    </x:row>
    <x:row r="316" ht="52" customHeight="1">
      <x:c r="A316" s="28" t="str">
        <x:v>томатильо</x:v>
      </x:c>
      <x:c r="B316" s="28" t="str">
        <x:v>Плодовые и тыквенные овощи</x:v>
      </x:c>
      <x:c r="C316" s="28" t="str">
        <x:v>зелёный, фруктовый или водянистый</x:v>
      </x:c>
      <x:c r="D316" s="28" t="str">
        <x:v>альдегиды, эфиры</x:v>
      </x:c>
      <x:c r="E316" s="28" t="str">
        <x:v>вкусовой баланс зависит от конкретного продукта</x:v>
      </x:c>
      <x:c r="F316" s="28" t="str">
        <x:v>обычно минимальный; проверить для острых и охлаждающих компонентов</x:v>
      </x:c>
      <x:c r="G316" s="28" t="str">
        <x:v>матрица зависит от содержания воды, жира, белка и клетчатки</x:v>
      </x:c>
      <x:c r="H316" s="28" t="str">
        <x:v>сорт, зрелость и технология обработки меняют профиль</x:v>
      </x:c>
      <x:c r="I316" s="28" t="n">
        <x:v>2</x:v>
      </x:c>
    </x:row>
    <x:row r="317" ht="52" customHeight="1">
      <x:c r="A317" s="28" t="str">
        <x:v>томатный сок</x:v>
      </x:c>
      <x:c r="B317" s="28" t="str">
        <x:v>Плодовые и тыквенные овощи</x:v>
      </x:c>
      <x:c r="C317" s="28" t="str">
        <x:v>зелёный, фруктовый или водянистый</x:v>
      </x:c>
      <x:c r="D317" s="28" t="str">
        <x:v>альдегиды, эфиры</x:v>
      </x:c>
      <x:c r="E317" s="28" t="str">
        <x:v>вкусовой баланс зависит от конкретного продукта</x:v>
      </x:c>
      <x:c r="F317" s="28" t="str">
        <x:v>обычно минимальный; проверить для острых и охлаждающих компонентов</x:v>
      </x:c>
      <x:c r="G317" s="28" t="str">
        <x:v>матрица зависит от содержания воды, жира, белка и клетчатки</x:v>
      </x:c>
      <x:c r="H317" s="28" t="str">
        <x:v>сорт, зрелость и технология обработки меняют профиль</x:v>
      </x:c>
      <x:c r="I317" s="28" t="n">
        <x:v>3</x:v>
      </x:c>
    </x:row>
    <x:row r="318" ht="52" customHeight="1">
      <x:c r="A318" s="28" t="str">
        <x:v>треска</x:v>
      </x:c>
      <x:c r="B318" s="28" t="str">
        <x:v>Рыба и морепродукты</x:v>
      </x:c>
      <x:c r="C318" s="28" t="str">
        <x:v>морской, солоноватый и умами</x:v>
      </x:c>
      <x:c r="D318" s="28" t="str">
        <x:v>альдегиды, амины</x:v>
      </x:c>
      <x:c r="E318" s="28" t="str">
        <x:v>вкусовой баланс зависит от конкретного продукта</x:v>
      </x:c>
      <x:c r="F318" s="28" t="str">
        <x:v>обычно минимальный; проверить для острых и охлаждающих компонентов</x:v>
      </x:c>
      <x:c r="G318" s="28" t="str">
        <x:v>матрица зависит от содержания воды, жира, белка и клетчатки</x:v>
      </x:c>
      <x:c r="H318" s="28" t="str">
        <x:v>сорт, зрелость и технология обработки меняют профиль</x:v>
      </x:c>
      <x:c r="I318" s="28" t="n">
        <x:v>3</x:v>
      </x:c>
    </x:row>
    <x:row r="319" ht="52" customHeight="1">
      <x:c r="A319" s="28" t="str">
        <x:v>трипл-сек</x:v>
      </x:c>
      <x:c r="B319" s="28" t="str">
        <x:v>Прочее</x:v>
      </x:c>
      <x:c r="C319" s="28" t="str">
        <x:v>профиль зависит от конкретного продукта</x:v>
      </x:c>
      <x:c r="D319" s="28" t="str">
        <x:v>нет уточнённого профиля</x:v>
      </x:c>
      <x:c r="E319" s="28" t="str">
        <x:v>вкусовой баланс зависит от конкретного продукта</x:v>
      </x:c>
      <x:c r="F319" s="28" t="str">
        <x:v>обычно минимальный; проверить для острых и охлаждающих компонентов</x:v>
      </x:c>
      <x:c r="G319" s="28" t="str">
        <x:v>матрица зависит от содержания воды, жира, белка и клетчатки</x:v>
      </x:c>
      <x:c r="H319" s="28" t="str">
        <x:v>сорт, зрелость и технология обработки меняют профиль</x:v>
      </x:c>
      <x:c r="I319" s="28" t="n">
        <x:v>1</x:v>
      </x:c>
    </x:row>
    <x:row r="320" ht="52" customHeight="1">
      <x:c r="A320" s="28" t="str">
        <x:v>трюфель</x:v>
      </x:c>
      <x:c r="B320" s="28" t="str">
        <x:v>Грибы</x:v>
      </x:c>
      <x:c r="C320" s="28" t="str">
        <x:v>землистый, грибной и умами</x:v>
      </x:c>
      <x:c r="D320" s="28" t="str">
        <x:v>1-октен-3-ол, сернистые соединения</x:v>
      </x:c>
      <x:c r="E320" s="28" t="str">
        <x:v>вкусовой баланс зависит от конкретного продукта</x:v>
      </x:c>
      <x:c r="F320" s="28" t="str">
        <x:v>обычно минимальный; проверить для острых и охлаждающих компонентов</x:v>
      </x:c>
      <x:c r="G320" s="28" t="str">
        <x:v>матрица зависит от содержания воды, жира, белка и клетчатки</x:v>
      </x:c>
      <x:c r="H320" s="28" t="str">
        <x:v>сорт, зрелость и технология обработки меняют профиль</x:v>
      </x:c>
      <x:c r="I320" s="28" t="n">
        <x:v>10</x:v>
      </x:c>
    </x:row>
    <x:row r="321" ht="52" customHeight="1">
      <x:c r="A321" s="28" t="str">
        <x:v>тыква</x:v>
      </x:c>
      <x:c r="B321" s="28" t="str">
        <x:v>Тыквенные</x:v>
      </x:c>
      <x:c r="C321" s="28" t="str">
        <x:v>сладкий, крахмалистый, ореховый и слегка цветочный</x:v>
      </x:c>
      <x:c r="D321" s="28" t="str">
        <x:v>лактоны, норизопреноиды, пиразины, фураны</x:v>
      </x:c>
      <x:c r="E321" s="28" t="str">
        <x:v>сладость, мягкая крахмалистость и слабая горечь</x:v>
      </x:c>
      <x:c r="F321" s="28" t="str">
        <x:v>минимальный</x:v>
      </x:c>
      <x:c r="G321" s="28" t="str">
        <x:v>водно-крахмалистая матрица; хорошо принимает жир и специи</x:v>
      </x:c>
      <x:c r="H321" s="28" t="str">
        <x:v>запекание усиливает карамельность и ореховые ноты; пюре удерживает ароматику</x:v>
      </x:c>
      <x:c r="I321" s="28" t="n">
        <x:v>29</x:v>
      </x:c>
    </x:row>
    <x:row r="322" ht="52" customHeight="1">
      <x:c r="A322" s="28" t="str">
        <x:v>тыква баттернат</x:v>
      </x:c>
      <x:c r="B322" s="28" t="str">
        <x:v>Тыквенные</x:v>
      </x:c>
      <x:c r="C322" s="28" t="str">
        <x:v>сладкий, сливочный, ореховый и карамельный</x:v>
      </x:c>
      <x:c r="D322" s="28" t="str">
        <x:v>лактоны, мальтол, норизопреноиды, фураны</x:v>
      </x:c>
      <x:c r="E322" s="28" t="str">
        <x:v>выраженная сладость и кремовая крахмалистость</x:v>
      </x:c>
      <x:c r="F322" s="28" t="str">
        <x:v>минимальный</x:v>
      </x:c>
      <x:c r="G322" s="28" t="str">
        <x:v>плотная крахмалистая мякоть, образующая стабильное пюре</x:v>
      </x:c>
      <x:c r="H322" s="28" t="str">
        <x:v>запекание усиливает ореховые и карамельные ноты; жир раскрывает лактоны</x:v>
      </x:c>
      <x:c r="I322" s="28" t="n">
        <x:v>29</x:v>
      </x:c>
    </x:row>
    <x:row r="323" ht="52" customHeight="1">
      <x:c r="A323" s="28" t="str">
        <x:v>тюрбо</x:v>
      </x:c>
      <x:c r="B323" s="28" t="str">
        <x:v>Прочее</x:v>
      </x:c>
      <x:c r="C323" s="28" t="str">
        <x:v>профиль зависит от конкретного продукта</x:v>
      </x:c>
      <x:c r="D323" s="28" t="str">
        <x:v>нет уточнённого профиля</x:v>
      </x:c>
      <x:c r="E323" s="28" t="str">
        <x:v>вкусовой баланс зависит от конкретного продукта</x:v>
      </x:c>
      <x:c r="F323" s="28" t="str">
        <x:v>обычно минимальный; проверить для острых и охлаждающих компонентов</x:v>
      </x:c>
      <x:c r="G323" s="28" t="str">
        <x:v>матрица зависит от содержания воды, жира, белка и клетчатки</x:v>
      </x:c>
      <x:c r="H323" s="28" t="str">
        <x:v>сорт, зрелость и технология обработки меняют профиль</x:v>
      </x:c>
      <x:c r="I323" s="28" t="n">
        <x:v>2</x:v>
      </x:c>
    </x:row>
    <x:row r="324" ht="52" customHeight="1">
      <x:c r="A324" s="28" t="str">
        <x:v>тёмный шоколад</x:v>
      </x:c>
      <x:c r="B324" s="28" t="str">
        <x:v>Какао и шоколад</x:v>
      </x:c>
      <x:c r="C324" s="28" t="str">
        <x:v>жареный, какаовый, карамельный</x:v>
      </x:c>
      <x:c r="D324" s="28" t="str">
        <x:v>пиразины, фураны</x:v>
      </x:c>
      <x:c r="E324" s="28" t="str">
        <x:v>вкусовой баланс зависит от конкретного продукта</x:v>
      </x:c>
      <x:c r="F324" s="28" t="str">
        <x:v>обычно минимальный; проверить для острых и охлаждающих компонентов</x:v>
      </x:c>
      <x:c r="G324" s="28" t="str">
        <x:v>матрица зависит от содержания воды, жира, белка и клетчатки</x:v>
      </x:c>
      <x:c r="H324" s="28" t="str">
        <x:v>сорт, зрелость и технология обработки меняют профиль</x:v>
      </x:c>
      <x:c r="I324" s="28" t="n">
        <x:v>2</x:v>
      </x:c>
    </x:row>
    <x:row r="325" ht="52" customHeight="1">
      <x:c r="A325" s="28" t="str">
        <x:v>укроп</x:v>
      </x:c>
      <x:c r="B325" s="28" t="str">
        <x:v>Травы, цветы и листья</x:v>
      </x:c>
      <x:c r="C325" s="28" t="str">
        <x:v>анисовый, зелёный</x:v>
      </x:c>
      <x:c r="D325" s="28" t="str">
        <x:v>карвон, лимонен</x:v>
      </x:c>
      <x:c r="E325" s="28" t="str">
        <x:v>вкусовой баланс зависит от конкретного продукта</x:v>
      </x:c>
      <x:c r="F325" s="28" t="str">
        <x:v>обычно минимальный; проверить для острых и охлаждающих компонентов</x:v>
      </x:c>
      <x:c r="G325" s="28" t="str">
        <x:v>матрица зависит от содержания воды, жира, белка и клетчатки</x:v>
      </x:c>
      <x:c r="H325" s="28" t="str">
        <x:v>сорт, зрелость и технология обработки меняют профиль</x:v>
      </x:c>
      <x:c r="I325" s="28" t="n">
        <x:v>5</x:v>
      </x:c>
    </x:row>
    <x:row r="326" ht="52" customHeight="1">
      <x:c r="A326" s="28" t="str">
        <x:v>устрица</x:v>
      </x:c>
      <x:c r="B326" s="28" t="str">
        <x:v>Рыба и морепродукты</x:v>
      </x:c>
      <x:c r="C326" s="28" t="str">
        <x:v>морской, солоноватый и умами</x:v>
      </x:c>
      <x:c r="D326" s="28" t="str">
        <x:v>альдегиды, амины</x:v>
      </x:c>
      <x:c r="E326" s="28" t="str">
        <x:v>вкусовой баланс зависит от конкретного продукта</x:v>
      </x:c>
      <x:c r="F326" s="28" t="str">
        <x:v>обычно минимальный; проверить для острых и охлаждающих компонентов</x:v>
      </x:c>
      <x:c r="G326" s="28" t="str">
        <x:v>матрица зависит от содержания воды, жира, белка и клетчатки</x:v>
      </x:c>
      <x:c r="H326" s="28" t="str">
        <x:v>сорт, зрелость и технология обработки меняют профиль</x:v>
      </x:c>
      <x:c r="I326" s="28" t="n">
        <x:v>1</x:v>
      </x:c>
    </x:row>
    <x:row r="327" ht="52" customHeight="1">
      <x:c r="A327" s="28" t="str">
        <x:v>устрицы</x:v>
      </x:c>
      <x:c r="B327" s="28" t="str">
        <x:v>Рыба и морепродукты</x:v>
      </x:c>
      <x:c r="C327" s="28" t="str">
        <x:v>морской, солоноватый и умами</x:v>
      </x:c>
      <x:c r="D327" s="28" t="str">
        <x:v>альдегиды, амины</x:v>
      </x:c>
      <x:c r="E327" s="28" t="str">
        <x:v>вкусовой баланс зависит от конкретного продукта</x:v>
      </x:c>
      <x:c r="F327" s="28" t="str">
        <x:v>обычно минимальный; проверить для острых и охлаждающих компонентов</x:v>
      </x:c>
      <x:c r="G327" s="28" t="str">
        <x:v>матрица зависит от содержания воды, жира, белка и клетчатки</x:v>
      </x:c>
      <x:c r="H327" s="28" t="str">
        <x:v>сорт, зрелость и технология обработки меняют профиль</x:v>
      </x:c>
      <x:c r="I327" s="28" t="n">
        <x:v>4</x:v>
      </x:c>
    </x:row>
    <x:row r="328" ht="52" customHeight="1">
      <x:c r="A328" s="28" t="str">
        <x:v>утиная грудка</x:v>
      </x:c>
      <x:c r="B328" s="28" t="str">
        <x:v>Прочее</x:v>
      </x:c>
      <x:c r="C328" s="28" t="str">
        <x:v>профиль зависит от конкретного продукта</x:v>
      </x:c>
      <x:c r="D328" s="28" t="str">
        <x:v>нет уточнённого профиля</x:v>
      </x:c>
      <x:c r="E328" s="28" t="str">
        <x:v>вкусовой баланс зависит от конкретного продукта</x:v>
      </x:c>
      <x:c r="F328" s="28" t="str">
        <x:v>обычно минимальный; проверить для острых и охлаждающих компонентов</x:v>
      </x:c>
      <x:c r="G328" s="28" t="str">
        <x:v>матрица зависит от содержания воды, жира, белка и клетчатки</x:v>
      </x:c>
      <x:c r="H328" s="28" t="str">
        <x:v>сорт, зрелость и технология обработки меняют профиль</x:v>
      </x:c>
      <x:c r="I328" s="28" t="n">
        <x:v>1</x:v>
      </x:c>
    </x:row>
    <x:row r="329" ht="52" customHeight="1">
      <x:c r="A329" s="28" t="str">
        <x:v>фенхель</x:v>
      </x:c>
      <x:c r="B329" s="28" t="str">
        <x:v>Стеблевые овощи</x:v>
      </x:c>
      <x:c r="C329" s="28" t="str">
        <x:v>анисовый, зелёный, свежий и сладковатый</x:v>
      </x:c>
      <x:c r="D329" s="28" t="str">
        <x:v>лимонен, транс-анетол, фенхон, эстрагол</x:v>
      </x:c>
      <x:c r="E329" s="28" t="str">
        <x:v>сладость, анисовость и лёгкая горечь</x:v>
      </x:c>
      <x:c r="F329" s="28" t="str">
        <x:v>прохладно-анисовое ощущение</x:v>
      </x:c>
      <x:c r="G329" s="28" t="str">
        <x:v>водная волокнистая луковица с гидрофобным эфирным маслом</x:v>
      </x:c>
      <x:c r="H329" s="28" t="str">
        <x:v>сырой сохраняет свежий анис; запекание смягчает аромат и усиливает сладость</x:v>
      </x:c>
      <x:c r="I329" s="28" t="n">
        <x:v>19</x:v>
      </x:c>
    </x:row>
    <x:row r="330" ht="52" customHeight="1">
      <x:c r="A330" s="28" t="str">
        <x:v>фонио</x:v>
      </x:c>
      <x:c r="B330" s="28" t="str">
        <x:v>Прочее</x:v>
      </x:c>
      <x:c r="C330" s="28" t="str">
        <x:v>профиль зависит от конкретного продукта</x:v>
      </x:c>
      <x:c r="D330" s="28" t="str">
        <x:v>нет уточнённого профиля</x:v>
      </x:c>
      <x:c r="E330" s="28" t="str">
        <x:v>вкусовой баланс зависит от конкретного продукта</x:v>
      </x:c>
      <x:c r="F330" s="28" t="str">
        <x:v>обычно минимальный; проверить для острых и охлаждающих компонентов</x:v>
      </x:c>
      <x:c r="G330" s="28" t="str">
        <x:v>матрица зависит от содержания воды, жира, белка и клетчатки</x:v>
      </x:c>
      <x:c r="H330" s="28" t="str">
        <x:v>сорт, зрелость и технология обработки меняют профиль</x:v>
      </x:c>
      <x:c r="I330" s="28" t="n">
        <x:v>1</x:v>
      </x:c>
    </x:row>
    <x:row r="331" ht="52" customHeight="1">
      <x:c r="A331" s="28" t="str">
        <x:v>франкфуртская колбаска</x:v>
      </x:c>
      <x:c r="B331" s="28" t="str">
        <x:v>Прочее</x:v>
      </x:c>
      <x:c r="C331" s="28" t="str">
        <x:v>профиль зависит от конкретного продукта</x:v>
      </x:c>
      <x:c r="D331" s="28" t="str">
        <x:v>нет уточнённого профиля</x:v>
      </x:c>
      <x:c r="E331" s="28" t="str">
        <x:v>вкусовой баланс зависит от конкретного продукта</x:v>
      </x:c>
      <x:c r="F331" s="28" t="str">
        <x:v>обычно минимальный; проверить для острых и охлаждающих компонентов</x:v>
      </x:c>
      <x:c r="G331" s="28" t="str">
        <x:v>матрица зависит от содержания воды, жира, белка и клетчатки</x:v>
      </x:c>
      <x:c r="H331" s="28" t="str">
        <x:v>сорт, зрелость и технология обработки меняют профиль</x:v>
      </x:c>
      <x:c r="I331" s="28" t="n">
        <x:v>1</x:v>
      </x:c>
    </x:row>
    <x:row r="332" ht="52" customHeight="1">
      <x:c r="A332" s="28" t="str">
        <x:v>фундук</x:v>
      </x:c>
      <x:c r="B332" s="28" t="str">
        <x:v>Орехи и семена</x:v>
      </x:c>
      <x:c r="C332" s="28" t="str">
        <x:v>жареный, какаовый, ореховый</x:v>
      </x:c>
      <x:c r="D332" s="28" t="str">
        <x:v>пиразины, фильбертон</x:v>
      </x:c>
      <x:c r="E332" s="28" t="str">
        <x:v>вкусовой баланс зависит от конкретного продукта</x:v>
      </x:c>
      <x:c r="F332" s="28" t="str">
        <x:v>обычно минимальный; проверить для острых и охлаждающих компонентов</x:v>
      </x:c>
      <x:c r="G332" s="28" t="str">
        <x:v>матрица зависит от содержания воды, жира, белка и клетчатки</x:v>
      </x:c>
      <x:c r="H332" s="28" t="str">
        <x:v>сорт, зрелость и технология обработки меняют профиль</x:v>
      </x:c>
      <x:c r="I332" s="28" t="n">
        <x:v>15</x:v>
      </x:c>
    </x:row>
    <x:row r="333" ht="52" customHeight="1">
      <x:c r="A333" s="28" t="str">
        <x:v>хамон иберико</x:v>
      </x:c>
      <x:c r="B333" s="28" t="str">
        <x:v>Мясо и птица</x:v>
      </x:c>
      <x:c r="C333" s="28" t="str">
        <x:v>жареный, мясной и умами</x:v>
      </x:c>
      <x:c r="D333" s="28" t="str">
        <x:v>пиразины, сернистые соединения</x:v>
      </x:c>
      <x:c r="E333" s="28" t="str">
        <x:v>вкусовой баланс зависит от конкретного продукта</x:v>
      </x:c>
      <x:c r="F333" s="28" t="str">
        <x:v>обычно минимальный; проверить для острых и охлаждающих компонентов</x:v>
      </x:c>
      <x:c r="G333" s="28" t="str">
        <x:v>матрица зависит от содержания воды, жира, белка и клетчатки</x:v>
      </x:c>
      <x:c r="H333" s="28" t="str">
        <x:v>сорт, зрелость и технология обработки меняют профиль</x:v>
      </x:c>
      <x:c r="I333" s="28" t="n">
        <x:v>7</x:v>
      </x:c>
    </x:row>
    <x:row r="334" ht="52" customHeight="1">
      <x:c r="A334" s="28" t="str">
        <x:v>хлеб</x:v>
      </x:c>
      <x:c r="B334" s="28" t="str">
        <x:v>Выпечка, крупы, сахара и десерты</x:v>
      </x:c>
      <x:c r="C334" s="28" t="str">
        <x:v>жареный, зерновой</x:v>
      </x:c>
      <x:c r="D334" s="28" t="str">
        <x:v>3-метилбутаналь, пиразины, фураны</x:v>
      </x:c>
      <x:c r="E334" s="28" t="str">
        <x:v>вкусовой баланс зависит от конкретного продукта</x:v>
      </x:c>
      <x:c r="F334" s="28" t="str">
        <x:v>обычно минимальный; проверить для острых и охлаждающих компонентов</x:v>
      </x:c>
      <x:c r="G334" s="28" t="str">
        <x:v>матрица зависит от содержания воды, жира, белка и клетчатки</x:v>
      </x:c>
      <x:c r="H334" s="28" t="str">
        <x:v>сорт, зрелость и технология обработки меняют профиль</x:v>
      </x:c>
      <x:c r="I334" s="28" t="n">
        <x:v>4</x:v>
      </x:c>
    </x:row>
    <x:row r="335" ht="52" customHeight="1">
      <x:c r="A335" s="28" t="str">
        <x:v>хлеб на закваске</x:v>
      </x:c>
      <x:c r="B335" s="28" t="str">
        <x:v>Выпечка, крупы, сахара и десерты</x:v>
      </x:c>
      <x:c r="C335" s="28" t="str">
        <x:v>жареный, зерновой</x:v>
      </x:c>
      <x:c r="D335" s="28" t="str">
        <x:v>3-метилбутаналь, пиразины, фураны</x:v>
      </x:c>
      <x:c r="E335" s="28" t="str">
        <x:v>вкусовой баланс зависит от конкретного продукта</x:v>
      </x:c>
      <x:c r="F335" s="28" t="str">
        <x:v>обычно минимальный; проверить для острых и охлаждающих компонентов</x:v>
      </x:c>
      <x:c r="G335" s="28" t="str">
        <x:v>матрица зависит от содержания воды, жира, белка и клетчатки</x:v>
      </x:c>
      <x:c r="H335" s="28" t="str">
        <x:v>сорт, зрелость и технология обработки меняют профиль</x:v>
      </x:c>
      <x:c r="I335" s="28" t="n">
        <x:v>2</x:v>
      </x:c>
    </x:row>
    <x:row r="336" ht="52" customHeight="1">
      <x:c r="A336" s="28" t="str">
        <x:v>хрен</x:v>
      </x:c>
      <x:c r="B336" s="28" t="str">
        <x:v>Прочее</x:v>
      </x:c>
      <x:c r="C336" s="28" t="str">
        <x:v>профиль зависит от конкретного продукта</x:v>
      </x:c>
      <x:c r="D336" s="28" t="str">
        <x:v>нет уточнённого профиля</x:v>
      </x:c>
      <x:c r="E336" s="28" t="str">
        <x:v>вкусовой баланс зависит от конкретного продукта</x:v>
      </x:c>
      <x:c r="F336" s="28" t="str">
        <x:v>обычно минимальный; проверить для острых и охлаждающих компонентов</x:v>
      </x:c>
      <x:c r="G336" s="28" t="str">
        <x:v>матрица зависит от содержания воды, жира, белка и клетчатки</x:v>
      </x:c>
      <x:c r="H336" s="28" t="str">
        <x:v>сорт, зрелость и технология обработки меняют профиль</x:v>
      </x:c>
      <x:c r="I336" s="28" t="n">
        <x:v>5</x:v>
      </x:c>
    </x:row>
    <x:row r="337" ht="52" customHeight="1">
      <x:c r="A337" s="28" t="str">
        <x:v>хумус</x:v>
      </x:c>
      <x:c r="B337" s="28" t="str">
        <x:v>Прочее</x:v>
      </x:c>
      <x:c r="C337" s="28" t="str">
        <x:v>профиль зависит от конкретного продукта</x:v>
      </x:c>
      <x:c r="D337" s="28" t="str">
        <x:v>нет уточнённого профиля</x:v>
      </x:c>
      <x:c r="E337" s="28" t="str">
        <x:v>вкусовой баланс зависит от конкретного продукта</x:v>
      </x:c>
      <x:c r="F337" s="28" t="str">
        <x:v>обычно минимальный; проверить для острых и охлаждающих компонентов</x:v>
      </x:c>
      <x:c r="G337" s="28" t="str">
        <x:v>матрица зависит от содержания воды, жира, белка и клетчатки</x:v>
      </x:c>
      <x:c r="H337" s="28" t="str">
        <x:v>сорт, зрелость и технология обработки меняют профиль</x:v>
      </x:c>
      <x:c r="I337" s="28" t="n">
        <x:v>1</x:v>
      </x:c>
    </x:row>
    <x:row r="338" ht="52" customHeight="1">
      <x:c r="A338" s="28" t="str">
        <x:v>хурма</x:v>
      </x:c>
      <x:c r="B338" s="28" t="str">
        <x:v>Прочее</x:v>
      </x:c>
      <x:c r="C338" s="28" t="str">
        <x:v>профиль зависит от конкретного продукта</x:v>
      </x:c>
      <x:c r="D338" s="28" t="str">
        <x:v>нет уточнённого профиля</x:v>
      </x:c>
      <x:c r="E338" s="28" t="str">
        <x:v>вкусовой баланс зависит от конкретного продукта</x:v>
      </x:c>
      <x:c r="F338" s="28" t="str">
        <x:v>обычно минимальный; проверить для острых и охлаждающих компонентов</x:v>
      </x:c>
      <x:c r="G338" s="28" t="str">
        <x:v>матрица зависит от содержания воды, жира, белка и клетчатки</x:v>
      </x:c>
      <x:c r="H338" s="28" t="str">
        <x:v>сорт, зрелость и технология обработки меняют профиль</x:v>
      </x:c>
      <x:c r="I338" s="28" t="n">
        <x:v>1</x:v>
      </x:c>
    </x:row>
    <x:row r="339" ht="52" customHeight="1">
      <x:c r="A339" s="28" t="str">
        <x:v>цветная капуста</x:v>
      </x:c>
      <x:c r="B339" s="28" t="str">
        <x:v>Крестоцветные</x:v>
      </x:c>
      <x:c r="C339" s="28" t="str">
        <x:v>мягко капустный, ореховый, сернистый и сливочный после запекания</x:v>
      </x:c>
      <x:c r="D339" s="28" t="str">
        <x:v>диметилсульфид, изотиоцианаты, метантиол, пиразины</x:v>
      </x:c>
      <x:c r="E339" s="28" t="str">
        <x:v>мягкая сладость, умами и лёгкая горечь</x:v>
      </x:c>
      <x:c r="F339" s="28" t="str">
        <x:v>минимальный</x:v>
      </x:c>
      <x:c r="G339" s="28" t="str">
        <x:v>водная соцветная матрица, хорошо удерживающая жир и соус</x:v>
      </x:c>
      <x:c r="H339" s="28" t="str">
        <x:v>запекание создаёт ореховые и жареные ноты; длительная варка усиливает сернистость</x:v>
      </x:c>
      <x:c r="I339" s="28" t="n">
        <x:v>26</x:v>
      </x:c>
    </x:row>
    <x:row r="340" ht="52" customHeight="1">
      <x:c r="A340" s="28" t="str">
        <x:v>цветок акмеллы</x:v>
      </x:c>
      <x:c r="B340" s="28" t="str">
        <x:v>Прочее</x:v>
      </x:c>
      <x:c r="C340" s="28" t="str">
        <x:v>профиль зависит от конкретного продукта</x:v>
      </x:c>
      <x:c r="D340" s="28" t="str">
        <x:v>нет уточнённого профиля</x:v>
      </x:c>
      <x:c r="E340" s="28" t="str">
        <x:v>вкусовой баланс зависит от конкретного продукта</x:v>
      </x:c>
      <x:c r="F340" s="28" t="str">
        <x:v>обычно минимальный; проверить для острых и охлаждающих компонентов</x:v>
      </x:c>
      <x:c r="G340" s="28" t="str">
        <x:v>матрица зависит от содержания воды, жира, белка и клетчатки</x:v>
      </x:c>
      <x:c r="H340" s="28" t="str">
        <x:v>сорт, зрелость и технология обработки меняют профиль</x:v>
      </x:c>
      <x:c r="I340" s="28" t="n">
        <x:v>1</x:v>
      </x:c>
    </x:row>
    <x:row r="341" ht="52" customHeight="1">
      <x:c r="A341" s="28" t="str">
        <x:v>цветы</x:v>
      </x:c>
      <x:c r="B341" s="28" t="str">
        <x:v>Прочее</x:v>
      </x:c>
      <x:c r="C341" s="28" t="str">
        <x:v>профиль зависит от конкретного продукта</x:v>
      </x:c>
      <x:c r="D341" s="28" t="str">
        <x:v>нет уточнённого профиля</x:v>
      </x:c>
      <x:c r="E341" s="28" t="str">
        <x:v>вкусовой баланс зависит от конкретного продукта</x:v>
      </x:c>
      <x:c r="F341" s="28" t="str">
        <x:v>обычно минимальный; проверить для острых и охлаждающих компонентов</x:v>
      </x:c>
      <x:c r="G341" s="28" t="str">
        <x:v>матрица зависит от содержания воды, жира, белка и клетчатки</x:v>
      </x:c>
      <x:c r="H341" s="28" t="str">
        <x:v>сорт, зрелость и технология обработки меняют профиль</x:v>
      </x:c>
      <x:c r="I341" s="28" t="n">
        <x:v>1</x:v>
      </x:c>
    </x:row>
    <x:row r="342" ht="52" customHeight="1">
      <x:c r="A342" s="28" t="str">
        <x:v>цветы агастахе</x:v>
      </x:c>
      <x:c r="B342" s="28" t="str">
        <x:v>Прочее</x:v>
      </x:c>
      <x:c r="C342" s="28" t="str">
        <x:v>профиль зависит от конкретного продукта</x:v>
      </x:c>
      <x:c r="D342" s="28" t="str">
        <x:v>нет уточнённого профиля</x:v>
      </x:c>
      <x:c r="E342" s="28" t="str">
        <x:v>вкусовой баланс зависит от конкретного продукта</x:v>
      </x:c>
      <x:c r="F342" s="28" t="str">
        <x:v>обычно минимальный; проверить для острых и охлаждающих компонентов</x:v>
      </x:c>
      <x:c r="G342" s="28" t="str">
        <x:v>матрица зависит от содержания воды, жира, белка и клетчатки</x:v>
      </x:c>
      <x:c r="H342" s="28" t="str">
        <x:v>сорт, зрелость и технология обработки меняют профиль</x:v>
      </x:c>
      <x:c r="I342" s="28" t="n">
        <x:v>1</x:v>
      </x:c>
    </x:row>
    <x:row r="343" ht="52" customHeight="1">
      <x:c r="A343" s="28" t="str">
        <x:v>цветы бузины</x:v>
      </x:c>
      <x:c r="B343" s="28" t="str">
        <x:v>Травы, цветы и листья</x:v>
      </x:c>
      <x:c r="C343" s="28" t="str">
        <x:v>зелёный, цветочный и терпеновый</x:v>
      </x:c>
      <x:c r="D343" s="28" t="str">
        <x:v>линалоол, терпены</x:v>
      </x:c>
      <x:c r="E343" s="28" t="str">
        <x:v>вкусовой баланс зависит от конкретного продукта</x:v>
      </x:c>
      <x:c r="F343" s="28" t="str">
        <x:v>обычно минимальный; проверить для острых и охлаждающих компонентов</x:v>
      </x:c>
      <x:c r="G343" s="28" t="str">
        <x:v>матрица зависит от содержания воды, жира, белка и клетчатки</x:v>
      </x:c>
      <x:c r="H343" s="28" t="str">
        <x:v>сорт, зрелость и технология обработки меняют профиль</x:v>
      </x:c>
      <x:c r="I343" s="28" t="n">
        <x:v>1</x:v>
      </x:c>
    </x:row>
    <x:row r="344" ht="52" customHeight="1">
      <x:c r="A344" s="28" t="str">
        <x:v>цедра лимона</x:v>
      </x:c>
      <x:c r="B344" s="28" t="str">
        <x:v>Фрукты и ягоды</x:v>
      </x:c>
      <x:c r="C344" s="28" t="str">
        <x:v>кислый, свежий, цитрусовый</x:v>
      </x:c>
      <x:c r="D344" s="28" t="str">
        <x:v>лимонен, цитраль</x:v>
      </x:c>
      <x:c r="E344" s="28" t="str">
        <x:v>вкусовой баланс зависит от конкретного продукта</x:v>
      </x:c>
      <x:c r="F344" s="28" t="str">
        <x:v>обычно минимальный; проверить для острых и охлаждающих компонентов</x:v>
      </x:c>
      <x:c r="G344" s="28" t="str">
        <x:v>матрица зависит от содержания воды, жира, белка и клетчатки</x:v>
      </x:c>
      <x:c r="H344" s="28" t="str">
        <x:v>сорт, зрелость и технология обработки меняют профиль</x:v>
      </x:c>
      <x:c r="I344" s="28" t="n">
        <x:v>1</x:v>
      </x:c>
    </x:row>
    <x:row r="345" ht="52" customHeight="1">
      <x:c r="A345" s="28" t="str">
        <x:v>цесарка</x:v>
      </x:c>
      <x:c r="B345" s="28" t="str">
        <x:v>Прочее</x:v>
      </x:c>
      <x:c r="C345" s="28" t="str">
        <x:v>профиль зависит от конкретного продукта</x:v>
      </x:c>
      <x:c r="D345" s="28" t="str">
        <x:v>нет уточнённого профиля</x:v>
      </x:c>
      <x:c r="E345" s="28" t="str">
        <x:v>вкусовой баланс зависит от конкретного продукта</x:v>
      </x:c>
      <x:c r="F345" s="28" t="str">
        <x:v>обычно минимальный; проверить для острых и охлаждающих компонентов</x:v>
      </x:c>
      <x:c r="G345" s="28" t="str">
        <x:v>матрица зависит от содержания воды, жира, белка и клетчатки</x:v>
      </x:c>
      <x:c r="H345" s="28" t="str">
        <x:v>сорт, зрелость и технология обработки меняют профиль</x:v>
      </x:c>
      <x:c r="I345" s="28" t="n">
        <x:v>1</x:v>
      </x:c>
    </x:row>
    <x:row r="346" ht="52" customHeight="1">
      <x:c r="A346" s="28" t="str">
        <x:v>цитрон рука Будды</x:v>
      </x:c>
      <x:c r="B346" s="28" t="str">
        <x:v>Прочее</x:v>
      </x:c>
      <x:c r="C346" s="28" t="str">
        <x:v>профиль зависит от конкретного продукта</x:v>
      </x:c>
      <x:c r="D346" s="28" t="str">
        <x:v>нет уточнённого профиля</x:v>
      </x:c>
      <x:c r="E346" s="28" t="str">
        <x:v>вкусовой баланс зависит от конкретного продукта</x:v>
      </x:c>
      <x:c r="F346" s="28" t="str">
        <x:v>обычно минимальный; проверить для острых и охлаждающих компонентов</x:v>
      </x:c>
      <x:c r="G346" s="28" t="str">
        <x:v>матрица зависит от содержания воды, жира, белка и клетчатки</x:v>
      </x:c>
      <x:c r="H346" s="28" t="str">
        <x:v>сорт, зрелость и технология обработки меняют профиль</x:v>
      </x:c>
      <x:c r="I346" s="28" t="n">
        <x:v>1</x:v>
      </x:c>
    </x:row>
    <x:row r="347" ht="52" customHeight="1">
      <x:c r="A347" s="28" t="str">
        <x:v>цитрусовые</x:v>
      </x:c>
      <x:c r="B347" s="28" t="str">
        <x:v>Прочее</x:v>
      </x:c>
      <x:c r="C347" s="28" t="str">
        <x:v>профиль зависит от конкретного продукта</x:v>
      </x:c>
      <x:c r="D347" s="28" t="str">
        <x:v>нет уточнённого профиля</x:v>
      </x:c>
      <x:c r="E347" s="28" t="str">
        <x:v>вкусовой баланс зависит от конкретного продукта</x:v>
      </x:c>
      <x:c r="F347" s="28" t="str">
        <x:v>обычно минимальный; проверить для острых и охлаждающих компонентов</x:v>
      </x:c>
      <x:c r="G347" s="28" t="str">
        <x:v>матрица зависит от содержания воды, жира, белка и клетчатки</x:v>
      </x:c>
      <x:c r="H347" s="28" t="str">
        <x:v>сорт, зрелость и технология обработки меняют профиль</x:v>
      </x:c>
      <x:c r="I347" s="28" t="n">
        <x:v>1</x:v>
      </x:c>
    </x:row>
    <x:row r="348" ht="52" customHeight="1">
      <x:c r="A348" s="28" t="str">
        <x:v>цукаты из апельсиновой корки</x:v>
      </x:c>
      <x:c r="B348" s="28" t="str">
        <x:v>Фрукты и ягоды</x:v>
      </x:c>
      <x:c r="C348" s="28" t="str">
        <x:v>сладкий, цветочный, цитрусовый</x:v>
      </x:c>
      <x:c r="D348" s="28" t="str">
        <x:v>лимонен, линалоол</x:v>
      </x:c>
      <x:c r="E348" s="28" t="str">
        <x:v>вкусовой баланс зависит от конкретного продукта</x:v>
      </x:c>
      <x:c r="F348" s="28" t="str">
        <x:v>обычно минимальный; проверить для острых и охлаждающих компонентов</x:v>
      </x:c>
      <x:c r="G348" s="28" t="str">
        <x:v>матрица зависит от содержания воды, жира, белка и клетчатки</x:v>
      </x:c>
      <x:c r="H348" s="28" t="str">
        <x:v>сорт, зрелость и технология обработки меняют профиль</x:v>
      </x:c>
      <x:c r="I348" s="28" t="n">
        <x:v>1</x:v>
      </x:c>
    </x:row>
    <x:row r="349" ht="52" customHeight="1">
      <x:c r="A349" s="28" t="str">
        <x:v>цыпленок</x:v>
      </x:c>
      <x:c r="B349" s="28" t="str">
        <x:v>Прочее</x:v>
      </x:c>
      <x:c r="C349" s="28" t="str">
        <x:v>профиль зависит от конкретного продукта</x:v>
      </x:c>
      <x:c r="D349" s="28" t="str">
        <x:v>нет уточнённого профиля</x:v>
      </x:c>
      <x:c r="E349" s="28" t="str">
        <x:v>вкусовой баланс зависит от конкретного продукта</x:v>
      </x:c>
      <x:c r="F349" s="28" t="str">
        <x:v>обычно минимальный; проверить для острых и охлаждающих компонентов</x:v>
      </x:c>
      <x:c r="G349" s="28" t="str">
        <x:v>матрица зависит от содержания воды, жира, белка и клетчатки</x:v>
      </x:c>
      <x:c r="H349" s="28" t="str">
        <x:v>сорт, зрелость и технология обработки меняют профиль</x:v>
      </x:c>
      <x:c r="I349" s="28" t="n">
        <x:v>10</x:v>
      </x:c>
    </x:row>
    <x:row r="350" ht="52" customHeight="1">
      <x:c r="A350" s="28" t="str">
        <x:v>чабер</x:v>
      </x:c>
      <x:c r="B350" s="28" t="str">
        <x:v>Прочее</x:v>
      </x:c>
      <x:c r="C350" s="28" t="str">
        <x:v>профиль зависит от конкретного продукта</x:v>
      </x:c>
      <x:c r="D350" s="28" t="str">
        <x:v>нет уточнённого профиля</x:v>
      </x:c>
      <x:c r="E350" s="28" t="str">
        <x:v>вкусовой баланс зависит от конкретного продукта</x:v>
      </x:c>
      <x:c r="F350" s="28" t="str">
        <x:v>обычно минимальный; проверить для острых и охлаждающих компонентов</x:v>
      </x:c>
      <x:c r="G350" s="28" t="str">
        <x:v>матрица зависит от содержания воды, жира, белка и клетчатки</x:v>
      </x:c>
      <x:c r="H350" s="28" t="str">
        <x:v>сорт, зрелость и технология обработки меняют профиль</x:v>
      </x:c>
      <x:c r="I350" s="28" t="n">
        <x:v>1</x:v>
      </x:c>
    </x:row>
    <x:row r="351" ht="52" customHeight="1">
      <x:c r="A351" s="28" t="str">
        <x:v>чай</x:v>
      </x:c>
      <x:c r="B351" s="28" t="str">
        <x:v>Чай</x:v>
      </x:c>
      <x:c r="C351" s="28" t="str">
        <x:v>цветочный, древесный или зелёный</x:v>
      </x:c>
      <x:c r="D351" s="28" t="str">
        <x:v>линалоол, полифенолы</x:v>
      </x:c>
      <x:c r="E351" s="28" t="str">
        <x:v>вкусовой баланс зависит от конкретного продукта</x:v>
      </x:c>
      <x:c r="F351" s="28" t="str">
        <x:v>обычно минимальный; проверить для острых и охлаждающих компонентов</x:v>
      </x:c>
      <x:c r="G351" s="28" t="str">
        <x:v>матрица зависит от содержания воды, жира, белка и клетчатки</x:v>
      </x:c>
      <x:c r="H351" s="28" t="str">
        <x:v>сорт, зрелость и технология обработки меняют профиль</x:v>
      </x:c>
      <x:c r="I351" s="28" t="n">
        <x:v>4</x:v>
      </x:c>
    </x:row>
    <x:row r="352" ht="52" customHeight="1">
      <x:c r="A352" s="28" t="str">
        <x:v>чеддер</x:v>
      </x:c>
      <x:c r="B352" s="28" t="str">
        <x:v>Прочее</x:v>
      </x:c>
      <x:c r="C352" s="28" t="str">
        <x:v>профиль зависит от конкретного продукта</x:v>
      </x:c>
      <x:c r="D352" s="28" t="str">
        <x:v>нет уточнённого профиля</x:v>
      </x:c>
      <x:c r="E352" s="28" t="str">
        <x:v>вкусовой баланс зависит от конкретного продукта</x:v>
      </x:c>
      <x:c r="F352" s="28" t="str">
        <x:v>обычно минимальный; проверить для острых и охлаждающих компонентов</x:v>
      </x:c>
      <x:c r="G352" s="28" t="str">
        <x:v>матрица зависит от содержания воды, жира, белка и клетчатки</x:v>
      </x:c>
      <x:c r="H352" s="28" t="str">
        <x:v>сорт, зрелость и технология обработки меняют профиль</x:v>
      </x:c>
      <x:c r="I352" s="28" t="n">
        <x:v>2</x:v>
      </x:c>
    </x:row>
    <x:row r="353" ht="52" customHeight="1">
      <x:c r="A353" s="28" t="str">
        <x:v>черешня</x:v>
      </x:c>
      <x:c r="B353" s="28" t="str">
        <x:v>Прочее</x:v>
      </x:c>
      <x:c r="C353" s="28" t="str">
        <x:v>профиль зависит от конкретного продукта</x:v>
      </x:c>
      <x:c r="D353" s="28" t="str">
        <x:v>нет уточнённого профиля</x:v>
      </x:c>
      <x:c r="E353" s="28" t="str">
        <x:v>вкусовой баланс зависит от конкретного продукта</x:v>
      </x:c>
      <x:c r="F353" s="28" t="str">
        <x:v>обычно минимальный; проверить для острых и охлаждающих компонентов</x:v>
      </x:c>
      <x:c r="G353" s="28" t="str">
        <x:v>матрица зависит от содержания воды, жира, белка и клетчатки</x:v>
      </x:c>
      <x:c r="H353" s="28" t="str">
        <x:v>сорт, зрелость и технология обработки меняют профиль</x:v>
      </x:c>
      <x:c r="I353" s="28" t="n">
        <x:v>3</x:v>
      </x:c>
    </x:row>
    <x:row r="354" ht="52" customHeight="1">
      <x:c r="A354" s="28" t="str">
        <x:v>черимойя</x:v>
      </x:c>
      <x:c r="B354" s="28" t="str">
        <x:v>Прочее</x:v>
      </x:c>
      <x:c r="C354" s="28" t="str">
        <x:v>профиль зависит от конкретного продукта</x:v>
      </x:c>
      <x:c r="D354" s="28" t="str">
        <x:v>нет уточнённого профиля</x:v>
      </x:c>
      <x:c r="E354" s="28" t="str">
        <x:v>вкусовой баланс зависит от конкретного продукта</x:v>
      </x:c>
      <x:c r="F354" s="28" t="str">
        <x:v>обычно минимальный; проверить для острых и охлаждающих компонентов</x:v>
      </x:c>
      <x:c r="G354" s="28" t="str">
        <x:v>матрица зависит от содержания воды, жира, белка и клетчатки</x:v>
      </x:c>
      <x:c r="H354" s="28" t="str">
        <x:v>сорт, зрелость и технология обработки меняют профиль</x:v>
      </x:c>
      <x:c r="I354" s="28" t="n">
        <x:v>1</x:v>
      </x:c>
    </x:row>
    <x:row r="355" ht="52" customHeight="1">
      <x:c r="A355" s="28" t="str">
        <x:v>черная икра</x:v>
      </x:c>
      <x:c r="B355" s="28" t="str">
        <x:v>Рыба и морепродукты</x:v>
      </x:c>
      <x:c r="C355" s="28" t="str">
        <x:v>морской, солоноватый и умами</x:v>
      </x:c>
      <x:c r="D355" s="28" t="str">
        <x:v>альдегиды, амины</x:v>
      </x:c>
      <x:c r="E355" s="28" t="str">
        <x:v>вкусовой баланс зависит от конкретного продукта</x:v>
      </x:c>
      <x:c r="F355" s="28" t="str">
        <x:v>обычно минимальный; проверить для острых и охлаждающих компонентов</x:v>
      </x:c>
      <x:c r="G355" s="28" t="str">
        <x:v>матрица зависит от содержания воды, жира, белка и клетчатки</x:v>
      </x:c>
      <x:c r="H355" s="28" t="str">
        <x:v>сорт, зрелость и технология обработки меняют профиль</x:v>
      </x:c>
      <x:c r="I355" s="28" t="n">
        <x:v>2</x:v>
      </x:c>
    </x:row>
    <x:row r="356" ht="52" customHeight="1">
      <x:c r="A356" s="28" t="str">
        <x:v>черника</x:v>
      </x:c>
      <x:c r="B356" s="28" t="str">
        <x:v>Прочее</x:v>
      </x:c>
      <x:c r="C356" s="28" t="str">
        <x:v>профиль зависит от конкретного продукта</x:v>
      </x:c>
      <x:c r="D356" s="28" t="str">
        <x:v>нет уточнённого профиля</x:v>
      </x:c>
      <x:c r="E356" s="28" t="str">
        <x:v>вкусовой баланс зависит от конкретного продукта</x:v>
      </x:c>
      <x:c r="F356" s="28" t="str">
        <x:v>обычно минимальный; проверить для острых и охлаждающих компонентов</x:v>
      </x:c>
      <x:c r="G356" s="28" t="str">
        <x:v>матрица зависит от содержания воды, жира, белка и клетчатки</x:v>
      </x:c>
      <x:c r="H356" s="28" t="str">
        <x:v>сорт, зрелость и технология обработки меняют профиль</x:v>
      </x:c>
      <x:c r="I356" s="28" t="n">
        <x:v>1</x:v>
      </x:c>
    </x:row>
    <x:row r="357" ht="52" customHeight="1">
      <x:c r="A357" s="28" t="str">
        <x:v>черничный уксус</x:v>
      </x:c>
      <x:c r="B357" s="28" t="str">
        <x:v>Ферментированные продукты и соусы</x:v>
      </x:c>
      <x:c r="C357" s="28" t="str">
        <x:v>ферментированный, умами и сложный</x:v>
      </x:c>
      <x:c r="D357" s="28" t="str">
        <x:v>пиразины, фураны, эфиры</x:v>
      </x:c>
      <x:c r="E357" s="28" t="str">
        <x:v>вкусовой баланс зависит от конкретного продукта</x:v>
      </x:c>
      <x:c r="F357" s="28" t="str">
        <x:v>обычно минимальный; проверить для острых и охлаждающих компонентов</x:v>
      </x:c>
      <x:c r="G357" s="28" t="str">
        <x:v>матрица зависит от содержания воды, жира, белка и клетчатки</x:v>
      </x:c>
      <x:c r="H357" s="28" t="str">
        <x:v>сорт, зрелость и технология обработки меняют профиль</x:v>
      </x:c>
      <x:c r="I357" s="28" t="n">
        <x:v>1</x:v>
      </x:c>
    </x:row>
    <x:row r="358" ht="52" customHeight="1">
      <x:c r="A358" s="28" t="str">
        <x:v>чернослив ажен</x:v>
      </x:c>
      <x:c r="B358" s="28" t="str">
        <x:v>Фрукты и ягоды</x:v>
      </x:c>
      <x:c r="C358" s="28" t="str">
        <x:v>фруктовый, цветочный и свежий</x:v>
      </x:c>
      <x:c r="D358" s="28" t="str">
        <x:v>альдегиды, эфиры</x:v>
      </x:c>
      <x:c r="E358" s="28" t="str">
        <x:v>вкусовой баланс зависит от конкретного продукта</x:v>
      </x:c>
      <x:c r="F358" s="28" t="str">
        <x:v>обычно минимальный; проверить для острых и охлаждающих компонентов</x:v>
      </x:c>
      <x:c r="G358" s="28" t="str">
        <x:v>матрица зависит от содержания воды, жира, белка и клетчатки</x:v>
      </x:c>
      <x:c r="H358" s="28" t="str">
        <x:v>сорт, зрелость и технология обработки меняют профиль</x:v>
      </x:c>
      <x:c r="I358" s="28" t="n">
        <x:v>1</x:v>
      </x:c>
    </x:row>
    <x:row r="359" ht="52" customHeight="1">
      <x:c r="A359" s="28" t="str">
        <x:v>чеснок</x:v>
      </x:c>
      <x:c r="B359" s="28" t="str">
        <x:v>Луковые овощи</x:v>
      </x:c>
      <x:c r="C359" s="28" t="str">
        <x:v>резкий сернистый, зелёный и мясной; после запекания — сладкий и ореховый</x:v>
      </x:c>
      <x:c r="D359" s="28" t="str">
        <x:v>аллицин, диаллилдисульфид, диаллилтрисульфид, метантиол</x:v>
      </x:c>
      <x:c r="E359" s="28" t="str">
        <x:v>жгучий в сыром виде, сладкий и умами-поддерживающий после нагрева</x:v>
      </x:c>
      <x:c r="F359" s="28" t="str">
        <x:v>сильное жжение и раздражение тройничного нерва</x:v>
      </x:c>
      <x:c r="G359" s="28" t="str">
        <x:v>водная луковичная матрица; реакция начинается после повреждения клеток</x:v>
      </x:c>
      <x:c r="H359" s="28" t="str">
        <x:v>раздавливание образует аллицин; нагрев смягчает остроту и создаёт сладко-ореховый профиль</x:v>
      </x:c>
      <x:c r="I359" s="28" t="n">
        <x:v>129</x:v>
      </x:c>
    </x:row>
    <x:row r="360" ht="52" customHeight="1">
      <x:c r="A360" s="28" t="str">
        <x:v>чиабатта</x:v>
      </x:c>
      <x:c r="B360" s="28" t="str">
        <x:v>Прочее</x:v>
      </x:c>
      <x:c r="C360" s="28" t="str">
        <x:v>профиль зависит от конкретного продукта</x:v>
      </x:c>
      <x:c r="D360" s="28" t="str">
        <x:v>нет уточнённого профиля</x:v>
      </x:c>
      <x:c r="E360" s="28" t="str">
        <x:v>вкусовой баланс зависит от конкретного продукта</x:v>
      </x:c>
      <x:c r="F360" s="28" t="str">
        <x:v>обычно минимальный; проверить для острых и охлаждающих компонентов</x:v>
      </x:c>
      <x:c r="G360" s="28" t="str">
        <x:v>матрица зависит от содержания воды, жира, белка и клетчатки</x:v>
      </x:c>
      <x:c r="H360" s="28" t="str">
        <x:v>сорт, зрелость и технология обработки меняют профиль</x:v>
      </x:c>
      <x:c r="I360" s="28" t="n">
        <x:v>3</x:v>
      </x:c>
    </x:row>
    <x:row r="361" ht="52" customHeight="1">
      <x:c r="A361" s="28" t="str">
        <x:v>чили</x:v>
      </x:c>
      <x:c r="B361" s="28" t="str">
        <x:v>Специи</x:v>
      </x:c>
      <x:c r="C361" s="28" t="str">
        <x:v>пряный и древесный</x:v>
      </x:c>
      <x:c r="D361" s="28" t="str">
        <x:v>терпены, фенилпропаноиды</x:v>
      </x:c>
      <x:c r="E361" s="28" t="str">
        <x:v>вкусовой баланс зависит от конкретного продукта</x:v>
      </x:c>
      <x:c r="F361" s="28" t="str">
        <x:v>обычно минимальный; проверить для острых и охлаждающих компонентов</x:v>
      </x:c>
      <x:c r="G361" s="28" t="str">
        <x:v>матрица зависит от содержания воды, жира, белка и клетчатки</x:v>
      </x:c>
      <x:c r="H361" s="28" t="str">
        <x:v>сорт, зрелость и технология обработки меняют профиль</x:v>
      </x:c>
      <x:c r="I361" s="28" t="n">
        <x:v>13</x:v>
      </x:c>
    </x:row>
    <x:row r="362" ht="52" customHeight="1">
      <x:c r="A362" s="28" t="str">
        <x:v>чили ахи мирасоль</x:v>
      </x:c>
      <x:c r="B362" s="28" t="str">
        <x:v>Специи</x:v>
      </x:c>
      <x:c r="C362" s="28" t="str">
        <x:v>пряный и древесный</x:v>
      </x:c>
      <x:c r="D362" s="28" t="str">
        <x:v>терпены, фенилпропаноиды</x:v>
      </x:c>
      <x:c r="E362" s="28" t="str">
        <x:v>вкусовой баланс зависит от конкретного продукта</x:v>
      </x:c>
      <x:c r="F362" s="28" t="str">
        <x:v>обычно минимальный; проверить для острых и охлаждающих компонентов</x:v>
      </x:c>
      <x:c r="G362" s="28" t="str">
        <x:v>матрица зависит от содержания воды, жира, белка и клетчатки</x:v>
      </x:c>
      <x:c r="H362" s="28" t="str">
        <x:v>сорт, зрелость и технология обработки меняют профиль</x:v>
      </x:c>
      <x:c r="I362" s="28" t="n">
        <x:v>1</x:v>
      </x:c>
    </x:row>
    <x:row r="363" ht="52" customHeight="1">
      <x:c r="A363" s="28" t="str">
        <x:v>чили ахи панка</x:v>
      </x:c>
      <x:c r="B363" s="28" t="str">
        <x:v>Специи</x:v>
      </x:c>
      <x:c r="C363" s="28" t="str">
        <x:v>пряный и древесный</x:v>
      </x:c>
      <x:c r="D363" s="28" t="str">
        <x:v>терпены, фенилпропаноиды</x:v>
      </x:c>
      <x:c r="E363" s="28" t="str">
        <x:v>вкусовой баланс зависит от конкретного продукта</x:v>
      </x:c>
      <x:c r="F363" s="28" t="str">
        <x:v>обычно минимальный; проверить для острых и охлаждающих компонентов</x:v>
      </x:c>
      <x:c r="G363" s="28" t="str">
        <x:v>матрица зависит от содержания воды, жира, белка и клетчатки</x:v>
      </x:c>
      <x:c r="H363" s="28" t="str">
        <x:v>сорт, зрелость и технология обработки меняют профиль</x:v>
      </x:c>
      <x:c r="I363" s="28" t="n">
        <x:v>3</x:v>
      </x:c>
    </x:row>
    <x:row r="364" ht="52" customHeight="1">
      <x:c r="A364" s="28" t="str">
        <x:v>чили хабанеро</x:v>
      </x:c>
      <x:c r="B364" s="28" t="str">
        <x:v>Специи</x:v>
      </x:c>
      <x:c r="C364" s="28" t="str">
        <x:v>пряный и древесный</x:v>
      </x:c>
      <x:c r="D364" s="28" t="str">
        <x:v>терпены, фенилпропаноиды</x:v>
      </x:c>
      <x:c r="E364" s="28" t="str">
        <x:v>вкусовой баланс зависит от конкретного продукта</x:v>
      </x:c>
      <x:c r="F364" s="28" t="str">
        <x:v>обычно минимальный; проверить для острых и охлаждающих компонентов</x:v>
      </x:c>
      <x:c r="G364" s="28" t="str">
        <x:v>матрица зависит от содержания воды, жира, белка и клетчатки</x:v>
      </x:c>
      <x:c r="H364" s="28" t="str">
        <x:v>сорт, зрелость и технология обработки меняют профиль</x:v>
      </x:c>
      <x:c r="I364" s="28" t="n">
        <x:v>1</x:v>
      </x:c>
    </x:row>
    <x:row r="365" ht="52" customHeight="1">
      <x:c r="A365" s="28" t="str">
        <x:v>чоризо</x:v>
      </x:c>
      <x:c r="B365" s="28" t="str">
        <x:v>Прочее</x:v>
      </x:c>
      <x:c r="C365" s="28" t="str">
        <x:v>профиль зависит от конкретного продукта</x:v>
      </x:c>
      <x:c r="D365" s="28" t="str">
        <x:v>нет уточнённого профиля</x:v>
      </x:c>
      <x:c r="E365" s="28" t="str">
        <x:v>вкусовой баланс зависит от конкретного продукта</x:v>
      </x:c>
      <x:c r="F365" s="28" t="str">
        <x:v>обычно минимальный; проверить для острых и охлаждающих компонентов</x:v>
      </x:c>
      <x:c r="G365" s="28" t="str">
        <x:v>матрица зависит от содержания воды, жира, белка и клетчатки</x:v>
      </x:c>
      <x:c r="H365" s="28" t="str">
        <x:v>сорт, зрелость и технология обработки меняют профиль</x:v>
      </x:c>
      <x:c r="I365" s="28" t="n">
        <x:v>7</x:v>
      </x:c>
    </x:row>
    <x:row r="366" ht="52" customHeight="1">
      <x:c r="A366" s="28" t="str">
        <x:v>чёрная оливка пикваль</x:v>
      </x:c>
      <x:c r="B366" s="28" t="str">
        <x:v>Прочее</x:v>
      </x:c>
      <x:c r="C366" s="28" t="str">
        <x:v>профиль зависит от конкретного продукта</x:v>
      </x:c>
      <x:c r="D366" s="28" t="str">
        <x:v>нет уточнённого профиля</x:v>
      </x:c>
      <x:c r="E366" s="28" t="str">
        <x:v>вкусовой баланс зависит от конкретного продукта</x:v>
      </x:c>
      <x:c r="F366" s="28" t="str">
        <x:v>обычно минимальный; проверить для острых и охлаждающих компонентов</x:v>
      </x:c>
      <x:c r="G366" s="28" t="str">
        <x:v>матрица зависит от содержания воды, жира, белка и клетчатки</x:v>
      </x:c>
      <x:c r="H366" s="28" t="str">
        <x:v>сорт, зрелость и технология обработки меняют профиль</x:v>
      </x:c>
      <x:c r="I366" s="28" t="n">
        <x:v>2</x:v>
      </x:c>
    </x:row>
    <x:row r="367" ht="52" customHeight="1">
      <x:c r="A367" s="28" t="str">
        <x:v>чёрная смородина</x:v>
      </x:c>
      <x:c r="B367" s="28" t="str">
        <x:v>Фрукты и ягоды</x:v>
      </x:c>
      <x:c r="C367" s="28" t="str">
        <x:v>фруктовый, цветочный и свежий</x:v>
      </x:c>
      <x:c r="D367" s="28" t="str">
        <x:v>альдегиды, эфиры</x:v>
      </x:c>
      <x:c r="E367" s="28" t="str">
        <x:v>вкусовой баланс зависит от конкретного продукта</x:v>
      </x:c>
      <x:c r="F367" s="28" t="str">
        <x:v>обычно минимальный; проверить для острых и охлаждающих компонентов</x:v>
      </x:c>
      <x:c r="G367" s="28" t="str">
        <x:v>матрица зависит от содержания воды, жира, белка и клетчатки</x:v>
      </x:c>
      <x:c r="H367" s="28" t="str">
        <x:v>сорт, зрелость и технология обработки меняют профиль</x:v>
      </x:c>
      <x:c r="I367" s="28" t="n">
        <x:v>4</x:v>
      </x:c>
    </x:row>
    <x:row r="368" ht="52" customHeight="1">
      <x:c r="A368" s="28" t="str">
        <x:v>чёрные оливки</x:v>
      </x:c>
      <x:c r="B368" s="28" t="str">
        <x:v>Прочее</x:v>
      </x:c>
      <x:c r="C368" s="28" t="str">
        <x:v>профиль зависит от конкретного продукта</x:v>
      </x:c>
      <x:c r="D368" s="28" t="str">
        <x:v>нет уточнённого профиля</x:v>
      </x:c>
      <x:c r="E368" s="28" t="str">
        <x:v>вкусовой баланс зависит от конкретного продукта</x:v>
      </x:c>
      <x:c r="F368" s="28" t="str">
        <x:v>обычно минимальный; проверить для острых и охлаждающих компонентов</x:v>
      </x:c>
      <x:c r="G368" s="28" t="str">
        <x:v>матрица зависит от содержания воды, жира, белка и клетчатки</x:v>
      </x:c>
      <x:c r="H368" s="28" t="str">
        <x:v>сорт, зрелость и технология обработки меняют профиль</x:v>
      </x:c>
      <x:c r="I368" s="28" t="n">
        <x:v>2</x:v>
      </x:c>
    </x:row>
    <x:row r="369" ht="52" customHeight="1">
      <x:c r="A369" s="28" t="str">
        <x:v>чёрный кардамон</x:v>
      </x:c>
      <x:c r="B369" s="28" t="str">
        <x:v>Специи</x:v>
      </x:c>
      <x:c r="C369" s="28" t="str">
        <x:v>камфорный, цветочный, цитрусовый</x:v>
      </x:c>
      <x:c r="D369" s="28" t="str">
        <x:v>1,8-цинеол, линалоол</x:v>
      </x:c>
      <x:c r="E369" s="28" t="str">
        <x:v>вкусовой баланс зависит от конкретного продукта</x:v>
      </x:c>
      <x:c r="F369" s="28" t="str">
        <x:v>обычно минимальный; проверить для острых и охлаждающих компонентов</x:v>
      </x:c>
      <x:c r="G369" s="28" t="str">
        <x:v>матрица зависит от содержания воды, жира, белка и клетчатки</x:v>
      </x:c>
      <x:c r="H369" s="28" t="str">
        <x:v>сорт, зрелость и технология обработки меняют профиль</x:v>
      </x:c>
      <x:c r="I369" s="28" t="n">
        <x:v>1</x:v>
      </x:c>
    </x:row>
    <x:row r="370" ht="52" customHeight="1">
      <x:c r="A370" s="28" t="str">
        <x:v>чёрный перец</x:v>
      </x:c>
      <x:c r="B370" s="28" t="str">
        <x:v>Специи</x:v>
      </x:c>
      <x:c r="C370" s="28" t="str">
        <x:v>древесный, пряный, цитрусовый</x:v>
      </x:c>
      <x:c r="D370" s="28" t="str">
        <x:v>лимонен, пинен, пиперин</x:v>
      </x:c>
      <x:c r="E370" s="28" t="str">
        <x:v>вкусовой баланс зависит от конкретного продукта</x:v>
      </x:c>
      <x:c r="F370" s="28" t="str">
        <x:v>обычно минимальный; проверить для острых и охлаждающих компонентов</x:v>
      </x:c>
      <x:c r="G370" s="28" t="str">
        <x:v>матрица зависит от содержания воды, жира, белка и клетчатки</x:v>
      </x:c>
      <x:c r="H370" s="28" t="str">
        <x:v>сорт, зрелость и технология обработки меняют профиль</x:v>
      </x:c>
      <x:c r="I370" s="28" t="n">
        <x:v>11</x:v>
      </x:c>
    </x:row>
    <x:row r="371" ht="52" customHeight="1">
      <x:c r="A371" s="28" t="str">
        <x:v>чёрный трюфель</x:v>
      </x:c>
      <x:c r="B371" s="28" t="str">
        <x:v>Грибы</x:v>
      </x:c>
      <x:c r="C371" s="28" t="str">
        <x:v>землистый, грибной и умами</x:v>
      </x:c>
      <x:c r="D371" s="28" t="str">
        <x:v>1-октен-3-ол, сернистые соединения</x:v>
      </x:c>
      <x:c r="E371" s="28" t="str">
        <x:v>вкусовой баланс зависит от конкретного продукта</x:v>
      </x:c>
      <x:c r="F371" s="28" t="str">
        <x:v>обычно минимальный; проверить для острых и охлаждающих компонентов</x:v>
      </x:c>
      <x:c r="G371" s="28" t="str">
        <x:v>матрица зависит от содержания воды, жира, белка и клетчатки</x:v>
      </x:c>
      <x:c r="H371" s="28" t="str">
        <x:v>сорт, зрелость и технология обработки меняют профиль</x:v>
      </x:c>
      <x:c r="I371" s="28" t="n">
        <x:v>2</x:v>
      </x:c>
    </x:row>
    <x:row r="372" ht="52" customHeight="1">
      <x:c r="A372" s="28" t="str">
        <x:v>чёрный чай</x:v>
      </x:c>
      <x:c r="B372" s="28" t="str">
        <x:v>Чай</x:v>
      </x:c>
      <x:c r="C372" s="28" t="str">
        <x:v>цветочный, древесный или зелёный</x:v>
      </x:c>
      <x:c r="D372" s="28" t="str">
        <x:v>линалоол, полифенолы</x:v>
      </x:c>
      <x:c r="E372" s="28" t="str">
        <x:v>вкусовой баланс зависит от конкретного продукта</x:v>
      </x:c>
      <x:c r="F372" s="28" t="str">
        <x:v>обычно минимальный; проверить для острых и охлаждающих компонентов</x:v>
      </x:c>
      <x:c r="G372" s="28" t="str">
        <x:v>матрица зависит от содержания воды, жира, белка и клетчатки</x:v>
      </x:c>
      <x:c r="H372" s="28" t="str">
        <x:v>сорт, зрелость и технология обработки меняют профиль</x:v>
      </x:c>
      <x:c r="I372" s="28" t="n">
        <x:v>2</x:v>
      </x:c>
    </x:row>
    <x:row r="373" ht="52" customHeight="1">
      <x:c r="A373" s="28" t="str">
        <x:v>чёрный чеснок</x:v>
      </x:c>
      <x:c r="B373" s="28" t="str">
        <x:v>Луковые овощи</x:v>
      </x:c>
      <x:c r="C373" s="28" t="str">
        <x:v>сернистый, сладкий и жареный</x:v>
      </x:c>
      <x:c r="D373" s="28" t="str">
        <x:v>сернистые соединения, тиосульфинаты</x:v>
      </x:c>
      <x:c r="E373" s="28" t="str">
        <x:v>вкусовой баланс зависит от конкретного продукта</x:v>
      </x:c>
      <x:c r="F373" s="28" t="str">
        <x:v>обычно минимальный; проверить для острых и охлаждающих компонентов</x:v>
      </x:c>
      <x:c r="G373" s="28" t="str">
        <x:v>матрица зависит от содержания воды, жира, белка и клетчатки</x:v>
      </x:c>
      <x:c r="H373" s="28" t="str">
        <x:v>сорт, зрелость и технология обработки меняют профиль</x:v>
      </x:c>
      <x:c r="I373" s="28" t="n">
        <x:v>1</x:v>
      </x:c>
    </x:row>
    <x:row r="374" ht="52" customHeight="1">
      <x:c r="A374" s="28" t="str">
        <x:v>шалфей</x:v>
      </x:c>
      <x:c r="B374" s="28" t="str">
        <x:v>Травы, цветы и листья</x:v>
      </x:c>
      <x:c r="C374" s="28" t="str">
        <x:v>древесный, камфорный</x:v>
      </x:c>
      <x:c r="D374" s="28" t="str">
        <x:v>1,8-цинеол, туйон</x:v>
      </x:c>
      <x:c r="E374" s="28" t="str">
        <x:v>вкусовой баланс зависит от конкретного продукта</x:v>
      </x:c>
      <x:c r="F374" s="28" t="str">
        <x:v>обычно минимальный; проверить для острых и охлаждающих компонентов</x:v>
      </x:c>
      <x:c r="G374" s="28" t="str">
        <x:v>матрица зависит от содержания воды, жира, белка и клетчатки</x:v>
      </x:c>
      <x:c r="H374" s="28" t="str">
        <x:v>сорт, зрелость и технология обработки меняют профиль</x:v>
      </x:c>
      <x:c r="I374" s="28" t="n">
        <x:v>5</x:v>
      </x:c>
    </x:row>
    <x:row r="375" ht="52" customHeight="1">
      <x:c r="A375" s="28" t="str">
        <x:v>шафран</x:v>
      </x:c>
      <x:c r="B375" s="28" t="str">
        <x:v>Специи</x:v>
      </x:c>
      <x:c r="C375" s="28" t="str">
        <x:v>пряный и древесный</x:v>
      </x:c>
      <x:c r="D375" s="28" t="str">
        <x:v>терпены, фенилпропаноиды</x:v>
      </x:c>
      <x:c r="E375" s="28" t="str">
        <x:v>вкусовой баланс зависит от конкретного продукта</x:v>
      </x:c>
      <x:c r="F375" s="28" t="str">
        <x:v>обычно минимальный; проверить для острых и охлаждающих компонентов</x:v>
      </x:c>
      <x:c r="G375" s="28" t="str">
        <x:v>матрица зависит от содержания воды, жира, белка и клетчатки</x:v>
      </x:c>
      <x:c r="H375" s="28" t="str">
        <x:v>сорт, зрелость и технология обработки меняют профиль</x:v>
      </x:c>
      <x:c r="I375" s="28" t="n">
        <x:v>3</x:v>
      </x:c>
    </x:row>
    <x:row r="376" ht="52" customHeight="1">
      <x:c r="A376" s="28" t="str">
        <x:v>шелковица</x:v>
      </x:c>
      <x:c r="B376" s="28" t="str">
        <x:v>Прочее</x:v>
      </x:c>
      <x:c r="C376" s="28" t="str">
        <x:v>профиль зависит от конкретного продукта</x:v>
      </x:c>
      <x:c r="D376" s="28" t="str">
        <x:v>нет уточнённого профиля</x:v>
      </x:c>
      <x:c r="E376" s="28" t="str">
        <x:v>вкусовой баланс зависит от конкретного продукта</x:v>
      </x:c>
      <x:c r="F376" s="28" t="str">
        <x:v>обычно минимальный; проверить для острых и охлаждающих компонентов</x:v>
      </x:c>
      <x:c r="G376" s="28" t="str">
        <x:v>матрица зависит от содержания воды, жира, белка и клетчатки</x:v>
      </x:c>
      <x:c r="H376" s="28" t="str">
        <x:v>сорт, зрелость и технология обработки меняют профиль</x:v>
      </x:c>
      <x:c r="I376" s="28" t="n">
        <x:v>1</x:v>
      </x:c>
    </x:row>
    <x:row r="377" ht="52" customHeight="1">
      <x:c r="A377" s="28" t="str">
        <x:v>шиповник</x:v>
      </x:c>
      <x:c r="B377" s="28" t="str">
        <x:v>Прочее</x:v>
      </x:c>
      <x:c r="C377" s="28" t="str">
        <x:v>профиль зависит от конкретного продукта</x:v>
      </x:c>
      <x:c r="D377" s="28" t="str">
        <x:v>нет уточнённого профиля</x:v>
      </x:c>
      <x:c r="E377" s="28" t="str">
        <x:v>вкусовой баланс зависит от конкретного продукта</x:v>
      </x:c>
      <x:c r="F377" s="28" t="str">
        <x:v>обычно минимальный; проверить для острых и охлаждающих компонентов</x:v>
      </x:c>
      <x:c r="G377" s="28" t="str">
        <x:v>матрица зависит от содержания воды, жира, белка и клетчатки</x:v>
      </x:c>
      <x:c r="H377" s="28" t="str">
        <x:v>сорт, зрелость и технология обработки меняют профиль</x:v>
      </x:c>
      <x:c r="I377" s="28" t="n">
        <x:v>1</x:v>
      </x:c>
    </x:row>
    <x:row r="378" ht="52" customHeight="1">
      <x:c r="A378" s="28" t="str">
        <x:v>шисо</x:v>
      </x:c>
      <x:c r="B378" s="28" t="str">
        <x:v>Прочее</x:v>
      </x:c>
      <x:c r="C378" s="28" t="str">
        <x:v>профиль зависит от конкретного продукта</x:v>
      </x:c>
      <x:c r="D378" s="28" t="str">
        <x:v>нет уточнённого профиля</x:v>
      </x:c>
      <x:c r="E378" s="28" t="str">
        <x:v>вкусовой баланс зависит от конкретного продукта</x:v>
      </x:c>
      <x:c r="F378" s="28" t="str">
        <x:v>обычно минимальный; проверить для острых и охлаждающих компонентов</x:v>
      </x:c>
      <x:c r="G378" s="28" t="str">
        <x:v>матрица зависит от содержания воды, жира, белка и клетчатки</x:v>
      </x:c>
      <x:c r="H378" s="28" t="str">
        <x:v>сорт, зрелость и технология обработки меняют профиль</x:v>
      </x:c>
      <x:c r="I378" s="28" t="n">
        <x:v>2</x:v>
      </x:c>
    </x:row>
    <x:row r="379" ht="52" customHeight="1">
      <x:c r="A379" s="28" t="str">
        <x:v>шнитт-лук</x:v>
      </x:c>
      <x:c r="B379" s="28" t="str">
        <x:v>Луковые овощи</x:v>
      </x:c>
      <x:c r="C379" s="28" t="str">
        <x:v>сернистый, сладкий и жареный</x:v>
      </x:c>
      <x:c r="D379" s="28" t="str">
        <x:v>сернистые соединения, тиосульфинаты</x:v>
      </x:c>
      <x:c r="E379" s="28" t="str">
        <x:v>вкусовой баланс зависит от конкретного продукта</x:v>
      </x:c>
      <x:c r="F379" s="28" t="str">
        <x:v>обычно минимальный; проверить для острых и охлаждающих компонентов</x:v>
      </x:c>
      <x:c r="G379" s="28" t="str">
        <x:v>матрица зависит от содержания воды, жира, белка и клетчатки</x:v>
      </x:c>
      <x:c r="H379" s="28" t="str">
        <x:v>сорт, зрелость и технология обработки меняют профиль</x:v>
      </x:c>
      <x:c r="I379" s="28" t="n">
        <x:v>1</x:v>
      </x:c>
    </x:row>
    <x:row r="380" ht="52" customHeight="1">
      <x:c r="A380" s="28" t="str">
        <x:v>шоколад</x:v>
      </x:c>
      <x:c r="B380" s="28" t="str">
        <x:v>Какао и шоколад</x:v>
      </x:c>
      <x:c r="C380" s="28" t="str">
        <x:v>жареный, какаовый, карамельный</x:v>
      </x:c>
      <x:c r="D380" s="28" t="str">
        <x:v>пиразины, фураны</x:v>
      </x:c>
      <x:c r="E380" s="28" t="str">
        <x:v>вкусовой баланс зависит от конкретного продукта</x:v>
      </x:c>
      <x:c r="F380" s="28" t="str">
        <x:v>обычно минимальный; проверить для острых и охлаждающих компонентов</x:v>
      </x:c>
      <x:c r="G380" s="28" t="str">
        <x:v>матрица зависит от содержания воды, жира, белка и клетчатки</x:v>
      </x:c>
      <x:c r="H380" s="28" t="str">
        <x:v>сорт, зрелость и технология обработки меняют профиль</x:v>
      </x:c>
      <x:c r="I380" s="28" t="n">
        <x:v>8</x:v>
      </x:c>
    </x:row>
    <x:row r="381" ht="52" customHeight="1">
      <x:c r="A381" s="28" t="str">
        <x:v>шоколадная паста</x:v>
      </x:c>
      <x:c r="B381" s="28" t="str">
        <x:v>Какао и шоколад</x:v>
      </x:c>
      <x:c r="C381" s="28" t="str">
        <x:v>жареный, какаовый, карамельный</x:v>
      </x:c>
      <x:c r="D381" s="28" t="str">
        <x:v>пиразины, фураны</x:v>
      </x:c>
      <x:c r="E381" s="28" t="str">
        <x:v>вкусовой баланс зависит от конкретного продукта</x:v>
      </x:c>
      <x:c r="F381" s="28" t="str">
        <x:v>обычно минимальный; проверить для острых и охлаждающих компонентов</x:v>
      </x:c>
      <x:c r="G381" s="28" t="str">
        <x:v>матрица зависит от содержания воды, жира, белка и клетчатки</x:v>
      </x:c>
      <x:c r="H381" s="28" t="str">
        <x:v>сорт, зрелость и технология обработки меняют профиль</x:v>
      </x:c>
      <x:c r="I381" s="28" t="n">
        <x:v>2</x:v>
      </x:c>
    </x:row>
    <x:row r="382" ht="52" customHeight="1">
      <x:c r="A382" s="28" t="str">
        <x:v>эвкалиптовый мёд</x:v>
      </x:c>
      <x:c r="B382" s="28" t="str">
        <x:v>Выпечка, крупы, сахара и десерты</x:v>
      </x:c>
      <x:c r="C382" s="28" t="str">
        <x:v>медовый, сладкий, цветочный</x:v>
      </x:c>
      <x:c r="D382" s="28" t="str">
        <x:v>норизопреноиды, фенилуксусная кислота</x:v>
      </x:c>
      <x:c r="E382" s="28" t="str">
        <x:v>вкусовой баланс зависит от конкретного продукта</x:v>
      </x:c>
      <x:c r="F382" s="28" t="str">
        <x:v>обычно минимальный; проверить для острых и охлаждающих компонентов</x:v>
      </x:c>
      <x:c r="G382" s="28" t="str">
        <x:v>матрица зависит от содержания воды, жира, белка и клетчатки</x:v>
      </x:c>
      <x:c r="H382" s="28" t="str">
        <x:v>сорт, зрелость и технология обработки меняют профиль</x:v>
      </x:c>
      <x:c r="I382" s="28" t="n">
        <x:v>1</x:v>
      </x:c>
    </x:row>
    <x:row r="383" ht="52" customHeight="1">
      <x:c r="A383" s="28" t="str">
        <x:v>эмменталь</x:v>
      </x:c>
      <x:c r="B383" s="28" t="str">
        <x:v>Прочее</x:v>
      </x:c>
      <x:c r="C383" s="28" t="str">
        <x:v>профиль зависит от конкретного продукта</x:v>
      </x:c>
      <x:c r="D383" s="28" t="str">
        <x:v>нет уточнённого профиля</x:v>
      </x:c>
      <x:c r="E383" s="28" t="str">
        <x:v>вкусовой баланс зависит от конкретного продукта</x:v>
      </x:c>
      <x:c r="F383" s="28" t="str">
        <x:v>обычно минимальный; проверить для острых и охлаждающих компонентов</x:v>
      </x:c>
      <x:c r="G383" s="28" t="str">
        <x:v>матрица зависит от содержания воды, жира, белка и клетчатки</x:v>
      </x:c>
      <x:c r="H383" s="28" t="str">
        <x:v>сорт, зрелость и технология обработки меняют профиль</x:v>
      </x:c>
      <x:c r="I383" s="28" t="n">
        <x:v>2</x:v>
      </x:c>
    </x:row>
    <x:row r="384" ht="52" customHeight="1">
      <x:c r="A384" s="28" t="str">
        <x:v>эпазот</x:v>
      </x:c>
      <x:c r="B384" s="28" t="str">
        <x:v>Прочее</x:v>
      </x:c>
      <x:c r="C384" s="28" t="str">
        <x:v>профиль зависит от конкретного продукта</x:v>
      </x:c>
      <x:c r="D384" s="28" t="str">
        <x:v>нет уточнённого профиля</x:v>
      </x:c>
      <x:c r="E384" s="28" t="str">
        <x:v>вкусовой баланс зависит от конкретного продукта</x:v>
      </x:c>
      <x:c r="F384" s="28" t="str">
        <x:v>обычно минимальный; проверить для острых и охлаждающих компонентов</x:v>
      </x:c>
      <x:c r="G384" s="28" t="str">
        <x:v>матрица зависит от содержания воды, жира, белка и клетчатки</x:v>
      </x:c>
      <x:c r="H384" s="28" t="str">
        <x:v>сорт, зрелость и технология обработки меняют профиль</x:v>
      </x:c>
      <x:c r="I384" s="28" t="n">
        <x:v>1</x:v>
      </x:c>
    </x:row>
    <x:row r="385" ht="52" customHeight="1">
      <x:c r="A385" s="28" t="str">
        <x:v>яблоко</x:v>
      </x:c>
      <x:c r="B385" s="28" t="str">
        <x:v>Фрукты и ягоды</x:v>
      </x:c>
      <x:c r="C385" s="28" t="str">
        <x:v>зелёный, свежий, фруктовый</x:v>
      </x:c>
      <x:c r="D385" s="28" t="str">
        <x:v>гексаналь, гексилацетат</x:v>
      </x:c>
      <x:c r="E385" s="28" t="str">
        <x:v>вкусовой баланс зависит от конкретного продукта</x:v>
      </x:c>
      <x:c r="F385" s="28" t="str">
        <x:v>обычно минимальный; проверить для острых и охлаждающих компонентов</x:v>
      </x:c>
      <x:c r="G385" s="28" t="str">
        <x:v>матрица зависит от содержания воды, жира, белка и клетчатки</x:v>
      </x:c>
      <x:c r="H385" s="28" t="str">
        <x:v>сорт, зрелость и технология обработки меняют профиль</x:v>
      </x:c>
      <x:c r="I385" s="28" t="n">
        <x:v>11</x:v>
      </x:c>
    </x:row>
    <x:row r="386" ht="52" customHeight="1">
      <x:c r="A386" s="28" t="str">
        <x:v>яблочное пюре</x:v>
      </x:c>
      <x:c r="B386" s="28" t="str">
        <x:v>Прочее</x:v>
      </x:c>
      <x:c r="C386" s="28" t="str">
        <x:v>профиль зависит от конкретного продукта</x:v>
      </x:c>
      <x:c r="D386" s="28" t="str">
        <x:v>нет уточнённого профиля</x:v>
      </x:c>
      <x:c r="E386" s="28" t="str">
        <x:v>вкусовой баланс зависит от конкретного продукта</x:v>
      </x:c>
      <x:c r="F386" s="28" t="str">
        <x:v>обычно минимальный; проверить для острых и охлаждающих компонентов</x:v>
      </x:c>
      <x:c r="G386" s="28" t="str">
        <x:v>матрица зависит от содержания воды, жира, белка и клетчатки</x:v>
      </x:c>
      <x:c r="H386" s="28" t="str">
        <x:v>сорт, зрелость и технология обработки меняют профиль</x:v>
      </x:c>
      <x:c r="I386" s="28" t="n">
        <x:v>1</x:v>
      </x:c>
    </x:row>
    <x:row r="387" ht="52" customHeight="1">
      <x:c r="A387" s="28" t="str">
        <x:v>ягоды можжевельника</x:v>
      </x:c>
      <x:c r="B387" s="28" t="str">
        <x:v>Фрукты и ягоды</x:v>
      </x:c>
      <x:c r="C387" s="28" t="str">
        <x:v>фруктовый, цветочный и свежий</x:v>
      </x:c>
      <x:c r="D387" s="28" t="str">
        <x:v>альдегиды, эфиры</x:v>
      </x:c>
      <x:c r="E387" s="28" t="str">
        <x:v>вкусовой баланс зависит от конкретного продукта</x:v>
      </x:c>
      <x:c r="F387" s="28" t="str">
        <x:v>обычно минимальный; проверить для острых и охлаждающих компонентов</x:v>
      </x:c>
      <x:c r="G387" s="28" t="str">
        <x:v>матрица зависит от содержания воды, жира, белка и клетчатки</x:v>
      </x:c>
      <x:c r="H387" s="28" t="str">
        <x:v>сорт, зрелость и технология обработки меняют профиль</x:v>
      </x:c>
      <x:c r="I387" s="28" t="n">
        <x:v>1</x:v>
      </x:c>
    </x:row>
    <x:row r="388" ht="52" customHeight="1">
      <x:c r="A388" s="28" t="str">
        <x:v>яичница</x:v>
      </x:c>
      <x:c r="B388" s="28" t="str">
        <x:v>Яйца</x:v>
      </x:c>
      <x:c r="C388" s="28" t="str">
        <x:v>сливочный, сернистый и умами</x:v>
      </x:c>
      <x:c r="D388" s="28" t="str">
        <x:v>жирные кислоты, сернистые соединения</x:v>
      </x:c>
      <x:c r="E388" s="28" t="str">
        <x:v>вкусовой баланс зависит от конкретного продукта</x:v>
      </x:c>
      <x:c r="F388" s="28" t="str">
        <x:v>обычно минимальный; проверить для острых и охлаждающих компонентов</x:v>
      </x:c>
      <x:c r="G388" s="28" t="str">
        <x:v>матрица зависит от содержания воды, жира, белка и клетчатки</x:v>
      </x:c>
      <x:c r="H388" s="28" t="str">
        <x:v>сорт, зрелость и технология обработки меняют профиль</x:v>
      </x:c>
      <x:c r="I388" s="28" t="n">
        <x:v>1</x:v>
      </x:c>
    </x:row>
    <x:row r="389" ht="52" customHeight="1">
      <x:c r="A389" s="28" t="str">
        <x:v>яичный желток</x:v>
      </x:c>
      <x:c r="B389" s="28" t="str">
        <x:v>Яйца</x:v>
      </x:c>
      <x:c r="C389" s="28" t="str">
        <x:v>сливочный, сернистый и умами</x:v>
      </x:c>
      <x:c r="D389" s="28" t="str">
        <x:v>жирные кислоты, сернистые соединения</x:v>
      </x:c>
      <x:c r="E389" s="28" t="str">
        <x:v>вкусовой баланс зависит от конкретного продукта</x:v>
      </x:c>
      <x:c r="F389" s="28" t="str">
        <x:v>обычно минимальный; проверить для острых и охлаждающих компонентов</x:v>
      </x:c>
      <x:c r="G389" s="28" t="str">
        <x:v>матрица зависит от содержания воды, жира, белка и клетчатки</x:v>
      </x:c>
      <x:c r="H389" s="28" t="str">
        <x:v>сорт, зрелость и технология обработки меняют профиль</x:v>
      </x:c>
      <x:c r="I389" s="28" t="n">
        <x:v>1</x:v>
      </x:c>
    </x:row>
    <x:row r="390" ht="52" customHeight="1">
      <x:c r="A390" s="28" t="str">
        <x:v>яйца</x:v>
      </x:c>
      <x:c r="B390" s="28" t="str">
        <x:v>Прочее</x:v>
      </x:c>
      <x:c r="C390" s="28" t="str">
        <x:v>профиль зависит от конкретного продукта</x:v>
      </x:c>
      <x:c r="D390" s="28" t="str">
        <x:v>нет уточнённого профиля</x:v>
      </x:c>
      <x:c r="E390" s="28" t="str">
        <x:v>вкусовой баланс зависит от конкретного продукта</x:v>
      </x:c>
      <x:c r="F390" s="28" t="str">
        <x:v>обычно минимальный; проверить для острых и охлаждающих компонентов</x:v>
      </x:c>
      <x:c r="G390" s="28" t="str">
        <x:v>матрица зависит от содержания воды, жира, белка и клетчатки</x:v>
      </x:c>
      <x:c r="H390" s="28" t="str">
        <x:v>сорт, зрелость и технология обработки меняют профиль</x:v>
      </x:c>
      <x:c r="I390" s="28" t="n">
        <x:v>10</x:v>
      </x:c>
    </x:row>
  </x:sheetData>
  <x:conditionalFormatting sqref="I2:I390">
    <x:cfRule type="dataBar" priority="1">
      <x:dataBar>
        <x:cfvo type="min"/>
        <x:cfvo type="max"/>
        <x:color rgb="FF476D57"/>
      </x:dataBar>
      <x:extLst>
        <x:ext xmlns:x14="http://schemas.microsoft.com/office/spreadsheetml/2009/9/main" uri="{B025F937-C7B1-47D3-B67F-A62EFF666E3E}">
          <x14:id>{2372B28E-2C49-D436-8525-B5C5DB896F7B}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c4d905e8b024ac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72B28E-2C49-D436-8525-B5C5DB896F7B}">
            <x14:dataBar gradient="1">
              <x14:cfvo type="min"/>
              <x14:cfvo type="max"/>
              <x14:fillColor rgb="FF476D57"/>
            </x14:dataBar>
          </x14:cfRule>
          <xm:sqref>I2:I390</xm:sqref>
        </x14:conditionalFormatting>
      </x14:conditionalFormattings>
    </x:ext>
  </x:extLst>
</x:worksheet>
</file>

<file path=xl/worksheets/sheet18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4" hidden="0" customWidth="1"/>
    <x:col min="3" max="3" width="46" hidden="0" customWidth="1"/>
    <x:col min="4" max="4" width="60" hidden="0" customWidth="1"/>
    <x:col min="5" max="5" width="63" hidden="0" customWidth="1"/>
    <x:col min="6" max="6" width="57" hidden="0" customWidth="1"/>
  </x:cols>
  <x:sheetData>
    <x:row r="1">
      <x:c r="A1" s="20" t="str">
        <x:v>Соединение / группа</x:v>
      </x:c>
      <x:c r="B1" s="20" t="str">
        <x:v>Класс</x:v>
      </x:c>
      <x:c r="C1" s="20" t="str">
        <x:v>Аромат / эффект</x:v>
      </x:c>
      <x:c r="D1" s="20" t="str">
        <x:v>Поведение и растворимость</x:v>
      </x:c>
      <x:c r="E1" s="20" t="str">
        <x:v>Роль в сочетаниях</x:v>
      </x:c>
      <x:c r="F1" s="20" t="str">
        <x:v>Критическая точка</x:v>
      </x:c>
    </x:row>
    <x:row r="2" ht="64" customHeight="1">
      <x:c r="A2" s="28" t="str">
        <x:v>1-октен-3-ол и 1-октен-3-он</x:v>
      </x:c>
      <x:c r="B2" s="28" t="str">
        <x:v>грибные C8-одоранты</x:v>
      </x:c>
      <x:c r="C2" s="28" t="str">
        <x:v>грибной, землистый, лесной</x:v>
      </x:c>
      <x:c r="D2" s="28" t="str">
        <x:v>летучи; лучше сохраняются при короткой обработке, но концентрируются при сушке</x:v>
      </x:c>
      <x:c r="E2" s="28" t="str">
        <x:v>связывают грибы с частью морепродуктов, зелёных растений и ферментированных продуктов</x:v>
      </x:c>
      <x:c r="F2" s="28" t="str">
        <x:v>не объясняют умами: умами создают нелетучие аминокислоты и нуклеотиды</x:v>
      </x:c>
    </x:row>
    <x:row r="3" ht="64" customHeight="1">
      <x:c r="A3" s="28" t="str">
        <x:v>Геосмин</x:v>
      </x:c>
      <x:c r="B3" s="28" t="str">
        <x:v>землистый бициклический спирт</x:v>
      </x:c>
      <x:c r="C3" s="28" t="str">
        <x:v>влажная земля, свёкла</x:v>
      </x:c>
      <x:c r="D3" s="28" t="str">
        <x:v>очень низкий порог; гидрофобен, частично удерживается жиром</x:v>
      </x:c>
      <x:c r="E3" s="28" t="str">
        <x:v>создаёт землистый мост свёклы с грибами и некоторыми корнеплодами</x:v>
      </x:c>
      <x:c r="F3" s="28" t="str">
        <x:v>легко доминирует; кислота снижает субъективную тяжесть, но не уничтожает молекулу</x:v>
      </x:c>
    </x:row>
    <x:row r="4" ht="64" customHeight="1">
      <x:c r="A4" s="28" t="str">
        <x:v>Метоксипиразины</x:v>
      </x:c>
      <x:c r="B4" s="28" t="str">
        <x:v>азотсодержащие одоранты</x:v>
      </x:c>
      <x:c r="C4" s="28" t="str">
        <x:v>зелёный перец, горох, землистость</x:v>
      </x:c>
      <x:c r="D4" s="28" t="str">
        <x:v>чрезвычайно низкий порог; часть профиля снижается при созревании и запекании</x:v>
      </x:c>
      <x:c r="E4" s="28" t="str">
        <x:v>связывают болгарский перец, горох, свёклу и зелёные травы</x:v>
      </x:c>
      <x:c r="F4" s="28" t="str">
        <x:v>передозировка воспринимается как сырой или недозрелый профиль</x:v>
      </x:c>
    </x:row>
    <x:row r="5" ht="64" customHeight="1">
      <x:c r="A5" s="28" t="str">
        <x:v>Зелёные C6-альдегиды и спирты</x:v>
      </x:c>
      <x:c r="B5" s="28" t="str">
        <x:v>альдегиды и спирты</x:v>
      </x:c>
      <x:c r="C5" s="28" t="str">
        <x:v>свежесрезанная трава, лист, огурец</x:v>
      </x:c>
      <x:c r="D5" s="28" t="str">
        <x:v>быстро образуются после повреждения тканей и быстро улетучиваются/окисляются</x:v>
      </x:c>
      <x:c r="E5" s="28" t="str">
        <x:v>создают свежий мост овощей с травами и зелёными фруктами</x:v>
      </x:c>
      <x:c r="F5" s="28" t="str">
        <x:v>длительный нагрев стирает свежесть и даёт варёный профиль</x:v>
      </x:c>
    </x:row>
    <x:row r="6" ht="64" customHeight="1">
      <x:c r="A6" s="28" t="str">
        <x:v>Огуречные C9-альдегиды</x:v>
      </x:c>
      <x:c r="B6" s="28" t="str">
        <x:v>ненасыщенные альдегиды</x:v>
      </x:c>
      <x:c r="C6" s="28" t="str">
        <x:v>огурец, дыня, водянистая свежесть</x:v>
      </x:c>
      <x:c r="D6" s="28" t="str">
        <x:v>очень летучи и чувствительны к окислению</x:v>
      </x:c>
      <x:c r="E6" s="28" t="str">
        <x:v>поддерживают пары огурца с дыней, цитрусом, травами и цветочными продуктами</x:v>
      </x:c>
      <x:c r="F6" s="28" t="str">
        <x:v>сок быстро теряет верхние ноты</x:v>
      </x:c>
    </x:row>
    <x:row r="7" ht="64" customHeight="1">
      <x:c r="A7" s="28" t="str">
        <x:v>Изотиоцианаты</x:v>
      </x:c>
      <x:c r="B7" s="28" t="str">
        <x:v>горчичные сернистые соединения</x:v>
      </x:c>
      <x:c r="C7" s="28" t="str">
        <x:v>горчица, редис, капуста</x:v>
      </x:c>
      <x:c r="D7" s="28" t="str">
        <x:v>образуются после разрушения тканей из глюкозинолатов; летучи и реакционноспособны</x:v>
      </x:c>
      <x:c r="E7" s="28" t="str">
        <x:v>создают горчичный мост крестоцветных с хреном, горчицей и острыми травами</x:v>
      </x:c>
      <x:c r="F7" s="28" t="str">
        <x:v>жжение относится к тройничному восприятию; длительный нагрев меняет профиль</x:v>
      </x:c>
    </x:row>
    <x:row r="8" ht="64" customHeight="1">
      <x:c r="A8" s="28" t="str">
        <x:v>Диметилсульфид и метантиол</x:v>
      </x:c>
      <x:c r="B8" s="28" t="str">
        <x:v>летучие сернистые соединения</x:v>
      </x:c>
      <x:c r="C8" s="28" t="str">
        <x:v>варёная капуста, кукуруза, морской оттенок</x:v>
      </x:c>
      <x:c r="D8" s="28" t="str">
        <x:v>летучи; усиливаются или высвобождаются при длительном нагреве</x:v>
      </x:c>
      <x:c r="E8" s="28" t="str">
        <x:v>связывают капусту, брокколи, цветную капусту, спаржу и некоторые морепродукты</x:v>
      </x:c>
      <x:c r="F8" s="28" t="str">
        <x:v>легко становятся неприятными при переваривании</x:v>
      </x:c>
    </x:row>
    <x:row r="9" ht="64" customHeight="1">
      <x:c r="A9" s="28" t="str">
        <x:v>Тиосульфинаты и аллицин</x:v>
      </x:c>
      <x:c r="B9" s="28" t="str">
        <x:v>сернистые соединения луковых</x:v>
      </x:c>
      <x:c r="C9" s="28" t="str">
        <x:v>свежий чеснок и лук</x:v>
      </x:c>
      <x:c r="D9" s="28" t="str">
        <x:v>образуются после повреждения клеток; нестабильны и превращаются в другие сульфиды</x:v>
      </x:c>
      <x:c r="E9" s="28" t="str">
        <x:v>создают общую savoury-основу со специями, мясом, грибами и ферментированными соусами</x:v>
      </x:c>
      <x:c r="F9" s="28" t="str">
        <x:v>сырой профиль очень интенсивен; нагрев существенно меняет состав</x:v>
      </x:c>
    </x:row>
    <x:row r="10" ht="64" customHeight="1">
      <x:c r="A10" s="28" t="str">
        <x:v>Метиональ</x:v>
      </x:c>
      <x:c r="B10" s="28" t="str">
        <x:v>сернистый альдегид</x:v>
      </x:c>
      <x:c r="C10" s="28" t="str">
        <x:v>варёный картофель, бульон</x:v>
      </x:c>
      <x:c r="D10" s="28" t="str">
        <x:v>образуется из метионина при нагреве и распаде предшественников</x:v>
      </x:c>
      <x:c r="E10" s="28" t="str">
        <x:v>связывает картофель, грибы, томат, сыр и жареные продукты</x:v>
      </x:c>
      <x:c r="F10" s="28" t="str">
        <x:v>в высокой концентрации даёт тяжёлый варёный запах</x:v>
      </x:c>
    </x:row>
    <x:row r="11" ht="64" customHeight="1">
      <x:c r="A11" s="28" t="str">
        <x:v>Пиразины</x:v>
      </x:c>
      <x:c r="B11" s="28" t="str">
        <x:v>продукты реакций Майяра и природные одоранты</x:v>
      </x:c>
      <x:c r="C11" s="28" t="str">
        <x:v>жареный, ореховый, зелёный перец</x:v>
      </x:c>
      <x:c r="D11" s="28" t="str">
        <x:v>часть образуется при обжарке; метоксипиразины существуют в сыром растительном продукте</x:v>
      </x:c>
      <x:c r="E11" s="28" t="str">
        <x:v>формируют мост овощей после гриля с орехами, кофе, какао, хлебом и мясом</x:v>
      </x:c>
      <x:c r="F11" s="28" t="str">
        <x:v>нужно различать жареные пиразины и зелёные метоксипиразины</x:v>
      </x:c>
    </x:row>
    <x:row r="12" ht="64" customHeight="1">
      <x:c r="A12" s="28" t="str">
        <x:v>Фураны и мальтол</x:v>
      </x:c>
      <x:c r="B12" s="28" t="str">
        <x:v>термические и карамельные одоранты</x:v>
      </x:c>
      <x:c r="C12" s="28" t="str">
        <x:v>карамель, хлеб, сладкая обжарка</x:v>
      </x:c>
      <x:c r="D12" s="28" t="str">
        <x:v>образуются при нагреве сахаров и реакциях Майяра</x:v>
      </x:c>
      <x:c r="E12" s="28" t="str">
        <x:v>связывают батат, тыкву, морковь и лук с карамелью, кофе и выпечкой</x:v>
      </x:c>
      <x:c r="F12" s="28" t="str">
        <x:v>обугливание переводит профиль в горечь и дым</x:v>
      </x:c>
    </x:row>
    <x:row r="13" ht="64" customHeight="1">
      <x:c r="A13" s="28" t="str">
        <x:v>Фталиды сельдерея</x:v>
      </x:c>
      <x:c r="B13" s="28" t="str">
        <x:v>циклические ароматические соединения</x:v>
      </x:c>
      <x:c r="C13" s="28" t="str">
        <x:v>сельдерей, зелёно-пряный, бульонный</x:v>
      </x:c>
      <x:c r="D13" s="28" t="str">
        <x:v>гидрофобны и хорошо извлекаются жиром и этанолом</x:v>
      </x:c>
      <x:c r="E13" s="28" t="str">
        <x:v>создают характерный мост сельдерея с томатом, травами, морепродуктами и джином</x:v>
      </x:c>
      <x:c r="F13" s="28" t="str">
        <x:v>высокая концентрация даёт аптечный и горький профиль</x:v>
      </x:c>
    </x:row>
    <x:row r="14" ht="64" customHeight="1">
      <x:c r="A14" s="28" t="str">
        <x:v>Транс-анетол и фенхон</x:v>
      </x:c>
      <x:c r="B14" s="28" t="str">
        <x:v>фенилпропаноид и монотерпеновый кетон</x:v>
      </x:c>
      <x:c r="C14" s="28" t="str">
        <x:v>анис и фенхель</x:v>
      </x:c>
      <x:c r="D14" s="28" t="str">
        <x:v>гидрофобны; анетол может мутнеть при разбавлении спиртовой настойки водой</x:v>
      </x:c>
      <x:c r="E14" s="28" t="str">
        <x:v>соединяют фенхель с анисом, цитрусами, рыбой и сладкими фруктами</x:v>
      </x:c>
      <x:c r="F14" s="28" t="str">
        <x:v>анисовый профиль имеет низкий порог и быстро доминирует</x:v>
      </x:c>
    </x:row>
    <x:row r="15" ht="64" customHeight="1">
      <x:c r="A15" s="28" t="str">
        <x:v>Глутамат и нуклеотиды</x:v>
      </x:c>
      <x:c r="B15" s="28" t="str">
        <x:v>нелетучие вкусовые вещества</x:v>
      </x:c>
      <x:c r="C15" s="28" t="str">
        <x:v>не являются источниками запаха</x:v>
      </x:c>
      <x:c r="D15" s="28" t="str">
        <x:v>растворимы в воде; усиливают вкус умами синергично</x:v>
      </x:c>
      <x:c r="E15" s="28" t="str">
        <x:v>объясняют глубину томата, грибов, сыра, мяса и ферментированных соусов</x:v>
      </x:c>
      <x:c r="F15" s="28" t="str">
        <x:v>не называть ароматическими молекулами</x:v>
      </x:c>
    </x:row>
    <x:row r="16" ht="64" customHeight="1">
      <x:c r="A16" s="28" t="str">
        <x:v>Беталаины и антоцианы</x:v>
      </x:c>
      <x:c r="B16" s="28" t="str">
        <x:v>нелетучие пигменты</x:v>
      </x:c>
      <x:c r="C16" s="28" t="str">
        <x:v>не создают основной запах</x:v>
      </x:c>
      <x:c r="D16" s="28" t="str">
        <x:v>чувствительны к pH, теплу и окислению</x:v>
      </x:c>
      <x:c r="E16" s="28" t="str">
        <x:v>определяют цвет свёклы и красной капусты, влияют на визуальное восприятие</x:v>
      </x:c>
      <x:c r="F16" s="28" t="str">
        <x:v>не использовать как объяснение аромата</x:v>
      </x:c>
    </x:row>
    <x:row r="17" ht="64" customHeight="1">
      <x:c r="A17" s="28" t="str">
        <x:v>Глюкозинолаты</x:v>
      </x:c>
      <x:c r="B17" s="28" t="str">
        <x:v>нелетучие серосодержащие предшественники</x:v>
      </x:c>
      <x:c r="C17" s="28" t="str">
        <x:v>сами по себе не являются главным запахом</x:v>
      </x:c>
      <x:c r="D17" s="28" t="str">
        <x:v>после разрушения тканей ферменты превращают их в изотиоцианаты и другие продукты</x:v>
      </x:c>
      <x:c r="E17" s="28" t="str">
        <x:v>объясняют реактивный горчичный профиль крестоцветных</x:v>
      </x:c>
      <x:c r="F17" s="28" t="str">
        <x:v>тип и концентрация сильно зависят от вида и обработки</x:v>
      </x:c>
    </x:row>
  </x:sheetData>
  <x:pageMargins left="0.7" right="0.7" top="0.75" bottom="0.75" header="0.3" footer="0.3"/>
  <x:tableParts count="1">
    <x:tablePart xmlns:r="http://schemas.openxmlformats.org/officeDocument/2006/relationships" r:id="R1f90191dfefc4c9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8" hidden="0" customWidth="1"/>
    <x:col min="3" max="3" width="70" hidden="0" customWidth="1"/>
  </x:cols>
  <x:sheetData>
    <x:row r="1" ht="34" customHeight="1">
      <x:c r="A1" s="4" t="str">
        <x:v>МЕТОДИКА СБОРКИ И НАУЧНЫЕ ОГРАНИЧЕНИЯ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Этап</x:v>
      </x:c>
      <x:c r="B4" s="20" t="str">
        <x:v>Что выполнено</x:v>
      </x:c>
    </x:row>
    <x:row r="5" ht="50" customHeight="1">
      <x:c r="A5" s="28" t="str">
        <x:v>1. Извлечение</x:v>
      </x:c>
      <x:c r="B5" s="28" t="str">
        <x:v>Из трёх PDF извлечены статьи, перекрёстные ссылки, компактная таблица, Classic/Potential pairings и связи из Foodpairing grids.</x:v>
      </x:c>
    </x:row>
    <x:row r="6" ht="50" customHeight="1">
      <x:c r="A6" s="28" t="str">
        <x:v>2. Охват</x:v>
      </x:c>
      <x:c r="B6" s="28" t="str">
        <x:v>Включены 28 базовых ингредиентов: грибы, корнеплоды, клубни, плодовые и тыквенные овощи, крестоцветные, луковые и бобовые.</x:v>
      </x:c>
    </x:row>
    <x:row r="7" ht="50" customHeight="1">
      <x:c r="A7" s="28" t="str">
        <x:v>3. Обратные связи</x:v>
      </x:c>
      <x:c r="B7" s="28" t="str">
        <x:v>Учтены случаи, когда овощ указан не основным ингредиентом, а партнёром в профиле другого продукта.</x:v>
      </x:c>
    </x:row>
    <x:row r="8" ht="50" customHeight="1">
      <x:c r="A8" s="28" t="str">
        <x:v>4. Очистка</x:v>
      </x:c>
      <x:c r="B8" s="28" t="str">
        <x:v>Пары A — B и B — A сведены в одну запись; удалены прямые дубли, предложения, обрывки текста и OCR-артефакты.</x:v>
      </x:c>
    </x:row>
    <x:row r="9" ht="50" customHeight="1">
      <x:c r="A9" s="28" t="str">
        <x:v>5. Нормализация</x:v>
      </x:c>
      <x:c r="B9" s="28" t="str">
        <x:v>Английские, русские, сортовые и технологические названия сведены к рабочим ингредиентам, оригинальные формы сохранены отдельно.</x:v>
      </x:c>
    </x:row>
    <x:row r="10" ht="50" customHeight="1">
      <x:c r="A10" s="28" t="str">
        <x:v>6. Научный слой</x:v>
      </x:c>
      <x:c r="B10" s="28" t="str">
        <x:v>Сопоставлены летучие одоранты, базовые вкусы, умами, сернистые и горчичные системы, вода, крахмал, жир и обработка.</x:v>
      </x:c>
    </x:row>
    <x:row r="11" ht="50" customHeight="1">
      <x:c r="A11" s="28" t="str">
        <x:v>7. Общие молекулы</x:v>
      </x:c>
      <x:c r="B11" s="28" t="str">
        <x:v>Соединение объявляется общим только при совпадении рабочих профилей обоих ингредиентов; иначе механизм не сводится к одной молекуле.</x:v>
      </x:c>
    </x:row>
    <x:row r="12" ht="50" customHeight="1">
      <x:c r="A12" s="28" t="str">
        <x:v>8. Уверенность</x:v>
      </x:c>
      <x:c r="B12" s="28" t="str">
        <x:v>Высокая: несколько источников или прямая Classic/Potential pairing. Средняя: статья либо pairing grid. Гипотеза: компактная таблица.</x:v>
      </x:c>
    </x:row>
    <x:row r="13" ht="50" customHeight="1">
      <x:c r="A13" s="28" t="str">
        <x:v>9. Практика</x:v>
      </x:c>
      <x:c r="B13" s="28" t="str">
        <x:v>Каждая строка содержит применение, ингредиент-мост, технологические риски и рекомендуемое направление обработки.</x:v>
      </x:c>
    </x:row>
    <x:row r="14" ht="50" customHeight="1">
      <x:c r="A14" s="28" t="str">
        <x:v>10. Безопасность</x:v>
      </x:c>
      <x:c r="B14" s="28" t="str">
        <x:v>Отдельно отмечены гликоалкалоиды картофеля, лектины фасоли, токсины диких грибов, кукурбитацины и риски неуправляемой ферментации.</x:v>
      </x:c>
    </x:row>
    <x:row r="15" ht="50" customHeight="1">
      <x:c r="A15" s="28" t="str">
        <x:v>11. Валидация</x:v>
      </x:c>
      <x:c r="B15" s="28" t="str">
        <x:v>Перед внедрением необходимы пробная сборка, дегустация при рабочей температуре и повторная оценка после выдержки или хранения.</x:v>
      </x:c>
    </x:row>
    <x:row r="17">
      <x:c r="A17" s="36" t="str">
        <x:v>ОГРАНИЧЕНИЕ НАУЧНОГО СЛОЯ</x:v>
      </x:c>
      <x:c r="B17" s="36"/>
      <x:c r="C17" s="36"/>
      <x:c r="D17" s="36"/>
      <x:c r="E17" s="36"/>
      <x:c r="F17" s="36"/>
      <x:c r="G17" s="36"/>
      <x:c r="H17" s="36"/>
    </x:row>
    <x:row r="18" ht="118" customHeight="1">
      <x:c r="A18" s="43" t="str">
        <x:v>Энциклопедия не является количественным GC–MS-анализом конкретной партии. Аромат овощей зависит от сорта, зрелости, почвы, хранения, разрушения тканей и технологии. Свежий и приготовленный лук, сырой и запечённый перец, варёный и жареный картофель фактически представляют разные ароматические системы.
Летучие молекулы создают запах. Глутамат и нуклеотиды формируют умами, сахара и органические кислоты — базовый вкус, пигменты — цвет, крахмал и клетчатка — текстуру. Глюкозинолаты являются предшественниками: характерный горчичный профиль возникает после разрушения тканей и образования продуктов их распада.</x:v>
      </x:c>
      <x:c r="B18" s="43"/>
      <x:c r="C18" s="43"/>
      <x:c r="D18" s="43"/>
      <x:c r="E18" s="43"/>
      <x:c r="F18" s="43"/>
      <x:c r="G18" s="43"/>
      <x:c r="H18" s="43"/>
    </x:row>
    <x:row r="19" ht="118" customHeight="1">
      <x:c r="A19" s="43"/>
      <x:c r="B19" s="43"/>
      <x:c r="C19" s="43"/>
      <x:c r="D19" s="43"/>
      <x:c r="E19" s="43"/>
      <x:c r="F19" s="43"/>
      <x:c r="G19" s="43"/>
      <x:c r="H19" s="43"/>
    </x:row>
    <x:row r="20" ht="118" customHeight="1">
      <x:c r="A20" s="43"/>
      <x:c r="B20" s="43"/>
      <x:c r="C20" s="43"/>
      <x:c r="D20" s="43"/>
      <x:c r="E20" s="43"/>
      <x:c r="F20" s="43"/>
      <x:c r="G20" s="43"/>
      <x:c r="H20" s="43"/>
    </x:row>
    <x:row r="21" ht="118" customHeight="1">
      <x:c r="A21" s="43"/>
      <x:c r="B21" s="43"/>
      <x:c r="C21" s="43"/>
      <x:c r="D21" s="43"/>
      <x:c r="E21" s="43"/>
      <x:c r="F21" s="43"/>
      <x:c r="G21" s="43"/>
      <x:c r="H21" s="43"/>
    </x:row>
    <x:row r="22" ht="118" customHeight="1">
      <x:c r="A22" s="43"/>
      <x:c r="B22" s="43"/>
      <x:c r="C22" s="43"/>
      <x:c r="D22" s="43"/>
      <x:c r="E22" s="43"/>
      <x:c r="F22" s="43"/>
      <x:c r="G22" s="43"/>
      <x:c r="H22" s="43"/>
    </x:row>
    <x:row r="23" ht="118" customHeight="1">
      <x:c r="A23" s="43"/>
      <x:c r="B23" s="43"/>
      <x:c r="C23" s="43"/>
      <x:c r="D23" s="43"/>
      <x:c r="E23" s="43"/>
      <x:c r="F23" s="43"/>
      <x:c r="G23" s="43"/>
      <x:c r="H23" s="43"/>
    </x:row>
    <x:row r="24" ht="118" customHeight="1">
      <x:c r="A24" s="43"/>
      <x:c r="B24" s="43"/>
      <x:c r="C24" s="43"/>
      <x:c r="D24" s="43"/>
      <x:c r="E24" s="43"/>
      <x:c r="F24" s="43"/>
      <x:c r="G24" s="43"/>
      <x:c r="H24" s="43"/>
    </x:row>
    <x:row r="25" ht="118" customHeight="1">
      <x:c r="A25" s="43"/>
      <x:c r="B25" s="43"/>
      <x:c r="C25" s="43"/>
      <x:c r="D25" s="43"/>
      <x:c r="E25" s="43"/>
      <x:c r="F25" s="43"/>
      <x:c r="G25" s="43"/>
      <x:c r="H25" s="43"/>
    </x:row>
    <x:row r="26" ht="118" customHeight="1">
      <x:c r="A26" s="43"/>
      <x:c r="B26" s="43"/>
      <x:c r="C26" s="43"/>
      <x:c r="D26" s="43"/>
      <x:c r="E26" s="43"/>
      <x:c r="F26" s="43"/>
      <x:c r="G26" s="43"/>
      <x:c r="H26" s="43"/>
    </x:row>
    <x:row r="27" ht="118" customHeight="1">
      <x:c r="A27" s="43"/>
      <x:c r="B27" s="43"/>
      <x:c r="C27" s="43"/>
      <x:c r="D27" s="43"/>
      <x:c r="E27" s="43"/>
      <x:c r="F27" s="43"/>
      <x:c r="G27" s="43"/>
      <x:c r="H27" s="43"/>
    </x:row>
    <x:row r="29">
      <x:c r="A29" s="20" t="str">
        <x:v>Источник</x:v>
      </x:c>
      <x:c r="B29" s="20" t="str">
        <x:v>Файл / ресурс</x:v>
      </x:c>
      <x:c r="C29" s="20" t="str">
        <x:v>Что использовано</x:v>
      </x:c>
    </x:row>
    <x:row r="30">
      <x:c r="A30" s="28" t="str">
        <x:v>Ники Сегнит</x:v>
      </x:c>
      <x:c r="B30" s="28" t="str">
        <x:v>Тезариус вкусов (Ники Сегнит)(1).pdf</x:v>
      </x:c>
      <x:c r="C30" s="28" t="str">
        <x:v>Развёрнутые статьи о грибах, баклажане, свёкле, картофеле, сельдерее, луковых, капустных, томате, моркови и тыкве</x:v>
      </x:c>
    </x:row>
    <x:row r="31">
      <x:c r="A31" s="28" t="str">
        <x:v>Coucquyt / Lahousse / Langenbick</x:v>
      </x:c>
      <x:c r="B31" s="28" t="str">
        <x:v>The Art &amp; Science of Foodpairing.pdf</x:v>
      </x:c>
      <x:c r="C31" s="28" t="str">
        <x:v>Прямые pairings, списки партнёров, ароматические профили и молекулярная методология</x:v>
      </x:c>
    </x:row>
    <x:row r="32">
      <x:c r="A32" s="28" t="str">
        <x:v>Таблица сочетаний</x:v>
      </x:c>
      <x:c r="B32" s="28" t="str">
        <x:v>Таблица сочетания(1).pdf</x:v>
      </x:c>
      <x:c r="C32" s="28" t="str">
        <x:v>Компактные рекомендации и обратные связи для овощей, фруктов, трав, специй и других партнёров</x:v>
      </x:c>
    </x:row>
    <x:row r="33">
      <x:c r="A33" s="28" t="str">
        <x:v>EFSA</x:v>
      </x:c>
      <x:c r="B33" s="28" t="str">
        <x:v>https://www.efsa.europa.eu/en/news/glycoalkaloids-potatoes-public-health-risks-assessed</x:v>
      </x:c>
      <x:c r="C33" s="28" t="str">
        <x:v>Риски гликоалкалоидов картофеля</x:v>
      </x:c>
    </x:row>
    <x:row r="34">
      <x:c r="A34" s="28" t="str">
        <x:v>FDA</x:v>
      </x:c>
      <x:c r="B34" s="28" t="str">
        <x:v>https://www.fda.gov/food/chemical-contaminants-pesticides/natural-toxins-food</x:v>
      </x:c>
      <x:c r="C34" s="28" t="str">
        <x:v>Фитогемагглютинин фасоли и природные токсины пищевых продуктов</x:v>
      </x:c>
    </x:row>
    <x:row r="35">
      <x:c r="A35" s="28" t="str">
        <x:v>CDC</x:v>
      </x:c>
      <x:c r="B35" s="28" t="str">
        <x:v>https://www.cdc.gov/mmwr/volumes/70/wr/mm7010a1.htm</x:v>
      </x:c>
      <x:c r="C35" s="28" t="str">
        <x:v>Риски отравления дикорастущими грибами</x:v>
      </x:c>
    </x:row>
    <x:row r="36">
      <x:c r="A36" s="28" t="str">
        <x:v>BfR</x:v>
      </x:c>
      <x:c r="B36" s="28" t="str">
        <x:v>https://www.bfr.bund.de/cm/343/vorsicht-beim-verzehr-von-bitteren-zucchini.pdf</x:v>
      </x:c>
      <x:c r="C36" s="28" t="str">
        <x:v>Кукурбитацины и необычно горькие кабачки</x:v>
      </x:c>
    </x:row>
  </x:sheetData>
  <x:mergeCells>
    <x:mergeCell ref="A1:H2"/>
    <x:mergeCell ref="A17:H17"/>
    <x:mergeCell ref="A18:H27"/>
  </x:mergeCells>
  <x:pageMargins left="0.7" right="0.7" top="0.75" bottom="0.75" header="0.3" footer="0.3"/>
</x:worksheet>
</file>